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Call List" sheetId="3" state="visible" r:id="rId3"/>
    <sheet name="Pooling (100-200k)" sheetId="4" state="visible" r:id="rId4"/>
    <sheet name="Needs CNPJ (name only)" sheetId="5" state="visible" r:id="rId5"/>
    <sheet name="Sources" sheetId="6" state="visible" r:id="rId6"/>
    <sheet name="Diff vs Drive sheet" sheetId="7" state="visible" r:id="rId7"/>
  </sheets>
  <definedNames>
    <definedName name="_xlnm._FilterDatabase" localSheetId="2" hidden="1">'Call List'!$A$1:$AT$560</definedName>
    <definedName name="_xlnm._FilterDatabase" localSheetId="3" hidden="1">'Pooling (100-200k)'!$A$1:$AT$237</definedName>
    <definedName name="_xlnm._FilterDatabase" localSheetId="4" hidden="1">'Needs CNPJ (name only)'!$A$1:$I$1083</definedName>
    <definedName name="_xlnm._FilterDatabase" localSheetId="5" hidden="1">'Sources'!$A$1:$L$1200</definedName>
    <definedName name="_xlnm._FilterDatabase" localSheetId="6" hidden="1">'Diff vs Drive sheet'!$A$1:$I$125</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Calibri"/>
      <family val="2"/>
      <color theme="1"/>
      <sz val="11"/>
      <scheme val="minor"/>
    </font>
    <font>
      <b val="1"/>
      <sz val="12"/>
    </font>
    <font>
      <sz val="11"/>
    </font>
    <font>
      <b val="1"/>
      <color rgb="00FFFFFF"/>
    </font>
    <font>
      <i val="1"/>
    </font>
    <font>
      <color rgb="000563C1"/>
      <u val="single"/>
    </font>
    <font>
      <b val="1"/>
    </font>
  </fonts>
  <fills count="8">
    <fill>
      <patternFill/>
    </fill>
    <fill>
      <patternFill patternType="gray125"/>
    </fill>
    <fill>
      <patternFill patternType="solid">
        <fgColor rgb="001F3A5F"/>
      </patternFill>
    </fill>
    <fill>
      <patternFill patternType="solid">
        <fgColor rgb="00FFF2CC"/>
      </patternFill>
    </fill>
    <fill>
      <patternFill patternType="solid">
        <fgColor rgb="00FFF4D6"/>
      </patternFill>
    </fill>
    <fill>
      <patternFill patternType="solid">
        <fgColor rgb="00E6EEF8"/>
      </patternFill>
    </fill>
    <fill>
      <patternFill patternType="solid">
        <fgColor rgb="00E8F1E8"/>
      </patternFill>
    </fill>
    <fill>
      <patternFill patternType="solid">
        <fgColor rgb="00FCE4D6"/>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9" fontId="0" fillId="3" borderId="0" pivotButton="0" quotePrefix="0" xfId="0"/>
    <xf numFmtId="0" fontId="3" fillId="2" borderId="0" pivotButton="0" quotePrefix="0" xfId="0"/>
    <xf numFmtId="0" fontId="0" fillId="3" borderId="0" pivotButton="0" quotePrefix="0" xfId="0"/>
    <xf numFmtId="0" fontId="4" fillId="0" borderId="0" pivotButton="0" quotePrefix="0" xfId="0"/>
    <xf numFmtId="0" fontId="3" fillId="2" borderId="0" applyAlignment="1" pivotButton="0" quotePrefix="0" xfId="0">
      <alignment vertical="center" wrapText="1"/>
    </xf>
    <xf numFmtId="0" fontId="0" fillId="4" borderId="0" pivotButton="0" quotePrefix="0" xfId="0"/>
    <xf numFmtId="4" fontId="0" fillId="0" borderId="0" pivotButton="0" quotePrefix="0" xfId="0"/>
    <xf numFmtId="0" fontId="0" fillId="5" borderId="0" pivotButton="0" quotePrefix="0" xfId="0"/>
    <xf numFmtId="164" fontId="0" fillId="5" borderId="0" pivotButton="0" quotePrefix="0" xfId="0"/>
    <xf numFmtId="9" fontId="0" fillId="5" borderId="0" pivotButton="0" quotePrefix="0" xfId="0"/>
    <xf numFmtId="165" fontId="0" fillId="5" borderId="0" pivotButton="0" quotePrefix="0" xfId="0"/>
    <xf numFmtId="3" fontId="0" fillId="5" borderId="0" pivotButton="0" quotePrefix="0" xfId="0"/>
    <xf numFmtId="3" fontId="6" fillId="5" borderId="0" pivotButton="0" quotePrefix="0" xfId="0"/>
    <xf numFmtId="0" fontId="5" fillId="6" borderId="0" pivotButton="0" quotePrefix="0" xfId="0"/>
    <xf numFmtId="0" fontId="0" fillId="6" borderId="0" pivotButton="0" quotePrefix="0" xfId="0"/>
    <xf numFmtId="0" fontId="5" fillId="0" borderId="0" pivotButton="0" quotePrefix="0" xfId="0"/>
    <xf numFmtId="0" fontId="0" fillId="7" borderId="0" pivotButton="0" quotePrefix="0" xfId="0"/>
    <xf numFmtId="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scalzilliaj.com.br/sgc/download.php?file=files/processo_documento/processo_documento09514021082025_1_.pdf&amp;nome=04 - Rela&#231;&#227;o de credores das Recuperandas" TargetMode="External" Id="rId1" /><Relationship Type="http://schemas.openxmlformats.org/officeDocument/2006/relationships/hyperlink" Target="https://marquesadmjudicial.com.br/sgc/download.php?file=files/processo_documento/processo_documento19270817122025_1_.pdf&amp;nome=Rela&#231;&#227;o Nominal de Credores AJ" TargetMode="External" Id="rId2" /><Relationship Type="http://schemas.openxmlformats.org/officeDocument/2006/relationships/hyperlink" Target="https://assistjud.com.br/wp-content/uploads/elementor/forms/65098c80a5824.pdf" TargetMode="External" Id="rId3" /><Relationship Type="http://schemas.openxmlformats.org/officeDocument/2006/relationships/hyperlink" Target="https://scalzilliaj.com.br/sgc/download.php?file=files/processo_documento/processo_documento09514021082025_1_.pdf&amp;nome=04 - Rela&#231;&#227;o de credores das Recuperandas" TargetMode="External" Id="rId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6" /><Relationship Type="http://schemas.openxmlformats.org/officeDocument/2006/relationships/hyperlink" Target="https://lrflideres.com.br/wp-content/plugins/download-attachments/includes/download.php?id=6051" TargetMode="External" Id="rId7" /><Relationship Type="http://schemas.openxmlformats.org/officeDocument/2006/relationships/hyperlink" Target="https://recuperasolucoes.com/wp-content/plugins/download-attachments/includes/download.php?id=1597" TargetMode="External" Id="rId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9" /><Relationship Type="http://schemas.openxmlformats.org/officeDocument/2006/relationships/hyperlink" Target="https://scalzilliaj.com.br/sgc/download.php?file=files/processo_documento/processo_documento13183320052026_1_.pdf&amp;nome=10 - QGC Provis&#243;rio - atualizado at&#233; Maio de 2026" TargetMode="External" Id="rId10" /><Relationship Type="http://schemas.openxmlformats.org/officeDocument/2006/relationships/hyperlink" Target="http://bernardobicalho.com.br/login/app/documents/Rela%C3%A7%C3%A3o%20de%20Credores/6.%20RVC-%20Nutricium%20-%20simplificada.pdf" TargetMode="External" Id="rId11" /><Relationship Type="http://schemas.openxmlformats.org/officeDocument/2006/relationships/hyperlink" Target="https://diligence.adm.br/wp-content/uploads/2025/06/Edital-1a-Lista-de-Credores.pdf" TargetMode="External" Id="rId12" /><Relationship Type="http://schemas.openxmlformats.org/officeDocument/2006/relationships/hyperlink" Target="https://lrflideres.com.br/wp-content/plugins/download-attachments/includes/download.php?id=6051" TargetMode="External" Id="rId13" /><Relationship Type="http://schemas.openxmlformats.org/officeDocument/2006/relationships/hyperlink" Target="https://inova-aj.com.br/wp-content/uploads/2026/08/1a-Relacao-de-Credores-Real.pdf" TargetMode="External" Id="rId14" /><Relationship Type="http://schemas.openxmlformats.org/officeDocument/2006/relationships/hyperlink" Target="https://violet-wolf-754008.hostingersite.com/wp-content/uploads/2022/10/Primeiro-Edital-de-Credores-Integral-com-creditos.pdf" TargetMode="External" Id="rId15" /><Relationship Type="http://schemas.openxmlformats.org/officeDocument/2006/relationships/hyperlink" Target="https://marquesadmjudicial.com.br/sgc/download.php?file=files/processo_documento/processo_documento15232121112024_1_.pdf&amp;nome=Rela&#231;&#227;o de Credores" TargetMode="External" Id="rId16" /><Relationship Type="http://schemas.openxmlformats.org/officeDocument/2006/relationships/hyperlink" Target="https://scalzilliaj.com.br/sgc/download.php?file=files/processo_documento/processo_documento13183320052026_1_.pdf&amp;nome=10 - QGC Provis&#243;rio - atualizado at&#233; Maio de 2026" TargetMode="External" Id="rId17" /><Relationship Type="http://schemas.openxmlformats.org/officeDocument/2006/relationships/hyperlink" Target="https://lrflideres.com.br/wp-content/plugins/download-attachments/includes/download.php?id=6879" TargetMode="External" Id="rId18" /><Relationship Type="http://schemas.openxmlformats.org/officeDocument/2006/relationships/hyperlink" Target="https://lrflideres.com.br/wp-content/plugins/download-attachments/includes/download.php?id=4023" TargetMode="External" Id="rId1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0"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1" /><Relationship Type="http://schemas.openxmlformats.org/officeDocument/2006/relationships/hyperlink" Target="https://scalzilliaj.com.br/sgc/download.php?file=files/processo_documento/processo_documento09514021082025_1_.pdf&amp;nome=04 - Rela&#231;&#227;o de credores das Recuperandas" TargetMode="External" Id="rId2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 /><Relationship Type="http://schemas.openxmlformats.org/officeDocument/2006/relationships/hyperlink" Target="https://recuperasolucoes.com/wp-content/plugins/download-attachments/includes/download.php?id=1597" TargetMode="External" Id="rId24" /><Relationship Type="http://schemas.openxmlformats.org/officeDocument/2006/relationships/hyperlink" Target="https://diligence.adm.br/wp-content/plugins/download-attachments/includes/download.php?id=4599" TargetMode="External" Id="rId25" /><Relationship Type="http://schemas.openxmlformats.org/officeDocument/2006/relationships/hyperlink" Target="https://credibilita.com.br/wp-content/uploads/2025/09/Relacao-Credores-29.04.2026.pdf" TargetMode="External" Id="rId26" /><Relationship Type="http://schemas.openxmlformats.org/officeDocument/2006/relationships/hyperlink" Target="https://credibilita.com.br/wp-content/uploads/2025/09/Relacao-Credores-29.04.2026.pdf" TargetMode="External" Id="rId27" /><Relationship Type="http://schemas.openxmlformats.org/officeDocument/2006/relationships/hyperlink" Target="https://inova-aj.com.br/wp-content/uploads/2026/08/1a-Relacao-de-Credores-Real.pdf" TargetMode="External" Id="rId28" /><Relationship Type="http://schemas.openxmlformats.org/officeDocument/2006/relationships/hyperlink" Target="https://vtladm.com.br/wp-content/uploads/2026/06/02-&#8211;-Relacao-de-Credores-&#8211;-NAIR-AKICO-KAWAKAMI-MORIOKA-E-OUTROS.pdf" TargetMode="External" Id="rId2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0" /><Relationship Type="http://schemas.openxmlformats.org/officeDocument/2006/relationships/hyperlink" Target="https://diligence.adm.br/wp-content/plugins/download-attachments/includes/download.php?id=4599" TargetMode="External" Id="rId31" /><Relationship Type="http://schemas.openxmlformats.org/officeDocument/2006/relationships/hyperlink" Target="https://credibilita.com.br/wp-content/uploads/2025/09/Relacao-Credores-29.04.2026.pdf" TargetMode="External" Id="rId32" /><Relationship Type="http://schemas.openxmlformats.org/officeDocument/2006/relationships/hyperlink" Target="https://lrflideres.com.br/wp-content/plugins/download-attachments/includes/download.php?id=5589" TargetMode="External" Id="rId33" /><Relationship Type="http://schemas.openxmlformats.org/officeDocument/2006/relationships/hyperlink" Target="https://lrflideres.com.br/wp-content/plugins/download-attachments/includes/download.php?id=6879" TargetMode="External" Id="rId34" /><Relationship Type="http://schemas.openxmlformats.org/officeDocument/2006/relationships/hyperlink" Target="https://lrflideres.com.br/wp-content/plugins/download-attachments/includes/download.php?id=6879" TargetMode="External" Id="rId35" /><Relationship Type="http://schemas.openxmlformats.org/officeDocument/2006/relationships/hyperlink" Target="https://stenius.com.br/wp-content/uploads/2026/06/EDITAL-GRUPO-3E.pdf" TargetMode="External" Id="rId36" /><Relationship Type="http://schemas.openxmlformats.org/officeDocument/2006/relationships/hyperlink" Target="https://scalzilliaj.com.br/sgc/download.php?file=files/processo_documento/processo_documento09514021082025_1_.pdf&amp;nome=04 - Rela&#231;&#227;o de credores das Recuperandas" TargetMode="External" Id="rId37" /><Relationship Type="http://schemas.openxmlformats.org/officeDocument/2006/relationships/hyperlink" Target="https://diligence.adm.br/wp-content/plugins/download-attachments/includes/download.php?id=4579" TargetMode="External" Id="rId38" /><Relationship Type="http://schemas.openxmlformats.org/officeDocument/2006/relationships/hyperlink" Target="https://lrflideres.com.br/wp-content/plugins/download-attachments/includes/download.php?id=6879" TargetMode="External" Id="rId3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0" /><Relationship Type="http://schemas.openxmlformats.org/officeDocument/2006/relationships/hyperlink" Target="https://credibilita.com.br/wp-content/uploads/2025/09/Relacao-Credores-29.04.2026.pdf" TargetMode="External" Id="rId41" /><Relationship Type="http://schemas.openxmlformats.org/officeDocument/2006/relationships/hyperlink" Target="https://lrflideres.com.br/wp-content/plugins/download-attachments/includes/download.php?id=4023" TargetMode="External" Id="rId42" /><Relationship Type="http://schemas.openxmlformats.org/officeDocument/2006/relationships/hyperlink" Target="https://ajruiz.com.br/sites/default/files/public/arquivos-processos/2023-11/4_relacao_de_credores_analitica_art._51_iii_da_lre.pdf" TargetMode="External" Id="rId43" /><Relationship Type="http://schemas.openxmlformats.org/officeDocument/2006/relationships/hyperlink" Target="https://inova-aj.com.br/wp-content/uploads/2026/08/1a-Relacao-de-Credores-Real.pdf" TargetMode="External" Id="rId44" /><Relationship Type="http://schemas.openxmlformats.org/officeDocument/2006/relationships/hyperlink" Target="https://scalzilliaj.com.br/sgc/download.php?file=files/processo_documento/processo_documento09514021082025_1_.pdf&amp;nome=04 - Rela&#231;&#227;o de credores das Recuperandas" TargetMode="External" Id="rId45" /><Relationship Type="http://schemas.openxmlformats.org/officeDocument/2006/relationships/hyperlink" Target="https://assistjud.com.br/wp-content/uploads/elementor/forms/65098c80a5824.pdf" TargetMode="External" Id="rId46" /><Relationship Type="http://schemas.openxmlformats.org/officeDocument/2006/relationships/hyperlink" Target="https://scalzilliaj.com.br/sgc/download.php?file=files/processo_documento/processo_documento09514021082025_1_.pdf&amp;nome=04 - Rela&#231;&#227;o de credores das Recuperandas" TargetMode="External" Id="rId47"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8" /><Relationship Type="http://schemas.openxmlformats.org/officeDocument/2006/relationships/hyperlink" Target="https://credibilita.com.br/wp-content/uploads/2025/09/Relacao-Credores-29.04.2026.pdf" TargetMode="External" Id="rId49" /><Relationship Type="http://schemas.openxmlformats.org/officeDocument/2006/relationships/hyperlink" Target="https://cataliseaj.com.br/sgc/download.php?file=files/processo_documento/processo_documento15092204102024_1_.pdf&amp;nome=02. RELA&#199;&#195;O DE CREDORES" TargetMode="External" Id="rId50" /><Relationship Type="http://schemas.openxmlformats.org/officeDocument/2006/relationships/hyperlink" Target="https://ajruiz.com.br/sites/default/files/public/arquivos-processos/2026-06/alto_uruguai_qgc_junho.2026.pdf" TargetMode="External" Id="rId51"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52" /><Relationship Type="http://schemas.openxmlformats.org/officeDocument/2006/relationships/hyperlink" Target="https://ajruiz.com.br/sites/default/files/public/arquivos-processos/2023-11/4_relacao_de_credores_analitica_art._51_iii_da_lre.pdf" TargetMode="External" Id="rId53" /><Relationship Type="http://schemas.openxmlformats.org/officeDocument/2006/relationships/hyperlink" Target="https://stenius.com.br/wp-content/uploads/2026/06/EDITAL-GRUPO-3E.pdf" TargetMode="External" Id="rId5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5" /><Relationship Type="http://schemas.openxmlformats.org/officeDocument/2006/relationships/hyperlink" Target="https://diligence.adm.br/wp-content/plugins/download-attachments/includes/download.php?id=4599" TargetMode="External" Id="rId56" /><Relationship Type="http://schemas.openxmlformats.org/officeDocument/2006/relationships/hyperlink" Target="https://lrflideres.com.br/wp-content/plugins/download-attachments/includes/download.php?id=5828" TargetMode="External" Id="rId57" /><Relationship Type="http://schemas.openxmlformats.org/officeDocument/2006/relationships/hyperlink" Target="https://scalzilliaj.com.br/sgc/download.php?file=files/processo_documento/processo_documento09514021082025_1_.pdf&amp;nome=04 - Rela&#231;&#227;o de credores das Recuperandas" TargetMode="External" Id="rId58" /><Relationship Type="http://schemas.openxmlformats.org/officeDocument/2006/relationships/hyperlink" Target="https://credibilita.com.br/wp-content/uploads/2025/09/Relacao-Credores-29.04.2026.pdf" TargetMode="External" Id="rId59" /><Relationship Type="http://schemas.openxmlformats.org/officeDocument/2006/relationships/hyperlink" Target="https://lrflideres.com.br/wp-content/plugins/download-attachments/includes/download.php?id=4023" TargetMode="External" Id="rId60" /><Relationship Type="http://schemas.openxmlformats.org/officeDocument/2006/relationships/hyperlink" Target="https://lrflideres.com.br/wp-content/plugins/download-attachments/includes/download.php?id=6252" TargetMode="External" Id="rId61" /><Relationship Type="http://schemas.openxmlformats.org/officeDocument/2006/relationships/hyperlink" Target="https://stenius.com.br/wp-content/uploads/2026/06/EDITAL-GRUPO-3E.pdf" TargetMode="External" Id="rId62" /><Relationship Type="http://schemas.openxmlformats.org/officeDocument/2006/relationships/hyperlink" Target="https://lrflideres.com.br/wp-content/plugins/download-attachments/includes/download.php?id=4023" TargetMode="External" Id="rId63"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64" /><Relationship Type="http://schemas.openxmlformats.org/officeDocument/2006/relationships/hyperlink" Target="https://lrflideres.com.br/wp-content/plugins/download-attachments/includes/download.php?id=6879" TargetMode="External" Id="rId65" /><Relationship Type="http://schemas.openxmlformats.org/officeDocument/2006/relationships/hyperlink" Target="https://stenius.com.br/wp-content/uploads/2026/06/EDITAL-GRUPO-3E.pdf" TargetMode="External" Id="rId66" /><Relationship Type="http://schemas.openxmlformats.org/officeDocument/2006/relationships/hyperlink" Target="https://ajruiz.com.br/sites/default/files/public/arquivos-processos/2023-11/4_relacao_de_credores_analitica_art._51_iii_da_lre.pdf" TargetMode="External" Id="rId67" /><Relationship Type="http://schemas.openxmlformats.org/officeDocument/2006/relationships/hyperlink" Target="https://marquesadmjudicial.com.br/sgc/download.php?file=files/processo_documento/processo_documento18581929042026_1_.pdf&amp;nome=3&#186; Edital - Rela&#231;&#227;o de Credores e PRJ" TargetMode="External" Id="rId68"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69" /><Relationship Type="http://schemas.openxmlformats.org/officeDocument/2006/relationships/hyperlink" Target="https://lrflideres.com.br/wp-content/plugins/download-attachments/includes/download.php?id=5589" TargetMode="External" Id="rId70" /><Relationship Type="http://schemas.openxmlformats.org/officeDocument/2006/relationships/hyperlink" Target="https://stenius.com.br/wp-content/uploads/2026/07/EDITAL-1-RELACAO-DE-CREDORES-GRUPO-GE.pdf" TargetMode="External" Id="rId71" /><Relationship Type="http://schemas.openxmlformats.org/officeDocument/2006/relationships/hyperlink" Target="https://bbsadvogados.com.br/wp-content/uploads/2025/04/Equipseg-Edital-Relacao-de-Credores-da-Administradora-Judicial-art.-7o2o-da-LRF.pdf" TargetMode="External" Id="rId72" /><Relationship Type="http://schemas.openxmlformats.org/officeDocument/2006/relationships/hyperlink" Target="https://scalzilliaj.com.br/sgc/download.php?file=files/processo_documento/processo_documento09514021082025_1_.pdf&amp;nome=04 - Rela&#231;&#227;o de credores das Recuperandas" TargetMode="External" Id="rId73" /><Relationship Type="http://schemas.openxmlformats.org/officeDocument/2006/relationships/hyperlink" Target="https://scalzilliaj.com.br/sgc/download.php?file=files/processo_documento/processo_documento09514021082025_1_.pdf&amp;nome=04 - Rela&#231;&#227;o de credores das Recuperandas" TargetMode="External" Id="rId74" /><Relationship Type="http://schemas.openxmlformats.org/officeDocument/2006/relationships/hyperlink" Target="https://administradorajudicialgs.com.br/wp-content/uploads/2024/12/relacao-de-credores-da-falida.pdf" TargetMode="External" Id="rId75" /><Relationship Type="http://schemas.openxmlformats.org/officeDocument/2006/relationships/hyperlink" Target="https://lrflideres.com.br/wp-content/plugins/download-attachments/includes/download.php?id=6879" TargetMode="External" Id="rId76" /><Relationship Type="http://schemas.openxmlformats.org/officeDocument/2006/relationships/hyperlink" Target="https://rlg-aj.com.br/wp-content/uploads/2024/11/07.-Rela&#231;&#227;o-de-credores.pdf" TargetMode="External" Id="rId77" /><Relationship Type="http://schemas.openxmlformats.org/officeDocument/2006/relationships/hyperlink" Target="https://credibilita.com.br/wp-content/uploads/2025/09/Relacao-Credores-29.04.2026.pdf" TargetMode="External" Id="rId7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79" /><Relationship Type="http://schemas.openxmlformats.org/officeDocument/2006/relationships/hyperlink" Target="https://ajruiz.com.br/sites/default/files/public/arquivos-processos/2023-11/4_relacao_de_credores_analitica_art._51_iii_da_lre.pdf" TargetMode="External" Id="rId80" /><Relationship Type="http://schemas.openxmlformats.org/officeDocument/2006/relationships/hyperlink" Target="https://marquesadmjudicial.com.br/sgc/download.php?file=files/processo_documento/processo_documento15232121112024_1_.pdf&amp;nome=Rela&#231;&#227;o de Credores" TargetMode="External" Id="rId81" /><Relationship Type="http://schemas.openxmlformats.org/officeDocument/2006/relationships/hyperlink" Target="https://recuperacaojudicial.squarespace.com/s/RJ-Credimoveis-QGC-01082025.pdf" TargetMode="External" Id="rId8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83" /><Relationship Type="http://schemas.openxmlformats.org/officeDocument/2006/relationships/hyperlink" Target="https://diligence.adm.br/wp-content/plugins/download-attachments/includes/download.php?id=4599" TargetMode="External" Id="rId84" /><Relationship Type="http://schemas.openxmlformats.org/officeDocument/2006/relationships/hyperlink" Target="https://inova-aj.com.br/wp-content/uploads/2026/08/1a-Relacao-de-Credores-Real.pdf" TargetMode="External" Id="rId85" /><Relationship Type="http://schemas.openxmlformats.org/officeDocument/2006/relationships/hyperlink" Target="https://stenius.com.br/wp-content/uploads/2026/06/EDITAL-GRUPO-3E.pdf" TargetMode="External" Id="rId86" /><Relationship Type="http://schemas.openxmlformats.org/officeDocument/2006/relationships/hyperlink" Target="https://lrflideres.com.br/wp-content/plugins/download-attachments/includes/download.php?id=4023" TargetMode="External" Id="rId87" /><Relationship Type="http://schemas.openxmlformats.org/officeDocument/2006/relationships/hyperlink" Target="https://rlg-aj.com.br/wp-content/uploads/2024/11/07.-Rela&#231;&#227;o-de-credores.pdf" TargetMode="External" Id="rId88" /><Relationship Type="http://schemas.openxmlformats.org/officeDocument/2006/relationships/hyperlink" Target="https://rlg-aj.com.br/wp-content/uploads/2024/11/07.-Rela&#231;&#227;o-de-credores.pdf" TargetMode="External" Id="rId89" /><Relationship Type="http://schemas.openxmlformats.org/officeDocument/2006/relationships/hyperlink" Target="https://lrflideres.com.br/wp-content/plugins/download-attachments/includes/download.php?id=6879" TargetMode="External" Id="rId90" /><Relationship Type="http://schemas.openxmlformats.org/officeDocument/2006/relationships/hyperlink" Target="https://lrflideres.com.br/wp-content/plugins/download-attachments/includes/download.php?id=6879" TargetMode="External" Id="rId91" /><Relationship Type="http://schemas.openxmlformats.org/officeDocument/2006/relationships/hyperlink" Target="https://scalzilliaj.com.br/sgc/download.php?file=files/processo_documento/processo_documento09514021082025_1_.pdf&amp;nome=04 - Rela&#231;&#227;o de credores das Recuperandas" TargetMode="External" Id="rId92" /><Relationship Type="http://schemas.openxmlformats.org/officeDocument/2006/relationships/hyperlink" Target="https://assistjud.com.br/wp-content/uploads/elementor/forms/65098c80a5824.pdf" TargetMode="External" Id="rId93" /><Relationship Type="http://schemas.openxmlformats.org/officeDocument/2006/relationships/hyperlink" Target="https://ajruiz.com.br/sites/default/files/public/arquivos-processos/2026-06/alto_uruguai_qgc_junho.2026.pdf" TargetMode="External" Id="rId94" /><Relationship Type="http://schemas.openxmlformats.org/officeDocument/2006/relationships/hyperlink" Target="https://scalzilliaj.com.br/sgc/download.php?file=files/processo_documento/processo_documento09514021082025_1_.pdf&amp;nome=04 - Rela&#231;&#227;o de credores das Recuperandas" TargetMode="External" Id="rId9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6" /><Relationship Type="http://schemas.openxmlformats.org/officeDocument/2006/relationships/hyperlink" Target="https://recuperacaojudicial.squarespace.com/s/RJ-Credimoveis-QGC-01082025.pdf" TargetMode="External" Id="rId97" /><Relationship Type="http://schemas.openxmlformats.org/officeDocument/2006/relationships/hyperlink" Target="https://scalzilliaj.com.br/sgc/download.php?file=files/processo_documento/processo_documento09514021082025_1_.pdf&amp;nome=04 - Rela&#231;&#227;o de credores das Recuperandas" TargetMode="External" Id="rId98" /><Relationship Type="http://schemas.openxmlformats.org/officeDocument/2006/relationships/hyperlink" Target="https://lrflideres.com.br/wp-content/plugins/download-attachments/includes/download.php?id=5589" TargetMode="External" Id="rId99" /><Relationship Type="http://schemas.openxmlformats.org/officeDocument/2006/relationships/hyperlink" Target="https://administradorajudicialgs.com.br/wp-content/uploads/2024/12/relacao-de-credores-da-falida.pdf" TargetMode="External" Id="rId100"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01"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02" /><Relationship Type="http://schemas.openxmlformats.org/officeDocument/2006/relationships/hyperlink" Target="https://lrflideres.com.br/wp-content/plugins/download-attachments/includes/download.php?id=5589" TargetMode="External" Id="rId103" /><Relationship Type="http://schemas.openxmlformats.org/officeDocument/2006/relationships/hyperlink" Target="https://rlg-aj.com.br/wp-content/uploads/2024/11/07.-Rela&#231;&#227;o-de-credores.pdf" TargetMode="External" Id="rId104" /><Relationship Type="http://schemas.openxmlformats.org/officeDocument/2006/relationships/hyperlink" Target="https://stenius.com.br/wp-content/uploads/2026/06/EDITAL-GRUPO-3E.pdf" TargetMode="External" Id="rId10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06" /><Relationship Type="http://schemas.openxmlformats.org/officeDocument/2006/relationships/hyperlink" Target="https://credibilita.com.br/wp-content/uploads/2025/09/Relacao-Credores-29.04.2026.pdf" TargetMode="External" Id="rId107" /><Relationship Type="http://schemas.openxmlformats.org/officeDocument/2006/relationships/hyperlink" Target="https://vivanteaj.com.br/wp-content/uploads/2025/02/2a-lista-de-credores-Agro-Safra-e-outros.pdf" TargetMode="External" Id="rId108"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09" /><Relationship Type="http://schemas.openxmlformats.org/officeDocument/2006/relationships/hyperlink" Target="https://scalzilliaj.com.br/sgc/download.php?file=files/processo_documento/processo_documento09514021082025_1_.pdf&amp;nome=04 - Rela&#231;&#227;o de credores das Recuperandas" TargetMode="External" Id="rId110" /><Relationship Type="http://schemas.openxmlformats.org/officeDocument/2006/relationships/hyperlink" Target="https://assistjud.com.br/wp-content/uploads/elementor/forms/65098c80a5824.pdf" TargetMode="External" Id="rId11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1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13" /><Relationship Type="http://schemas.openxmlformats.org/officeDocument/2006/relationships/hyperlink" Target="https://ajruiz.com.br/sites/default/files/public/arquivos-processos/2023-11/4_relacao_de_credores_analitica_art._51_iii_da_lre.pdf" TargetMode="External" Id="rId114" /><Relationship Type="http://schemas.openxmlformats.org/officeDocument/2006/relationships/hyperlink" Target="https://recuperacaojudicial.squarespace.com/s/RJ-Credimoveis-QGC-01082025.pdf" TargetMode="External" Id="rId115" /><Relationship Type="http://schemas.openxmlformats.org/officeDocument/2006/relationships/hyperlink" Target="https://administradorajudicialgs.com.br/wp-content/uploads/2024/12/relacao-de-credores-da-falida.pdf" TargetMode="External" Id="rId116" /><Relationship Type="http://schemas.openxmlformats.org/officeDocument/2006/relationships/hyperlink" Target="https://assistjud.com.br/wp-content/uploads/elementor/forms/65098c80a5824.pdf" TargetMode="External" Id="rId117" /><Relationship Type="http://schemas.openxmlformats.org/officeDocument/2006/relationships/hyperlink" Target="https://cataliseaj.com.br/sgc/download.php?file=files/processo_documento/processo_documento15092204102024_1_.pdf&amp;nome=02. RELA&#199;&#195;O DE CREDORES" TargetMode="External" Id="rId11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19" /><Relationship Type="http://schemas.openxmlformats.org/officeDocument/2006/relationships/hyperlink" Target="https://bugarimecoelho.com.br/ws/media-library/b6b7ea42b9fa2afe30bc728fe00cd5c6/07---edital-do-processamento-da-recuperacao-judicial.pdf" TargetMode="External" Id="rId120" /><Relationship Type="http://schemas.openxmlformats.org/officeDocument/2006/relationships/hyperlink" Target="https://credibilita.com.br/wp-content/uploads/2025/09/Relacao-Credores-29.04.2026.pdf" TargetMode="External" Id="rId121" /><Relationship Type="http://schemas.openxmlformats.org/officeDocument/2006/relationships/hyperlink" Target="https://administradorajudicialgs.com.br/wp-content/uploads/2024/12/relacao-de-credores-da-falida.pdf" TargetMode="External" Id="rId12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23" /><Relationship Type="http://schemas.openxmlformats.org/officeDocument/2006/relationships/hyperlink" Target="https://realbrasil.com.br/wp-content/uploads/2018/06/2_LISTA-DE-CREDORES-DA-RECUPERANDA_ROQUE.pdf" TargetMode="External" Id="rId124" /><Relationship Type="http://schemas.openxmlformats.org/officeDocument/2006/relationships/hyperlink" Target="https://stenius.com.br/wp-content/uploads/2026/06/EDITAL-GRUPO-3E.pdf" TargetMode="External" Id="rId125" /><Relationship Type="http://schemas.openxmlformats.org/officeDocument/2006/relationships/hyperlink" Target="https://marquesadmjudicial.com.br/sgc/download.php?file=files/processo_documento/processo_documento17040729052024_1_.pdf&amp;nome=Rela&#231;&#227;o Nominal de Credores AJ-Sint&#233;tica" TargetMode="External" Id="rId126" /><Relationship Type="http://schemas.openxmlformats.org/officeDocument/2006/relationships/hyperlink" Target="https://ajruiz.com.br/sites/default/files/public/arquivos-processos/2023-11/4_relacao_de_credores_analitica_art._51_iii_da_lre.pdf" TargetMode="External" Id="rId12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28" /><Relationship Type="http://schemas.openxmlformats.org/officeDocument/2006/relationships/hyperlink" Target="https://lrflideres.com.br/wp-content/plugins/download-attachments/includes/download.php?id=6879" TargetMode="External" Id="rId129" /><Relationship Type="http://schemas.openxmlformats.org/officeDocument/2006/relationships/hyperlink" Target="https://assistjud.com.br/wp-content/uploads/elementor/forms/65098c80a5824.pdf" TargetMode="External" Id="rId130" /><Relationship Type="http://schemas.openxmlformats.org/officeDocument/2006/relationships/hyperlink" Target="https://violet-wolf-754008.hostingersite.com/wp-content/uploads/recuperacoes-judiciais/Ebramec/2o-Edital-de-Credores.pdf" TargetMode="External" Id="rId13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32"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3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34" /><Relationship Type="http://schemas.openxmlformats.org/officeDocument/2006/relationships/hyperlink" Target="https://scalzilliaj.com.br/sgc/download.php?file=files/processo_documento/processo_documento09514021082025_1_.pdf&amp;nome=04 - Rela&#231;&#227;o de credores das Recuperandas" TargetMode="External" Id="rId135" /><Relationship Type="http://schemas.openxmlformats.org/officeDocument/2006/relationships/hyperlink" Target="https://stenius.com.br/wp-content/uploads/2026/06/EDITAL-GRUPO-3E.pdf" TargetMode="External" Id="rId136" /><Relationship Type="http://schemas.openxmlformats.org/officeDocument/2006/relationships/hyperlink" Target="https://rlg-aj.com.br/wp-content/uploads/2024/11/07.-Rela&#231;&#227;o-de-credores.pdf" TargetMode="External" Id="rId137" /><Relationship Type="http://schemas.openxmlformats.org/officeDocument/2006/relationships/hyperlink" Target="https://scalzilliaj.com.br/sgc/download.php?file=files/processo_documento/processo_documento09514021082025_1_.pdf&amp;nome=04 - Rela&#231;&#227;o de credores das Recuperandas" TargetMode="External" Id="rId138" /><Relationship Type="http://schemas.openxmlformats.org/officeDocument/2006/relationships/hyperlink" Target="https://marquesadmjudicial.com.br/sgc/download.php?file=files/processo_documento/processo_documento17040729052024_1_.pdf&amp;nome=Rela&#231;&#227;o Nominal de Credores AJ-Sint&#233;tica" TargetMode="External" Id="rId139" /><Relationship Type="http://schemas.openxmlformats.org/officeDocument/2006/relationships/hyperlink" Target="https://stenius.com.br/wp-content/uploads/2026/06/EDITAL-GRUPO-3E.pdf" TargetMode="External" Id="rId14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41" /><Relationship Type="http://schemas.openxmlformats.org/officeDocument/2006/relationships/hyperlink" Target="https://marquesadmjudicial.com.br/sgc/download.php?file=files/processo_documento/processo_documento17040729052024_1_.pdf&amp;nome=Rela&#231;&#227;o Nominal de Credores AJ-Sint&#233;tica" TargetMode="External" Id="rId142" /><Relationship Type="http://schemas.openxmlformats.org/officeDocument/2006/relationships/hyperlink" Target="https://administradorajudicialgs.com.br/wp-content/uploads/2023/08/advogados-sgrott-doc-22-relacao-de-credores-do-administrador-judicial-classe-iii-05-02-14.pdf" TargetMode="External" Id="rId143" /><Relationship Type="http://schemas.openxmlformats.org/officeDocument/2006/relationships/hyperlink" Target="https://scalzilliaj.com.br/sgc/download.php?file=files/processo_documento/processo_documento09514021082025_1_.pdf&amp;nome=04 - Rela&#231;&#227;o de credores das Recuperandas" TargetMode="External" Id="rId144" /><Relationship Type="http://schemas.openxmlformats.org/officeDocument/2006/relationships/hyperlink" Target="https://stenius.com.br/wp-content/uploads/2026/08/1&#176;-EDITAL-GRUPO-TENDAS.pdf" TargetMode="External" Id="rId145" /><Relationship Type="http://schemas.openxmlformats.org/officeDocument/2006/relationships/hyperlink" Target="https://recuperacaojudicial.squarespace.com/s/RJ-Credimoveis-QGC-01082025.pdf" TargetMode="External" Id="rId146" /><Relationship Type="http://schemas.openxmlformats.org/officeDocument/2006/relationships/hyperlink" Target="https://stenius.com.br/wp-content/uploads/2026/08/1&#176;-EDITAL-GRUPO-TENDAS.pdf" TargetMode="External" Id="rId147" /><Relationship Type="http://schemas.openxmlformats.org/officeDocument/2006/relationships/hyperlink" Target="https://ajruiz.com.br/sites/default/files/public/arquivos-processos/2026-06/alto_uruguai_qgc_junho.2026.pdf" TargetMode="External" Id="rId148" /><Relationship Type="http://schemas.openxmlformats.org/officeDocument/2006/relationships/hyperlink" Target="https://cataliseaj.com.br/sgc/download.php?file=files/processo_documento/processo_documento15092204102024_1_.pdf&amp;nome=02. RELA&#199;&#195;O DE CREDORES" TargetMode="External" Id="rId149" /><Relationship Type="http://schemas.openxmlformats.org/officeDocument/2006/relationships/hyperlink" Target="https://marquesadmjudicial.com.br/sgc/download.php?file=files/processo_documento/processo_documento17040729052024_1_.pdf&amp;nome=Rela&#231;&#227;o Nominal de Credores AJ-Sint&#233;tica" TargetMode="External" Id="rId15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51" /><Relationship Type="http://schemas.openxmlformats.org/officeDocument/2006/relationships/hyperlink" Target="https://administradorajudicialgs.com.br/wp-content/uploads/2023/08/advogados-sgrott-doc-22-relacao-de-credores-do-administrador-judicial-classe-iii-05-02-14.pdf" TargetMode="External" Id="rId152" /><Relationship Type="http://schemas.openxmlformats.org/officeDocument/2006/relationships/hyperlink" Target="https://scalzilliaj.com.br/sgc/download.php?file=files/processo_documento/processo_documento09514021082025_1_.pdf&amp;nome=04 - Rela&#231;&#227;o de credores das Recuperandas" TargetMode="External" Id="rId153" /><Relationship Type="http://schemas.openxmlformats.org/officeDocument/2006/relationships/hyperlink" Target="https://inova-aj.com.br/wp-content/uploads/2026/08/1a-Relacao-de-Credores-Real.pdf" TargetMode="External" Id="rId154" /><Relationship Type="http://schemas.openxmlformats.org/officeDocument/2006/relationships/hyperlink" Target="https://vivanteaj.com.br/wp-content/uploads/2024/11/1a-lista-de-credores-JA-Santos.pdf" TargetMode="External" Id="rId15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56" /><Relationship Type="http://schemas.openxmlformats.org/officeDocument/2006/relationships/hyperlink" Target="https://lrflideres.com.br/wp-content/plugins/download-attachments/includes/download.php?id=5589" TargetMode="External" Id="rId157"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58" /><Relationship Type="http://schemas.openxmlformats.org/officeDocument/2006/relationships/hyperlink" Target="https://stenius.com.br/wp-content/uploads/2026/06/EDITAL-GRUPO-3E.pdf" TargetMode="External" Id="rId159" /><Relationship Type="http://schemas.openxmlformats.org/officeDocument/2006/relationships/hyperlink" Target="https://ajruiz.com.br/sites/default/files/public/arquivos-processos/2026-08/qgc_azeplast_julho_2026.pdf" TargetMode="External" Id="rId160" /><Relationship Type="http://schemas.openxmlformats.org/officeDocument/2006/relationships/hyperlink" Target="https://diligence.adm.br/wp-content/uploads/2025/06/Edital-1a-Lista-de-Credores.pdf" TargetMode="External" Id="rId161" /><Relationship Type="http://schemas.openxmlformats.org/officeDocument/2006/relationships/hyperlink" Target="https://administradorajudicialgs.com.br/wp-content/uploads/2024/12/relacao-de-credores-da-falida.pdf" TargetMode="External" Id="rId162"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63" /><Relationship Type="http://schemas.openxmlformats.org/officeDocument/2006/relationships/hyperlink" Target="https://rlg-aj.com.br/wp-content/uploads/2024/11/07.-Rela&#231;&#227;o-de-credores.pdf" TargetMode="External" Id="rId164" /><Relationship Type="http://schemas.openxmlformats.org/officeDocument/2006/relationships/hyperlink" Target="https://administradorajudicialgs.com.br/wp-content/uploads/2023/08/advogados-sgrott-doc-22-relacao-de-credores-do-administrador-judicial-classe-iii-05-02-14.pdf" TargetMode="External" Id="rId165" /><Relationship Type="http://schemas.openxmlformats.org/officeDocument/2006/relationships/hyperlink" Target="https://recuperacaojudicial.squarespace.com/s/RJ-Credimoveis-QGC-01082025.pdf" TargetMode="External" Id="rId166" /><Relationship Type="http://schemas.openxmlformats.org/officeDocument/2006/relationships/hyperlink" Target="https://rlg-aj.com.br/wp-content/uploads/2024/11/07.-Rela&#231;&#227;o-de-credores.pdf" TargetMode="External" Id="rId167" /><Relationship Type="http://schemas.openxmlformats.org/officeDocument/2006/relationships/hyperlink" Target="https://marquesadmjudicial.com.br/sgc/download.php?file=files/processo_documento/processo_documento20014127022025_1_.pdf&amp;nome=Rela&#231;&#227;o Nominal de Credores" TargetMode="External" Id="rId168" /><Relationship Type="http://schemas.openxmlformats.org/officeDocument/2006/relationships/hyperlink" Target="https://stenius.com.br/wp-content/uploads/2026/06/EDITAL-GRUPO-3E.pdf" TargetMode="External" Id="rId169" /><Relationship Type="http://schemas.openxmlformats.org/officeDocument/2006/relationships/hyperlink" Target="https://ajruiz.com.br/sites/default/files/public/arquivos-processos/2023-11/4_relacao_de_credores_analitica_art._51_iii_da_lre.pdf" TargetMode="External" Id="rId170" /><Relationship Type="http://schemas.openxmlformats.org/officeDocument/2006/relationships/hyperlink" Target="https://ajruiz.com.br/sites/default/files/public/arquivos-processos/2023-11/4_relacao_de_credores_analitica_art._51_iii_da_lre.pdf" TargetMode="External" Id="rId171" /><Relationship Type="http://schemas.openxmlformats.org/officeDocument/2006/relationships/hyperlink" Target="https://scalzilliaj.com.br/sgc/download.php?file=files/processo_documento/processo_documento09514021082025_1_.pdf&amp;nome=04 - Rela&#231;&#227;o de credores das Recuperandas" TargetMode="External" Id="rId172" /><Relationship Type="http://schemas.openxmlformats.org/officeDocument/2006/relationships/hyperlink" Target="https://marquesadmjudicial.com.br/sgc/download.php?file=files/processo_documento/processo_documento11370527032026_1_.pdf&amp;nome=Quadro Geral de Credores (QGC) -AJ Anterior" TargetMode="External" Id="rId17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74" /><Relationship Type="http://schemas.openxmlformats.org/officeDocument/2006/relationships/hyperlink" Target="https://administradorajudicialgs.com.br/wp-content/uploads/2024/12/relacao-de-credores-da-falida.pdf" TargetMode="External" Id="rId175" /><Relationship Type="http://schemas.openxmlformats.org/officeDocument/2006/relationships/hyperlink" Target="https://scalzilliaj.com.br/sgc/download.php?file=files/processo_documento/processo_documento09514021082025_1_.pdf&amp;nome=04 - Rela&#231;&#227;o de credores das Recuperandas" TargetMode="External" Id="rId176" /><Relationship Type="http://schemas.openxmlformats.org/officeDocument/2006/relationships/hyperlink" Target="https://rlg-aj.com.br/wp-content/uploads/2024/11/07.-Rela&#231;&#227;o-de-credores.pdf" TargetMode="External" Id="rId177" /><Relationship Type="http://schemas.openxmlformats.org/officeDocument/2006/relationships/hyperlink" Target="https://lrflideres.com.br/wp-content/plugins/download-attachments/includes/download.php?id=6879" TargetMode="External" Id="rId178"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179" /><Relationship Type="http://schemas.openxmlformats.org/officeDocument/2006/relationships/hyperlink" Target="https://marquesadmjudicial.com.br/sgc/download.php?file=files/processo_documento/processo_documento10074612042024_1_.pdf&amp;nome=2&#186; Edital-Rela&#231;&#227;o de Credores AJ e PRJ" TargetMode="External" Id="rId18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81" /><Relationship Type="http://schemas.openxmlformats.org/officeDocument/2006/relationships/hyperlink" Target="https://lrflideres.com.br/wp-content/plugins/download-attachments/includes/download.php?id=5589" TargetMode="External" Id="rId182" /><Relationship Type="http://schemas.openxmlformats.org/officeDocument/2006/relationships/hyperlink" Target="https://recuperacaojudicial.squarespace.com/s/4-RJCTREditalda2ListadeCredoresnovembro2019.pdf" TargetMode="External" Id="rId183" /><Relationship Type="http://schemas.openxmlformats.org/officeDocument/2006/relationships/hyperlink" Target="https://lrflideres.com.br/wp-content/plugins/download-attachments/includes/download.php?id=4023" TargetMode="External" Id="rId18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85" /><Relationship Type="http://schemas.openxmlformats.org/officeDocument/2006/relationships/hyperlink" Target="https://lrflideres.com.br/wp-content/plugins/download-attachments/includes/download.php?id=4023" TargetMode="External" Id="rId186" /><Relationship Type="http://schemas.openxmlformats.org/officeDocument/2006/relationships/hyperlink" Target="https://marquesadmjudicial.com.br/sgc/download.php?file=files/processo_documento/processo_documento10074612042024_1_.pdf&amp;nome=2&#186; Edital-Rela&#231;&#227;o de Credores AJ e PRJ" TargetMode="External" Id="rId187" /><Relationship Type="http://schemas.openxmlformats.org/officeDocument/2006/relationships/hyperlink" Target="https://stenius.com.br/wp-content/uploads/2026/06/EDITAL-GRUPO-3E.pdf" TargetMode="External" Id="rId188" /><Relationship Type="http://schemas.openxmlformats.org/officeDocument/2006/relationships/hyperlink" Target="https://assistjud.com.br/wp-content/uploads/elementor/forms/65098c80a5824.pdf" TargetMode="External" Id="rId189" /><Relationship Type="http://schemas.openxmlformats.org/officeDocument/2006/relationships/hyperlink" Target="https://ricardobiancardi.com.br/wp-content/uploads/2024/12/Edital-1-relacao-de-credores-pub.-02.12.24-.pdf" TargetMode="External" Id="rId19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91" /><Relationship Type="http://schemas.openxmlformats.org/officeDocument/2006/relationships/hyperlink" Target="https://ricardobiancardi.com.br/wp-content/uploads/2024/12/Edital-1-relacao-de-credores-pub.-02.12.24-.pdf" TargetMode="External" Id="rId192" /><Relationship Type="http://schemas.openxmlformats.org/officeDocument/2006/relationships/hyperlink" Target="https://diligence.adm.br/wp-content/plugins/download-attachments/includes/download.php?id=4599" TargetMode="External" Id="rId193" /><Relationship Type="http://schemas.openxmlformats.org/officeDocument/2006/relationships/hyperlink" Target="https://ajruiz.com.br/sites/default/files/public/arquivos-processos/2026-01/safrasul_relacao_de_credores_recuperanda.pdf" TargetMode="External" Id="rId194" /><Relationship Type="http://schemas.openxmlformats.org/officeDocument/2006/relationships/hyperlink" Target="https://administradorajudicialgs.com.br/wp-content/uploads/2024/12/relacao-de-credores-da-falida.pdf" TargetMode="External" Id="rId195" /><Relationship Type="http://schemas.openxmlformats.org/officeDocument/2006/relationships/hyperlink" Target="https://marquesadmjudicial.com.br/sgc/download.php?file=files/processo_documento/processo_documento20014127022025_1_.pdf&amp;nome=Rela&#231;&#227;o Nominal de Credores" TargetMode="External" Id="rId196" /><Relationship Type="http://schemas.openxmlformats.org/officeDocument/2006/relationships/hyperlink" Target="https://cataliseaj.com.br/sgc/download.php?file=files/processo_documento/processo_documento15092204102024_1_.pdf&amp;nome=02. RELA&#199;&#195;O DE CREDORES" TargetMode="External" Id="rId197" /><Relationship Type="http://schemas.openxmlformats.org/officeDocument/2006/relationships/hyperlink" Target="https://ajruiz.com.br/sites/default/files/public/arquivos-processos/2026-08/qgc_azeplast_julho_2026.pdf" TargetMode="External" Id="rId198"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199" /><Relationship Type="http://schemas.openxmlformats.org/officeDocument/2006/relationships/hyperlink" Target="https://recuperacaojudicial.squarespace.com/s/RJ-Credimoveis-QGC-01082025.pdf" TargetMode="External" Id="rId200"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01" /><Relationship Type="http://schemas.openxmlformats.org/officeDocument/2006/relationships/hyperlink" Target="https://credibilita.com.br/wp-content/uploads/2025/09/Relacao-Credores-29.04.2026.pdf" TargetMode="External" Id="rId202" /><Relationship Type="http://schemas.openxmlformats.org/officeDocument/2006/relationships/hyperlink" Target="https://stenius.com.br/wp-content/uploads/2026/06/EDITAL-GRUPO-3E.pdf" TargetMode="External" Id="rId203" /><Relationship Type="http://schemas.openxmlformats.org/officeDocument/2006/relationships/hyperlink" Target="https://recuperacaojudicial.squarespace.com/s/RJ-Credimoveis-QGC-01082025.pdf" TargetMode="External" Id="rId204" /><Relationship Type="http://schemas.openxmlformats.org/officeDocument/2006/relationships/hyperlink" Target="https://marquesadmjudicial.com.br/sgc/download.php?file=files/processo_documento/processo_documento17040729052024_1_.pdf&amp;nome=Rela&#231;&#227;o Nominal de Credores AJ-Sint&#233;tica" TargetMode="External" Id="rId205" /><Relationship Type="http://schemas.openxmlformats.org/officeDocument/2006/relationships/hyperlink" Target="https://scalzilliaj.com.br/sgc/download.php?file=files/processo_documento/processo_documento09514021082025_1_.pdf&amp;nome=04 - Rela&#231;&#227;o de credores das Recuperandas" TargetMode="External" Id="rId20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07" /><Relationship Type="http://schemas.openxmlformats.org/officeDocument/2006/relationships/hyperlink" Target="https://recuperacaojudicial.squarespace.com/s/RJ-Credimoveis-QGC-01082025.pdf" TargetMode="External" Id="rId208" /><Relationship Type="http://schemas.openxmlformats.org/officeDocument/2006/relationships/hyperlink" Target="https://recuperacaojudicial.squarespace.com/s/RJ-Credimoveis-QGC-01082025.pdf" TargetMode="External" Id="rId209" /><Relationship Type="http://schemas.openxmlformats.org/officeDocument/2006/relationships/hyperlink" Target="https://marquesadmjudicial.com.br/sgc/download.php?file=files/processo_documento/processo_documento20014127022025_1_.pdf&amp;nome=Rela&#231;&#227;o Nominal de Credores" TargetMode="External" Id="rId210" /><Relationship Type="http://schemas.openxmlformats.org/officeDocument/2006/relationships/hyperlink" Target="https://lrflideres.com.br/wp-content/plugins/download-attachments/includes/download.php?id=4023" TargetMode="External" Id="rId211"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212" /><Relationship Type="http://schemas.openxmlformats.org/officeDocument/2006/relationships/hyperlink" Target="https://scalzilliaj.com.br/sgc/download.php?file=files/processo_documento/processo_documento15542620022025_1_.pdf&amp;nome=11 - Rela&#231;&#227;o de credores - art. 7&#186;, &#167;2&#186;, da LREF" TargetMode="External" Id="rId213" /><Relationship Type="http://schemas.openxmlformats.org/officeDocument/2006/relationships/hyperlink" Target="https://recuperacaojudicial.squarespace.com/s/RJ-Credimoveis-QGC-01082025.pdf" TargetMode="External" Id="rId214" /><Relationship Type="http://schemas.openxmlformats.org/officeDocument/2006/relationships/hyperlink" Target="https://ajruiz.com.br/sites/default/files/public/arquivos-processos/2023-11/4_relacao_de_credores_analitica_art._51_iii_da_lre.pdf" TargetMode="External" Id="rId215" /><Relationship Type="http://schemas.openxmlformats.org/officeDocument/2006/relationships/hyperlink" Target="https://stenius.com.br/wp-content/uploads/2026/06/EDITAL-GRUPO-3E.pdf" TargetMode="External" Id="rId216"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17" /><Relationship Type="http://schemas.openxmlformats.org/officeDocument/2006/relationships/hyperlink" Target="https://lrflideres.com.br/wp-content/plugins/download-attachments/includes/download.php?id=4023" TargetMode="External" Id="rId21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19" /><Relationship Type="http://schemas.openxmlformats.org/officeDocument/2006/relationships/hyperlink" Target="https://scalzilliaj.com.br/sgc/download.php?file=files/processo_documento/processo_documento09514021082025_1_.pdf&amp;nome=04 - Rela&#231;&#227;o de credores das Recuperandas" TargetMode="External" Id="rId220" /><Relationship Type="http://schemas.openxmlformats.org/officeDocument/2006/relationships/hyperlink" Target="https://stenius.com.br/wp-content/uploads/2026/06/EDITAL-GRUPO-3E.pdf" TargetMode="External" Id="rId22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22"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22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24" /><Relationship Type="http://schemas.openxmlformats.org/officeDocument/2006/relationships/hyperlink" Target="https://lrflideres.com.br/wp-content/plugins/download-attachments/includes/download.php?id=5589" TargetMode="External" Id="rId225" /><Relationship Type="http://schemas.openxmlformats.org/officeDocument/2006/relationships/hyperlink" Target="https://recuperacaojudicial.squarespace.com/s/RJ-Credimoveis-QGC-01082025.pdf" TargetMode="External" Id="rId226" /><Relationship Type="http://schemas.openxmlformats.org/officeDocument/2006/relationships/hyperlink" Target="https://lrflideres.com.br/wp-content/plugins/download-attachments/includes/download.php?id=4023" TargetMode="External" Id="rId227" /><Relationship Type="http://schemas.openxmlformats.org/officeDocument/2006/relationships/hyperlink" Target="https://scalzilliaj.com.br/sgc/download.php?file=files/processo_documento/processo_documento09514021082025_1_.pdf&amp;nome=04 - Rela&#231;&#227;o de credores das Recuperandas" TargetMode="External" Id="rId228" /><Relationship Type="http://schemas.openxmlformats.org/officeDocument/2006/relationships/hyperlink" Target="https://realbrasil.com.br/wp-content/uploads/2018/06/2_LISTA-DE-CREDORES-DA-RECUPERANDA_ROQUE.pdf" TargetMode="External" Id="rId22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0" /><Relationship Type="http://schemas.openxmlformats.org/officeDocument/2006/relationships/hyperlink" Target="https://administradorajudicialgs.com.br/wp-content/uploads/2024/12/relacao-de-credores-da-falida.pdf" TargetMode="External" Id="rId231" /><Relationship Type="http://schemas.openxmlformats.org/officeDocument/2006/relationships/hyperlink" Target="https://credibilita.com.br/wp-content/uploads/2025/09/Relacao-Credores-29.04.2026.pdf" TargetMode="External" Id="rId232" /><Relationship Type="http://schemas.openxmlformats.org/officeDocument/2006/relationships/hyperlink" Target="https://credibilita.com.br/wp-content/uploads/2025/09/Relacao-Credores-29.04.2026.pdf" TargetMode="External" Id="rId23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4" /><Relationship Type="http://schemas.openxmlformats.org/officeDocument/2006/relationships/hyperlink" Target="https://lrflideres.com.br/wp-content/uploads/2022/08/4.-EDITAL-2a-LISTA-DE-CREDORES.pdf" TargetMode="External" Id="rId235" /><Relationship Type="http://schemas.openxmlformats.org/officeDocument/2006/relationships/hyperlink" Target="https://diligence.adm.br/wp-content/plugins/download-attachments/includes/download.php?id=4579" TargetMode="External" Id="rId236" /><Relationship Type="http://schemas.openxmlformats.org/officeDocument/2006/relationships/hyperlink" Target="https://recuperacaojudicial.squarespace.com/s/RJ-Credimoveis-QGC-01082025.pdf" TargetMode="External" Id="rId237" /><Relationship Type="http://schemas.openxmlformats.org/officeDocument/2006/relationships/hyperlink" Target="https://stenius.com.br/wp-content/uploads/2026/06/EDITAL-GRUPO-3E.pdf" TargetMode="External" Id="rId238" /><Relationship Type="http://schemas.openxmlformats.org/officeDocument/2006/relationships/hyperlink" Target="https://violet-wolf-754008.hostingersite.com/wp-content/uploads/recuperacoes-judiciais/ever-ton/1&#186;-edital.pdf" TargetMode="External" Id="rId239"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240" /><Relationship Type="http://schemas.openxmlformats.org/officeDocument/2006/relationships/hyperlink" Target="https://lrflideres.com.br/wp-content/plugins/download-attachments/includes/download.php?id=6252" TargetMode="External" Id="rId241" /><Relationship Type="http://schemas.openxmlformats.org/officeDocument/2006/relationships/hyperlink" Target="https://administradorajudicialgs.com.br/wp-content/uploads/2023/08/advogados-sgrott-doc-22-relacao-de-credores-do-administrador-judicial-classe-iii-05-02-14.pdf" TargetMode="External" Id="rId242" /><Relationship Type="http://schemas.openxmlformats.org/officeDocument/2006/relationships/hyperlink" Target="https://scalzilliaj.com.br/sgc/download.php?file=files/processo_documento/processo_documento09514021082025_1_.pdf&amp;nome=04 - Rela&#231;&#227;o de credores das Recuperandas" TargetMode="External" Id="rId243" /><Relationship Type="http://schemas.openxmlformats.org/officeDocument/2006/relationships/hyperlink" Target="https://lrflideres.com.br/wp-content/plugins/download-attachments/includes/download.php?id=4023" TargetMode="External" Id="rId24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4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46" /><Relationship Type="http://schemas.openxmlformats.org/officeDocument/2006/relationships/hyperlink" Target="https://marquesadmjudicial.com.br/sgc/download.php?file=files/processo_documento/processo_documento20014127022025_1_.pdf&amp;nome=Rela&#231;&#227;o Nominal de Credores" TargetMode="External" Id="rId247" /><Relationship Type="http://schemas.openxmlformats.org/officeDocument/2006/relationships/hyperlink" Target="https://ajruiz.com.br/sites/default/files/public/arquivos-processos/2026-01/safrasul_relacao_de_credores_recuperanda.pdf" TargetMode="External" Id="rId248" /><Relationship Type="http://schemas.openxmlformats.org/officeDocument/2006/relationships/hyperlink" Target="https://lrflideres.com.br/wp-content/uploads/2022/08/4.-EDITAL-2a-LISTA-DE-CREDORES.pdf" TargetMode="External" Id="rId249" /><Relationship Type="http://schemas.openxmlformats.org/officeDocument/2006/relationships/hyperlink" Target="https://assistjud.com.br/wp-content/uploads/elementor/forms/65098c80a5824.pdf" TargetMode="External" Id="rId250" /><Relationship Type="http://schemas.openxmlformats.org/officeDocument/2006/relationships/hyperlink" Target="https://credibilita.com.br/wp-content/uploads/2025/09/Relacao-Credores-29.04.2026.pdf" TargetMode="External" Id="rId251" /><Relationship Type="http://schemas.openxmlformats.org/officeDocument/2006/relationships/hyperlink" Target="https://marquesadmjudicial.com.br/sgc/download.php?file=files/processo_documento/processo_documento20014127022025_1_.pdf&amp;nome=Rela&#231;&#227;o Nominal de Credores" TargetMode="External" Id="rId252" /><Relationship Type="http://schemas.openxmlformats.org/officeDocument/2006/relationships/hyperlink" Target="https://recuperacaojudicial.squarespace.com/s/RJ-Grupo-Arnon-de-Melo-Lista-de-Credores-Consolidada-abril-2022.pdf" TargetMode="External" Id="rId253"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254" /><Relationship Type="http://schemas.openxmlformats.org/officeDocument/2006/relationships/hyperlink" Target="https://administradorajudicialgs.com.br/wp-content/uploads/2023/08/advogados-sgrott-doc-22-relacao-de-credores-do-administrador-judicial-classe-iii-05-02-14.pdf" TargetMode="External" Id="rId255" /><Relationship Type="http://schemas.openxmlformats.org/officeDocument/2006/relationships/hyperlink" Target="https://cataliseaj.com.br/sgc/download.php?file=files/processo_documento/processo_documento15092204102024_1_.pdf&amp;nome=02. RELA&#199;&#195;O DE CREDORES" TargetMode="External" Id="rId256" /><Relationship Type="http://schemas.openxmlformats.org/officeDocument/2006/relationships/hyperlink" Target="https://inova-aj.com.br/wp-content/uploads/2026/08/1a-Relacao-de-Credores-Real.pdf" TargetMode="External" Id="rId257" /><Relationship Type="http://schemas.openxmlformats.org/officeDocument/2006/relationships/hyperlink" Target="https://ajruiz.com.br/sites/default/files/public/arquivos-processos/2024-04/relacao_de_credores_recuperanda_1.pdf" TargetMode="External" Id="rId258" /><Relationship Type="http://schemas.openxmlformats.org/officeDocument/2006/relationships/hyperlink" Target="https://credibilita.com.br/wp-content/uploads/2025/09/Relacao-Credores-29.04.2026.pdf" TargetMode="External" Id="rId259"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260" /><Relationship Type="http://schemas.openxmlformats.org/officeDocument/2006/relationships/hyperlink" Target="http://bernardobicalho.com.br/login/app/documents/Rela%C3%A7%C3%A3o%20de%20Credores/6.%20RVC-%20Nutricium%20-%20simplificada.pdf" TargetMode="External" Id="rId261" /><Relationship Type="http://schemas.openxmlformats.org/officeDocument/2006/relationships/hyperlink" Target="https://lrflideres.com.br/wp-content/plugins/download-attachments/includes/download.php?id=4023" TargetMode="External" Id="rId262" /><Relationship Type="http://schemas.openxmlformats.org/officeDocument/2006/relationships/hyperlink" Target="https://scalzilliaj.com.br/sgc/download.php?file=files/processo_documento/processo_documento09514021082025_1_.pdf&amp;nome=04 - Rela&#231;&#227;o de credores das Recuperandas" TargetMode="External" Id="rId263" /><Relationship Type="http://schemas.openxmlformats.org/officeDocument/2006/relationships/hyperlink" Target="https://stenius.com.br/wp-content/uploads/2026/06/EDITAL-GRUPO-3E.pdf" TargetMode="External" Id="rId264" /><Relationship Type="http://schemas.openxmlformats.org/officeDocument/2006/relationships/hyperlink" Target="https://recuperacaojudicial.squarespace.com/s/RJ-Grupo-Arnon-de-Melo-Lista-de-Credores-Consolidada-abril-2022.pdf" TargetMode="External" Id="rId265" /><Relationship Type="http://schemas.openxmlformats.org/officeDocument/2006/relationships/hyperlink" Target="https://administradorajudicialgs.com.br/wp-content/uploads/2024/12/relacao-de-credores-da-falida.pdf" TargetMode="External" Id="rId266" /><Relationship Type="http://schemas.openxmlformats.org/officeDocument/2006/relationships/hyperlink" Target="https://credibilita.com.br/wp-content/uploads/2025/09/Relacao-Credores-29.04.2026.pdf" TargetMode="External" Id="rId267" /><Relationship Type="http://schemas.openxmlformats.org/officeDocument/2006/relationships/hyperlink" Target="https://lrflideres.com.br/wp-content/plugins/download-attachments/includes/download.php?id=4023" TargetMode="External" Id="rId268" /><Relationship Type="http://schemas.openxmlformats.org/officeDocument/2006/relationships/hyperlink" Target="https://bugarimecoelho.com.br/ws/media-library/b6b7ea42b9fa2afe30bc728fe00cd5c6/07---edital-do-processamento-da-recuperacao-judicial.pdf" TargetMode="External" Id="rId269" /><Relationship Type="http://schemas.openxmlformats.org/officeDocument/2006/relationships/hyperlink" Target="https://lrflideres.com.br/wp-content/plugins/download-attachments/includes/download.php?id=4023" TargetMode="External" Id="rId270" /><Relationship Type="http://schemas.openxmlformats.org/officeDocument/2006/relationships/hyperlink" Target="https://stenius.com.br/wp-content/uploads/2026/06/EDITAL-GRUPO-3E.pdf" TargetMode="External" Id="rId271" /><Relationship Type="http://schemas.openxmlformats.org/officeDocument/2006/relationships/hyperlink" Target="https://credibilita.com.br/wp-content/uploads/2025/09/Relacao-Credores-29.04.2026.pdf" TargetMode="External" Id="rId272" /><Relationship Type="http://schemas.openxmlformats.org/officeDocument/2006/relationships/hyperlink" Target="https://marquesadmjudicial.com.br/sgc/download.php?file=files/processo_documento/processo_documento17040729052024_1_.pdf&amp;nome=Rela&#231;&#227;o Nominal de Credores AJ-Sint&#233;tica" TargetMode="External" Id="rId273" /><Relationship Type="http://schemas.openxmlformats.org/officeDocument/2006/relationships/hyperlink" Target="https://ajruiz.com.br/sites/default/files/public/arquivos-processos/2026-01/safrasul_relacao_de_credores_recuperanda.pdf" TargetMode="External" Id="rId274" /><Relationship Type="http://schemas.openxmlformats.org/officeDocument/2006/relationships/hyperlink" Target="https://scalzilliaj.com.br/sgc/download.php?file=files/processo_documento/processo_documento09514021082025_1_.pdf&amp;nome=04 - Rela&#231;&#227;o de credores das Recuperandas" TargetMode="External" Id="rId275" /><Relationship Type="http://schemas.openxmlformats.org/officeDocument/2006/relationships/hyperlink" Target="https://realbrasil.com.br/wp-content/uploads/2018/06/2_LISTA-DE-CREDORES-DA-RECUPERANDA_ROQUE.pdf" TargetMode="External" Id="rId276" /><Relationship Type="http://schemas.openxmlformats.org/officeDocument/2006/relationships/hyperlink" Target="https://recuperacaojudicial.squarespace.com/s/RJ-Credimoveis-QGC-01082025.pdf" TargetMode="External" Id="rId277" /><Relationship Type="http://schemas.openxmlformats.org/officeDocument/2006/relationships/hyperlink" Target="https://recuperacaojudicial.squarespace.com/s/RJ-Credimoveis-QGC-01082025.pdf" TargetMode="External" Id="rId278" /><Relationship Type="http://schemas.openxmlformats.org/officeDocument/2006/relationships/hyperlink" Target="https://lrflideres.com.br/wp-content/plugins/download-attachments/includes/download.php?id=6879" TargetMode="External" Id="rId279" /><Relationship Type="http://schemas.openxmlformats.org/officeDocument/2006/relationships/hyperlink" Target="https://stenius.com.br/wp-content/uploads/2026/06/EDITAL-GRUPO-3E.pdf" TargetMode="External" Id="rId280" /><Relationship Type="http://schemas.openxmlformats.org/officeDocument/2006/relationships/hyperlink" Target="https://rlg-aj.com.br/wp-content/uploads/2024/11/07.-Rela&#231;&#227;o-de-credores.pdf" TargetMode="External" Id="rId281" /><Relationship Type="http://schemas.openxmlformats.org/officeDocument/2006/relationships/hyperlink" Target="https://scalzilliaj.com.br/sgc/download.php?file=files/processo_documento/processo_documento09514021082025_1_.pdf&amp;nome=04 - Rela&#231;&#227;o de credores das Recuperandas" TargetMode="External" Id="rId282"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83" /><Relationship Type="http://schemas.openxmlformats.org/officeDocument/2006/relationships/hyperlink" Target="https://credibilita.com.br/wp-content/uploads/2025/09/Relacao-Credores-29.04.2026.pdf" TargetMode="External" Id="rId284" /><Relationship Type="http://schemas.openxmlformats.org/officeDocument/2006/relationships/hyperlink" Target="https://marquesadmjudicial.com.br/sgc/download.php?file=files/processo_documento/processo_documento19270817122025_1_.pdf&amp;nome=Rela&#231;&#227;o Nominal de Credores AJ" TargetMode="External" Id="rId285"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286" /><Relationship Type="http://schemas.openxmlformats.org/officeDocument/2006/relationships/hyperlink" Target="https://credibilita.com.br/wp-content/uploads/2025/09/Relacao-Credores-29.04.2026.pdf" TargetMode="External" Id="rId287" /><Relationship Type="http://schemas.openxmlformats.org/officeDocument/2006/relationships/hyperlink" Target="https://scalzilliaj.com.br/sgc/download.php?file=files/processo_documento/processo_documento15542620022025_1_.pdf&amp;nome=11 - Rela&#231;&#227;o de credores - art. 7&#186;, &#167;2&#186;, da LREF" TargetMode="External" Id="rId288" /><Relationship Type="http://schemas.openxmlformats.org/officeDocument/2006/relationships/hyperlink" Target="https://lrflideres.com.br/wp-content/plugins/download-attachments/includes/download.php?id=4023" TargetMode="External" Id="rId289" /><Relationship Type="http://schemas.openxmlformats.org/officeDocument/2006/relationships/hyperlink" Target="https://realbrasil.com.br/wp-content/uploads/2019/02/LISTA-DE-CREDORES-DA-RECUPERANDA.pdf" TargetMode="External" Id="rId290" /><Relationship Type="http://schemas.openxmlformats.org/officeDocument/2006/relationships/hyperlink" Target="https://lrflideres.com.br/wp-content/plugins/download-attachments/includes/download.php?id=6273" TargetMode="External" Id="rId29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92" /><Relationship Type="http://schemas.openxmlformats.org/officeDocument/2006/relationships/hyperlink" Target="https://lrflideres.com.br/wp-content/plugins/download-attachments/includes/download.php?id=4023" TargetMode="External" Id="rId293" /><Relationship Type="http://schemas.openxmlformats.org/officeDocument/2006/relationships/hyperlink" Target="https://stenius.com.br/wp-content/uploads/2026/06/EDITAL-GRUPO-3E.pdf" TargetMode="External" Id="rId294"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295" /><Relationship Type="http://schemas.openxmlformats.org/officeDocument/2006/relationships/hyperlink" Target="https://marquesadmjudicial.com.br/sgc/download.php?file=files/processo_documento/processo_documento17040729052024_1_.pdf&amp;nome=Rela&#231;&#227;o Nominal de Credores AJ-Sint&#233;tica" TargetMode="External" Id="rId296" /><Relationship Type="http://schemas.openxmlformats.org/officeDocument/2006/relationships/hyperlink" Target="https://administradorajudicialgs.com.br/wp-content/uploads/2023/08/doc-06-relacao-credores-do-administrador-judicial-10-02-2015.pdf" TargetMode="External" Id="rId297" /><Relationship Type="http://schemas.openxmlformats.org/officeDocument/2006/relationships/hyperlink" Target="https://lrflideres.com.br/wp-content/plugins/download-attachments/includes/download.php?id=5001" TargetMode="External" Id="rId298" /><Relationship Type="http://schemas.openxmlformats.org/officeDocument/2006/relationships/hyperlink" Target="https://recuperacaojudicial.squarespace.com/s/RJ-Credimoveis-QGC-01082025.pdf" TargetMode="External" Id="rId299" /><Relationship Type="http://schemas.openxmlformats.org/officeDocument/2006/relationships/hyperlink" Target="https://recuperacaojudicial.squarespace.com/s/RJ-Credimoveis-QGC-01082025.pdf" TargetMode="External" Id="rId30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301" /><Relationship Type="http://schemas.openxmlformats.org/officeDocument/2006/relationships/hyperlink" Target="https://marquesadmjudicial.com.br/sgc/download.php?file=files/processo_documento/processo_documento17040729052024_1_.pdf&amp;nome=Rela&#231;&#227;o Nominal de Credores AJ-Sint&#233;tica" TargetMode="External" Id="rId302" /><Relationship Type="http://schemas.openxmlformats.org/officeDocument/2006/relationships/hyperlink" Target="http://recuperacaojudicial.squarespace.com/s/LISTA-DE-CREDORES-CONSOLIDADA-ATE-04102024.pdf" TargetMode="External" Id="rId303" /><Relationship Type="http://schemas.openxmlformats.org/officeDocument/2006/relationships/hyperlink" Target="https://scalzilliaj.com.br/sgc/download.php?file=files/processo_documento/processo_documento09514021082025_1_.pdf&amp;nome=04 - Rela&#231;&#227;o de credores das Recuperandas" TargetMode="External" Id="rId304" /><Relationship Type="http://schemas.openxmlformats.org/officeDocument/2006/relationships/hyperlink" Target="https://stenius.com.br/wp-content/uploads/2026/06/EDITAL-GRUPO-3E.pdf" TargetMode="External" Id="rId305" /><Relationship Type="http://schemas.openxmlformats.org/officeDocument/2006/relationships/hyperlink" Target="https://scalzilliaj.com.br/sgc/download.php?file=files/processo_documento/processo_documento15542620022025_1_.pdf&amp;nome=11 - Rela&#231;&#227;o de credores - art. 7&#186;, &#167;2&#186;, da LREF" TargetMode="External" Id="rId306" /><Relationship Type="http://schemas.openxmlformats.org/officeDocument/2006/relationships/hyperlink" Target="https://administradorajudicialgs.com.br/wp-content/uploads/2024/12/relacao-de-credores-da-falida.pdf" TargetMode="External" Id="rId307" /><Relationship Type="http://schemas.openxmlformats.org/officeDocument/2006/relationships/hyperlink" Target="https://recuperacaojudicial.squarespace.com/s/RJ-Credimoveis-QGC-01082025.pdf" TargetMode="External" Id="rId308" /><Relationship Type="http://schemas.openxmlformats.org/officeDocument/2006/relationships/hyperlink" Target="https://rlg-aj.com.br/wp-content/uploads/2024/11/07.-Rela&#231;&#227;o-de-credores.pdf" TargetMode="External" Id="rId309" /><Relationship Type="http://schemas.openxmlformats.org/officeDocument/2006/relationships/hyperlink" Target="https://scalzilliaj.com.br/sgc/download.php?file=files/processo_documento/processo_documento09514021082025_1_.pdf&amp;nome=04 - Rela&#231;&#227;o de credores das Recuperandas" TargetMode="External" Id="rId310" /><Relationship Type="http://schemas.openxmlformats.org/officeDocument/2006/relationships/hyperlink" Target="https://lrflideres.com.br/wp-content/plugins/download-attachments/includes/download.php?id=6051" TargetMode="External" Id="rId311" /><Relationship Type="http://schemas.openxmlformats.org/officeDocument/2006/relationships/hyperlink" Target="https://ajruiz.com.br/sites/default/files/public/arquivos-processos/2024-04/relacao_de_credores_recuperanda_1.pdf" TargetMode="External" Id="rId312" /><Relationship Type="http://schemas.openxmlformats.org/officeDocument/2006/relationships/hyperlink" Target="https://lrflideres.com.br/wp-content/plugins/download-attachments/includes/download.php?id=6879" TargetMode="External" Id="rId313" /><Relationship Type="http://schemas.openxmlformats.org/officeDocument/2006/relationships/hyperlink" Target="https://scalzilliaj.com.br/sgc/download.php?file=files/processo_documento/processo_documento09514021082025_1_.pdf&amp;nome=04 - Rela&#231;&#227;o de credores das Recuperandas" TargetMode="External" Id="rId314" /><Relationship Type="http://schemas.openxmlformats.org/officeDocument/2006/relationships/hyperlink" Target="https://lrflideres.com.br/wp-content/plugins/download-attachments/includes/download.php?id=4023" TargetMode="External" Id="rId31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16" /><Relationship Type="http://schemas.openxmlformats.org/officeDocument/2006/relationships/hyperlink" Target="https://administradorajudicialgs.com.br/wp-content/uploads/2024/12/relacao-de-credores-da-falida.pdf" TargetMode="External" Id="rId317" /><Relationship Type="http://schemas.openxmlformats.org/officeDocument/2006/relationships/hyperlink" Target="https://scalzilliaj.com.br/sgc/download.php?file=files/processo_documento/processo_documento09514021082025_1_.pdf&amp;nome=04 - Rela&#231;&#227;o de credores das Recuperandas" TargetMode="External" Id="rId318" /><Relationship Type="http://schemas.openxmlformats.org/officeDocument/2006/relationships/hyperlink" Target="https://administradorajudicialgs.com.br/wp-content/uploads/2024/12/relacao-de-credores-da-falida.pdf" TargetMode="External" Id="rId319" /><Relationship Type="http://schemas.openxmlformats.org/officeDocument/2006/relationships/hyperlink" Target="https://administradorajudicialgs.com.br/wp-content/uploads/2024/12/relacao-de-credores-da-falida.pdf" TargetMode="External" Id="rId320" /><Relationship Type="http://schemas.openxmlformats.org/officeDocument/2006/relationships/hyperlink" Target="https://scalzilliaj.com.br/sgc/download.php?file=files/processo_documento/processo_documento09514021082025_1_.pdf&amp;nome=04 - Rela&#231;&#227;o de credores das Recuperandas" TargetMode="External" Id="rId321" /><Relationship Type="http://schemas.openxmlformats.org/officeDocument/2006/relationships/hyperlink" Target="https://ajruiz.com.br/sites/default/files/public/arquivos-processos/2024-04/relacao_de_credores_recuperanda_1.pdf" TargetMode="External" Id="rId322" /><Relationship Type="http://schemas.openxmlformats.org/officeDocument/2006/relationships/hyperlink" Target="https://recuperacaojudicial.squarespace.com/s/RJ-Grupo-Arnon-de-Melo-Lista-de-Credores-Consolidada-abril-2022.pdf" TargetMode="External" Id="rId323" /><Relationship Type="http://schemas.openxmlformats.org/officeDocument/2006/relationships/hyperlink" Target="https://marquesadmjudicial.com.br/sgc/download.php?file=files/processo_documento/processo_documento17040729052024_1_.pdf&amp;nome=Rela&#231;&#227;o Nominal de Credores AJ-Sint&#233;tica" TargetMode="External" Id="rId324" /><Relationship Type="http://schemas.openxmlformats.org/officeDocument/2006/relationships/hyperlink" Target="https://recuperacaojudicial.squarespace.com/s/RJ-Credimoveis-QGC-01082025.pdf" TargetMode="External" Id="rId325" /><Relationship Type="http://schemas.openxmlformats.org/officeDocument/2006/relationships/hyperlink" Target="https://recuperacaojudicial.squarespace.com/s/RJ-Credimoveis-QGC-01082025.pdf" TargetMode="External" Id="rId326"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327" /><Relationship Type="http://schemas.openxmlformats.org/officeDocument/2006/relationships/hyperlink" Target="https://ajruiz.com.br/sites/default/files/public/arquivos-processos/2023-11/4_relacao_de_credores_analitica_art._51_iii_da_lre.pdf" TargetMode="External" Id="rId328" /><Relationship Type="http://schemas.openxmlformats.org/officeDocument/2006/relationships/hyperlink" Target="https://administradorajudicialgs.com.br/wp-content/uploads/2024/12/relacao-de-credores-da-falida.pdf" TargetMode="External" Id="rId329" /><Relationship Type="http://schemas.openxmlformats.org/officeDocument/2006/relationships/hyperlink" Target="https://administradorajudicialgs.com.br/wp-content/uploads/2024/12/relacao-de-credores-da-falida.pdf" TargetMode="External" Id="rId330" /><Relationship Type="http://schemas.openxmlformats.org/officeDocument/2006/relationships/hyperlink" Target="https://administradorajudicialgs.com.br/wp-content/uploads/2024/12/relacao-de-credores-da-falida.pdf" TargetMode="External" Id="rId33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32" /><Relationship Type="http://schemas.openxmlformats.org/officeDocument/2006/relationships/hyperlink" Target="https://marquesadmjudicial.com.br/sgc/download.php?file=files/processo_documento/processo_documento17040729052024_1_.pdf&amp;nome=Rela&#231;&#227;o Nominal de Credores AJ-Sint&#233;tica" TargetMode="External" Id="rId333" /><Relationship Type="http://schemas.openxmlformats.org/officeDocument/2006/relationships/hyperlink" Target="https://diligence.adm.br/wp-content/plugins/download-attachments/includes/download.php?id=4599" TargetMode="External" Id="rId334" /><Relationship Type="http://schemas.openxmlformats.org/officeDocument/2006/relationships/hyperlink" Target="https://stenius.com.br/wp-content/uploads/2026/06/EDITAL-GRUPO-3E.pdf" TargetMode="External" Id="rId335" /><Relationship Type="http://schemas.openxmlformats.org/officeDocument/2006/relationships/hyperlink" Target="https://diligence.adm.br/wp-content/plugins/download-attachments/includes/download.php?id=4599" TargetMode="External" Id="rId336" /><Relationship Type="http://schemas.openxmlformats.org/officeDocument/2006/relationships/hyperlink" Target="https://recuperacaojudicial.squarespace.com/s/LISTA-DE-CREDORES-CONSOLIDADA-EM-11072025_6419.pdf" TargetMode="External" Id="rId337" /><Relationship Type="http://schemas.openxmlformats.org/officeDocument/2006/relationships/hyperlink" Target="https://rlg-aj.com.br/wp-content/uploads/2024/11/07.-Rela&#231;&#227;o-de-credores.pdf" TargetMode="External" Id="rId338" /><Relationship Type="http://schemas.openxmlformats.org/officeDocument/2006/relationships/hyperlink" Target="https://administradorajudicialgs.com.br/wp-content/uploads/2024/12/relacao-de-credores-da-falida.pdf" TargetMode="External" Id="rId339" /><Relationship Type="http://schemas.openxmlformats.org/officeDocument/2006/relationships/hyperlink" Target="https://ajruiz.com.br/sites/default/files/public/arquivos-processos/2026-08/qgc_azeplast_julho_2026.pdf" TargetMode="External" Id="rId340" /><Relationship Type="http://schemas.openxmlformats.org/officeDocument/2006/relationships/hyperlink" Target="https://recuperacaojudicial.squarespace.com/s/EDITAL-COM-A-2-LISTA-DE-CREDORES-E-INFORMANDO-A-APRESENTACO-DO-PRJ_1532.pdf" TargetMode="External" Id="rId341" /><Relationship Type="http://schemas.openxmlformats.org/officeDocument/2006/relationships/hyperlink" Target="https://rlg-aj.com.br/wp-content/uploads/2024/11/07.-Rela&#231;&#227;o-de-credores.pdf" TargetMode="External" Id="rId342" /><Relationship Type="http://schemas.openxmlformats.org/officeDocument/2006/relationships/hyperlink" Target="https://recuperacaojudicial.squarespace.com/s/RJ-Credimoveis-QGC-01082025.pdf" TargetMode="External" Id="rId343" /><Relationship Type="http://schemas.openxmlformats.org/officeDocument/2006/relationships/hyperlink" Target="https://cataliseaj.com.br/sgc/download.php?file=files/processo_documento/processo_documento15092204102024_1_.pdf&amp;nome=02. RELA&#199;&#195;O DE CREDORES" TargetMode="External" Id="rId344" /><Relationship Type="http://schemas.openxmlformats.org/officeDocument/2006/relationships/hyperlink" Target="https://diligence.adm.br/wp-content/plugins/download-attachments/includes/download.php?id=4579" TargetMode="External" Id="rId345" /><Relationship Type="http://schemas.openxmlformats.org/officeDocument/2006/relationships/hyperlink" Target="https://scalzilliaj.com.br/sgc/download.php?file=files/processo_documento/processo_documento09514021082025_1_.pdf&amp;nome=04 - Rela&#231;&#227;o de credores das Recuperandas" TargetMode="External" Id="rId346"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347"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348" /><Relationship Type="http://schemas.openxmlformats.org/officeDocument/2006/relationships/hyperlink" Target="https://ajruiz.com.br/sites/default/files/public/arquivos-processos/2024-04/relacao_de_credores_recuperanda_1.pdf" TargetMode="External" Id="rId349" /><Relationship Type="http://schemas.openxmlformats.org/officeDocument/2006/relationships/hyperlink" Target="https://diligence.adm.br/wp-content/uploads/2025/06/Edital-1a-Lista-de-Credores.pdf" TargetMode="External" Id="rId350" /><Relationship Type="http://schemas.openxmlformats.org/officeDocument/2006/relationships/hyperlink" Target="https://marquesadmjudicial.com.br/sgc/download.php?file=files/processo_documento/processo_documento11370527032026_1_.pdf&amp;nome=Quadro Geral de Credores (QGC) -AJ Anterior" TargetMode="External" Id="rId351" /><Relationship Type="http://schemas.openxmlformats.org/officeDocument/2006/relationships/hyperlink" Target="https://lrflideres.com.br/wp-content/plugins/download-attachments/includes/download.php?id=6252" TargetMode="External" Id="rId352" /><Relationship Type="http://schemas.openxmlformats.org/officeDocument/2006/relationships/hyperlink" Target="https://recuperacaojudicial.squarespace.com/s/RJ-Credimoveis-QGC-01082025.pdf" TargetMode="External" Id="rId353" /><Relationship Type="http://schemas.openxmlformats.org/officeDocument/2006/relationships/hyperlink" Target="https://ajruiz.com.br/sites/default/files/public/arquivos-processos/2026-08/qgc_azeplast_julho_2026.pdf" TargetMode="External" Id="rId354" /><Relationship Type="http://schemas.openxmlformats.org/officeDocument/2006/relationships/hyperlink" Target="https://stenius.com.br/wp-content/uploads/2026/06/EDITAL-GRUPO-3E.pdf" TargetMode="External" Id="rId355" /><Relationship Type="http://schemas.openxmlformats.org/officeDocument/2006/relationships/hyperlink" Target="https://rlg-aj.com.br/wp-content/uploads/2024/11/07.-Rela&#231;&#227;o-de-credores.pdf" TargetMode="External" Id="rId356" /><Relationship Type="http://schemas.openxmlformats.org/officeDocument/2006/relationships/hyperlink" Target="https://lrflideres.com.br/wp-content/plugins/download-attachments/includes/download.php?id=5001" TargetMode="External" Id="rId357" /><Relationship Type="http://schemas.openxmlformats.org/officeDocument/2006/relationships/hyperlink" Target="https://stenius.com.br/wp-content/uploads/2026/06/EDITAL-GRUPO-3E.pdf" TargetMode="External" Id="rId358" /><Relationship Type="http://schemas.openxmlformats.org/officeDocument/2006/relationships/hyperlink" Target="https://lrflideres.com.br/wp-content/plugins/download-attachments/includes/download.php?id=4023" TargetMode="External" Id="rId359" /><Relationship Type="http://schemas.openxmlformats.org/officeDocument/2006/relationships/hyperlink" Target="https://stenius.com.br/wp-content/uploads/2026/06/EDITAL-GRUPO-3E.pdf" TargetMode="External" Id="rId360" /><Relationship Type="http://schemas.openxmlformats.org/officeDocument/2006/relationships/hyperlink" Target="https://scalzilliaj.com.br/sgc/download.php?file=files/processo_documento/processo_documento09514021082025_1_.pdf&amp;nome=04 - Rela&#231;&#227;o de credores das Recuperandas" TargetMode="External" Id="rId36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62" /><Relationship Type="http://schemas.openxmlformats.org/officeDocument/2006/relationships/hyperlink" Target="https://diligence.adm.br/wp-content/plugins/download-attachments/includes/download.php?id=4579" TargetMode="External" Id="rId363" /><Relationship Type="http://schemas.openxmlformats.org/officeDocument/2006/relationships/hyperlink" Target="https://recuperacaojudicial.squarespace.com/s/4-RJCTREditalda2ListadeCredoresnovembro2019.pdf" TargetMode="External" Id="rId364"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365" /><Relationship Type="http://schemas.openxmlformats.org/officeDocument/2006/relationships/hyperlink" Target="https://lrflideres.com.br/wp-content/plugins/download-attachments/includes/download.php?id=5001" TargetMode="External" Id="rId366" /><Relationship Type="http://schemas.openxmlformats.org/officeDocument/2006/relationships/hyperlink" Target="https://marquesadmjudicial.com.br/sgc/download.php?file=files/processo_documento/processo_documento18581929042026_1_.pdf&amp;nome=3&#186; Edital - Rela&#231;&#227;o de Credores e PRJ" TargetMode="External" Id="rId367" /><Relationship Type="http://schemas.openxmlformats.org/officeDocument/2006/relationships/hyperlink" Target="https://ajruiz.com.br/sites/default/files/public/arquivos-processos/2024-04/relacao_de_credores_recuperanda_1.pdf" TargetMode="External" Id="rId368" /><Relationship Type="http://schemas.openxmlformats.org/officeDocument/2006/relationships/hyperlink" Target="https://scalzilliaj.com.br/sgc/download.php?file=files/processo_documento/processo_documento09514021082025_1_.pdf&amp;nome=04 - Rela&#231;&#227;o de credores das Recuperandas" TargetMode="External" Id="rId369" /><Relationship Type="http://schemas.openxmlformats.org/officeDocument/2006/relationships/hyperlink" Target="https://recuperacaojudicial.squarespace.com/s/RJ-Credimoveis-QGC-01082025.pdf" TargetMode="External" Id="rId370" /><Relationship Type="http://schemas.openxmlformats.org/officeDocument/2006/relationships/hyperlink" Target="https://scalzilliaj.com.br/sgc/download.php?file=files/processo_documento/processo_documento09514021082025_1_.pdf&amp;nome=04 - Rela&#231;&#227;o de credores das Recuperandas" TargetMode="External" Id="rId371" /><Relationship Type="http://schemas.openxmlformats.org/officeDocument/2006/relationships/hyperlink" Target="https://administradorajudicialgs.com.br/wp-content/uploads/2023/08/relacao-de-credores-empresa.pdf" TargetMode="External" Id="rId372" /><Relationship Type="http://schemas.openxmlformats.org/officeDocument/2006/relationships/hyperlink" Target="https://credibilita.com.br/wp-content/uploads/2025/09/Relacao-Credores-29.04.2026.pdf" TargetMode="External" Id="rId373" /><Relationship Type="http://schemas.openxmlformats.org/officeDocument/2006/relationships/hyperlink" Target="https://recuperacaojudicial.squarespace.com/s/RJ-Credimoveis-QGC-01082025.pdf" TargetMode="External" Id="rId374" /><Relationship Type="http://schemas.openxmlformats.org/officeDocument/2006/relationships/hyperlink" Target="https://lrflideres.com.br/wp-content/plugins/download-attachments/includes/download.php?id=4023" TargetMode="External" Id="rId375" /><Relationship Type="http://schemas.openxmlformats.org/officeDocument/2006/relationships/hyperlink" Target="https://marquesadmjudicial.com.br/sgc/download.php?file=files/processo_documento/processo_documento17040729052024_1_.pdf&amp;nome=Rela&#231;&#227;o Nominal de Credores AJ-Sint&#233;tica" TargetMode="External" Id="rId376" /><Relationship Type="http://schemas.openxmlformats.org/officeDocument/2006/relationships/hyperlink" Target="https://ricardobiancardi.com.br/wp-content/uploads/2024/12/Edital-1-relacao-de-credores-pub.-02.12.24-.pdf" TargetMode="External" Id="rId377" /><Relationship Type="http://schemas.openxmlformats.org/officeDocument/2006/relationships/hyperlink" Target="https://scalzilliaj.com.br/sgc/download.php?file=files/processo_documento/processo_documento09514021082025_1_.pdf&amp;nome=04 - Rela&#231;&#227;o de credores das Recuperandas" TargetMode="External" Id="rId378" /><Relationship Type="http://schemas.openxmlformats.org/officeDocument/2006/relationships/hyperlink" Target="https://scalzilliaj.com.br/sgc/download.php?file=files/processo_documento/processo_documento09514021082025_1_.pdf&amp;nome=04 - Rela&#231;&#227;o de credores das Recuperandas" TargetMode="External" Id="rId379" /><Relationship Type="http://schemas.openxmlformats.org/officeDocument/2006/relationships/hyperlink" Target="https://ajruiz.com.br/sites/default/files/public/arquivos-processos/2024-04/relacao_de_credores_recuperanda_1.pdf" TargetMode="External" Id="rId380" /><Relationship Type="http://schemas.openxmlformats.org/officeDocument/2006/relationships/hyperlink" Target="https://ajruiz.com.br/sites/default/files/public/arquivos-processos/2024-04/relacao_de_credores_recuperanda_1.pdf" TargetMode="External" Id="rId38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82" /><Relationship Type="http://schemas.openxmlformats.org/officeDocument/2006/relationships/hyperlink" Target="https://credibilita.com.br/wp-content/uploads/2025/09/Relacao-Credores-29.04.2026.pdf" TargetMode="External" Id="rId383" /><Relationship Type="http://schemas.openxmlformats.org/officeDocument/2006/relationships/hyperlink" Target="https://marquesadmjudicial.com.br/sgc/download.php?file=files/processo_documento/processo_documento20014127022025_1_.pdf&amp;nome=Rela&#231;&#227;o Nominal de Credores" TargetMode="External" Id="rId384" /><Relationship Type="http://schemas.openxmlformats.org/officeDocument/2006/relationships/hyperlink" Target="https://marquesadmjudicial.com.br/sgc/download.php?file=files/processo_documento/processo_documento20014127022025_1_.pdf&amp;nome=Rela&#231;&#227;o Nominal de Credores" TargetMode="External" Id="rId385" /><Relationship Type="http://schemas.openxmlformats.org/officeDocument/2006/relationships/hyperlink" Target="https://lrflideres.com.br/wp-content/plugins/download-attachments/includes/download.php?id=5589" TargetMode="External" Id="rId386" /><Relationship Type="http://schemas.openxmlformats.org/officeDocument/2006/relationships/hyperlink" Target="https://lrflideres.com.br/wp-content/plugins/download-attachments/includes/download.php?id=5589" TargetMode="External" Id="rId387" /><Relationship Type="http://schemas.openxmlformats.org/officeDocument/2006/relationships/hyperlink" Target="https://marquesadmjudicial.com.br/sgc/download.php?file=files/processo_documento/processo_documento11370527032026_1_.pdf&amp;nome=Quadro Geral de Credores (QGC) -AJ Anterior" TargetMode="External" Id="rId38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89" /><Relationship Type="http://schemas.openxmlformats.org/officeDocument/2006/relationships/hyperlink" Target="https://lrflideres.com.br/wp-content/plugins/download-attachments/includes/download.php?id=7418" TargetMode="External" Id="rId390" /><Relationship Type="http://schemas.openxmlformats.org/officeDocument/2006/relationships/hyperlink" Target="https://stenius.com.br/wp-content/uploads/2026/06/EDITAL-GRUPO-3E.pdf" TargetMode="External" Id="rId391" /><Relationship Type="http://schemas.openxmlformats.org/officeDocument/2006/relationships/hyperlink" Target="https://assistjud.com.br/wp-content/uploads/elementor/forms/65098c80a5824.pdf" TargetMode="External" Id="rId392"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93" /><Relationship Type="http://schemas.openxmlformats.org/officeDocument/2006/relationships/hyperlink" Target="https://marquesadmjudicial.com.br/sgc/download.php?file=files/processo_documento/processo_documento17040729052024_1_.pdf&amp;nome=Rela&#231;&#227;o Nominal de Credores AJ-Sint&#233;tica" TargetMode="External" Id="rId394" /><Relationship Type="http://schemas.openxmlformats.org/officeDocument/2006/relationships/hyperlink" Target="https://inova-aj.com.br/wp-content/uploads/2026/08/1a-Relacao-de-Credores-Real.pdf" TargetMode="External" Id="rId395" /><Relationship Type="http://schemas.openxmlformats.org/officeDocument/2006/relationships/hyperlink" Target="https://diligence.adm.br/wp-content/uploads/2025/06/Edital-1a-Lista-de-Credores.pdf" TargetMode="External" Id="rId396" /><Relationship Type="http://schemas.openxmlformats.org/officeDocument/2006/relationships/hyperlink" Target="https://lrflideres.com.br/wp-content/plugins/download-attachments/includes/download.php?id=6252" TargetMode="External" Id="rId397"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9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99" /><Relationship Type="http://schemas.openxmlformats.org/officeDocument/2006/relationships/hyperlink" Target="https://recuperacaojudicial.squarespace.com/s/RJ-Credimoveis-QGC-01082025.pdf" TargetMode="External" Id="rId400" /><Relationship Type="http://schemas.openxmlformats.org/officeDocument/2006/relationships/hyperlink" Target="https://administradorajudicialgs.com.br/wp-content/uploads/2023/08/doc-06-relacao-credores-do-administrador-judicial-10-02-2015.pdf" TargetMode="External" Id="rId40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02" /><Relationship Type="http://schemas.openxmlformats.org/officeDocument/2006/relationships/hyperlink" Target="https://stenius.com.br/wp-content/uploads/2026/06/EDITAL-GRUPO-3E.pdf" TargetMode="External" Id="rId40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04" /><Relationship Type="http://schemas.openxmlformats.org/officeDocument/2006/relationships/hyperlink" Target="https://lrflideres.com.br/wp-content/plugins/download-attachments/includes/download.php?id=4023" TargetMode="External" Id="rId405" /><Relationship Type="http://schemas.openxmlformats.org/officeDocument/2006/relationships/hyperlink" Target="https://scalzilliaj.com.br/sgc/download.php?file=files/processo_documento/processo_documento15542620022025_1_.pdf&amp;nome=11 - Rela&#231;&#227;o de credores - art. 7&#186;, &#167;2&#186;, da LREF" TargetMode="External" Id="rId406" /><Relationship Type="http://schemas.openxmlformats.org/officeDocument/2006/relationships/hyperlink" Target="https://ricardobiancardi.com.br/wp-content/uploads/2024/12/Edital-1-relacao-de-credores-pub.-02.12.24-.pdf" TargetMode="External" Id="rId407" /><Relationship Type="http://schemas.openxmlformats.org/officeDocument/2006/relationships/hyperlink" Target="https://stenius.com.br/wp-content/uploads/2026/06/EDITAL-GRUPO-3E.pdf" TargetMode="External" Id="rId408" /><Relationship Type="http://schemas.openxmlformats.org/officeDocument/2006/relationships/hyperlink" Target="https://scalzilliaj.com.br/sgc/download.php?file=files/processo_documento/processo_documento09514021082025_1_.pdf&amp;nome=04 - Rela&#231;&#227;o de credores das Recuperandas" TargetMode="External" Id="rId409" /><Relationship Type="http://schemas.openxmlformats.org/officeDocument/2006/relationships/hyperlink" Target="https://stenius.com.br/wp-content/uploads/2026/06/EDITAL-GRUPO-3E.pdf" TargetMode="External" Id="rId410" /><Relationship Type="http://schemas.openxmlformats.org/officeDocument/2006/relationships/hyperlink" Target="https://recuperacaojudicial.squarespace.com/s/4-RJCTREditalda2ListadeCredoresnovembro2019.pdf" TargetMode="External" Id="rId411" /><Relationship Type="http://schemas.openxmlformats.org/officeDocument/2006/relationships/hyperlink" Target="https://ajruiz.com.br/sites/default/files/public/arquivos-processos/2026-08/qgc_azeplast_julho_2026.pdf" TargetMode="External" Id="rId412" /><Relationship Type="http://schemas.openxmlformats.org/officeDocument/2006/relationships/hyperlink" Target="https://lrflideres.com.br/wp-content/plugins/download-attachments/includes/download.php?id=4023" TargetMode="External" Id="rId413" /><Relationship Type="http://schemas.openxmlformats.org/officeDocument/2006/relationships/hyperlink" Target="https://scalzilliaj.com.br/sgc/download.php?file=files/processo_documento/processo_documento09514021082025_1_.pdf&amp;nome=04 - Rela&#231;&#227;o de credores das Recuperandas" TargetMode="External" Id="rId414" /><Relationship Type="http://schemas.openxmlformats.org/officeDocument/2006/relationships/hyperlink" Target="https://scalzilliaj.com.br/sgc/download.php?file=files/processo_documento/processo_documento09514021082025_1_.pdf&amp;nome=04 - Rela&#231;&#227;o de credores das Recuperandas" TargetMode="External" Id="rId415" /><Relationship Type="http://schemas.openxmlformats.org/officeDocument/2006/relationships/hyperlink" Target="https://lrflideres.com.br/wp-content/plugins/download-attachments/includes/download.php?id=4023" TargetMode="External" Id="rId416" /><Relationship Type="http://schemas.openxmlformats.org/officeDocument/2006/relationships/hyperlink" Target="https://recuperacaojudicial.squarespace.com/s/RJ-Credimoveis-QGC-01082025.pdf" TargetMode="External" Id="rId417" /><Relationship Type="http://schemas.openxmlformats.org/officeDocument/2006/relationships/hyperlink" Target="https://cataliseaj.com.br/sgc/download.php?file=files/processo_documento/processo_documento15092204102024_1_.pdf&amp;nome=02. RELA&#199;&#195;O DE CREDORES" TargetMode="External" Id="rId418" /><Relationship Type="http://schemas.openxmlformats.org/officeDocument/2006/relationships/hyperlink" Target="https://credibilita.com.br/wp-content/uploads/2025/09/Relacao-Credores-29.04.2026.pdf" TargetMode="External" Id="rId419" /><Relationship Type="http://schemas.openxmlformats.org/officeDocument/2006/relationships/hyperlink" Target="https://stenius.com.br/wp-content/uploads/2026/06/EDITAL-GRUPO-3E.pdf" TargetMode="External" Id="rId420" /><Relationship Type="http://schemas.openxmlformats.org/officeDocument/2006/relationships/hyperlink" Target="https://stenius.com.br/wp-content/uploads/2026/06/EDITAL-GRUPO-3E.pdf" TargetMode="External" Id="rId421" /><Relationship Type="http://schemas.openxmlformats.org/officeDocument/2006/relationships/hyperlink" Target="https://ajruiz.com.br/sites/default/files/public/arquivos-processos/2023-11/4_relacao_de_credores_analitica_art._51_iii_da_lre.pdf" TargetMode="External" Id="rId422" /><Relationship Type="http://schemas.openxmlformats.org/officeDocument/2006/relationships/hyperlink" Target="https://credibilita.com.br/wp-content/uploads/2025/09/Relacao-Credores-29.04.2026.pdf" TargetMode="External" Id="rId423" /><Relationship Type="http://schemas.openxmlformats.org/officeDocument/2006/relationships/hyperlink" Target="https://scalzilliaj.com.br/sgc/download.php?file=files/processo_documento/processo_documento09514021082025_1_.pdf&amp;nome=04 - Rela&#231;&#227;o de credores das Recuperandas" TargetMode="External" Id="rId424"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425" /><Relationship Type="http://schemas.openxmlformats.org/officeDocument/2006/relationships/hyperlink" Target="https://rlg-aj.com.br/wp-content/uploads/2024/11/07.-Rela&#231;&#227;o-de-credores.pdf" TargetMode="External" Id="rId426" /><Relationship Type="http://schemas.openxmlformats.org/officeDocument/2006/relationships/hyperlink" Target="https://lrflideres.com.br/wp-content/plugins/download-attachments/includes/download.php?id=5589" TargetMode="External" Id="rId427" /><Relationship Type="http://schemas.openxmlformats.org/officeDocument/2006/relationships/hyperlink" Target="https://cdn.dol.com.br/img/attachmentinline/940000/6publicacao-2-edital-art-7-parag-2-da-lei-11101-20009467060.pdf?xid=3272528" TargetMode="External" Id="rId42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29" /><Relationship Type="http://schemas.openxmlformats.org/officeDocument/2006/relationships/hyperlink" Target="https://stenius.com.br/wp-content/uploads/2026/06/EDITAL-GRUPO-3E.pdf" TargetMode="External" Id="rId430" /><Relationship Type="http://schemas.openxmlformats.org/officeDocument/2006/relationships/hyperlink" Target="https://recuperacaojudicial.squarespace.com/s/RJ-Credimoveis-QGC-01082025.pdf" TargetMode="External" Id="rId431" /><Relationship Type="http://schemas.openxmlformats.org/officeDocument/2006/relationships/hyperlink" Target="https://lrflideres.com.br/wp-content/plugins/download-attachments/includes/download.php?id=5589" TargetMode="External" Id="rId432" /><Relationship Type="http://schemas.openxmlformats.org/officeDocument/2006/relationships/hyperlink" Target="https://ricardobiancardi.com.br/wp-content/uploads/2024/12/Edital-1-relacao-de-credores-pub.-02.12.24-.pdf" TargetMode="External" Id="rId43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34" /><Relationship Type="http://schemas.openxmlformats.org/officeDocument/2006/relationships/hyperlink" Target="https://recuperacaojudicial.squarespace.com/s/RJ-Credimoveis-QGC-01082025.pdf" TargetMode="External" Id="rId435" /><Relationship Type="http://schemas.openxmlformats.org/officeDocument/2006/relationships/hyperlink" Target="https://stenius.com.br/wp-content/uploads/2026/06/EDITAL-GRUPO-3E.pdf" TargetMode="External" Id="rId436" /><Relationship Type="http://schemas.openxmlformats.org/officeDocument/2006/relationships/hyperlink" Target="https://credibilita.com.br/wp-content/uploads/2025/09/Relacao-Credores-29.04.2026.pdf" TargetMode="External" Id="rId437" /><Relationship Type="http://schemas.openxmlformats.org/officeDocument/2006/relationships/hyperlink" Target="https://recuperacaojudicial.squarespace.com/s/RJ-Credimoveis-QGC-01082025.pdf" TargetMode="External" Id="rId438" /><Relationship Type="http://schemas.openxmlformats.org/officeDocument/2006/relationships/hyperlink" Target="https://lrflideres.com.br/wp-content/plugins/download-attachments/includes/download.php?id=4023" TargetMode="External" Id="rId439" /><Relationship Type="http://schemas.openxmlformats.org/officeDocument/2006/relationships/hyperlink" Target="https://cataliseaj.com.br/sgc/download.php?file=files/processo_documento/processo_documento15092204102024_1_.pdf&amp;nome=02. RELA&#199;&#195;O DE CREDORES" TargetMode="External" Id="rId440" /><Relationship Type="http://schemas.openxmlformats.org/officeDocument/2006/relationships/hyperlink" Target="http://recuperacaojudicial.squarespace.com/s/LISTA-DE-CREDORES-CONSOLIDADA-ATE-04102024.pdf" TargetMode="External" Id="rId441" /><Relationship Type="http://schemas.openxmlformats.org/officeDocument/2006/relationships/hyperlink" Target="https://realbrasil.com.br/wp-content/uploads/2017/05/Rela&#231;&#227;o-de-Credores_-Mastter-1.pdf" TargetMode="External" Id="rId442" /><Relationship Type="http://schemas.openxmlformats.org/officeDocument/2006/relationships/hyperlink" Target="https://scalzilliaj.com.br/sgc/download.php?file=files/processo_documento/processo_documento09514021082025_1_.pdf&amp;nome=04 - Rela&#231;&#227;o de credores das Recuperandas" TargetMode="External" Id="rId443" /><Relationship Type="http://schemas.openxmlformats.org/officeDocument/2006/relationships/hyperlink" Target="https://ricardobiancardi.com.br/wp-content/uploads/2024/12/Edital-1-relacao-de-credores-pub.-02.12.24-.pdf" TargetMode="External" Id="rId444" /><Relationship Type="http://schemas.openxmlformats.org/officeDocument/2006/relationships/hyperlink" Target="https://scalzilliaj.com.br/sgc/download.php?file=files/processo_documento/processo_documento09514021082025_1_.pdf&amp;nome=04 - Rela&#231;&#227;o de credores das Recuperandas" TargetMode="External" Id="rId445" /><Relationship Type="http://schemas.openxmlformats.org/officeDocument/2006/relationships/hyperlink" Target="https://administradorajudicialgs.com.br/wp-content/uploads/2024/12/relacao-de-credores-da-falida.pdf" TargetMode="External" Id="rId446" /><Relationship Type="http://schemas.openxmlformats.org/officeDocument/2006/relationships/hyperlink" Target="https://lrflideres.com.br/wp-content/plugins/download-attachments/includes/download.php?id=4023" TargetMode="External" Id="rId447" /><Relationship Type="http://schemas.openxmlformats.org/officeDocument/2006/relationships/hyperlink" Target="https://lrflideres.com.br/wp-content/plugins/download-attachments/includes/download.php?id=4023" TargetMode="External" Id="rId448" /><Relationship Type="http://schemas.openxmlformats.org/officeDocument/2006/relationships/hyperlink" Target="https://recuperacaojudicial.squarespace.com/s/RJ-Credimoveis-QGC-01082025.pdf" TargetMode="External" Id="rId449" /><Relationship Type="http://schemas.openxmlformats.org/officeDocument/2006/relationships/hyperlink" Target="https://lrflideres.com.br/wp-content/plugins/download-attachments/includes/download.php?id=5001" TargetMode="External" Id="rId45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451" /><Relationship Type="http://schemas.openxmlformats.org/officeDocument/2006/relationships/hyperlink" Target="https://administradorajudicialgs.com.br/wp-content/uploads/2024/12/relacao-de-credores-da-falida.pdf" TargetMode="External" Id="rId452" /><Relationship Type="http://schemas.openxmlformats.org/officeDocument/2006/relationships/hyperlink" Target="https://lrflideres.com.br/wp-content/plugins/download-attachments/includes/download.php?id=4023" TargetMode="External" Id="rId45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54" /><Relationship Type="http://schemas.openxmlformats.org/officeDocument/2006/relationships/hyperlink" Target="https://lrflideres.com.br/wp-content/plugins/download-attachments/includes/download.php?id=6879" TargetMode="External" Id="rId455" /><Relationship Type="http://schemas.openxmlformats.org/officeDocument/2006/relationships/hyperlink" Target="https://scalzilliaj.com.br/sgc/download.php?file=files/processo_documento/processo_documento09514021082025_1_.pdf&amp;nome=04 - Rela&#231;&#227;o de credores das Recuperandas" TargetMode="External" Id="rId456" /><Relationship Type="http://schemas.openxmlformats.org/officeDocument/2006/relationships/hyperlink" Target="https://lrflideres.com.br/wp-content/plugins/download-attachments/includes/download.php?id=4023" TargetMode="External" Id="rId457" /><Relationship Type="http://schemas.openxmlformats.org/officeDocument/2006/relationships/hyperlink" Target="https://administradorajudicialgs.com.br/wp-content/uploads/2024/12/relacao-de-credores-da-falida.pdf" TargetMode="External" Id="rId45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59" /><Relationship Type="http://schemas.openxmlformats.org/officeDocument/2006/relationships/hyperlink" Target="https://stenius.com.br/wp-content/uploads/2026/06/EDITAL-GRUPO-3E.pdf" TargetMode="External" Id="rId460" /><Relationship Type="http://schemas.openxmlformats.org/officeDocument/2006/relationships/hyperlink" Target="https://recuperacaojudicial.squarespace.com/s/RJ-Credimoveis-QGC-01082025.pdf" TargetMode="External" Id="rId461" /><Relationship Type="http://schemas.openxmlformats.org/officeDocument/2006/relationships/hyperlink" Target="https://recuperacaojudicial.squarespace.com/s/RJ-Credimoveis-QGC-01082025.pdf" TargetMode="External" Id="rId462" /><Relationship Type="http://schemas.openxmlformats.org/officeDocument/2006/relationships/hyperlink" Target="https://administradorajudicialgs.com.br/wp-content/uploads/2024/12/relacao-de-credores-da-falida.pdf" TargetMode="External" Id="rId463" /><Relationship Type="http://schemas.openxmlformats.org/officeDocument/2006/relationships/hyperlink" Target="https://stenius.com.br/wp-content/uploads/2026/06/EDITAL-GRUPO-3E.pdf" TargetMode="External" Id="rId464" /><Relationship Type="http://schemas.openxmlformats.org/officeDocument/2006/relationships/hyperlink" Target="https://lrflideres.com.br/wp-content/plugins/download-attachments/includes/download.php?id=5828" TargetMode="External" Id="rId465" /><Relationship Type="http://schemas.openxmlformats.org/officeDocument/2006/relationships/hyperlink" Target="https://scalzilliaj.com.br/sgc/download.php?file=files/processo_documento/processo_documento09514021082025_1_.pdf&amp;nome=04 - Rela&#231;&#227;o de credores das Recuperandas" TargetMode="External" Id="rId466"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467" /><Relationship Type="http://schemas.openxmlformats.org/officeDocument/2006/relationships/hyperlink" Target="https://diligence.adm.br/wp-content/plugins/download-attachments/includes/download.php?id=4579" TargetMode="External" Id="rId468" /><Relationship Type="http://schemas.openxmlformats.org/officeDocument/2006/relationships/hyperlink" Target="https://stenius.com.br/wp-content/uploads/2026/06/EDITAL-GRUPO-3E.pdf" TargetMode="External" Id="rId469" /><Relationship Type="http://schemas.openxmlformats.org/officeDocument/2006/relationships/hyperlink" Target="https://administradorajudicialgs.com.br/wp-content/uploads/2024/12/relacao-de-credores-da-falida.pdf" TargetMode="External" Id="rId470" /><Relationship Type="http://schemas.openxmlformats.org/officeDocument/2006/relationships/hyperlink" Target="https://stenius.com.br/wp-content/uploads/2026/06/EDITAL-GRUPO-3E.pdf" TargetMode="External" Id="rId471" /><Relationship Type="http://schemas.openxmlformats.org/officeDocument/2006/relationships/hyperlink" Target="https://stenius.com.br/wp-content/uploads/2026/06/EDITAL-GRUPO-3E.pdf" TargetMode="External" Id="rId47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73" /><Relationship Type="http://schemas.openxmlformats.org/officeDocument/2006/relationships/hyperlink" Target="https://marquesadmjudicial.com.br/sgc/download.php?file=files/processo_documento/processo_documento17040729052024_1_.pdf&amp;nome=Rela&#231;&#227;o Nominal de Credores AJ-Sint&#233;tica" TargetMode="External" Id="rId474" /><Relationship Type="http://schemas.openxmlformats.org/officeDocument/2006/relationships/hyperlink" Target="https://stenius.com.br/wp-content/uploads/2026/06/EDITAL-GRUPO-3E.pdf" TargetMode="External" Id="rId475" /><Relationship Type="http://schemas.openxmlformats.org/officeDocument/2006/relationships/hyperlink" Target="https://lrflideres.com.br/wp-content/plugins/download-attachments/includes/download.php?id=4023" TargetMode="External" Id="rId476" /><Relationship Type="http://schemas.openxmlformats.org/officeDocument/2006/relationships/hyperlink" Target="https://administradorajudicialgs.com.br/wp-content/uploads/2024/12/relacao-de-credores-da-falida.pdf" TargetMode="External" Id="rId477" /><Relationship Type="http://schemas.openxmlformats.org/officeDocument/2006/relationships/hyperlink" Target="https://marquesadmjudicial.com.br/sgc/download.php?file=files/processo_documento/processo_documento17040729052024_1_.pdf&amp;nome=Rela&#231;&#227;o Nominal de Credores AJ-Sint&#233;tica" TargetMode="External" Id="rId478" /><Relationship Type="http://schemas.openxmlformats.org/officeDocument/2006/relationships/hyperlink" Target="https://ajruiz.com.br/sites/default/files/public/arquivos-processos/2024-04/relacao_de_credores_recuperanda_1.pdf" TargetMode="External" Id="rId479" /><Relationship Type="http://schemas.openxmlformats.org/officeDocument/2006/relationships/hyperlink" Target="https://ajruiz.com.br/sites/default/files/public/arquivos-processos/2024-04/relacao_de_credores_recuperanda_1.pdf" TargetMode="External" Id="rId480" /><Relationship Type="http://schemas.openxmlformats.org/officeDocument/2006/relationships/hyperlink" Target="https://ajruiz.com.br/sites/default/files/public/arquivos-processos/2026-08/qgc_azeplast_julho_2026.pdf" TargetMode="External" Id="rId481" /><Relationship Type="http://schemas.openxmlformats.org/officeDocument/2006/relationships/hyperlink" Target="https://lrflideres.com.br/wp-content/plugins/download-attachments/includes/download.php?id=6273" TargetMode="External" Id="rId482" /><Relationship Type="http://schemas.openxmlformats.org/officeDocument/2006/relationships/hyperlink" Target="https://credibilita.com.br/wp-content/uploads/2025/09/Relacao-Credores-29.04.2026.pdf" TargetMode="External" Id="rId48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84" /><Relationship Type="http://schemas.openxmlformats.org/officeDocument/2006/relationships/hyperlink" Target="https://recuperacaojudicial.squarespace.com/s/RJ-Credimoveis-QGC-01082025.pdf" TargetMode="External" Id="rId485" /><Relationship Type="http://schemas.openxmlformats.org/officeDocument/2006/relationships/hyperlink" Target="https://recuperacaojudicial.squarespace.com/s/RJ-Credimoveis-QGC-01082025.pdf" TargetMode="External" Id="rId48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87" /><Relationship Type="http://schemas.openxmlformats.org/officeDocument/2006/relationships/hyperlink" Target="https://lrflideres.com.br/wp-content/plugins/download-attachments/includes/download.php?id=4023" TargetMode="External" Id="rId488" /><Relationship Type="http://schemas.openxmlformats.org/officeDocument/2006/relationships/hyperlink" Target="https://recuperacaojudicial.squarespace.com/s/RJ-Credimoveis-QGC-01082025.pdf" TargetMode="External" Id="rId489" /><Relationship Type="http://schemas.openxmlformats.org/officeDocument/2006/relationships/hyperlink" Target="https://administradorajudicialgs.com.br/wp-content/uploads/2023/08/doc-06-relacao-credores-do-administrador-judicial-10-02-2015.pdf" TargetMode="External" Id="rId490" /><Relationship Type="http://schemas.openxmlformats.org/officeDocument/2006/relationships/hyperlink" Target="https://marquesadmjudicial.com.br/sgc/download.php?file=files/processo_documento/processo_documento17040729052024_1_.pdf&amp;nome=Rela&#231;&#227;o Nominal de Credores AJ-Sint&#233;tica" TargetMode="External" Id="rId491" /><Relationship Type="http://schemas.openxmlformats.org/officeDocument/2006/relationships/hyperlink" Target="https://administradorajudicialgs.com.br/wp-content/uploads/2024/12/relacao-de-credores-da-falida.pdf" TargetMode="External" Id="rId492" /><Relationship Type="http://schemas.openxmlformats.org/officeDocument/2006/relationships/hyperlink" Target="https://stenius.com.br/wp-content/uploads/2026/06/EDITAL-GRUPO-3E.pdf" TargetMode="External" Id="rId493" /><Relationship Type="http://schemas.openxmlformats.org/officeDocument/2006/relationships/hyperlink" Target="https://recuperacaojudicial.squarespace.com/s/RJ-Grupo-Arnon-de-Melo-Lista-de-Credores-Consolidada-abril-2022.pdf" TargetMode="External" Id="rId494" /><Relationship Type="http://schemas.openxmlformats.org/officeDocument/2006/relationships/hyperlink" Target="https://stenius.com.br/wp-content/uploads/2026/06/EDITAL-GRUPO-3E.pdf" TargetMode="External" Id="rId495" /><Relationship Type="http://schemas.openxmlformats.org/officeDocument/2006/relationships/hyperlink" Target="https://recuperacaojudicial.squarespace.com/s/RJ-Grupo-Arnon-de-Melo-Lista-de-Credores-Consolidada-abril-2022.pdf" TargetMode="External" Id="rId496" /><Relationship Type="http://schemas.openxmlformats.org/officeDocument/2006/relationships/hyperlink" Target="https://ajruiz.com.br/sites/default/files/public/arquivos-processos/2024-04/relacao_de_credores_recuperanda_1.pdf" TargetMode="External" Id="rId497" /><Relationship Type="http://schemas.openxmlformats.org/officeDocument/2006/relationships/hyperlink" Target="https://cataliseaj.com.br/sgc/download.php?file=files/processo_documento/processo_documento15092204102024_1_.pdf&amp;nome=02. RELA&#199;&#195;O DE CREDORES" TargetMode="External" Id="rId49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99" /><Relationship Type="http://schemas.openxmlformats.org/officeDocument/2006/relationships/hyperlink" Target="https://ajruiz.com.br/sites/default/files/public/arquivos-processos/2026-08/qgc_azeplast_julho_2026.pdf" TargetMode="External" Id="rId500" /><Relationship Type="http://schemas.openxmlformats.org/officeDocument/2006/relationships/hyperlink" Target="https://administradorajudicialgs.com.br/wp-content/uploads/2023/08/doc-06-relacao-credores-do-administrador-judicial-10-02-2015.pdf" TargetMode="External" Id="rId50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502" /><Relationship Type="http://schemas.openxmlformats.org/officeDocument/2006/relationships/hyperlink" Target="https://stenius.com.br/wp-content/uploads/2026/06/EDITAL-GRUPO-3E.pdf" TargetMode="External" Id="rId50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04" /><Relationship Type="http://schemas.openxmlformats.org/officeDocument/2006/relationships/hyperlink" Target="https://recuperacaojudicial.squarespace.com/s/RJ-Grupo-Arnon-de-Melo-Lista-de-Credores-Consolidada-abril-2022.pdf" TargetMode="External" Id="rId505" /><Relationship Type="http://schemas.openxmlformats.org/officeDocument/2006/relationships/hyperlink" Target="https://administradorajudicialgs.com.br/wp-content/uploads/2023/08/edital-quadro-geral-de-credores.pdf" TargetMode="External" Id="rId506" /><Relationship Type="http://schemas.openxmlformats.org/officeDocument/2006/relationships/hyperlink" Target="https://recuperacaojudicial.squarespace.com/s/RJ-Credimoveis-QGC-01082025.pdf" TargetMode="External" Id="rId50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508" /><Relationship Type="http://schemas.openxmlformats.org/officeDocument/2006/relationships/hyperlink" Target="https://recuperacaojudicial.squarespace.com/s/RJ-Credimoveis-QGC-01082025.pdf" TargetMode="External" Id="rId509" /><Relationship Type="http://schemas.openxmlformats.org/officeDocument/2006/relationships/hyperlink" Target="https://credibilita.com.br/wp-content/uploads/2025/09/Relacao-Credores-29.04.2026.pdf" TargetMode="External" Id="rId510" /><Relationship Type="http://schemas.openxmlformats.org/officeDocument/2006/relationships/hyperlink" Target="http://bernardobicalho.com.br/login/app/documents/Rela%C3%A7%C3%A3o%20de%20Credores/6.%20RVC-%20Nutricium%20-%20simplificada.pdf" TargetMode="External" Id="rId511" /><Relationship Type="http://schemas.openxmlformats.org/officeDocument/2006/relationships/hyperlink" Target="https://lrflideres.com.br/wp-content/plugins/download-attachments/includes/download.php?id=6252" TargetMode="External" Id="rId51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13" /><Relationship Type="http://schemas.openxmlformats.org/officeDocument/2006/relationships/hyperlink" Target="https://scalzilliaj.com.br/sgc/download.php?file=files/processo_documento/processo_documento09514021082025_1_.pdf&amp;nome=04 - Rela&#231;&#227;o de credores das Recuperandas" TargetMode="External" Id="rId51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515" /><Relationship Type="http://schemas.openxmlformats.org/officeDocument/2006/relationships/hyperlink" Target="https://recuperacaojudicial.squarespace.com/s/RJ-Credimoveis-QGC-01082025.pdf" TargetMode="External" Id="rId516" /><Relationship Type="http://schemas.openxmlformats.org/officeDocument/2006/relationships/hyperlink" Target="https://acfb.com.br/wp-content/uploads/2026/06/Relacao_de_Credores_Pneus_-_SITE.pdf" TargetMode="External" Id="rId517" /><Relationship Type="http://schemas.openxmlformats.org/officeDocument/2006/relationships/hyperlink" Target="https://lrflideres.com.br/wp-content/plugins/download-attachments/includes/download.php?id=7418" TargetMode="External" Id="rId518" /><Relationship Type="http://schemas.openxmlformats.org/officeDocument/2006/relationships/hyperlink" Target="http://recuperacaojudicial.squarespace.com/s/LISTA-DE-CREDORES-CONSOLIDADA-ATE-04102024.pdf" TargetMode="External" Id="rId519"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520" /><Relationship Type="http://schemas.openxmlformats.org/officeDocument/2006/relationships/hyperlink" Target="https://recuperacaojudicial.squarespace.com/s/RJ-Credimoveis-QGC-01082025.pdf" TargetMode="External" Id="rId521" /><Relationship Type="http://schemas.openxmlformats.org/officeDocument/2006/relationships/hyperlink" Target="https://recuperacaojudicial.squarespace.com/s/RJ-Credimoveis-QGC-01082025.pdf" TargetMode="External" Id="rId522" /><Relationship Type="http://schemas.openxmlformats.org/officeDocument/2006/relationships/hyperlink" Target="https://stenius.com.br/wp-content/uploads/2026/06/EDITAL-GRUPO-3E.pdf" TargetMode="External" Id="rId523" /><Relationship Type="http://schemas.openxmlformats.org/officeDocument/2006/relationships/hyperlink" Target="https://realbrasil.com.br/wp-content/uploads/2018/06/2_LISTA-DE-CREDORES-DA-RECUPERANDA_ROQUE.pdf" TargetMode="External" Id="rId524" /><Relationship Type="http://schemas.openxmlformats.org/officeDocument/2006/relationships/hyperlink" Target="https://ajruiz.com.br/sites/default/files/public/arquivos-processos/2026-06/alto_uruguai_qgc_junho.2026.pdf" TargetMode="External" Id="rId525" /><Relationship Type="http://schemas.openxmlformats.org/officeDocument/2006/relationships/hyperlink" Target="https://recuperacaojudicial.squarespace.com/s/RJ-Grupo-Arnon-de-Melo-Lista-de-Credores-Consolidada-abril-2022.pdf" TargetMode="External" Id="rId526" /><Relationship Type="http://schemas.openxmlformats.org/officeDocument/2006/relationships/hyperlink" Target="https://scalzilliaj.com.br/sgc/download.php?file=files/processo_documento/processo_documento09514021082025_1_.pdf&amp;nome=04 - Rela&#231;&#227;o de credores das Recuperandas" TargetMode="External" Id="rId527" /><Relationship Type="http://schemas.openxmlformats.org/officeDocument/2006/relationships/hyperlink" Target="https://recuperacaojudicial.squarespace.com/s/RJ-Credimoveis-QGC-01082025.pdf" TargetMode="External" Id="rId52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29" /><Relationship Type="http://schemas.openxmlformats.org/officeDocument/2006/relationships/hyperlink" Target="https://assistjud.com.br/wp-content/uploads/elementor/forms/65098c80a5824.pdf" TargetMode="External" Id="rId530" /><Relationship Type="http://schemas.openxmlformats.org/officeDocument/2006/relationships/hyperlink" Target="https://administradorajudicialgs.com.br/wp-content/uploads/2024/12/relacao-de-credores-da-falida.pdf" TargetMode="External" Id="rId531" /><Relationship Type="http://schemas.openxmlformats.org/officeDocument/2006/relationships/hyperlink" Target="https://stenius.com.br/wp-content/uploads/2026/06/EDITAL-GRUPO-3E.pdf" TargetMode="External" Id="rId532" /><Relationship Type="http://schemas.openxmlformats.org/officeDocument/2006/relationships/hyperlink" Target="https://lrflideres.com.br/wp-content/plugins/download-attachments/includes/download.php?id=7418" TargetMode="External" Id="rId533" /><Relationship Type="http://schemas.openxmlformats.org/officeDocument/2006/relationships/hyperlink" Target="https://recuperacaojudicial.squarespace.com/s/RJ-Grupo-Arnon-de-Melo-Lista-de-Credores-Consolidada-abril-2022.pdf" TargetMode="External" Id="rId534" /><Relationship Type="http://schemas.openxmlformats.org/officeDocument/2006/relationships/hyperlink" Target="http://recuperacaojudicial.squarespace.com/s/LISTA-DE-CREDORES-CONSOLIDADA-ATE-04102024.pdf" TargetMode="External" Id="rId53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536" /><Relationship Type="http://schemas.openxmlformats.org/officeDocument/2006/relationships/hyperlink" Target="https://recuperacaojudicial.squarespace.com/s/RJ-Credimoveis-QGC-01082025.pdf" TargetMode="External" Id="rId537" /><Relationship Type="http://schemas.openxmlformats.org/officeDocument/2006/relationships/hyperlink" Target="https://stenius.com.br/wp-content/uploads/2026/06/EDITAL-GRUPO-3E.pdf" TargetMode="External" Id="rId538" /><Relationship Type="http://schemas.openxmlformats.org/officeDocument/2006/relationships/hyperlink" Target="https://lrflideres.com.br/wp-content/plugins/download-attachments/includes/download.php?id=4023" TargetMode="External" Id="rId53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40" /><Relationship Type="http://schemas.openxmlformats.org/officeDocument/2006/relationships/hyperlink" Target="https://scalzilliaj.com.br/sgc/download.php?file=files/processo_documento/processo_documento09514021082025_1_.pdf&amp;nome=04 - Rela&#231;&#227;o de credores das Recuperandas" TargetMode="External" Id="rId541" /><Relationship Type="http://schemas.openxmlformats.org/officeDocument/2006/relationships/hyperlink" Target="https://ajruiz.com.br/sites/default/files/public/arquivos-processos/2024-04/relacao_de_credores_recuperanda_1.pdf" TargetMode="External" Id="rId542" /><Relationship Type="http://schemas.openxmlformats.org/officeDocument/2006/relationships/hyperlink" Target="https://lrflideres.com.br/wp-content/plugins/download-attachments/includes/download.php?id=4023" TargetMode="External" Id="rId543" /><Relationship Type="http://schemas.openxmlformats.org/officeDocument/2006/relationships/hyperlink" Target="https://recuperacaojudicial.squarespace.com/s/RJ-Credimoveis-QGC-01082025.pdf" TargetMode="External" Id="rId544" /><Relationship Type="http://schemas.openxmlformats.org/officeDocument/2006/relationships/hyperlink" Target="https://marquesadmjudicial.com.br/sgc/download.php?file=files/processo_documento/processo_documento09444722082025_1_.pdf&amp;nome=2&#176; Edital - Rela&#231;&#227;o de Credores AJ e PRJ" TargetMode="External" Id="rId545" /><Relationship Type="http://schemas.openxmlformats.org/officeDocument/2006/relationships/hyperlink" Target="https://recuperacaojudicial.squarespace.com/s/RJ-Credimoveis-QGC-01082025.pdf" TargetMode="External" Id="rId546" /><Relationship Type="http://schemas.openxmlformats.org/officeDocument/2006/relationships/hyperlink" Target="https://stenius.com.br/wp-content/uploads/2026/06/EDITAL-GRUPO-3E.pdf" TargetMode="External" Id="rId547" /><Relationship Type="http://schemas.openxmlformats.org/officeDocument/2006/relationships/hyperlink" Target="https://scalzilliaj.com.br/sgc/download.php?file=files/processo_documento/processo_documento09514021082025_1_.pdf&amp;nome=04 - Rela&#231;&#227;o de credores das Recuperandas" TargetMode="External" Id="rId548" /><Relationship Type="http://schemas.openxmlformats.org/officeDocument/2006/relationships/hyperlink" Target="https://recuperacaojudicial.squarespace.com/s/RJ-Grupo-Arnon-de-Melo-Lista-de-Credores-Consolidada-abril-2022.pdf" TargetMode="External" Id="rId549" /><Relationship Type="http://schemas.openxmlformats.org/officeDocument/2006/relationships/hyperlink" Target="https://stenius.com.br/wp-content/uploads/2026/06/EDITAL-GRUPO-3E.pdf" TargetMode="External" Id="rId550" /><Relationship Type="http://schemas.openxmlformats.org/officeDocument/2006/relationships/hyperlink" Target="https://stenius.com.br/wp-content/uploads/2026/06/EDITAL-GRUPO-3E.pdf" TargetMode="External" Id="rId551" /><Relationship Type="http://schemas.openxmlformats.org/officeDocument/2006/relationships/hyperlink" Target="https://recuperacaojudicial.squarespace.com/s/RJ-Credimoveis-QGC-01082025.pdf" TargetMode="External" Id="rId552" /><Relationship Type="http://schemas.openxmlformats.org/officeDocument/2006/relationships/hyperlink" Target="https://scalzilliaj.com.br/sgc/download.php?file=files/processo_documento/processo_documento15542620022025_1_.pdf&amp;nome=11 - Rela&#231;&#227;o de credores - art. 7&#186;, &#167;2&#186;, da LREF" TargetMode="External" Id="rId55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54" /><Relationship Type="http://schemas.openxmlformats.org/officeDocument/2006/relationships/hyperlink" Target="https://recuperacaojudicial.squarespace.com/s/RJ-Grupo-Arnon-de-Melo-Lista-de-Credores-Consolidada-abril-2022.pdf" TargetMode="External" Id="rId555" /><Relationship Type="http://schemas.openxmlformats.org/officeDocument/2006/relationships/hyperlink" Target="https://administradorajudicialgs.com.br/wp-content/uploads/2024/12/relacao-de-credores-da-falida.pdf" TargetMode="External" Id="rId556" /><Relationship Type="http://schemas.openxmlformats.org/officeDocument/2006/relationships/hyperlink" Target="https://lrflideres.com.br/wp-content/plugins/download-attachments/includes/download.php?id=5001" TargetMode="External" Id="rId557" /><Relationship Type="http://schemas.openxmlformats.org/officeDocument/2006/relationships/hyperlink" Target="https://stenius.com.br/wp-content/uploads/2026/06/EDITAL-GRUPO-3E.pdf" TargetMode="External" Id="rId55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59" /></Relationships>
</file>

<file path=xl/worksheets/_rels/sheet4.xml.rels><Relationships xmlns="http://schemas.openxmlformats.org/package/2006/relationships"><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 /><Relationship Type="http://schemas.openxmlformats.org/officeDocument/2006/relationships/hyperlink" Target="https://administradorajudicialgs.com.br/wp-content/uploads/2024/12/relacao-de-credores-da-falida.pdf" TargetMode="External" Id="rId3" /><Relationship Type="http://schemas.openxmlformats.org/officeDocument/2006/relationships/hyperlink" Target="https://recuperacaojudicial.squarespace.com/s/RJ-Credimoveis-QGC-01082025.pdf" TargetMode="External" Id="rId4" /><Relationship Type="http://schemas.openxmlformats.org/officeDocument/2006/relationships/hyperlink" Target="https://marquesadmjudicial.com.br/sgc/download.php?file=files/processo_documento/processo_documento17040729052024_1_.pdf&amp;nome=Rela&#231;&#227;o Nominal de Credores AJ-Sint&#233;tica" TargetMode="External" Id="rId5" /><Relationship Type="http://schemas.openxmlformats.org/officeDocument/2006/relationships/hyperlink" Target="https://marquesadmjudicial.com.br/sgc/download.php?file=files/processo_documento/processo_documento19270817122025_1_.pdf&amp;nome=Rela&#231;&#227;o Nominal de Credores AJ" TargetMode="External" Id="rId6"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7" /><Relationship Type="http://schemas.openxmlformats.org/officeDocument/2006/relationships/hyperlink" Target="https://marquesadmjudicial.com.br/sgc/download.php?file=files/processo_documento/processo_documento17040729052024_1_.pdf&amp;nome=Rela&#231;&#227;o Nominal de Credores AJ-Sint&#233;tica" TargetMode="External" Id="rId8" /><Relationship Type="http://schemas.openxmlformats.org/officeDocument/2006/relationships/hyperlink" Target="https://scalzilliaj.com.br/sgc/download.php?file=files/processo_documento/processo_documento09514021082025_1_.pdf&amp;nome=04 - Rela&#231;&#227;o de credores das Recuperandas" TargetMode="External" Id="rId9" /><Relationship Type="http://schemas.openxmlformats.org/officeDocument/2006/relationships/hyperlink" Target="https://stenius.com.br/wp-content/uploads/2026/06/EDITAL-GRUPO-3E.pdf" TargetMode="External" Id="rId10" /><Relationship Type="http://schemas.openxmlformats.org/officeDocument/2006/relationships/hyperlink" Target="https://recuperacaojudicial.squarespace.com/s/RJ-Credimoveis-QGC-01082025.pdf" TargetMode="External" Id="rId11" /><Relationship Type="http://schemas.openxmlformats.org/officeDocument/2006/relationships/hyperlink" Target="https://cataliseaj.com.br/sgc/download.php?file=files/processo_documento/processo_documento15092204102024_1_.pdf&amp;nome=02. RELA&#199;&#195;O DE CREDORES" TargetMode="External" Id="rId12" /><Relationship Type="http://schemas.openxmlformats.org/officeDocument/2006/relationships/hyperlink" Target="https://stenius.com.br/wp-content/uploads/2026/06/EDITAL-GRUPO-3E.pdf" TargetMode="External" Id="rId13" /><Relationship Type="http://schemas.openxmlformats.org/officeDocument/2006/relationships/hyperlink" Target="https://bbsadvogados.com.br/wp-content/uploads/2025/04/Equipseg-Edital-Relacao-de-Credores-da-Administradora-Judicial-art.-7o2o-da-LRF.pdf" TargetMode="External" Id="rId14" /><Relationship Type="http://schemas.openxmlformats.org/officeDocument/2006/relationships/hyperlink" Target="https://recuperacaojudicial.squarespace.com/s/RJ-Grupo-Arnon-de-Melo-Lista-de-Credores-Consolidada-abril-2022.pdf" TargetMode="External" Id="rId15" /><Relationship Type="http://schemas.openxmlformats.org/officeDocument/2006/relationships/hyperlink" Target="https://recuperacaojudicial.squarespace.com/s/RJ-Credimoveis-QGC-01082025.pdf" TargetMode="External" Id="rId16" /><Relationship Type="http://schemas.openxmlformats.org/officeDocument/2006/relationships/hyperlink" Target="https://ajruiz.com.br/sites/default/files/public/arquivos-processos/2024-04/relacao_de_credores_recuperanda_1.pdf" TargetMode="External" Id="rId17" /><Relationship Type="http://schemas.openxmlformats.org/officeDocument/2006/relationships/hyperlink" Target="https://lrflideres.com.br/wp-content/plugins/download-attachments/includes/download.php?id=4023" TargetMode="External" Id="rId18" /><Relationship Type="http://schemas.openxmlformats.org/officeDocument/2006/relationships/hyperlink" Target="https://administradorajudicialgs.com.br/wp-content/uploads/2023/08/doc-06-relacao-credores-do-administrador-judicial-10-02-2015.pdf" TargetMode="External" Id="rId19" /><Relationship Type="http://schemas.openxmlformats.org/officeDocument/2006/relationships/hyperlink" Target="https://marquesadmjudicial.com.br/sgc/download.php?file=files/processo_documento/processo_documento10074612042024_1_.pdf&amp;nome=2&#186; Edital-Rela&#231;&#227;o de Credores AJ e PRJ" TargetMode="External" Id="rId20" /><Relationship Type="http://schemas.openxmlformats.org/officeDocument/2006/relationships/hyperlink" Target="https://recuperacaojudicial.squarespace.com/s/RJ-Grupo-Arnon-de-Melo-Lista-de-Credores-Consolidada-abril-2022.pdf" TargetMode="External" Id="rId21" /><Relationship Type="http://schemas.openxmlformats.org/officeDocument/2006/relationships/hyperlink" Target="https://stenius.com.br/wp-content/uploads/2026/06/EDITAL-GRUPO-3E.pdf" TargetMode="External" Id="rId22" /><Relationship Type="http://schemas.openxmlformats.org/officeDocument/2006/relationships/hyperlink" Target="https://recuperacaojudicial.squarespace.com/s/RJ-Credimoveis-QGC-01082025.pdf" TargetMode="External" Id="rId23" /><Relationship Type="http://schemas.openxmlformats.org/officeDocument/2006/relationships/hyperlink" Target="https://recuperacaojudicial.squarespace.com/s/RJ-Grupo-Arnon-de-Melo-Lista-de-Credores-Consolidada-abril-2022.pdf" TargetMode="External" Id="rId24" /><Relationship Type="http://schemas.openxmlformats.org/officeDocument/2006/relationships/hyperlink" Target="https://recuperacaojudicial.squarespace.com/s/RJ-Grupo-Arnon-de-Melo-Lista-de-Credores-Consolidada-abril-2022.pdf" TargetMode="External" Id="rId25" /><Relationship Type="http://schemas.openxmlformats.org/officeDocument/2006/relationships/hyperlink" Target="https://administradorajudicialgs.com.br/wp-content/uploads/2023/08/doc-06-relacao-credores-do-administrador-judicial-10-02-2015.pdf" TargetMode="External" Id="rId26" /><Relationship Type="http://schemas.openxmlformats.org/officeDocument/2006/relationships/hyperlink" Target="https://ajruiz.com.br/sites/default/files/public/arquivos-processos/2026-08/qgc_azeplast_julho_2026.pdf" TargetMode="External" Id="rId27" /><Relationship Type="http://schemas.openxmlformats.org/officeDocument/2006/relationships/hyperlink" Target="https://lrflideres.com.br/wp-content/plugins/download-attachments/includes/download.php?id=6252" TargetMode="External" Id="rId28" /><Relationship Type="http://schemas.openxmlformats.org/officeDocument/2006/relationships/hyperlink" Target="https://recuperacaojudicial.squarespace.com/s/EDITAL-COM-A-2-LISTA-DE-CREDORES-E-INFORMANDO-A-APRESENTACO-DO-PRJ_1532.pdf" TargetMode="External" Id="rId29" /><Relationship Type="http://schemas.openxmlformats.org/officeDocument/2006/relationships/hyperlink" Target="https://scalzilliaj.com.br/sgc/download.php?file=files/processo_documento/processo_documento09514021082025_1_.pdf&amp;nome=04 - Rela&#231;&#227;o de credores das Recuperandas" TargetMode="External" Id="rId30" /><Relationship Type="http://schemas.openxmlformats.org/officeDocument/2006/relationships/hyperlink" Target="https://ajruiz.com.br/sites/default/files/public/arquivos-processos/2023-11/4_relacao_de_credores_analitica_art._51_iii_da_lre.pdf" TargetMode="External" Id="rId3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32" /><Relationship Type="http://schemas.openxmlformats.org/officeDocument/2006/relationships/hyperlink" Target="https://ajruiz.com.br/sites/default/files/public/arquivos-processos/2026-06/alto_uruguai_qgc_junho.2026.pdf" TargetMode="External" Id="rId33"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34" /><Relationship Type="http://schemas.openxmlformats.org/officeDocument/2006/relationships/hyperlink" Target="https://scalzilliaj.com.br/sgc/download.php?file=files/processo_documento/processo_documento09514021082025_1_.pdf&amp;nome=04 - Rela&#231;&#227;o de credores das Recuperandas" TargetMode="External" Id="rId35" /><Relationship Type="http://schemas.openxmlformats.org/officeDocument/2006/relationships/hyperlink" Target="https://ricardobiancardi.com.br/wp-content/uploads/2024/12/Edital-1-relacao-de-credores-pub.-02.12.24-.pdf" TargetMode="External" Id="rId36" /><Relationship Type="http://schemas.openxmlformats.org/officeDocument/2006/relationships/hyperlink" Target="https://lrflideres.com.br/wp-content/plugins/download-attachments/includes/download.php?id=6273" TargetMode="External" Id="rId37" /><Relationship Type="http://schemas.openxmlformats.org/officeDocument/2006/relationships/hyperlink" Target="https://recuperacaojudicial.squarespace.com/s/RJ-Credimoveis-QGC-01082025.pdf" TargetMode="External" Id="rId38"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9"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40" /><Relationship Type="http://schemas.openxmlformats.org/officeDocument/2006/relationships/hyperlink" Target="https://recuperacaojudicial.squarespace.com/s/RJ-Credimoveis-QGC-01082025.pdf" TargetMode="External" Id="rId41" /><Relationship Type="http://schemas.openxmlformats.org/officeDocument/2006/relationships/hyperlink" Target="https://marquesadmjudicial.com.br/sgc/download.php?file=files/processo_documento/processo_documento10074612042024_1_.pdf&amp;nome=2&#186; Edital-Rela&#231;&#227;o de Credores AJ e PRJ" TargetMode="External" Id="rId42" /><Relationship Type="http://schemas.openxmlformats.org/officeDocument/2006/relationships/hyperlink" Target="https://recuperacaojudicial.squarespace.com/s/EDITAL-COM-A-2-LISTA-DE-CREDORES-E-INFORMANDO-A-APRESENTACO-DO-PRJ_1532.pdf" TargetMode="External" Id="rId43" /><Relationship Type="http://schemas.openxmlformats.org/officeDocument/2006/relationships/hyperlink" Target="https://ajruiz.com.br/sites/default/files/public/arquivos-processos/2026-08/qgc_azeplast_julho_2026.pdf" TargetMode="External" Id="rId44"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5" /><Relationship Type="http://schemas.openxmlformats.org/officeDocument/2006/relationships/hyperlink" Target="https://stenius.com.br/wp-content/uploads/2026/06/EDITAL-GRUPO-3E.pdf" TargetMode="External" Id="rId46" /><Relationship Type="http://schemas.openxmlformats.org/officeDocument/2006/relationships/hyperlink" Target="https://administradorajudicialgs.com.br/wp-content/uploads/2023/08/doc-06-relacao-credores-do-administrador-judicial-10-02-2015.pdf" TargetMode="External" Id="rId47"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48" /><Relationship Type="http://schemas.openxmlformats.org/officeDocument/2006/relationships/hyperlink" Target="https://scalzilliaj.com.br/sgc/download.php?file=files/processo_documento/processo_documento09514021082025_1_.pdf&amp;nome=04 - Rela&#231;&#227;o de credores das Recuperandas" TargetMode="External" Id="rId49" /><Relationship Type="http://schemas.openxmlformats.org/officeDocument/2006/relationships/hyperlink" Target="https://scalzilliaj.com.br/sgc/download.php?file=files/processo_documento/processo_documento09514021082025_1_.pdf&amp;nome=04 - Rela&#231;&#227;o de credores das Recuperandas" TargetMode="External" Id="rId50" /><Relationship Type="http://schemas.openxmlformats.org/officeDocument/2006/relationships/hyperlink" Target="https://stenius.com.br/wp-content/uploads/2026/06/EDITAL-GRUPO-3E.pdf" TargetMode="External" Id="rId51" /><Relationship Type="http://schemas.openxmlformats.org/officeDocument/2006/relationships/hyperlink" Target="https://recuperacaojudicial.squarespace.com/s/RJ-Credimoveis-QGC-01082025.pdf" TargetMode="External" Id="rId52" /><Relationship Type="http://schemas.openxmlformats.org/officeDocument/2006/relationships/hyperlink" Target="https://marquesadmjudicial.com.br/sgc/download.php?file=files/processo_documento/processo_documento10074612042024_1_.pdf&amp;nome=2&#186; Edital-Rela&#231;&#227;o de Credores AJ e PRJ" TargetMode="External" Id="rId53" /><Relationship Type="http://schemas.openxmlformats.org/officeDocument/2006/relationships/hyperlink" Target="https://violet-wolf-754008.hostingersite.com/wp-content/uploads/recuperacoes-judiciais/Ebramec/2o-Edital-de-Credores.pdf" TargetMode="External" Id="rId54"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55" /><Relationship Type="http://schemas.openxmlformats.org/officeDocument/2006/relationships/hyperlink" Target="https://scalzilliaj.com.br/sgc/download.php?file=files/processo_documento/processo_documento09514021082025_1_.pdf&amp;nome=04 - Rela&#231;&#227;o de credores das Recuperandas" TargetMode="External" Id="rId5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57" /><Relationship Type="http://schemas.openxmlformats.org/officeDocument/2006/relationships/hyperlink" Target="https://stenius.com.br/wp-content/uploads/2026/06/EDITAL-GRUPO-3E.pdf" TargetMode="External" Id="rId58" /><Relationship Type="http://schemas.openxmlformats.org/officeDocument/2006/relationships/hyperlink" Target="https://scalzilliaj.com.br/sgc/download.php?file=files/processo_documento/processo_documento09514021082025_1_.pdf&amp;nome=04 - Rela&#231;&#227;o de credores das Recuperandas" TargetMode="External" Id="rId59" /><Relationship Type="http://schemas.openxmlformats.org/officeDocument/2006/relationships/hyperlink" Target="https://stenius.com.br/wp-content/uploads/2026/06/EDITAL-GRUPO-3E.pdf" TargetMode="External" Id="rId60" /><Relationship Type="http://schemas.openxmlformats.org/officeDocument/2006/relationships/hyperlink" Target="https://ajruiz.com.br/sites/default/files/public/arquivos-processos/2026-08/qgc_azeplast_julho_2026.pdf" TargetMode="External" Id="rId61" /><Relationship Type="http://schemas.openxmlformats.org/officeDocument/2006/relationships/hyperlink" Target="https://lrflideres.com.br/wp-content/plugins/download-attachments/includes/download.php?id=6051" TargetMode="External" Id="rId62" /><Relationship Type="http://schemas.openxmlformats.org/officeDocument/2006/relationships/hyperlink" Target="https://recuperacaojudicial.squarespace.com/s/RJ-Credimoveis-QGC-01082025.pdf" TargetMode="External" Id="rId63" /><Relationship Type="http://schemas.openxmlformats.org/officeDocument/2006/relationships/hyperlink" Target="https://marquesadmjudicial.com.br/sgc/download.php?file=files/processo_documento/processo_documento20014127022025_1_.pdf&amp;nome=Rela&#231;&#227;o Nominal de Credores" TargetMode="External" Id="rId64" /><Relationship Type="http://schemas.openxmlformats.org/officeDocument/2006/relationships/hyperlink" Target="https://recuperacaojudicial.squarespace.com/s/RJ-Grupo-Arnon-de-Melo-Lista-de-Credores-Consolidada-abril-2022.pdf" TargetMode="External" Id="rId6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66" /><Relationship Type="http://schemas.openxmlformats.org/officeDocument/2006/relationships/hyperlink" Target="https://stenius.com.br/wp-content/uploads/2026/06/EDITAL-GRUPO-3E.pdf" TargetMode="External" Id="rId67" /><Relationship Type="http://schemas.openxmlformats.org/officeDocument/2006/relationships/hyperlink" Target="https://recuperacaojudicial.squarespace.com/s/RJ-Credimoveis-QGC-01082025.pdf" TargetMode="External" Id="rId68" /><Relationship Type="http://schemas.openxmlformats.org/officeDocument/2006/relationships/hyperlink" Target="https://recuperacaojudicial.squarespace.com/s/RJ-Credimoveis-QGC-01082025.pdf" TargetMode="External" Id="rId69" /><Relationship Type="http://schemas.openxmlformats.org/officeDocument/2006/relationships/hyperlink" Target="https://stenius.com.br/wp-content/uploads/2026/06/EDITAL-GRUPO-3E.pdf" TargetMode="External" Id="rId70" /><Relationship Type="http://schemas.openxmlformats.org/officeDocument/2006/relationships/hyperlink" Target="https://stenius.com.br/wp-content/uploads/2026/06/EDITAL-GRUPO-3E.pdf" TargetMode="External" Id="rId71" /><Relationship Type="http://schemas.openxmlformats.org/officeDocument/2006/relationships/hyperlink" Target="https://stenius.com.br/wp-content/uploads/2026/06/EDITAL-GRUPO-3E.pdf" TargetMode="External" Id="rId72" /><Relationship Type="http://schemas.openxmlformats.org/officeDocument/2006/relationships/hyperlink" Target="https://recuperacaojudicial.squarespace.com/s/RJ-Credimoveis-QGC-01082025.pdf" TargetMode="External" Id="rId73" /><Relationship Type="http://schemas.openxmlformats.org/officeDocument/2006/relationships/hyperlink" Target="https://ajruiz.com.br/sites/default/files/public/arquivos-processos/2024-04/relacao_de_credores_recuperanda_1.pdf" TargetMode="External" Id="rId74" /><Relationship Type="http://schemas.openxmlformats.org/officeDocument/2006/relationships/hyperlink" Target="https://stenius.com.br/wp-content/uploads/2026/06/EDITAL-GRUPO-3E.pdf" TargetMode="External" Id="rId75" /><Relationship Type="http://schemas.openxmlformats.org/officeDocument/2006/relationships/hyperlink" Target="https://stenius.com.br/wp-content/uploads/2026/06/EDITAL-GRUPO-3E.pdf" TargetMode="External" Id="rId76" /><Relationship Type="http://schemas.openxmlformats.org/officeDocument/2006/relationships/hyperlink" Target="https://administradorajudicialgs.com.br/wp-content/uploads/2024/12/relacao-de-credores-da-falida.pdf" TargetMode="External" Id="rId77" /><Relationship Type="http://schemas.openxmlformats.org/officeDocument/2006/relationships/hyperlink" Target="https://ajruiz.com.br/sites/default/files/public/arquivos-processos/2023-11/4_relacao_de_credores_analitica_art._51_iii_da_lre.pdf" TargetMode="External" Id="rId78" /><Relationship Type="http://schemas.openxmlformats.org/officeDocument/2006/relationships/hyperlink" Target="https://stenius.com.br/wp-content/uploads/2026/06/EDITAL-GRUPO-3E.pdf" TargetMode="External" Id="rId79"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80" /><Relationship Type="http://schemas.openxmlformats.org/officeDocument/2006/relationships/hyperlink" Target="https://lrflideres.com.br/wp-content/plugins/download-attachments/includes/download.php?id=6051" TargetMode="External" Id="rId81" /><Relationship Type="http://schemas.openxmlformats.org/officeDocument/2006/relationships/hyperlink" Target="https://inova-aj.com.br/wp-content/uploads/2026/08/1a-Relacao-de-Credores-Real.pdf" TargetMode="External" Id="rId82" /><Relationship Type="http://schemas.openxmlformats.org/officeDocument/2006/relationships/hyperlink" Target="https://recuperacaojudicial.squarespace.com/s/EDITAL-COM-A-2-LISTA-DE-CREDORES-E-INFORMANDO-A-APRESENTACO-DO-PRJ_1532.pdf" TargetMode="External" Id="rId83" /><Relationship Type="http://schemas.openxmlformats.org/officeDocument/2006/relationships/hyperlink" Target="https://marquesadmjudicial.com.br/sgc/download.php?file=files/processo_documento/processo_documento20014127022025_1_.pdf&amp;nome=Rela&#231;&#227;o Nominal de Credores" TargetMode="External" Id="rId84" /><Relationship Type="http://schemas.openxmlformats.org/officeDocument/2006/relationships/hyperlink" Target="https://administradorajudicialgs.com.br/wp-content/uploads/2024/12/relacao-de-credores-da-falida.pdf" TargetMode="External" Id="rId85"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86" /><Relationship Type="http://schemas.openxmlformats.org/officeDocument/2006/relationships/hyperlink" Target="https://lrflideres.com.br/wp-content/plugins/download-attachments/includes/download.php?id=4023" TargetMode="External" Id="rId87" /><Relationship Type="http://schemas.openxmlformats.org/officeDocument/2006/relationships/hyperlink" Target="https://scalzilliaj.com.br/sgc/download.php?file=files/processo_documento/processo_documento09514021082025_1_.pdf&amp;nome=04 - Rela&#231;&#227;o de credores das Recuperandas" TargetMode="External" Id="rId88" /><Relationship Type="http://schemas.openxmlformats.org/officeDocument/2006/relationships/hyperlink" Target="https://scalzilliaj.com.br/sgc/download.php?file=files/processo_documento/processo_documento09514021082025_1_.pdf&amp;nome=04 - Rela&#231;&#227;o de credores das Recuperandas" TargetMode="External" Id="rId89" /><Relationship Type="http://schemas.openxmlformats.org/officeDocument/2006/relationships/hyperlink" Target="https://ajruiz.com.br/sites/default/files/public/arquivos-processos/2023-11/4_relacao_de_credores_analitica_art._51_iii_da_lre.pdf" TargetMode="External" Id="rId90" /><Relationship Type="http://schemas.openxmlformats.org/officeDocument/2006/relationships/hyperlink" Target="https://ajruiz.com.br/sites/default/files/public/arquivos-processos/2024-04/relacao_de_credores_recuperanda_1.pdf" TargetMode="External" Id="rId91" /><Relationship Type="http://schemas.openxmlformats.org/officeDocument/2006/relationships/hyperlink" Target="https://lrflideres.com.br/wp-content/plugins/download-attachments/includes/download.php?id=6879" TargetMode="External" Id="rId92" /><Relationship Type="http://schemas.openxmlformats.org/officeDocument/2006/relationships/hyperlink" Target="https://marquesadmjudicial.com.br/sgc/download.php?file=files/processo_documento/processo_documento15232121112024_1_.pdf&amp;nome=Rela&#231;&#227;o de Credores" TargetMode="External" Id="rId93" /><Relationship Type="http://schemas.openxmlformats.org/officeDocument/2006/relationships/hyperlink" Target="https://scalzilliaj.com.br/sgc/download.php?file=files/processo_documento/processo_documento09514021082025_1_.pdf&amp;nome=04 - Rela&#231;&#227;o de credores das Recuperandas" TargetMode="External" Id="rId94" /><Relationship Type="http://schemas.openxmlformats.org/officeDocument/2006/relationships/hyperlink" Target="https://stenius.com.br/wp-content/uploads/2026/06/EDITAL-GRUPO-3E.pdf" TargetMode="External" Id="rId95" /><Relationship Type="http://schemas.openxmlformats.org/officeDocument/2006/relationships/hyperlink" Target="https://scalzilliaj.com.br/sgc/download.php?file=files/processo_documento/processo_documento09514021082025_1_.pdf&amp;nome=04 - Rela&#231;&#227;o de credores das Recuperandas" TargetMode="External" Id="rId96"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97" /><Relationship Type="http://schemas.openxmlformats.org/officeDocument/2006/relationships/hyperlink" Target="https://marquesadmjudicial.com.br/sgc/download.php?file=files/processo_documento/processo_documento17040729052024_1_.pdf&amp;nome=Rela&#231;&#227;o Nominal de Credores AJ-Sint&#233;tica" TargetMode="External" Id="rId98" /><Relationship Type="http://schemas.openxmlformats.org/officeDocument/2006/relationships/hyperlink" Target="https://lrflideres.com.br/wp-content/plugins/download-attachments/includes/download.php?id=5001" TargetMode="External" Id="rId99" /><Relationship Type="http://schemas.openxmlformats.org/officeDocument/2006/relationships/hyperlink" Target="https://cdn.dol.com.br/img/attachmentinline/940000/6publicacao-2-edital-art-7-parag-2-da-lei-11101-20009467060.pdf?xid=3272528" TargetMode="External" Id="rId10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01" /><Relationship Type="http://schemas.openxmlformats.org/officeDocument/2006/relationships/hyperlink" Target="https://marquesadmjudicial.com.br/sgc/download.php?file=files/processo_documento/processo_documento10074612042024_1_.pdf&amp;nome=2&#186; Edital-Rela&#231;&#227;o de Credores AJ e PRJ" TargetMode="External" Id="rId102" /><Relationship Type="http://schemas.openxmlformats.org/officeDocument/2006/relationships/hyperlink" Target="https://scalzilliaj.com.br/sgc/download.php?file=files/processo_documento/processo_documento09514021082025_1_.pdf&amp;nome=04 - Rela&#231;&#227;o de credores das Recuperandas" TargetMode="External" Id="rId103" /><Relationship Type="http://schemas.openxmlformats.org/officeDocument/2006/relationships/hyperlink" Target="https://administradorajudicialgs.com.br/wp-content/uploads/2024/12/relacao-de-credores-da-falida.pdf" TargetMode="External" Id="rId104" /><Relationship Type="http://schemas.openxmlformats.org/officeDocument/2006/relationships/hyperlink" Target="https://stenius.com.br/wp-content/uploads/2026/03/EDITAL-1-UNIBRAS.pdf" TargetMode="External" Id="rId105" /><Relationship Type="http://schemas.openxmlformats.org/officeDocument/2006/relationships/hyperlink" Target="https://stenius.com.br/wp-content/uploads/2026/06/EDITAL-GRUPO-3E.pdf" TargetMode="External" Id="rId106" /><Relationship Type="http://schemas.openxmlformats.org/officeDocument/2006/relationships/hyperlink" Target="https://administradorajudicialgs.com.br/wp-content/uploads/2023/08/doc-06-relacao-credores-do-administrador-judicial-10-02-2015.pdf" TargetMode="External" Id="rId107" /><Relationship Type="http://schemas.openxmlformats.org/officeDocument/2006/relationships/hyperlink" Target="https://stenius.com.br/wp-content/uploads/2026/06/EDITAL-GRUPO-3E.pdf" TargetMode="External" Id="rId108" /><Relationship Type="http://schemas.openxmlformats.org/officeDocument/2006/relationships/hyperlink" Target="https://stenius.com.br/wp-content/uploads/2026/06/EDITAL-GRUPO-3E.pdf" TargetMode="External" Id="rId109" /><Relationship Type="http://schemas.openxmlformats.org/officeDocument/2006/relationships/hyperlink" Target="https://lrflideres.com.br/wp-content/plugins/download-attachments/includes/download.php?id=4023" TargetMode="External" Id="rId110" /><Relationship Type="http://schemas.openxmlformats.org/officeDocument/2006/relationships/hyperlink" Target="http://recuperacaojudicial.squarespace.com/s/LISTA-DE-CREDORES-CONSOLIDADA-ATE-04102024.pdf" TargetMode="External" Id="rId111" /><Relationship Type="http://schemas.openxmlformats.org/officeDocument/2006/relationships/hyperlink" Target="https://administradorajudicialgs.com.br/wp-content/uploads/2024/12/relacao-de-credores-da-falida.pdf" TargetMode="External" Id="rId112" /><Relationship Type="http://schemas.openxmlformats.org/officeDocument/2006/relationships/hyperlink" Target="https://ajruiz.com.br/sites/default/files/public/arquivos-processos/2024-04/relacao_de_credores_recuperanda_1.pdf" TargetMode="External" Id="rId113" /><Relationship Type="http://schemas.openxmlformats.org/officeDocument/2006/relationships/hyperlink" Target="https://administradorajudicialgs.com.br/wp-content/uploads/2024/12/relacao-de-credores-da-falida.pdf" TargetMode="External" Id="rId114" /><Relationship Type="http://schemas.openxmlformats.org/officeDocument/2006/relationships/hyperlink" Target="https://lrflideres.com.br/wp-content/plugins/download-attachments/includes/download.php?id=4023" TargetMode="External" Id="rId115" /><Relationship Type="http://schemas.openxmlformats.org/officeDocument/2006/relationships/hyperlink" Target="https://stenius.com.br/wp-content/uploads/2026/06/EDITAL-GRUPO-3E.pdf" TargetMode="External" Id="rId116" /><Relationship Type="http://schemas.openxmlformats.org/officeDocument/2006/relationships/hyperlink" Target="https://stenius.com.br/wp-content/uploads/2026/06/EDITAL-GRUPO-3E.pdf" TargetMode="External" Id="rId117" /><Relationship Type="http://schemas.openxmlformats.org/officeDocument/2006/relationships/hyperlink" Target="https://scalzilliaj.com.br/sgc/download.php?file=files/processo_documento/processo_documento09514021082025_1_.pdf&amp;nome=04 - Rela&#231;&#227;o de credores das Recuperandas" TargetMode="External" Id="rId118" /><Relationship Type="http://schemas.openxmlformats.org/officeDocument/2006/relationships/hyperlink" Target="https://administradorajudicialgs.com.br/wp-content/uploads/2023/08/advogados-sgrott-doc-22-relacao-de-credores-do-administrador-judicial-classe-iii-05-02-14.pdf" TargetMode="External" Id="rId119" /><Relationship Type="http://schemas.openxmlformats.org/officeDocument/2006/relationships/hyperlink" Target="https://marquesadmjudicial.com.br/sgc/download.php?file=files/processo_documento/processo_documento10074612042024_1_.pdf&amp;nome=2&#186; Edital-Rela&#231;&#227;o de Credores AJ e PRJ" TargetMode="External" Id="rId120" /><Relationship Type="http://schemas.openxmlformats.org/officeDocument/2006/relationships/hyperlink" Target="https://inova-aj.com.br/wp-content/uploads/2026/08/1a-Relacao-de-Credores-Real.pdf" TargetMode="External" Id="rId121" /><Relationship Type="http://schemas.openxmlformats.org/officeDocument/2006/relationships/hyperlink" Target="https://administradorajudicialgs.com.br/wp-content/uploads/2023/08/doc-06-relacao-credores-do-administrador-judicial-10-02-2015.pdf" TargetMode="External" Id="rId122" /><Relationship Type="http://schemas.openxmlformats.org/officeDocument/2006/relationships/hyperlink" Target="https://ajruiz.com.br/sites/default/files/public/arquivos-processos/2026-08/qgc_azeplast_julho_2026.pdf" TargetMode="External" Id="rId123" /><Relationship Type="http://schemas.openxmlformats.org/officeDocument/2006/relationships/hyperlink" Target="https://scalzilliaj.com.br/sgc/download.php?file=files/processo_documento/processo_documento09514021082025_1_.pdf&amp;nome=04 - Rela&#231;&#227;o de credores das Recuperandas" TargetMode="External" Id="rId124" /><Relationship Type="http://schemas.openxmlformats.org/officeDocument/2006/relationships/hyperlink" Target="https://ajruiz.com.br/sites/default/files/public/arquivos-processos/2026-06/alto_uruguai_qgc_junho.2026.pdf" TargetMode="External" Id="rId125" /><Relationship Type="http://schemas.openxmlformats.org/officeDocument/2006/relationships/hyperlink" Target="https://recuperacaojudicial.squarespace.com/s/RJ-Credimoveis-QGC-01082025.pdf" TargetMode="External" Id="rId126" /><Relationship Type="http://schemas.openxmlformats.org/officeDocument/2006/relationships/hyperlink" Target="https://lrflideres.com.br/wp-content/plugins/download-attachments/includes/download.php?id=4023" TargetMode="External" Id="rId12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28" /><Relationship Type="http://schemas.openxmlformats.org/officeDocument/2006/relationships/hyperlink" Target="https://administradorajudicialgs.com.br/wp-content/uploads/2024/12/relacao-de-credores-da-falida.pdf" TargetMode="External" Id="rId129" /><Relationship Type="http://schemas.openxmlformats.org/officeDocument/2006/relationships/hyperlink" Target="https://administradorajudicialgs.com.br/wp-content/uploads/2023/08/doc-06-relacao-credores-do-administrador-judicial-10-02-2015.pdf" TargetMode="External" Id="rId130" /><Relationship Type="http://schemas.openxmlformats.org/officeDocument/2006/relationships/hyperlink" Target="https://ajruiz.com.br/sites/default/files/public/arquivos-processos/2024-04/relacao_de_credores_recuperanda_1.pdf" TargetMode="External" Id="rId131" /><Relationship Type="http://schemas.openxmlformats.org/officeDocument/2006/relationships/hyperlink" Target="http://recuperacaojudicial.squarespace.com/s/LISTA-DE-CREDORES-CONSOLIDADA-ATE-04102024.pdf" TargetMode="External" Id="rId132" /><Relationship Type="http://schemas.openxmlformats.org/officeDocument/2006/relationships/hyperlink" Target="https://administradorajudicialgs.com.br/wp-content/uploads/2023/08/advogados-sgrott-doc-22-relacao-de-credores-do-administrador-judicial-classe-iii-05-02-14.pdf" TargetMode="External" Id="rId133" /><Relationship Type="http://schemas.openxmlformats.org/officeDocument/2006/relationships/hyperlink" Target="https://administradorajudicialgs.com.br/wp-content/uploads/2023/08/doc-06-relacao-credores-do-administrador-judicial-10-02-2015.pdf" TargetMode="External" Id="rId134" /><Relationship Type="http://schemas.openxmlformats.org/officeDocument/2006/relationships/hyperlink" Target="https://scalzilliaj.com.br/sgc/download.php?file=files/processo_documento/processo_documento09514021082025_1_.pdf&amp;nome=04 - Rela&#231;&#227;o de credores das Recuperandas" TargetMode="External" Id="rId135" /><Relationship Type="http://schemas.openxmlformats.org/officeDocument/2006/relationships/hyperlink" Target="https://cataliseaj.com.br/sgc/download.php?file=files/processo_documento/processo_documento15092204102024_1_.pdf&amp;nome=02. RELA&#199;&#195;O DE CREDORES" TargetMode="External" Id="rId136" /><Relationship Type="http://schemas.openxmlformats.org/officeDocument/2006/relationships/hyperlink" Target="https://ajruiz.com.br/sites/default/files/public/arquivos-processos/2026-06/alto_uruguai_qgc_junho.2026.pdf" TargetMode="External" Id="rId137" /><Relationship Type="http://schemas.openxmlformats.org/officeDocument/2006/relationships/hyperlink" Target="https://stenius.com.br/wp-content/uploads/2026/06/EDITAL-GRUPO-3E.pdf" TargetMode="External" Id="rId138" /><Relationship Type="http://schemas.openxmlformats.org/officeDocument/2006/relationships/hyperlink" Target="https://lrflideres.com.br/wp-content/plugins/download-attachments/includes/download.php?id=5589" TargetMode="External" Id="rId13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40" /><Relationship Type="http://schemas.openxmlformats.org/officeDocument/2006/relationships/hyperlink" Target="https://lrflideres.com.br/wp-content/plugins/download-attachments/includes/download.php?id=6252" TargetMode="External" Id="rId141" /><Relationship Type="http://schemas.openxmlformats.org/officeDocument/2006/relationships/hyperlink" Target="https://scalzilliaj.com.br/sgc/download.php?file=files/processo_documento/processo_documento09514021082025_1_.pdf&amp;nome=04 - Rela&#231;&#227;o de credores das Recuperandas" TargetMode="External" Id="rId142" /><Relationship Type="http://schemas.openxmlformats.org/officeDocument/2006/relationships/hyperlink" Target="https://lrflideres.com.br/wp-content/uploads/2022/08/4.-EDITAL-2a-LISTA-DE-CREDORES.pdf" TargetMode="External" Id="rId143" /><Relationship Type="http://schemas.openxmlformats.org/officeDocument/2006/relationships/hyperlink" Target="https://recuperacaojudicial.squarespace.com/s/RJ-Credimoveis-QGC-01082025.pdf" TargetMode="External" Id="rId144" /><Relationship Type="http://schemas.openxmlformats.org/officeDocument/2006/relationships/hyperlink" Target="https://stenius.com.br/wp-content/uploads/2026/06/EDITAL-GRUPO-3E.pdf" TargetMode="External" Id="rId145" /><Relationship Type="http://schemas.openxmlformats.org/officeDocument/2006/relationships/hyperlink" Target="https://lrflideres.com.br/wp-content/plugins/download-attachments/includes/download.php?id=7418" TargetMode="External" Id="rId146"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147" /><Relationship Type="http://schemas.openxmlformats.org/officeDocument/2006/relationships/hyperlink" Target="https://lrflideres.com.br/wp-content/plugins/download-attachments/includes/download.php?id=6051" TargetMode="External" Id="rId148" /><Relationship Type="http://schemas.openxmlformats.org/officeDocument/2006/relationships/hyperlink" Target="https://recuperacaojudicial.squarespace.com/s/RJ-Credimoveis-QGC-01082025.pdf" TargetMode="External" Id="rId149" /><Relationship Type="http://schemas.openxmlformats.org/officeDocument/2006/relationships/hyperlink" Target="https://lrflideres.com.br/wp-content/plugins/download-attachments/includes/download.php?id=6252" TargetMode="External" Id="rId150" /><Relationship Type="http://schemas.openxmlformats.org/officeDocument/2006/relationships/hyperlink" Target="https://recuperacaojudicial.squarespace.com/s/EDITAL-COM-A-2-LISTA-DE-CREDORES-E-INFORMANDO-A-APRESENTACO-DO-PRJ_1532.pdf" TargetMode="External" Id="rId151" /><Relationship Type="http://schemas.openxmlformats.org/officeDocument/2006/relationships/hyperlink" Target="https://scalzilliaj.com.br/sgc/download.php?file=files/processo_documento/processo_documento09514021082025_1_.pdf&amp;nome=04 - Rela&#231;&#227;o de credores das Recuperandas" TargetMode="External" Id="rId152" /><Relationship Type="http://schemas.openxmlformats.org/officeDocument/2006/relationships/hyperlink" Target="https://stenius.com.br/wp-content/uploads/2026/06/EDITAL-GRUPO-3E.pdf" TargetMode="External" Id="rId153" /><Relationship Type="http://schemas.openxmlformats.org/officeDocument/2006/relationships/hyperlink" Target="https://realbrasil.com.br/wp-content/uploads/2018/06/2_LISTA-DE-CREDORES-DA-RECUPERANDA_ROQUE.pdf" TargetMode="External" Id="rId154" /><Relationship Type="http://schemas.openxmlformats.org/officeDocument/2006/relationships/hyperlink" Target="http://bernardobicalho.com.br/login/app/documents/Rela%C3%A7%C3%A3o%20de%20Credores/6.%20RVC-%20Nutricium%20-%20simplificada.pdf" TargetMode="External" Id="rId155" /><Relationship Type="http://schemas.openxmlformats.org/officeDocument/2006/relationships/hyperlink" Target="https://stenius.com.br/wp-content/uploads/2026/06/EDITAL-GRUPO-3E.pdf" TargetMode="External" Id="rId156" /><Relationship Type="http://schemas.openxmlformats.org/officeDocument/2006/relationships/hyperlink" Target="https://lrflideres.com.br/wp-content/plugins/download-attachments/includes/download.php?id=5001" TargetMode="External" Id="rId15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58" /><Relationship Type="http://schemas.openxmlformats.org/officeDocument/2006/relationships/hyperlink" Target="https://scalzilliaj.com.br/sgc/download.php?file=files/processo_documento/processo_documento09514021082025_1_.pdf&amp;nome=04 - Rela&#231;&#227;o de credores das Recuperandas" TargetMode="External" Id="rId159" /><Relationship Type="http://schemas.openxmlformats.org/officeDocument/2006/relationships/hyperlink" Target="https://recuperacaojudicial.squarespace.com/s/RJ-Credimoveis-QGC-01082025.pdf" TargetMode="External" Id="rId160"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161" /><Relationship Type="http://schemas.openxmlformats.org/officeDocument/2006/relationships/hyperlink" Target="https://recuperacaojudicial.squarespace.com/s/RJ-Credimoveis-QGC-01082025.pdf" TargetMode="External" Id="rId16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63" /><Relationship Type="http://schemas.openxmlformats.org/officeDocument/2006/relationships/hyperlink" Target="https://ajruiz.com.br/sites/default/files/public/arquivos-processos/2026-08/qgc_azeplast_julho_2026.pdf" TargetMode="External" Id="rId164" /><Relationship Type="http://schemas.openxmlformats.org/officeDocument/2006/relationships/hyperlink" Target="https://administradorajudicialgs.com.br/wp-content/uploads/2023/08/edital-quadro-geral-de-credores.pdf" TargetMode="External" Id="rId165" /><Relationship Type="http://schemas.openxmlformats.org/officeDocument/2006/relationships/hyperlink" Target="https://recuperacaojudicial.squarespace.com/s/RJ-Credimoveis-QGC-01082025.pdf" TargetMode="External" Id="rId166" /><Relationship Type="http://schemas.openxmlformats.org/officeDocument/2006/relationships/hyperlink" Target="https://recuperacaojudicial.squarespace.com/s/RJ-Credimoveis-QGC-01082025.pdf" TargetMode="External" Id="rId167" /><Relationship Type="http://schemas.openxmlformats.org/officeDocument/2006/relationships/hyperlink" Target="https://lrflideres.com.br/wp-content/plugins/download-attachments/includes/download.php?id=6051" TargetMode="External" Id="rId168" /><Relationship Type="http://schemas.openxmlformats.org/officeDocument/2006/relationships/hyperlink" Target="https://ajruiz.com.br/sites/default/files/public/arquivos-processos/2026-08/qgc_azeplast_julho_2026.pdf" TargetMode="External" Id="rId16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70" /><Relationship Type="http://schemas.openxmlformats.org/officeDocument/2006/relationships/hyperlink" Target="https://scalzilliaj.com.br/sgc/download.php?file=files/processo_documento/processo_documento09514021082025_1_.pdf&amp;nome=04 - Rela&#231;&#227;o de credores das Recuperandas" TargetMode="External" Id="rId171" /><Relationship Type="http://schemas.openxmlformats.org/officeDocument/2006/relationships/hyperlink" Target="https://realbrasil.com.br/wp-content/uploads/2018/06/2_LISTA-DE-CREDORES-DA-RECUPERANDA_ROQUE.pdf" TargetMode="External" Id="rId172"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173" /><Relationship Type="http://schemas.openxmlformats.org/officeDocument/2006/relationships/hyperlink" Target="https://recuperacaojudicial.squarespace.com/s/RJ-Grupo-Arnon-de-Melo-Lista-de-Credores-Consolidada-abril-2022.pdf" TargetMode="External" Id="rId174" /><Relationship Type="http://schemas.openxmlformats.org/officeDocument/2006/relationships/hyperlink" Target="https://stenius.com.br/wp-content/uploads/2026/06/EDITAL-GRUPO-3E.pdf" TargetMode="External" Id="rId175" /><Relationship Type="http://schemas.openxmlformats.org/officeDocument/2006/relationships/hyperlink" Target="https://scalzilliaj.com.br/sgc/download.php?file=files/processo_documento/processo_documento09514021082025_1_.pdf&amp;nome=04 - Rela&#231;&#227;o de credores das Recuperandas" TargetMode="External" Id="rId176" /><Relationship Type="http://schemas.openxmlformats.org/officeDocument/2006/relationships/hyperlink" Target="https://lrflideres.com.br/wp-content/uploads/2022/08/4.-EDITAL-2a-LISTA-DE-CREDORES.pdf" TargetMode="External" Id="rId177" /><Relationship Type="http://schemas.openxmlformats.org/officeDocument/2006/relationships/hyperlink" Target="https://stenius.com.br/wp-content/uploads/2026/06/EDITAL-GRUPO-3E.pdf" TargetMode="External" Id="rId178" /><Relationship Type="http://schemas.openxmlformats.org/officeDocument/2006/relationships/hyperlink" Target="http://bernardobicalho.com.br/login/app/documents/Rela%C3%A7%C3%A3o%20de%20Credores/6.%20RVC-%20Nutricium%20-%20simplificada.pdf" TargetMode="External" Id="rId179" /><Relationship Type="http://schemas.openxmlformats.org/officeDocument/2006/relationships/hyperlink" Target="https://lrflideres.com.br/wp-content/plugins/download-attachments/includes/download.php?id=4023" TargetMode="External" Id="rId180" /><Relationship Type="http://schemas.openxmlformats.org/officeDocument/2006/relationships/hyperlink" Target="https://administradorajudicialgs.com.br/wp-content/uploads/2023/08/advogados-sgrott-doc-22-relacao-de-credores-do-administrador-judicial-classe-iii-05-02-14.pdf" TargetMode="External" Id="rId181" /><Relationship Type="http://schemas.openxmlformats.org/officeDocument/2006/relationships/hyperlink" Target="https://recuperacaojudicial.squarespace.com/s/EDITAL-COM-A-2-LISTA-DE-CREDORES-E-INFORMANDO-A-APRESENTACO-DO-PRJ_1532.pdf" TargetMode="External" Id="rId182" /><Relationship Type="http://schemas.openxmlformats.org/officeDocument/2006/relationships/hyperlink" Target="https://ajruiz.com.br/sites/default/files/public/arquivos-processos/2023-11/4_relacao_de_credores_analitica_art._51_iii_da_lre.pdf" TargetMode="External" Id="rId18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84" /><Relationship Type="http://schemas.openxmlformats.org/officeDocument/2006/relationships/hyperlink" Target="https://marquesadmjudicial.com.br/sgc/download.php?file=files/processo_documento/processo_documento17040729052024_1_.pdf&amp;nome=Rela&#231;&#227;o Nominal de Credores AJ-Sint&#233;tica" TargetMode="External" Id="rId185" /><Relationship Type="http://schemas.openxmlformats.org/officeDocument/2006/relationships/hyperlink" Target="https://recuperacaojudicial.squarespace.com/s/RJ-Grupo-Arnon-de-Melo-Lista-de-Credores-Consolidada-abril-2022.pdf" TargetMode="External" Id="rId186" /><Relationship Type="http://schemas.openxmlformats.org/officeDocument/2006/relationships/hyperlink" Target="https://stenius.com.br/wp-content/uploads/2026/06/EDITAL-GRUPO-3E.pdf" TargetMode="External" Id="rId18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88"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89" /><Relationship Type="http://schemas.openxmlformats.org/officeDocument/2006/relationships/hyperlink" Target="https://marquesadmjudicial.com.br/sgc/download.php?file=files/processo_documento/processo_documento20014127022025_1_.pdf&amp;nome=Rela&#231;&#227;o Nominal de Credores" TargetMode="External" Id="rId190" /><Relationship Type="http://schemas.openxmlformats.org/officeDocument/2006/relationships/hyperlink" Target="https://stenius.com.br/wp-content/uploads/2026/06/EDITAL-GRUPO-3E.pdf" TargetMode="External" Id="rId19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92" /><Relationship Type="http://schemas.openxmlformats.org/officeDocument/2006/relationships/hyperlink" Target="https://inova-aj.com.br/wp-content/uploads/2026/08/1a-Relacao-de-Credores-Real.pdf" TargetMode="External" Id="rId193" /><Relationship Type="http://schemas.openxmlformats.org/officeDocument/2006/relationships/hyperlink" Target="https://recuperacaojudicial.squarespace.com/s/EDITAL-COM-A-2-LISTA-DE-CREDORES-E-INFORMANDO-A-APRESENTACO-DO-PRJ_1532.pdf" TargetMode="External" Id="rId194" /><Relationship Type="http://schemas.openxmlformats.org/officeDocument/2006/relationships/hyperlink" Target="https://lrflideres.com.br/wp-content/plugins/download-attachments/includes/download.php?id=6252" TargetMode="External" Id="rId195" /><Relationship Type="http://schemas.openxmlformats.org/officeDocument/2006/relationships/hyperlink" Target="https://ricardobiancardi.com.br/wp-content/uploads/2024/12/Edital-1-relacao-de-credores-pub.-02.12.24-.pdf" TargetMode="External" Id="rId196" /><Relationship Type="http://schemas.openxmlformats.org/officeDocument/2006/relationships/hyperlink" Target="https://cataliseaj.com.br/sgc/download.php?file=files/processo_documento/processo_documento15092204102024_1_.pdf&amp;nome=02. RELA&#199;&#195;O DE CREDORES" TargetMode="External" Id="rId19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98" /><Relationship Type="http://schemas.openxmlformats.org/officeDocument/2006/relationships/hyperlink" Target="https://marquesadmjudicial.com.br/sgc/download.php?file=files/processo_documento/processo_documento11370527032026_1_.pdf&amp;nome=Quadro Geral de Credores (QGC) -AJ Anterior" TargetMode="External" Id="rId199"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00" /><Relationship Type="http://schemas.openxmlformats.org/officeDocument/2006/relationships/hyperlink" Target="https://lrflideres.com.br/wp-content/plugins/download-attachments/includes/download.php?id=5589" TargetMode="External" Id="rId201" /><Relationship Type="http://schemas.openxmlformats.org/officeDocument/2006/relationships/hyperlink" Target="https://lrflideres.com.br/wp-content/plugins/download-attachments/includes/download.php?id=5589" TargetMode="External" Id="rId202" /><Relationship Type="http://schemas.openxmlformats.org/officeDocument/2006/relationships/hyperlink" Target="https://administradorajudicialgs.com.br/wp-content/uploads/2023/08/advogados-sgrott-doc-22-relacao-de-credores-do-administrador-judicial-classe-iii-05-02-14.pdf" TargetMode="External" Id="rId203" /><Relationship Type="http://schemas.openxmlformats.org/officeDocument/2006/relationships/hyperlink" Target="https://administradorajudicialgs.com.br/wp-content/uploads/2023/08/advogados-sgrott-doc-22-relacao-de-credores-do-administrador-judicial-classe-iii-05-02-14.pdf" TargetMode="External" Id="rId204" /><Relationship Type="http://schemas.openxmlformats.org/officeDocument/2006/relationships/hyperlink" Target="https://ajruiz.com.br/sites/default/files/public/arquivos-processos/2026-08/qgc_azeplast_julho_2026.pdf" TargetMode="External" Id="rId205"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06"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0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08" /><Relationship Type="http://schemas.openxmlformats.org/officeDocument/2006/relationships/hyperlink" Target="https://administradorajudicialgs.com.br/wp-content/uploads/2024/12/relacao-de-credores-da-falida.pdf" TargetMode="External" Id="rId209" /><Relationship Type="http://schemas.openxmlformats.org/officeDocument/2006/relationships/hyperlink" Target="https://lrflideres.com.br/wp-content/plugins/download-attachments/includes/download.php?id=4023" TargetMode="External" Id="rId210" /><Relationship Type="http://schemas.openxmlformats.org/officeDocument/2006/relationships/hyperlink" Target="https://lrflideres.com.br/wp-content/uploads/2022/08/4.-EDITAL-2a-LISTA-DE-CREDORES.pdf" TargetMode="External" Id="rId211" /><Relationship Type="http://schemas.openxmlformats.org/officeDocument/2006/relationships/hyperlink" Target="https://bbsadvogados.com.br/wp-content/uploads/2025/04/Equipseg-Edital-Relacao-de-Credores-da-Administradora-Judicial-art.-7o2o-da-LRF.pdf" TargetMode="External" Id="rId21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13" /><Relationship Type="http://schemas.openxmlformats.org/officeDocument/2006/relationships/hyperlink" Target="https://lrflideres.com.br/wp-content/uploads/2022/08/4.-EDITAL-2a-LISTA-DE-CREDORES.pdf" TargetMode="External" Id="rId214" /><Relationship Type="http://schemas.openxmlformats.org/officeDocument/2006/relationships/hyperlink" Target="https://diligence.adm.br/wp-content/uploads/2025/06/Edital-1a-Lista-de-Credores.pdf" TargetMode="External" Id="rId215" /><Relationship Type="http://schemas.openxmlformats.org/officeDocument/2006/relationships/hyperlink" Target="https://lrflideres.com.br/wp-content/plugins/download-attachments/includes/download.php?id=4023" TargetMode="External" Id="rId216" /><Relationship Type="http://schemas.openxmlformats.org/officeDocument/2006/relationships/hyperlink" Target="https://recuperasolucoes.com/wp-content/plugins/download-attachments/includes/download.php?id=1492" TargetMode="External" Id="rId217"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18" /><Relationship Type="http://schemas.openxmlformats.org/officeDocument/2006/relationships/hyperlink" Target="https://administradorajudicialgs.com.br/wp-content/uploads/2024/12/relacao-de-credores-da-falida.pdf" TargetMode="External" Id="rId219" /><Relationship Type="http://schemas.openxmlformats.org/officeDocument/2006/relationships/hyperlink" Target="https://recuperacaojudicial.squarespace.com/s/RJ-Credimoveis-QGC-01082025.pdf" TargetMode="External" Id="rId22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21" /><Relationship Type="http://schemas.openxmlformats.org/officeDocument/2006/relationships/hyperlink" Target="https://marquesadmjudicial.com.br/sgc/download.php?file=files/processo_documento/processo_documento10074612042024_1_.pdf&amp;nome=2&#186; Edital-Rela&#231;&#227;o de Credores AJ e PRJ" TargetMode="External" Id="rId222" /><Relationship Type="http://schemas.openxmlformats.org/officeDocument/2006/relationships/hyperlink" Target="https://lrflideres.com.br/wp-content/plugins/download-attachments/includes/download.php?id=4023" TargetMode="External" Id="rId223" /><Relationship Type="http://schemas.openxmlformats.org/officeDocument/2006/relationships/hyperlink" Target="https://marquesadmjudicial.com.br/sgc/download.php?file=files/processo_documento/processo_documento20014127022025_1_.pdf&amp;nome=Rela&#231;&#227;o Nominal de Credores" TargetMode="External" Id="rId224" /><Relationship Type="http://schemas.openxmlformats.org/officeDocument/2006/relationships/hyperlink" Target="https://violet-wolf-754008.hostingersite.com/wp-content/uploads/recuperacoes-judiciais/Grupo-Hoken/2o-Edital-Grupo-Hoken.pdf" TargetMode="External" Id="rId225" /><Relationship Type="http://schemas.openxmlformats.org/officeDocument/2006/relationships/hyperlink" Target="https://lrflideres.com.br/wp-content/plugins/download-attachments/includes/download.php?id=4023" TargetMode="External" Id="rId226" /><Relationship Type="http://schemas.openxmlformats.org/officeDocument/2006/relationships/hyperlink" Target="https://stenius.com.br/wp-content/uploads/2026/06/EDITAL-GRUPO-3E.pdf" TargetMode="External" Id="rId227" /><Relationship Type="http://schemas.openxmlformats.org/officeDocument/2006/relationships/hyperlink" Target="https://recuperacaojudicial.squarespace.com/s/RJ-Credimoveis-QGC-01082025.pdf" TargetMode="External" Id="rId228" /><Relationship Type="http://schemas.openxmlformats.org/officeDocument/2006/relationships/hyperlink" Target="https://administradorajudicialgs.com.br/wp-content/uploads/2023/08/doc-06-relacao-credores-do-administrador-judicial-10-02-2015.pdf" TargetMode="External" Id="rId22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30" /><Relationship Type="http://schemas.openxmlformats.org/officeDocument/2006/relationships/hyperlink" Target="https://recuperacaojudicial.squarespace.com/s/RJ-Credimoveis-QGC-01082025.pdf" TargetMode="External" Id="rId231" /><Relationship Type="http://schemas.openxmlformats.org/officeDocument/2006/relationships/hyperlink" Target="https://scalzilliaj.com.br/sgc/download.php?file=files/processo_documento/processo_documento09514021082025_1_.pdf&amp;nome=04 - Rela&#231;&#227;o de credores das Recuperandas" TargetMode="External" Id="rId232" /><Relationship Type="http://schemas.openxmlformats.org/officeDocument/2006/relationships/hyperlink" Target="https://diligence.adm.br/wp-content/plugins/download-attachments/includes/download.php?id=4599" TargetMode="External" Id="rId23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3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5" /><Relationship Type="http://schemas.openxmlformats.org/officeDocument/2006/relationships/hyperlink" Target="https://lrflideres.com.br/wp-content/uploads/2022/08/4.-EDITAL-2a-LISTA-DE-CREDORES.pdf" TargetMode="External" Id="rId236" /></Relationships>
</file>

<file path=xl/worksheets/_rels/sheet5.xml.rels><Relationships xmlns="http://schemas.openxmlformats.org/package/2006/relationships"><Relationship Type="http://schemas.openxmlformats.org/officeDocument/2006/relationships/hyperlink" Target="https://administradorajudicialgs.com.br/wp-content/uploads/2023/08/doc-05-publicacao-relacao-credores-22-04-16.pdf" TargetMode="External" Id="rId1" /><Relationship Type="http://schemas.openxmlformats.org/officeDocument/2006/relationships/hyperlink" Target="https://administradorajudicialgs.com.br/wp-content/uploads/2023/08/doc-05-publicacao-relacao-credores-22-04-16.pdf" TargetMode="External" Id="rId2" /><Relationship Type="http://schemas.openxmlformats.org/officeDocument/2006/relationships/hyperlink" Target="https://administradorajudicialgs.com.br/wp-content/uploads/2023/08/doc-05-publicacao-relacao-credores-22-04-16.pdf" TargetMode="External" Id="rId3" /><Relationship Type="http://schemas.openxmlformats.org/officeDocument/2006/relationships/hyperlink" Target="https://administradorajudicialgs.com.br/wp-content/uploads/2023/08/doc-05-publicacao-relacao-credores-22-04-16.pdf" TargetMode="External" Id="rId4" /><Relationship Type="http://schemas.openxmlformats.org/officeDocument/2006/relationships/hyperlink" Target="https://administradorajudicialgs.com.br/wp-content/uploads/2023/08/doc-05-publicacao-relacao-credores-22-04-16.pdf" TargetMode="External" Id="rId5" /><Relationship Type="http://schemas.openxmlformats.org/officeDocument/2006/relationships/hyperlink" Target="https://administradorajudicialgs.com.br/wp-content/uploads/2023/08/doc-05-publicacao-relacao-credores-22-04-16.pdf" TargetMode="External" Id="rId6" /><Relationship Type="http://schemas.openxmlformats.org/officeDocument/2006/relationships/hyperlink" Target="https://administradorajudicialgs.com.br/wp-content/uploads/2023/08/doc-05-publicacao-relacao-credores-22-04-16.pdf" TargetMode="External" Id="rId7" /><Relationship Type="http://schemas.openxmlformats.org/officeDocument/2006/relationships/hyperlink" Target="https://diligence.adm.br/wp-content/uploads/2024/05/Relacao-de-Credores-Classe-III-1.pdf" TargetMode="External" Id="rId8" /><Relationship Type="http://schemas.openxmlformats.org/officeDocument/2006/relationships/hyperlink" Target="https://diligence.adm.br/wp-content/uploads/2024/05/Relacao-de-Credores-Classe-III-1.pdf" TargetMode="External" Id="rId9" /><Relationship Type="http://schemas.openxmlformats.org/officeDocument/2006/relationships/hyperlink" Target="https://diligence.adm.br/wp-content/uploads/2024/05/Relacao-de-Credores-Classe-III-1.pdf" TargetMode="External" Id="rId10" /><Relationship Type="http://schemas.openxmlformats.org/officeDocument/2006/relationships/hyperlink" Target="https://diligence.adm.br/wp-content/uploads/2024/05/Relacao-de-Credores-Classe-III-1.pdf" TargetMode="External" Id="rId11" /><Relationship Type="http://schemas.openxmlformats.org/officeDocument/2006/relationships/hyperlink" Target="https://lrflideres.com.br/wp-content/plugins/download-attachments/includes/download.php?id=6252" TargetMode="External" Id="rId12" /><Relationship Type="http://schemas.openxmlformats.org/officeDocument/2006/relationships/hyperlink" Target="https://bugarimecoelho.com.br/ws/media-library/8f7dbe28cfa44738bc17a4b8e8e8a759/12.-edital-relacao-de-credores-aj.pdf" TargetMode="External" Id="rId13" /><Relationship Type="http://schemas.openxmlformats.org/officeDocument/2006/relationships/hyperlink" Target="https://bugarimecoelho.com.br/ws/media-library/8f7dbe28cfa44738bc17a4b8e8e8a759/12.-edital-relacao-de-credores-aj.pdf" TargetMode="External" Id="rId14" /><Relationship Type="http://schemas.openxmlformats.org/officeDocument/2006/relationships/hyperlink" Target="https://bugarimecoelho.com.br/ws/media-library/8f7dbe28cfa44738bc17a4b8e8e8a759/12.-edital-relacao-de-credores-aj.pdf" TargetMode="External" Id="rId15" /><Relationship Type="http://schemas.openxmlformats.org/officeDocument/2006/relationships/hyperlink" Target="https://bugarimecoelho.com.br/ws/media-library/8f7dbe28cfa44738bc17a4b8e8e8a759/12.-edital-relacao-de-credores-aj.pdf" TargetMode="External" Id="rId16" /><Relationship Type="http://schemas.openxmlformats.org/officeDocument/2006/relationships/hyperlink" Target="https://bugarimecoelho.com.br/ws/media-library/8f7dbe28cfa44738bc17a4b8e8e8a759/12.-edital-relacao-de-credores-aj.pdf" TargetMode="External" Id="rId17" /><Relationship Type="http://schemas.openxmlformats.org/officeDocument/2006/relationships/hyperlink" Target="https://bugarimecoelho.com.br/ws/media-library/8f7dbe28cfa44738bc17a4b8e8e8a759/12.-edital-relacao-de-credores-aj.pdf" TargetMode="External" Id="rId18" /><Relationship Type="http://schemas.openxmlformats.org/officeDocument/2006/relationships/hyperlink" Target="https://bugarimecoelho.com.br/ws/media-library/8f7dbe28cfa44738bc17a4b8e8e8a759/12.-edital-relacao-de-credores-aj.pdf" TargetMode="External" Id="rId19" /><Relationship Type="http://schemas.openxmlformats.org/officeDocument/2006/relationships/hyperlink" Target="https://bugarimecoelho.com.br/ws/media-library/8f7dbe28cfa44738bc17a4b8e8e8a759/12.-edital-relacao-de-credores-aj.pdf" TargetMode="External" Id="rId20" /><Relationship Type="http://schemas.openxmlformats.org/officeDocument/2006/relationships/hyperlink" Target="https://vivanteaj.com.br/wp-content/uploads/2025/02/2a-lista-de-credores-MFC-Industria.pdf" TargetMode="External" Id="rId21" /><Relationship Type="http://schemas.openxmlformats.org/officeDocument/2006/relationships/hyperlink" Target="https://vivanteaj.com.br/wp-content/uploads/2025/02/2a-lista-de-credores-MFC-Industria.pdf" TargetMode="External" Id="rId22" /><Relationship Type="http://schemas.openxmlformats.org/officeDocument/2006/relationships/hyperlink" Target="https://vivanteaj.com.br/wp-content/uploads/2025/02/2a-lista-de-credores-MFC-Industria.pdf" TargetMode="External" Id="rId23" /><Relationship Type="http://schemas.openxmlformats.org/officeDocument/2006/relationships/hyperlink" Target="https://vivanteaj.com.br/wp-content/uploads/2025/02/2a-lista-de-credores-MFC-Industria.pdf" TargetMode="External" Id="rId24" /><Relationship Type="http://schemas.openxmlformats.org/officeDocument/2006/relationships/hyperlink" Target="https://vivanteaj.com.br/wp-content/uploads/2024/11/1a-lista-de-credores-JA-Santos.pdf" TargetMode="External" Id="rId25" /><Relationship Type="http://schemas.openxmlformats.org/officeDocument/2006/relationships/hyperlink" Target="https://vivanteaj.com.br/wp-content/uploads/2024/11/1a-lista-de-credores-JA-Santos.pdf" TargetMode="External" Id="rId26" /><Relationship Type="http://schemas.openxmlformats.org/officeDocument/2006/relationships/hyperlink" Target="https://vivanteaj.com.br/wp-content/uploads/2024/11/1a-lista-de-credores-JA-Santos.pdf" TargetMode="External" Id="rId27" /><Relationship Type="http://schemas.openxmlformats.org/officeDocument/2006/relationships/hyperlink" Target="https://vivanteaj.com.br/wp-content/uploads/2024/11/1a-lista-de-credores-JA-Santos.pdf" TargetMode="External" Id="rId28" /><Relationship Type="http://schemas.openxmlformats.org/officeDocument/2006/relationships/hyperlink" Target="https://vivanteaj.com.br/wp-content/uploads/2024/11/1a-lista-de-credores-JA-Santos.pdf" TargetMode="External" Id="rId29" /><Relationship Type="http://schemas.openxmlformats.org/officeDocument/2006/relationships/hyperlink" Target="https://vivanteaj.com.br/wp-content/uploads/2024/11/1a-lista-de-credores-JA-Santos.pdf" TargetMode="External" Id="rId30" /><Relationship Type="http://schemas.openxmlformats.org/officeDocument/2006/relationships/hyperlink" Target="https://vivanteaj.com.br/wp-content/uploads/2024/11/1a-lista-de-credores-JA-Santos.pdf" TargetMode="External" Id="rId31" /><Relationship Type="http://schemas.openxmlformats.org/officeDocument/2006/relationships/hyperlink" Target="https://vivanteaj.com.br/wp-content/uploads/2024/11/1a-lista-de-credores-JA-Santos.pdf" TargetMode="External" Id="rId32" /><Relationship Type="http://schemas.openxmlformats.org/officeDocument/2006/relationships/hyperlink" Target="https://vivanteaj.com.br/wp-content/uploads/2024/11/1a-lista-de-credores-JA-Santos.pdf" TargetMode="External" Id="rId33" /><Relationship Type="http://schemas.openxmlformats.org/officeDocument/2006/relationships/hyperlink" Target="https://vivanteaj.com.br/wp-content/uploads/2024/11/1a-lista-de-credores-JA-Santos.pdf" TargetMode="External" Id="rId34" /><Relationship Type="http://schemas.openxmlformats.org/officeDocument/2006/relationships/hyperlink" Target="https://vivanteaj.com.br/wp-content/uploads/2024/11/1a-lista-de-credores-JA-Santos.pdf" TargetMode="External" Id="rId35" /><Relationship Type="http://schemas.openxmlformats.org/officeDocument/2006/relationships/hyperlink" Target="https://vivanteaj.com.br/wp-content/uploads/2024/11/1a-lista-de-credores-JA-Santos.pdf" TargetMode="External" Id="rId36" /><Relationship Type="http://schemas.openxmlformats.org/officeDocument/2006/relationships/hyperlink" Target="https://vivanteaj.com.br/wp-content/uploads/2024/11/1a-lista-de-credores-JA-Santos.pdf" TargetMode="External" Id="rId37" /><Relationship Type="http://schemas.openxmlformats.org/officeDocument/2006/relationships/hyperlink" Target="https://vivanteaj.com.br/wp-content/uploads/2024/11/1a-lista-de-credores-JA-Santos.pdf" TargetMode="External" Id="rId38" /><Relationship Type="http://schemas.openxmlformats.org/officeDocument/2006/relationships/hyperlink" Target="https://vivanteaj.com.br/wp-content/uploads/2024/11/1a-lista-de-credores-JA-Santos.pdf" TargetMode="External" Id="rId39" /><Relationship Type="http://schemas.openxmlformats.org/officeDocument/2006/relationships/hyperlink" Target="https://vivanteaj.com.br/wp-content/uploads/2024/11/1a-lista-de-credores-JA-Santos.pdf" TargetMode="External" Id="rId40" /><Relationship Type="http://schemas.openxmlformats.org/officeDocument/2006/relationships/hyperlink" Target="https://vivanteaj.com.br/wp-content/uploads/2024/11/1a-lista-de-credores-JA-Santos.pdf" TargetMode="External" Id="rId41" /><Relationship Type="http://schemas.openxmlformats.org/officeDocument/2006/relationships/hyperlink" Target="https://vivanteaj.com.br/wp-content/uploads/2024/11/1a-lista-de-credores-JA-Santos.pdf" TargetMode="External" Id="rId42" /><Relationship Type="http://schemas.openxmlformats.org/officeDocument/2006/relationships/hyperlink" Target="https://vivanteaj.com.br/wp-content/uploads/2024/11/1a-lista-de-credores-JA-Santos.pdf" TargetMode="External" Id="rId43" /><Relationship Type="http://schemas.openxmlformats.org/officeDocument/2006/relationships/hyperlink" Target="https://vivanteaj.com.br/wp-content/uploads/2024/11/1a-lista-de-credores-JA-Santos.pdf" TargetMode="External" Id="rId44" /><Relationship Type="http://schemas.openxmlformats.org/officeDocument/2006/relationships/hyperlink" Target="https://vivanteaj.com.br/wp-content/uploads/2023/06/2o-Aditivo-ao-Plano-de-Recuperacao-Judicial.pdf" TargetMode="External" Id="rId45" /><Relationship Type="http://schemas.openxmlformats.org/officeDocument/2006/relationships/hyperlink" Target="https://vtladm.com.br/wp-content/uploads/2025/05/06_Primeiro_Edital_Convocacao_Credores_Agile_Equipamentos_Odontologicos.pdf" TargetMode="External" Id="rId46" /><Relationship Type="http://schemas.openxmlformats.org/officeDocument/2006/relationships/hyperlink" Target="https://vtladm.com.br/wp-content/uploads/2025/05/06_Primeiro_Edital_Convocacao_Credores_Agile_Equipamentos_Odontologicos.pdf" TargetMode="External" Id="rId47" /><Relationship Type="http://schemas.openxmlformats.org/officeDocument/2006/relationships/hyperlink" Target="https://vtladm.com.br/wp-content/uploads/2025/05/06_Primeiro_Edital_Convocacao_Credores_Agile_Equipamentos_Odontologicos.pdf" TargetMode="External" Id="rId48" /><Relationship Type="http://schemas.openxmlformats.org/officeDocument/2006/relationships/hyperlink" Target="https://vtladm.com.br/wp-content/uploads/2025/05/06_Primeiro_Edital_Convocacao_Credores_Agile_Equipamentos_Odontologicos.pdf" TargetMode="External" Id="rId49" /><Relationship Type="http://schemas.openxmlformats.org/officeDocument/2006/relationships/hyperlink" Target="https://vtladm.com.br/wp-content/uploads/2025/08/09_Plano_Recuperacao_Judicial_Distribuidora_Frutas_Rumo_Novo.pdf" TargetMode="External" Id="rId5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6" /><Relationship Type="http://schemas.openxmlformats.org/officeDocument/2006/relationships/hyperlink" Target="https://vtladm.com.br/wp-content/uploads/2024/02/07-&#8211;-Plano-de-Recuperacao-Judicial-&#8211;-WWS-Services-e-Worldwide.pdf" TargetMode="External" Id="rId87" /><Relationship Type="http://schemas.openxmlformats.org/officeDocument/2006/relationships/hyperlink" Target="https://vtladm.com.br/wp-content/uploads/2024/02/07-&#8211;-Plano-de-Recuperacao-Judicial-&#8211;-WWS-Services-e-Worldwide.pdf" TargetMode="External" Id="rId88" /><Relationship Type="http://schemas.openxmlformats.org/officeDocument/2006/relationships/hyperlink" Target="https://vtladm.com.br/wp-content/uploads/2024/11/03-Edital-Decretacao-de-Falencia-e-Convocacao-de-Credores-Massa-Falida-de-Blue-Sol-Energia-Solar-Ltda-e-Outros.pdf" TargetMode="External" Id="rId89" /><Relationship Type="http://schemas.openxmlformats.org/officeDocument/2006/relationships/hyperlink" Target="https://vtladm.com.br/wp-content/uploads/2024/11/03-Edital-Decretacao-de-Falencia-e-Convocacao-de-Credores-Massa-Falida-de-Blue-Sol-Energia-Solar-Ltda-e-Outros.pdf" TargetMode="External" Id="rId90" /><Relationship Type="http://schemas.openxmlformats.org/officeDocument/2006/relationships/hyperlink" Target="https://vtladm.com.br/wp-content/uploads/2024/11/03-Edital-Decretacao-de-Falencia-e-Convocacao-de-Credores-Massa-Falida-de-Blue-Sol-Energia-Solar-Ltda-e-Outros.pdf" TargetMode="External" Id="rId91" /><Relationship Type="http://schemas.openxmlformats.org/officeDocument/2006/relationships/hyperlink" Target="https://marquesadmjudicial.com.br/sgc/download.php?file=files/processo_documento/processo_documento10074612042024_1_.pdf&amp;nome=2&#186; Edital-Rela&#231;&#227;o de Credores AJ e PRJ" TargetMode="External" Id="rId9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7" /><Relationship Type="http://schemas.openxmlformats.org/officeDocument/2006/relationships/hyperlink" Target="https://realbrasil.com.br/wp-content/uploads/2024/05/11.-LISTA-DE-CREDORES-DO-AJ_QGC-.pdf" TargetMode="External" Id="rId98" /><Relationship Type="http://schemas.openxmlformats.org/officeDocument/2006/relationships/hyperlink" Target="https://realbrasil.com.br/wp-content/uploads/2024/05/11.-LISTA-DE-CREDORES-DO-AJ_QGC-.pdf" TargetMode="External" Id="rId99" /><Relationship Type="http://schemas.openxmlformats.org/officeDocument/2006/relationships/hyperlink" Target="https://realbrasil.com.br/wp-content/uploads/2024/05/11.-LISTA-DE-CREDORES-DO-AJ_QGC-.pdf" TargetMode="External" Id="rId100" /><Relationship Type="http://schemas.openxmlformats.org/officeDocument/2006/relationships/hyperlink" Target="https://realbrasil.com.br/wp-content/uploads/2024/05/11.-LISTA-DE-CREDORES-DO-AJ_QGC-.pdf" TargetMode="External" Id="rId101" /><Relationship Type="http://schemas.openxmlformats.org/officeDocument/2006/relationships/hyperlink" Target="https://realbrasil.com.br/wp-content/uploads/2024/05/11.-LISTA-DE-CREDORES-DO-AJ_QGC-.pdf" TargetMode="External" Id="rId102" /><Relationship Type="http://schemas.openxmlformats.org/officeDocument/2006/relationships/hyperlink" Target="https://realbrasil.com.br/wp-content/uploads/2024/05/11.-LISTA-DE-CREDORES-DO-AJ_QGC-.pdf" TargetMode="External" Id="rId103" /><Relationship Type="http://schemas.openxmlformats.org/officeDocument/2006/relationships/hyperlink" Target="https://realbrasil.com.br/wp-content/uploads/2024/05/11.-LISTA-DE-CREDORES-DO-AJ_QGC-.pdf" TargetMode="External" Id="rId104" /><Relationship Type="http://schemas.openxmlformats.org/officeDocument/2006/relationships/hyperlink" Target="https://stenius.com.br/wp-content/uploads/2026/07/1&#176;-EDITAL-RELACAO-DE-CREDORES-GRUPO-ALMEIDA.pdf" TargetMode="External" Id="rId105" /><Relationship Type="http://schemas.openxmlformats.org/officeDocument/2006/relationships/hyperlink" Target="https://stenius.com.br/wp-content/uploads/2026/07/1&#176;-EDITAL-RELACAO-DE-CREDORES-GRUPO-ALMEIDA.pdf" TargetMode="External" Id="rId106" /><Relationship Type="http://schemas.openxmlformats.org/officeDocument/2006/relationships/hyperlink" Target="https://stenius.com.br/wp-content/uploads/2026/07/1&#176;-EDITAL-RELACAO-DE-CREDORES-GRUPO-ALMEIDA.pdf" TargetMode="External" Id="rId107" /><Relationship Type="http://schemas.openxmlformats.org/officeDocument/2006/relationships/hyperlink" Target="https://stenius.com.br/wp-content/uploads/2026/07/1&#176;-EDITAL-RELACAO-DE-CREDORES-GRUPO-ALMEIDA.pdf" TargetMode="External" Id="rId108" /><Relationship Type="http://schemas.openxmlformats.org/officeDocument/2006/relationships/hyperlink" Target="https://stenius.com.br/wp-content/uploads/2026/07/1&#176;-EDITAL-RELACAO-DE-CREDORES-GRUPO-ALMEIDA.pdf" TargetMode="External" Id="rId109" /><Relationship Type="http://schemas.openxmlformats.org/officeDocument/2006/relationships/hyperlink" Target="https://stenius.com.br/wp-content/uploads/2026/07/1&#176;-EDITAL-RELACAO-DE-CREDORES-GRUPO-ALMEIDA.pdf" TargetMode="External" Id="rId110" /><Relationship Type="http://schemas.openxmlformats.org/officeDocument/2006/relationships/hyperlink" Target="https://stenius.com.br/wp-content/uploads/2026/07/1&#176;-EDITAL-RELACAO-DE-CREDORES-GRUPO-ALMEIDA.pdf" TargetMode="External" Id="rId111" /><Relationship Type="http://schemas.openxmlformats.org/officeDocument/2006/relationships/hyperlink" Target="https://stenius.com.br/wp-content/uploads/2026/07/1&#176;-EDITAL-RELACAO-DE-CREDORES-GRUPO-ALMEIDA.pdf" TargetMode="External" Id="rId112" /><Relationship Type="http://schemas.openxmlformats.org/officeDocument/2006/relationships/hyperlink" Target="https://stenius.com.br/wp-content/uploads/2026/07/1&#176;-EDITAL-RELACAO-DE-CREDORES-GRUPO-ALMEIDA.pdf" TargetMode="External" Id="rId113" /><Relationship Type="http://schemas.openxmlformats.org/officeDocument/2006/relationships/hyperlink" Target="https://stenius.com.br/wp-content/uploads/2026/07/1&#176;-EDITAL-RELACAO-DE-CREDORES-GRUPO-ALMEIDA.pdf" TargetMode="External" Id="rId114" /><Relationship Type="http://schemas.openxmlformats.org/officeDocument/2006/relationships/hyperlink" Target="https://stenius.com.br/wp-content/uploads/2026/07/1&#176;-EDITAL-RELACAO-DE-CREDORES-GRUPO-ALMEIDA.pdf" TargetMode="External" Id="rId115" /><Relationship Type="http://schemas.openxmlformats.org/officeDocument/2006/relationships/hyperlink" Target="https://stenius.com.br/wp-content/uploads/2026/07/1&#176;-EDITAL-RELACAO-DE-CREDORES-GRUPO-ALMEIDA.pdf" TargetMode="External" Id="rId116" /><Relationship Type="http://schemas.openxmlformats.org/officeDocument/2006/relationships/hyperlink" Target="https://stenius.com.br/wp-content/uploads/2026/07/1&#176;-EDITAL-RELACAO-DE-CREDORES-GRUPO-ALMEIDA.pdf" TargetMode="External" Id="rId117" /><Relationship Type="http://schemas.openxmlformats.org/officeDocument/2006/relationships/hyperlink" Target="https://realbrasil.com.br/wp-content/uploads/2022/09/LISTA-DE-CREDORES-DO-AJ_retificada.pdf" TargetMode="External" Id="rId118" /><Relationship Type="http://schemas.openxmlformats.org/officeDocument/2006/relationships/hyperlink" Target="https://realbrasil.com.br/wp-content/uploads/2022/09/LISTA-DE-CREDORES-DO-AJ_retificada.pdf" TargetMode="External" Id="rId119" /><Relationship Type="http://schemas.openxmlformats.org/officeDocument/2006/relationships/hyperlink" Target="https://realbrasil.com.br/wp-content/uploads/2022/09/LISTA-DE-CREDORES-DO-AJ_retificada.pdf" TargetMode="External" Id="rId120" /><Relationship Type="http://schemas.openxmlformats.org/officeDocument/2006/relationships/hyperlink" Target="https://realbrasil.com.br/wp-content/uploads/2022/09/LISTA-DE-CREDORES-DO-AJ_retificada.pdf" TargetMode="External" Id="rId121" /><Relationship Type="http://schemas.openxmlformats.org/officeDocument/2006/relationships/hyperlink" Target="https://realbrasil.com.br/wp-content/uploads/2022/09/LISTA-DE-CREDORES-DO-AJ_retificada.pdf" TargetMode="External" Id="rId122" /><Relationship Type="http://schemas.openxmlformats.org/officeDocument/2006/relationships/hyperlink" Target="https://realbrasil.com.br/wp-content/uploads/2022/09/LISTA-DE-CREDORES-DO-AJ_retificada.pdf" TargetMode="External" Id="rId123" /><Relationship Type="http://schemas.openxmlformats.org/officeDocument/2006/relationships/hyperlink" Target="https://realbrasil.com.br/wp-content/uploads/2022/09/LISTA-DE-CREDORES-DO-AJ_retificada.pdf" TargetMode="External" Id="rId124" /><Relationship Type="http://schemas.openxmlformats.org/officeDocument/2006/relationships/hyperlink" Target="https://realbrasil.com.br/wp-content/uploads/2022/09/LISTA-DE-CREDORES-DO-AJ_retificada.pdf" TargetMode="External" Id="rId125" /><Relationship Type="http://schemas.openxmlformats.org/officeDocument/2006/relationships/hyperlink" Target="https://realbrasil.com.br/wp-content/uploads/2022/09/LISTA-DE-CREDORES-DO-AJ_retificada.pdf" TargetMode="External" Id="rId126" /><Relationship Type="http://schemas.openxmlformats.org/officeDocument/2006/relationships/hyperlink" Target="https://realbrasil.com.br/wp-content/uploads/2022/09/LISTA-DE-CREDORES-DO-AJ_retificada.pdf" TargetMode="External" Id="rId127" /><Relationship Type="http://schemas.openxmlformats.org/officeDocument/2006/relationships/hyperlink" Target="https://realbrasil.com.br/wp-content/uploads/2022/09/LISTA-DE-CREDORES-DO-AJ_retificada.pdf" TargetMode="External" Id="rId128" /><Relationship Type="http://schemas.openxmlformats.org/officeDocument/2006/relationships/hyperlink" Target="https://realbrasil.com.br/wp-content/uploads/2022/09/LISTA-DE-CREDORES-DO-AJ_retificada.pdf" TargetMode="External" Id="rId129" /><Relationship Type="http://schemas.openxmlformats.org/officeDocument/2006/relationships/hyperlink" Target="https://realbrasil.com.br/wp-content/uploads/2022/09/LISTA-DE-CREDORES-DO-AJ_retificada.pdf" TargetMode="External" Id="rId130" /><Relationship Type="http://schemas.openxmlformats.org/officeDocument/2006/relationships/hyperlink" Target="https://realbrasil.com.br/wp-content/uploads/2022/09/LISTA-DE-CREDORES-DO-AJ_retificada.pdf" TargetMode="External" Id="rId131" /><Relationship Type="http://schemas.openxmlformats.org/officeDocument/2006/relationships/hyperlink" Target="https://stenius.com.br/wp-content/uploads/2026/07/EDITAL-1-RELACAO-DE-CREDORES-GRUPO-GE.pdf" TargetMode="External" Id="rId132" /><Relationship Type="http://schemas.openxmlformats.org/officeDocument/2006/relationships/hyperlink" Target="https://stenius.com.br/wp-content/uploads/2026/07/EDITAL-1-RELACAO-DE-CREDORES-GRUPO-GE.pdf" TargetMode="External" Id="rId133" /><Relationship Type="http://schemas.openxmlformats.org/officeDocument/2006/relationships/hyperlink" Target="https://stenius.com.br/wp-content/uploads/2026/07/EDITAL-1-RELACAO-DE-CREDORES-GRUPO-GE.pdf" TargetMode="External" Id="rId134" /><Relationship Type="http://schemas.openxmlformats.org/officeDocument/2006/relationships/hyperlink" Target="https://stenius.com.br/wp-content/uploads/2026/03/Publicacao-Edital-Margil.pdf" TargetMode="External" Id="rId135" /><Relationship Type="http://schemas.openxmlformats.org/officeDocument/2006/relationships/hyperlink" Target="https://stenius.com.br/wp-content/uploads/2026/03/Publicacao-Edital-Margil.pdf" TargetMode="External" Id="rId136" /><Relationship Type="http://schemas.openxmlformats.org/officeDocument/2006/relationships/hyperlink" Target="https://realbrasil.com.br/wp-content/uploads/2025/09/3.QUADRO-GERAL-DE-CREDORES-RETIFICADO_RATEIO.pdf" TargetMode="External" Id="rId137" /><Relationship Type="http://schemas.openxmlformats.org/officeDocument/2006/relationships/hyperlink" Target="https://realbrasil.com.br/wp-content/uploads/2025/09/3.QUADRO-GERAL-DE-CREDORES-RETIFICADO_RATEIO.pdf" TargetMode="External" Id="rId138" /><Relationship Type="http://schemas.openxmlformats.org/officeDocument/2006/relationships/hyperlink" Target="https://realbrasil.com.br/wp-content/uploads/2025/09/1.QUADRO-GERAL-DE-CREDORES_RETIFICADO.pdf" TargetMode="External" Id="rId139" /><Relationship Type="http://schemas.openxmlformats.org/officeDocument/2006/relationships/hyperlink" Target="https://realbrasil.com.br/wp-content/uploads/2025/09/1.QUADRO-GERAL-DE-CREDORES_RETIFICADO.pdf" TargetMode="External" Id="rId140" /><Relationship Type="http://schemas.openxmlformats.org/officeDocument/2006/relationships/hyperlink" Target="https://realbrasil.com.br/wp-content/uploads/2025/09/1.QUADRO-GERAL-DE-CREDORES_RETIFICADO.pdf" TargetMode="External" Id="rId141" /><Relationship Type="http://schemas.openxmlformats.org/officeDocument/2006/relationships/hyperlink" Target="https://realbrasil.com.br/wp-content/uploads/2025/09/1.QUADRO-GERAL-DE-CREDORES_RETIFICADO.pdf" TargetMode="External" Id="rId142" /><Relationship Type="http://schemas.openxmlformats.org/officeDocument/2006/relationships/hyperlink" Target="https://realbrasil.com.br/wp-content/uploads/2025/09/1.QUADRO-GERAL-DE-CREDORES_RETIFICADO.pdf" TargetMode="External" Id="rId143" /><Relationship Type="http://schemas.openxmlformats.org/officeDocument/2006/relationships/hyperlink" Target="https://realbrasil.com.br/wp-content/uploads/2025/09/1.QUADRO-GERAL-DE-CREDORES_RETIFICADO.pdf" TargetMode="External" Id="rId144" /><Relationship Type="http://schemas.openxmlformats.org/officeDocument/2006/relationships/hyperlink" Target="https://realbrasil.com.br/wp-content/uploads/2025/09/1.QUADRO-GERAL-DE-CREDORES_RETIFICADO.pdf" TargetMode="External" Id="rId145" /><Relationship Type="http://schemas.openxmlformats.org/officeDocument/2006/relationships/hyperlink" Target="https://realbrasil.com.br/wp-content/uploads/2025/09/1.QUADRO-GERAL-DE-CREDORES_RETIFICADO.pdf" TargetMode="External" Id="rId146" /><Relationship Type="http://schemas.openxmlformats.org/officeDocument/2006/relationships/hyperlink" Target="https://mpbadmjudicial.com.br/sgc/download.php?file=files/processo_documento/processo_documento10181913062025_1_.pdf&amp;nome=Plano de Recupera&#231;&#227;o Judicial" TargetMode="External" Id="rId147" /><Relationship Type="http://schemas.openxmlformats.org/officeDocument/2006/relationships/hyperlink" Target="https://stenius.com.br/wp-content/uploads/2026/03/EDITAL-1-UNIBRAS.pdf" TargetMode="External" Id="rId148" /><Relationship Type="http://schemas.openxmlformats.org/officeDocument/2006/relationships/hyperlink" Target="https://realbrasil.com.br/wp-content/uploads/2018/08/EDITAL-QGC_LISTA-DE-CREDORES-DO-AJ_A&#199;OCIC.pdf" TargetMode="External" Id="rId149" /><Relationship Type="http://schemas.openxmlformats.org/officeDocument/2006/relationships/hyperlink" Target="https://realbrasil.com.br/wp-content/uploads/2018/08/EDITAL-QGC_LISTA-DE-CREDORES-DO-AJ_A&#199;OCIC.pdf" TargetMode="External" Id="rId150" /><Relationship Type="http://schemas.openxmlformats.org/officeDocument/2006/relationships/hyperlink" Target="https://realbrasil.com.br/wp-content/uploads/2018/08/EDITAL-QGC_LISTA-DE-CREDORES-DO-AJ_A&#199;OCIC.pdf" TargetMode="External" Id="rId151" /><Relationship Type="http://schemas.openxmlformats.org/officeDocument/2006/relationships/hyperlink" Target="https://realbrasil.com.br/wp-content/uploads/2018/08/EDITAL-QGC_LISTA-DE-CREDORES-DO-AJ_A&#199;OCIC.pdf" TargetMode="External" Id="rId152" /><Relationship Type="http://schemas.openxmlformats.org/officeDocument/2006/relationships/hyperlink" Target="https://realbrasil.com.br/wp-content/uploads/2018/08/EDITAL-QGC_LISTA-DE-CREDORES-DO-AJ_A&#199;OCIC.pdf" TargetMode="External" Id="rId153" /><Relationship Type="http://schemas.openxmlformats.org/officeDocument/2006/relationships/hyperlink" Target="https://realbrasil.com.br/wp-content/uploads/2017/07/QGC-Imperatriz.pdf" TargetMode="External" Id="rId154" /><Relationship Type="http://schemas.openxmlformats.org/officeDocument/2006/relationships/hyperlink" Target="https://realbrasil.com.br/wp-content/uploads/2017/07/QGC-Imperatriz.pdf" TargetMode="External" Id="rId155" /><Relationship Type="http://schemas.openxmlformats.org/officeDocument/2006/relationships/hyperlink" Target="https://realbrasil.com.br/wp-content/uploads/2017/07/QGC-Imperatriz.pdf" TargetMode="External" Id="rId156" /><Relationship Type="http://schemas.openxmlformats.org/officeDocument/2006/relationships/hyperlink" Target="https://realbrasil.com.br/wp-content/uploads/2017/05/Lista-de-Credores-radar.pdf" TargetMode="External" Id="rId157" /><Relationship Type="http://schemas.openxmlformats.org/officeDocument/2006/relationships/hyperlink" Target="https://realbrasil.com.br/wp-content/uploads/2017/05/Lista-de-Credores-radar.pdf" TargetMode="External" Id="rId158" /><Relationship Type="http://schemas.openxmlformats.org/officeDocument/2006/relationships/hyperlink" Target="https://realbrasil.com.br/wp-content/uploads/2017/05/Lista-de-Credores-radar.pdf" TargetMode="External" Id="rId159" /><Relationship Type="http://schemas.openxmlformats.org/officeDocument/2006/relationships/hyperlink" Target="https://realbrasil.com.br/wp-content/uploads/2017/05/Lista-de-Credores-radar.pdf" TargetMode="External" Id="rId160" /><Relationship Type="http://schemas.openxmlformats.org/officeDocument/2006/relationships/hyperlink" Target="https://realbrasil.com.br/wp-content/uploads/2017/05/Lista-de-Credores-radar.pdf" TargetMode="External" Id="rId161" /><Relationship Type="http://schemas.openxmlformats.org/officeDocument/2006/relationships/hyperlink" Target="https://realbrasil.com.br/wp-content/uploads/2017/05/Lista-de-Credores-radar.pdf" TargetMode="External" Id="rId162" /><Relationship Type="http://schemas.openxmlformats.org/officeDocument/2006/relationships/hyperlink" Target="https://realbrasil.com.br/wp-content/uploads/2017/05/Lista-de-Credores-radar.pdf" TargetMode="External" Id="rId163" /><Relationship Type="http://schemas.openxmlformats.org/officeDocument/2006/relationships/hyperlink" Target="https://realbrasil.com.br/wp-content/uploads/2017/05/Lista-de-Credores-radar.pdf" TargetMode="External" Id="rId164" /><Relationship Type="http://schemas.openxmlformats.org/officeDocument/2006/relationships/hyperlink" Target="https://realbrasil.com.br/wp-content/uploads/2017/05/Lista-de-Credores-radar.pdf" TargetMode="External" Id="rId165" /><Relationship Type="http://schemas.openxmlformats.org/officeDocument/2006/relationships/hyperlink" Target="https://realbrasil.com.br/wp-content/uploads/2017/05/Lista-de-Credores-radar.pdf" TargetMode="External" Id="rId166" /><Relationship Type="http://schemas.openxmlformats.org/officeDocument/2006/relationships/hyperlink" Target="https://realbrasil.com.br/wp-content/uploads/2017/05/Lista-de-Credores-radar.pdf" TargetMode="External" Id="rId167" /><Relationship Type="http://schemas.openxmlformats.org/officeDocument/2006/relationships/hyperlink" Target="https://realbrasil.com.br/wp-content/uploads/2017/05/Lista-de-Credores-radar.pdf" TargetMode="External" Id="rId168" /><Relationship Type="http://schemas.openxmlformats.org/officeDocument/2006/relationships/hyperlink" Target="https://realbrasil.com.br/wp-content/uploads/2017/05/Lista-de-Credores-radar.pdf" TargetMode="External" Id="rId169" /><Relationship Type="http://schemas.openxmlformats.org/officeDocument/2006/relationships/hyperlink" Target="https://realbrasil.com.br/wp-content/uploads/2017/05/Lista-de-Credores-radar.pdf" TargetMode="External" Id="rId170" /><Relationship Type="http://schemas.openxmlformats.org/officeDocument/2006/relationships/hyperlink" Target="https://realbrasil.com.br/wp-content/uploads/2017/05/Rela&#231;&#227;o-de-Credores_-Mastter-1.pdf" TargetMode="External" Id="rId171" /><Relationship Type="http://schemas.openxmlformats.org/officeDocument/2006/relationships/hyperlink" Target="https://inova-aj.com.br/wp-content/uploads/2021/08/Reciclyn-Quadro-Geral-de-Credores.xlsx.pdf" TargetMode="External" Id="rId172" /><Relationship Type="http://schemas.openxmlformats.org/officeDocument/2006/relationships/hyperlink" Target="https://inova-aj.com.br/wp-content/uploads/2021/08/Reciclyn-Quadro-Geral-de-Credores.xlsx.pdf" TargetMode="External" Id="rId173" /><Relationship Type="http://schemas.openxmlformats.org/officeDocument/2006/relationships/hyperlink" Target="https://inova-aj.com.br/wp-content/uploads/2021/08/Reciclyn-Quadro-Geral-de-Credores.xlsx.pdf" TargetMode="External" Id="rId174" /><Relationship Type="http://schemas.openxmlformats.org/officeDocument/2006/relationships/hyperlink" Target="https://inova-aj.com.br/wp-content/uploads/2021/08/Reciclyn-Quadro-Geral-de-Credores.xlsx.pdf" TargetMode="External" Id="rId175" /><Relationship Type="http://schemas.openxmlformats.org/officeDocument/2006/relationships/hyperlink" Target="https://inova-aj.com.br/wp-content/uploads/2021/08/Reciclyn-Quadro-Geral-de-Credores.xlsx.pdf" TargetMode="External" Id="rId176" /><Relationship Type="http://schemas.openxmlformats.org/officeDocument/2006/relationships/hyperlink" Target="https://inova-aj.com.br/wp-content/uploads/2021/08/Reciclyn-Quadro-Geral-de-Credores.xlsx.pdf" TargetMode="External" Id="rId177" /><Relationship Type="http://schemas.openxmlformats.org/officeDocument/2006/relationships/hyperlink" Target="https://inova-aj.com.br/wp-content/uploads/2021/08/Reciclyn-Quadro-Geral-de-Credores.xlsx.pdf" TargetMode="External" Id="rId178" /><Relationship Type="http://schemas.openxmlformats.org/officeDocument/2006/relationships/hyperlink" Target="https://inova-aj.com.br/wp-content/uploads/2021/08/Reciclyn-Quadro-Geral-de-Credores.xlsx.pdf" TargetMode="External" Id="rId179" /><Relationship Type="http://schemas.openxmlformats.org/officeDocument/2006/relationships/hyperlink" Target="https://inova-aj.com.br/wp-content/uploads/2021/08/Reciclyn-Quadro-Geral-de-Credores.xlsx.pdf" TargetMode="External" Id="rId180" /><Relationship Type="http://schemas.openxmlformats.org/officeDocument/2006/relationships/hyperlink" Target="https://inova-aj.com.br/wp-content/uploads/2021/08/Reciclyn-Quadro-Geral-de-Credores.xlsx.pdf" TargetMode="External" Id="rId181" /><Relationship Type="http://schemas.openxmlformats.org/officeDocument/2006/relationships/hyperlink" Target="https://inova-aj.com.br/wp-content/uploads/2021/08/Reciclyn-Quadro-Geral-de-Credores.xlsx.pdf" TargetMode="External" Id="rId182" /><Relationship Type="http://schemas.openxmlformats.org/officeDocument/2006/relationships/hyperlink" Target="https://inova-aj.com.br/wp-content/uploads/2021/08/Reciclyn-Quadro-Geral-de-Credores.xlsx.pdf" TargetMode="External" Id="rId183" /><Relationship Type="http://schemas.openxmlformats.org/officeDocument/2006/relationships/hyperlink" Target="https://violet-wolf-754008.hostingersite.com/wp-content/uploads/recuperacoes-judiciais/becap/CERTID&#195;O-DE-PUBLICA&#199;&#195;O.pdf" TargetMode="External" Id="rId184" /><Relationship Type="http://schemas.openxmlformats.org/officeDocument/2006/relationships/hyperlink" Target="https://violet-wolf-754008.hostingersite.com/wp-content/uploads/recuperacoes-judiciais/becap/CERTID&#195;O-DE-PUBLICA&#199;&#195;O.pdf" TargetMode="External" Id="rId185" /><Relationship Type="http://schemas.openxmlformats.org/officeDocument/2006/relationships/hyperlink" Target="https://violet-wolf-754008.hostingersite.com/wp-content/uploads/recuperacoes-judiciais/becap/CERTID&#195;O-DE-PUBLICA&#199;&#195;O.pdf" TargetMode="External" Id="rId186" /><Relationship Type="http://schemas.openxmlformats.org/officeDocument/2006/relationships/hyperlink" Target="https://violet-wolf-754008.hostingersite.com/wp-content/uploads/recuperacoes-judiciais/becap/CERTID&#195;O-DE-PUBLICA&#199;&#195;O.pdf" TargetMode="External" Id="rId187" /><Relationship Type="http://schemas.openxmlformats.org/officeDocument/2006/relationships/hyperlink" Target="https://violet-wolf-754008.hostingersite.com/wp-content/uploads/recuperacoes-judiciais/becap/CERTID&#195;O-DE-PUBLICA&#199;&#195;O.pdf" TargetMode="External" Id="rId188" /><Relationship Type="http://schemas.openxmlformats.org/officeDocument/2006/relationships/hyperlink" Target="https://violet-wolf-754008.hostingersite.com/wp-content/uploads/recuperacoes-judiciais/becap/CERTID&#195;O-DE-PUBLICA&#199;&#195;O.pdf" TargetMode="External" Id="rId189" /><Relationship Type="http://schemas.openxmlformats.org/officeDocument/2006/relationships/hyperlink" Target="https://violet-wolf-754008.hostingersite.com/wp-content/uploads/recuperacoes-judiciais/becap/CERTID&#195;O-DE-PUBLICA&#199;&#195;O.pdf" TargetMode="External" Id="rId190" /><Relationship Type="http://schemas.openxmlformats.org/officeDocument/2006/relationships/hyperlink" Target="https://violet-wolf-754008.hostingersite.com/wp-content/uploads/recuperacoes-judiciais/becap/CERTID&#195;O-DE-PUBLICA&#199;&#195;O.pdf" TargetMode="External" Id="rId191" /><Relationship Type="http://schemas.openxmlformats.org/officeDocument/2006/relationships/hyperlink" Target="https://violet-wolf-754008.hostingersite.com/wp-content/uploads/recuperacoes-judiciais/becap/CERTID&#195;O-DE-PUBLICA&#199;&#195;O.pdf" TargetMode="External" Id="rId192" /><Relationship Type="http://schemas.openxmlformats.org/officeDocument/2006/relationships/hyperlink" Target="https://violet-wolf-754008.hostingersite.com/wp-content/uploads/recuperacoes-judiciais/becap/CERTID&#195;O-DE-PUBLICA&#199;&#195;O.pdf" TargetMode="External" Id="rId193" /><Relationship Type="http://schemas.openxmlformats.org/officeDocument/2006/relationships/hyperlink" Target="https://violet-wolf-754008.hostingersite.com/wp-content/uploads/recuperacoes-judiciais/becap/CERTID&#195;O-DE-PUBLICA&#199;&#195;O.pdf" TargetMode="External" Id="rId194" /><Relationship Type="http://schemas.openxmlformats.org/officeDocument/2006/relationships/hyperlink" Target="https://violet-wolf-754008.hostingersite.com/wp-content/uploads/recuperacoes-judiciais/becap/CERTID&#195;O-DE-PUBLICA&#199;&#195;O.pdf" TargetMode="External" Id="rId195" /><Relationship Type="http://schemas.openxmlformats.org/officeDocument/2006/relationships/hyperlink" Target="https://inova-aj.com.br/wp-content/uploads/2024/06/Officilab-Edital-Conjunto-Segunda-Relacao-de-Credores-e-REcebimento-do-PRJ-art.-7o-&#167;-2o-e-art.-53-pu.pdf" TargetMode="External" Id="rId196" /><Relationship Type="http://schemas.openxmlformats.org/officeDocument/2006/relationships/hyperlink" Target="https://inova-aj.com.br/wp-content/uploads/2024/06/Officilab-Edital-Conjunto-Segunda-Relacao-de-Credores-e-REcebimento-do-PRJ-art.-7o-&#167;-2o-e-art.-53-pu.pdf" TargetMode="External" Id="rId197" /><Relationship Type="http://schemas.openxmlformats.org/officeDocument/2006/relationships/hyperlink" Target="https://inova-aj.com.br/wp-content/uploads/2024/06/Officilab-Edital-Conjunto-Segunda-Relacao-de-Credores-e-REcebimento-do-PRJ-art.-7o-&#167;-2o-e-art.-53-pu.pdf" TargetMode="External" Id="rId198" /><Relationship Type="http://schemas.openxmlformats.org/officeDocument/2006/relationships/hyperlink" Target="https://inova-aj.com.br/wp-content/uploads/2024/06/Officilab-Edital-Conjunto-Segunda-Relacao-de-Credores-e-REcebimento-do-PRJ-art.-7o-&#167;-2o-e-art.-53-pu.pdf" TargetMode="External" Id="rId199" /><Relationship Type="http://schemas.openxmlformats.org/officeDocument/2006/relationships/hyperlink" Target="https://inova-aj.com.br/wp-content/uploads/2024/06/Officilab-Edital-Conjunto-Segunda-Relacao-de-Credores-e-REcebimento-do-PRJ-art.-7o-&#167;-2o-e-art.-53-pu.pdf" TargetMode="External" Id="rId200" /><Relationship Type="http://schemas.openxmlformats.org/officeDocument/2006/relationships/hyperlink" Target="https://inova-aj.com.br/wp-content/uploads/2024/06/Officilab-Edital-Conjunto-Segunda-Relacao-de-Credores-e-REcebimento-do-PRJ-art.-7o-&#167;-2o-e-art.-53-pu.pdf" TargetMode="External" Id="rId201" /><Relationship Type="http://schemas.openxmlformats.org/officeDocument/2006/relationships/hyperlink" Target="https://inova-aj.com.br/wp-content/uploads/2024/06/Officilab-Edital-Conjunto-Segunda-Relacao-de-Credores-e-REcebimento-do-PRJ-art.-7o-&#167;-2o-e-art.-53-pu.pdf" TargetMode="External" Id="rId202" /><Relationship Type="http://schemas.openxmlformats.org/officeDocument/2006/relationships/hyperlink" Target="https://inova-aj.com.br/wp-content/uploads/2024/06/Officilab-Edital-Conjunto-Segunda-Relacao-de-Credores-e-REcebimento-do-PRJ-art.-7o-&#167;-2o-e-art.-53-pu.pdf" TargetMode="External" Id="rId203" /><Relationship Type="http://schemas.openxmlformats.org/officeDocument/2006/relationships/hyperlink" Target="https://violet-wolf-754008.hostingersite.com/wp-content/uploads/recuperacoes-judiciais/eit/2&#186;-Edital-de-credores.pdf" TargetMode="External" Id="rId204" /><Relationship Type="http://schemas.openxmlformats.org/officeDocument/2006/relationships/hyperlink" Target="https://violet-wolf-754008.hostingersite.com/wp-content/uploads/recuperacoes-judiciais/eit/2&#186;-Edital-de-credores.pdf" TargetMode="External" Id="rId205" /><Relationship Type="http://schemas.openxmlformats.org/officeDocument/2006/relationships/hyperlink" Target="https://violet-wolf-754008.hostingersite.com/wp-content/uploads/recuperacoes-judiciais/eit/2&#186;-Edital-de-credores.pdf" TargetMode="External" Id="rId206" /><Relationship Type="http://schemas.openxmlformats.org/officeDocument/2006/relationships/hyperlink" Target="https://violet-wolf-754008.hostingersite.com/wp-content/uploads/recuperacoes-judiciais/eit/2&#186;-Edital-de-credores.pdf" TargetMode="External" Id="rId207" /><Relationship Type="http://schemas.openxmlformats.org/officeDocument/2006/relationships/hyperlink" Target="https://violet-wolf-754008.hostingersite.com/wp-content/uploads/recuperacoes-judiciais/eit/2&#186;-Edital-de-credores.pdf" TargetMode="External" Id="rId208" /><Relationship Type="http://schemas.openxmlformats.org/officeDocument/2006/relationships/hyperlink" Target="https://violet-wolf-754008.hostingersite.com/wp-content/uploads/recuperacoes-judiciais/eit/2&#186;-Edital-de-credores.pdf" TargetMode="External" Id="rId209" /><Relationship Type="http://schemas.openxmlformats.org/officeDocument/2006/relationships/hyperlink" Target="https://violet-wolf-754008.hostingersite.com/wp-content/uploads/recuperacoes-judiciais/eit/2&#186;-Edital-de-credores.pdf" TargetMode="External" Id="rId210" /><Relationship Type="http://schemas.openxmlformats.org/officeDocument/2006/relationships/hyperlink" Target="https://violet-wolf-754008.hostingersite.com/wp-content/uploads/recuperacoes-judiciais/eit/2&#186;-Edital-de-credores.pdf" TargetMode="External" Id="rId211" /><Relationship Type="http://schemas.openxmlformats.org/officeDocument/2006/relationships/hyperlink" Target="https://violet-wolf-754008.hostingersite.com/wp-content/uploads/recuperacoes-judiciais/eit/2&#186;-Edital-de-credores.pdf" TargetMode="External" Id="rId212" /><Relationship Type="http://schemas.openxmlformats.org/officeDocument/2006/relationships/hyperlink" Target="https://violet-wolf-754008.hostingersite.com/wp-content/uploads/recuperacoes-judiciais/eit/2&#186;-Edital-de-credores.pdf" TargetMode="External" Id="rId213" /><Relationship Type="http://schemas.openxmlformats.org/officeDocument/2006/relationships/hyperlink" Target="https://violet-wolf-754008.hostingersite.com/wp-content/uploads/recuperacoes-judiciais/eit/2&#186;-Edital-de-credores.pdf" TargetMode="External" Id="rId214" /><Relationship Type="http://schemas.openxmlformats.org/officeDocument/2006/relationships/hyperlink" Target="https://violet-wolf-754008.hostingersite.com/wp-content/uploads/recuperacoes-judiciais/eit/2&#186;-Edital-de-credores.pdf" TargetMode="External" Id="rId215" /><Relationship Type="http://schemas.openxmlformats.org/officeDocument/2006/relationships/hyperlink" Target="https://violet-wolf-754008.hostingersite.com/wp-content/uploads/recuperacoes-judiciais/eit/2&#186;-Edital-de-credores.pdf" TargetMode="External" Id="rId216" /><Relationship Type="http://schemas.openxmlformats.org/officeDocument/2006/relationships/hyperlink" Target="https://violet-wolf-754008.hostingersite.com/wp-content/uploads/recuperacoes-judiciais/eit/2&#186;-Edital-de-credores.pdf" TargetMode="External" Id="rId217" /><Relationship Type="http://schemas.openxmlformats.org/officeDocument/2006/relationships/hyperlink" Target="https://violet-wolf-754008.hostingersite.com/wp-content/uploads/recuperacoes-judiciais/eit/2&#186;-Edital-de-credores.pdf" TargetMode="External" Id="rId218" /><Relationship Type="http://schemas.openxmlformats.org/officeDocument/2006/relationships/hyperlink" Target="https://violet-wolf-754008.hostingersite.com/wp-content/uploads/recuperacoes-judiciais/eit/2&#186;-Edital-de-credores.pdf" TargetMode="External" Id="rId219" /><Relationship Type="http://schemas.openxmlformats.org/officeDocument/2006/relationships/hyperlink" Target="https://violet-wolf-754008.hostingersite.com/wp-content/uploads/recuperacoes-judiciais/eit/2&#186;-Edital-de-credores.pdf" TargetMode="External" Id="rId220" /><Relationship Type="http://schemas.openxmlformats.org/officeDocument/2006/relationships/hyperlink" Target="https://violet-wolf-754008.hostingersite.com/wp-content/uploads/recuperacoes-judiciais/eit/2&#186;-Edital-de-credores.pdf" TargetMode="External" Id="rId221" /><Relationship Type="http://schemas.openxmlformats.org/officeDocument/2006/relationships/hyperlink" Target="https://violet-wolf-754008.hostingersite.com/wp-content/uploads/recuperacoes-judiciais/eit/2&#186;-Edital-de-credores.pdf" TargetMode="External" Id="rId222" /><Relationship Type="http://schemas.openxmlformats.org/officeDocument/2006/relationships/hyperlink" Target="https://violet-wolf-754008.hostingersite.com/wp-content/uploads/recuperacoes-judiciais/eit/2&#186;-Edital-de-credores.pdf" TargetMode="External" Id="rId223" /><Relationship Type="http://schemas.openxmlformats.org/officeDocument/2006/relationships/hyperlink" Target="https://violet-wolf-754008.hostingersite.com/wp-content/uploads/recuperacoes-judiciais/eit/2&#186;-Edital-de-credores.pdf" TargetMode="External" Id="rId224" /><Relationship Type="http://schemas.openxmlformats.org/officeDocument/2006/relationships/hyperlink" Target="https://violet-wolf-754008.hostingersite.com/wp-content/uploads/recuperacoes-judiciais/eit/2&#186;-Edital-de-credores.pdf" TargetMode="External" Id="rId225" /><Relationship Type="http://schemas.openxmlformats.org/officeDocument/2006/relationships/hyperlink" Target="https://violet-wolf-754008.hostingersite.com/wp-content/uploads/recuperacoes-judiciais/eit/2&#186;-Edital-de-credores.pdf" TargetMode="External" Id="rId226" /><Relationship Type="http://schemas.openxmlformats.org/officeDocument/2006/relationships/hyperlink" Target="https://violet-wolf-754008.hostingersite.com/wp-content/uploads/recuperacoes-judiciais/eit/2&#186;-Edital-de-credores.pdf" TargetMode="External" Id="rId227" /><Relationship Type="http://schemas.openxmlformats.org/officeDocument/2006/relationships/hyperlink" Target="https://violet-wolf-754008.hostingersite.com/wp-content/uploads/recuperacoes-judiciais/eit/2&#186;-Edital-de-credores.pdf" TargetMode="External" Id="rId228" /><Relationship Type="http://schemas.openxmlformats.org/officeDocument/2006/relationships/hyperlink" Target="https://violet-wolf-754008.hostingersite.com/wp-content/uploads/recuperacoes-judiciais/eit/2&#186;-Edital-de-credores.pdf" TargetMode="External" Id="rId229" /><Relationship Type="http://schemas.openxmlformats.org/officeDocument/2006/relationships/hyperlink" Target="https://violet-wolf-754008.hostingersite.com/wp-content/uploads/recuperacoes-judiciais/eit/2&#186;-Edital-de-credores.pdf" TargetMode="External" Id="rId230" /><Relationship Type="http://schemas.openxmlformats.org/officeDocument/2006/relationships/hyperlink" Target="https://violet-wolf-754008.hostingersite.com/wp-content/uploads/recuperacoes-judiciais/eit/2&#186;-Edital-de-credores.pdf" TargetMode="External" Id="rId231" /><Relationship Type="http://schemas.openxmlformats.org/officeDocument/2006/relationships/hyperlink" Target="https://violet-wolf-754008.hostingersite.com/wp-content/uploads/recuperacoes-judiciais/eit/2&#186;-Edital-de-credores.pdf" TargetMode="External" Id="rId232" /><Relationship Type="http://schemas.openxmlformats.org/officeDocument/2006/relationships/hyperlink" Target="https://violet-wolf-754008.hostingersite.com/wp-content/uploads/recuperacoes-judiciais/eit/2&#186;-Edital-de-credores.pdf" TargetMode="External" Id="rId233" /><Relationship Type="http://schemas.openxmlformats.org/officeDocument/2006/relationships/hyperlink" Target="https://violet-wolf-754008.hostingersite.com/wp-content/uploads/recuperacoes-judiciais/eit/2&#186;-Edital-de-credores.pdf" TargetMode="External" Id="rId234" /><Relationship Type="http://schemas.openxmlformats.org/officeDocument/2006/relationships/hyperlink" Target="https://violet-wolf-754008.hostingersite.com/wp-content/uploads/recuperacoes-judiciais/eit/2&#186;-Edital-de-credores.pdf" TargetMode="External" Id="rId235" /><Relationship Type="http://schemas.openxmlformats.org/officeDocument/2006/relationships/hyperlink" Target="https://violet-wolf-754008.hostingersite.com/wp-content/uploads/recuperacoes-judiciais/eit/2&#186;-Edital-de-credores.pdf" TargetMode="External" Id="rId236" /><Relationship Type="http://schemas.openxmlformats.org/officeDocument/2006/relationships/hyperlink" Target="https://violet-wolf-754008.hostingersite.com/wp-content/uploads/recuperacoes-judiciais/eit/2&#186;-Edital-de-credores.pdf" TargetMode="External" Id="rId237" /><Relationship Type="http://schemas.openxmlformats.org/officeDocument/2006/relationships/hyperlink" Target="https://violet-wolf-754008.hostingersite.com/wp-content/uploads/recuperacoes-judiciais/eit/2&#186;-Edital-de-credores.pdf" TargetMode="External" Id="rId238" /><Relationship Type="http://schemas.openxmlformats.org/officeDocument/2006/relationships/hyperlink" Target="https://violet-wolf-754008.hostingersite.com/wp-content/uploads/recuperacoes-judiciais/eit/2&#186;-Edital-de-credores.pdf" TargetMode="External" Id="rId239" /><Relationship Type="http://schemas.openxmlformats.org/officeDocument/2006/relationships/hyperlink" Target="https://violet-wolf-754008.hostingersite.com/wp-content/uploads/recuperacoes-judiciais/eit/2&#186;-Edital-de-credores.pdf" TargetMode="External" Id="rId240" /><Relationship Type="http://schemas.openxmlformats.org/officeDocument/2006/relationships/hyperlink" Target="https://violet-wolf-754008.hostingersite.com/wp-content/uploads/recuperacoes-judiciais/eit/2&#186;-Edital-de-credores.pdf" TargetMode="External" Id="rId241" /><Relationship Type="http://schemas.openxmlformats.org/officeDocument/2006/relationships/hyperlink" Target="https://violet-wolf-754008.hostingersite.com/wp-content/uploads/recuperacoes-judiciais/Ebramec/Embrac-1&#186;-Edital-de-Credores.pdf" TargetMode="External" Id="rId242" /><Relationship Type="http://schemas.openxmlformats.org/officeDocument/2006/relationships/hyperlink" Target="https://violet-wolf-754008.hostingersite.com/wp-content/uploads/recuperacoes-judiciais/Ebramec/Embrac-1&#186;-Edital-de-Credores.pdf" TargetMode="External" Id="rId243" /><Relationship Type="http://schemas.openxmlformats.org/officeDocument/2006/relationships/hyperlink" Target="https://violet-wolf-754008.hostingersite.com/wp-content/uploads/recuperacoes-judiciais/Ebramec/Embrac-1&#186;-Edital-de-Credores.pdf" TargetMode="External" Id="rId244" /><Relationship Type="http://schemas.openxmlformats.org/officeDocument/2006/relationships/hyperlink" Target="https://violet-wolf-754008.hostingersite.com/wp-content/uploads/recuperacoes-judiciais/Ebramec/Embrac-1&#186;-Edital-de-Credores.pdf" TargetMode="External" Id="rId245" /><Relationship Type="http://schemas.openxmlformats.org/officeDocument/2006/relationships/hyperlink" Target="https://violet-wolf-754008.hostingersite.com/wp-content/uploads/recuperacoes-judiciais/Ebramec/Embrac-1&#186;-Edital-de-Credores.pdf" TargetMode="External" Id="rId246" /><Relationship Type="http://schemas.openxmlformats.org/officeDocument/2006/relationships/hyperlink" Target="https://violet-wolf-754008.hostingersite.com/wp-content/uploads/recuperacoes-judiciais/Ebramec/Embrac-1&#186;-Edital-de-Credores.pdf" TargetMode="External" Id="rId247" /><Relationship Type="http://schemas.openxmlformats.org/officeDocument/2006/relationships/hyperlink" Target="https://violet-wolf-754008.hostingersite.com/wp-content/uploads/recuperacoes-judiciais/Ebramec/Embrac-1&#186;-Edital-de-Credores.pdf" TargetMode="External" Id="rId248" /><Relationship Type="http://schemas.openxmlformats.org/officeDocument/2006/relationships/hyperlink" Target="https://violet-wolf-754008.hostingersite.com/wp-content/uploads/recuperacoes-judiciais/Ebramec/Embrac-1&#186;-Edital-de-Credores.pdf" TargetMode="External" Id="rId249" /><Relationship Type="http://schemas.openxmlformats.org/officeDocument/2006/relationships/hyperlink" Target="https://violet-wolf-754008.hostingersite.com/wp-content/uploads/recuperacoes-judiciais/Ebramec/Embrac-1&#186;-Edital-de-Credores.pdf" TargetMode="External" Id="rId250" /><Relationship Type="http://schemas.openxmlformats.org/officeDocument/2006/relationships/hyperlink" Target="https://violet-wolf-754008.hostingersite.com/wp-content/uploads/recuperacoes-judiciais/Ebramec/Embrac-1&#186;-Edital-de-Credores.pdf" TargetMode="External" Id="rId251" /><Relationship Type="http://schemas.openxmlformats.org/officeDocument/2006/relationships/hyperlink" Target="https://violet-wolf-754008.hostingersite.com/wp-content/uploads/recuperacoes-judiciais/Ebramec/Embrac-1&#186;-Edital-de-Credores.pdf" TargetMode="External" Id="rId252" /><Relationship Type="http://schemas.openxmlformats.org/officeDocument/2006/relationships/hyperlink" Target="https://violet-wolf-754008.hostingersite.com/wp-content/uploads/recuperacoes-judiciais/Ebramec/Embrac-1&#186;-Edital-de-Credores.pdf" TargetMode="External" Id="rId253" /><Relationship Type="http://schemas.openxmlformats.org/officeDocument/2006/relationships/hyperlink" Target="https://violet-wolf-754008.hostingersite.com/wp-content/uploads/recuperacoes-judiciais/Ebramec/Embrac-1&#186;-Edital-de-Credores.pdf" TargetMode="External" Id="rId254" /><Relationship Type="http://schemas.openxmlformats.org/officeDocument/2006/relationships/hyperlink" Target="https://violet-wolf-754008.hostingersite.com/wp-content/uploads/recuperacoes-judiciais/Ebramec/Embrac-1&#186;-Edital-de-Credores.pdf" TargetMode="External" Id="rId255" /><Relationship Type="http://schemas.openxmlformats.org/officeDocument/2006/relationships/hyperlink" Target="https://violet-wolf-754008.hostingersite.com/wp-content/uploads/recuperacoes-judiciais/Ebramec/Embrac-1&#186;-Edital-de-Credores.pdf" TargetMode="External" Id="rId256" /><Relationship Type="http://schemas.openxmlformats.org/officeDocument/2006/relationships/hyperlink" Target="https://violet-wolf-754008.hostingersite.com/wp-content/uploads/recuperacoes-judiciais/Ebramec/Embrac-1&#186;-Edital-de-Credores.pdf" TargetMode="External" Id="rId257" /><Relationship Type="http://schemas.openxmlformats.org/officeDocument/2006/relationships/hyperlink" Target="https://violet-wolf-754008.hostingersite.com/wp-content/uploads/recuperacoes-judiciais/Ebramec/Embrac-1&#186;-Edital-de-Credores.pdf" TargetMode="External" Id="rId258" /><Relationship Type="http://schemas.openxmlformats.org/officeDocument/2006/relationships/hyperlink" Target="https://violet-wolf-754008.hostingersite.com/wp-content/uploads/recuperacoes-judiciais/Ebramec/2o-Edital-de-Credores.pdf" TargetMode="External" Id="rId259" /><Relationship Type="http://schemas.openxmlformats.org/officeDocument/2006/relationships/hyperlink" Target="https://violet-wolf-754008.hostingersite.com/wp-content/uploads/recuperacoes-judiciais/Ebramec/2o-Edital-de-Credores.pdf" TargetMode="External" Id="rId260" /><Relationship Type="http://schemas.openxmlformats.org/officeDocument/2006/relationships/hyperlink" Target="https://violet-wolf-754008.hostingersite.com/wp-content/uploads/recuperacoes-judiciais/Ebramec/2o-Edital-de-Credores.pdf" TargetMode="External" Id="rId261" /><Relationship Type="http://schemas.openxmlformats.org/officeDocument/2006/relationships/hyperlink" Target="https://violet-wolf-754008.hostingersite.com/wp-content/uploads/recuperacoes-judiciais/Ebramec/2o-Edital-de-Credores.pdf" TargetMode="External" Id="rId262" /><Relationship Type="http://schemas.openxmlformats.org/officeDocument/2006/relationships/hyperlink" Target="https://violet-wolf-754008.hostingersite.com/wp-content/uploads/recuperacoes-judiciais/Ebramec/2o-Edital-de-Credores.pdf" TargetMode="External" Id="rId263" /><Relationship Type="http://schemas.openxmlformats.org/officeDocument/2006/relationships/hyperlink" Target="https://violet-wolf-754008.hostingersite.com/wp-content/uploads/recuperacoes-judiciais/Ebramec/2o-Edital-de-Credores.pdf" TargetMode="External" Id="rId264" /><Relationship Type="http://schemas.openxmlformats.org/officeDocument/2006/relationships/hyperlink" Target="https://violet-wolf-754008.hostingersite.com/wp-content/uploads/recuperacoes-judiciais/Ebramec/2o-Edital-de-Credores.pdf" TargetMode="External" Id="rId265" /><Relationship Type="http://schemas.openxmlformats.org/officeDocument/2006/relationships/hyperlink" Target="https://violet-wolf-754008.hostingersite.com/wp-content/uploads/recuperacoes-judiciais/Ebramec/2o-Edital-de-Credores.pdf" TargetMode="External" Id="rId266" /><Relationship Type="http://schemas.openxmlformats.org/officeDocument/2006/relationships/hyperlink" Target="https://violet-wolf-754008.hostingersite.com/wp-content/uploads/recuperacoes-judiciais/Ebramec/2o-Edital-de-Credores.pdf" TargetMode="External" Id="rId267" /><Relationship Type="http://schemas.openxmlformats.org/officeDocument/2006/relationships/hyperlink" Target="https://violet-wolf-754008.hostingersite.com/wp-content/uploads/recuperacoes-judiciais/Ebramec/2o-Edital-de-Credores.pdf" TargetMode="External" Id="rId268" /><Relationship Type="http://schemas.openxmlformats.org/officeDocument/2006/relationships/hyperlink" Target="https://violet-wolf-754008.hostingersite.com/wp-content/uploads/recuperacoes-judiciais/Ebramec/2o-Edital-de-Credores.pdf" TargetMode="External" Id="rId269" /><Relationship Type="http://schemas.openxmlformats.org/officeDocument/2006/relationships/hyperlink" Target="https://violet-wolf-754008.hostingersite.com/wp-content/uploads/recuperacoes-judiciais/Ebramec/2o-Edital-de-Credores.pdf" TargetMode="External" Id="rId270" /><Relationship Type="http://schemas.openxmlformats.org/officeDocument/2006/relationships/hyperlink" Target="https://inova-aj.com.br/wp-content/uploads/2020/04/Relac&#807;a&#771;o-de-Credores-Grupo-Miguel-Couto-Art.-7&#186;&#167;2&#186;-LRE.pdf" TargetMode="External" Id="rId271" /><Relationship Type="http://schemas.openxmlformats.org/officeDocument/2006/relationships/hyperlink" Target="https://inova-aj.com.br/wp-content/uploads/2020/04/Relac&#807;a&#771;o-de-Credores-Grupo-Miguel-Couto-Art.-7&#186;&#167;2&#186;-LRE.pdf" TargetMode="External" Id="rId272" /><Relationship Type="http://schemas.openxmlformats.org/officeDocument/2006/relationships/hyperlink" Target="https://inova-aj.com.br/wp-content/uploads/2020/04/Relac&#807;a&#771;o-de-Credores-Grupo-Miguel-Couto-Art.-7&#186;&#167;2&#186;-LRE.pdf" TargetMode="External" Id="rId273" /><Relationship Type="http://schemas.openxmlformats.org/officeDocument/2006/relationships/hyperlink" Target="https://inova-aj.com.br/wp-content/uploads/2020/04/Relac&#807;a&#771;o-de-Credores-Grupo-Miguel-Couto-Art.-7&#186;&#167;2&#186;-LRE.pdf" TargetMode="External" Id="rId274" /><Relationship Type="http://schemas.openxmlformats.org/officeDocument/2006/relationships/hyperlink" Target="https://inova-aj.com.br/wp-content/uploads/2020/04/Relac&#807;a&#771;o-de-Credores-Grupo-Miguel-Couto-Art.-7&#186;&#167;2&#186;-LRE.pdf" TargetMode="External" Id="rId275" /><Relationship Type="http://schemas.openxmlformats.org/officeDocument/2006/relationships/hyperlink" Target="https://inova-aj.com.br/wp-content/uploads/2020/04/Relac&#807;a&#771;o-de-Credores-Grupo-Miguel-Couto-Art.-7&#186;&#167;2&#186;-LRE.pdf" TargetMode="External" Id="rId276" /><Relationship Type="http://schemas.openxmlformats.org/officeDocument/2006/relationships/hyperlink" Target="https://inova-aj.com.br/wp-content/uploads/2020/04/Relac&#807;a&#771;o-de-Credores-Grupo-Miguel-Couto-Art.-7&#186;&#167;2&#186;-LRE.pdf" TargetMode="External" Id="rId277" /><Relationship Type="http://schemas.openxmlformats.org/officeDocument/2006/relationships/hyperlink" Target="https://inova-aj.com.br/wp-content/uploads/2020/04/Relac&#807;a&#771;o-de-Credores-Grupo-Miguel-Couto-Art.-7&#186;&#167;2&#186;-LRE.pdf" TargetMode="External" Id="rId278" /><Relationship Type="http://schemas.openxmlformats.org/officeDocument/2006/relationships/hyperlink" Target="https://inova-aj.com.br/wp-content/uploads/2020/04/Relac&#807;a&#771;o-de-Credores-Grupo-Miguel-Couto-Art.-7&#186;&#167;2&#186;-LRE.pdf" TargetMode="External" Id="rId279" /><Relationship Type="http://schemas.openxmlformats.org/officeDocument/2006/relationships/hyperlink" Target="https://inova-aj.com.br/wp-content/uploads/2020/04/Relac&#807;a&#771;o-de-Credores-Grupo-Miguel-Couto-Art.-7&#186;&#167;2&#186;-LRE.pdf" TargetMode="External" Id="rId280" /><Relationship Type="http://schemas.openxmlformats.org/officeDocument/2006/relationships/hyperlink" Target="https://inova-aj.com.br/wp-content/uploads/2020/04/Relac&#807;a&#771;o-de-Credores-Grupo-Miguel-Couto-Art.-7&#186;&#167;2&#186;-LRE.pdf" TargetMode="External" Id="rId281" /><Relationship Type="http://schemas.openxmlformats.org/officeDocument/2006/relationships/hyperlink" Target="https://inova-aj.com.br/wp-content/uploads/2020/04/Relac&#807;a&#771;o-de-Credores-Grupo-Miguel-Couto-Art.-7&#186;&#167;2&#186;-LRE.pdf" TargetMode="External" Id="rId282" /><Relationship Type="http://schemas.openxmlformats.org/officeDocument/2006/relationships/hyperlink" Target="https://inova-aj.com.br/wp-content/uploads/2020/04/Relac&#807;a&#771;o-de-Credores-Grupo-Miguel-Couto-Art.-7&#186;&#167;2&#186;-LRE.pdf" TargetMode="External" Id="rId283" /><Relationship Type="http://schemas.openxmlformats.org/officeDocument/2006/relationships/hyperlink" Target="https://inova-aj.com.br/wp-content/uploads/2020/04/Relac&#807;a&#771;o-de-Credores-Grupo-Miguel-Couto-Art.-7&#186;&#167;2&#186;-LRE.pdf" TargetMode="External" Id="rId284" /><Relationship Type="http://schemas.openxmlformats.org/officeDocument/2006/relationships/hyperlink" Target="https://inova-aj.com.br/wp-content/uploads/2020/04/Relac&#807;a&#771;o-de-Credores-Grupo-Miguel-Couto-Art.-7&#186;&#167;2&#186;-LRE.pdf" TargetMode="External" Id="rId285" /><Relationship Type="http://schemas.openxmlformats.org/officeDocument/2006/relationships/hyperlink" Target="https://inova-aj.com.br/wp-content/uploads/2020/04/Relac&#807;a&#771;o-de-Credores-Grupo-Miguel-Couto-Art.-7&#186;&#167;2&#186;-LRE.pdf" TargetMode="External" Id="rId286" /><Relationship Type="http://schemas.openxmlformats.org/officeDocument/2006/relationships/hyperlink" Target="https://inova-aj.com.br/wp-content/uploads/2020/04/Relac&#807;a&#771;o-de-Credores-Grupo-Miguel-Couto-Art.-7&#186;&#167;2&#186;-LRE.pdf" TargetMode="External" Id="rId287" /><Relationship Type="http://schemas.openxmlformats.org/officeDocument/2006/relationships/hyperlink" Target="https://inova-aj.com.br/wp-content/uploads/2020/04/Relac&#807;a&#771;o-de-Credores-Grupo-Miguel-Couto-Art.-7&#186;&#167;2&#186;-LRE.pdf" TargetMode="External" Id="rId288" /><Relationship Type="http://schemas.openxmlformats.org/officeDocument/2006/relationships/hyperlink" Target="https://inova-aj.com.br/wp-content/uploads/2020/04/Relac&#807;a&#771;o-de-Credores-Grupo-Miguel-Couto-Art.-7&#186;&#167;2&#186;-LRE.pdf" TargetMode="External" Id="rId289" /><Relationship Type="http://schemas.openxmlformats.org/officeDocument/2006/relationships/hyperlink" Target="https://inova-aj.com.br/wp-content/uploads/2020/04/Relac&#807;a&#771;o-de-Credores-Grupo-Miguel-Couto-Art.-7&#186;&#167;2&#186;-LRE.pdf" TargetMode="External" Id="rId290" /><Relationship Type="http://schemas.openxmlformats.org/officeDocument/2006/relationships/hyperlink" Target="https://inova-aj.com.br/wp-content/uploads/2020/04/Relac&#807;a&#771;o-de-Credores-Grupo-Miguel-Couto-Art.-7&#186;&#167;2&#186;-LRE.pdf" TargetMode="External" Id="rId291" /><Relationship Type="http://schemas.openxmlformats.org/officeDocument/2006/relationships/hyperlink" Target="https://inova-aj.com.br/wp-content/uploads/2020/04/Relac&#807;a&#771;o-de-Credores-Grupo-Miguel-Couto-Art.-7&#186;&#167;2&#186;-LRE.pdf" TargetMode="External" Id="rId292" /><Relationship Type="http://schemas.openxmlformats.org/officeDocument/2006/relationships/hyperlink" Target="https://inova-aj.com.br/wp-content/uploads/2020/04/Relac&#807;a&#771;o-de-Credores-Grupo-Miguel-Couto-Art.-7&#186;&#167;2&#186;-LRE.pdf" TargetMode="External" Id="rId293" /><Relationship Type="http://schemas.openxmlformats.org/officeDocument/2006/relationships/hyperlink" Target="https://inova-aj.com.br/wp-content/uploads/2020/04/Relac&#807;a&#771;o-de-Credores-Grupo-Miguel-Couto-Art.-7&#186;&#167;2&#186;-LRE.pdf" TargetMode="External" Id="rId294" /><Relationship Type="http://schemas.openxmlformats.org/officeDocument/2006/relationships/hyperlink" Target="https://inova-aj.com.br/wp-content/uploads/2020/04/Relac&#807;a&#771;o-de-Credores-Grupo-Miguel-Couto-Art.-7&#186;&#167;2&#186;-LRE.pdf" TargetMode="External" Id="rId295" /><Relationship Type="http://schemas.openxmlformats.org/officeDocument/2006/relationships/hyperlink" Target="https://inova-aj.com.br/wp-content/uploads/2020/04/Relac&#807;a&#771;o-de-Credores-Grupo-Miguel-Couto-Art.-7&#186;&#167;2&#186;-LRE.pdf" TargetMode="External" Id="rId296" /><Relationship Type="http://schemas.openxmlformats.org/officeDocument/2006/relationships/hyperlink" Target="https://inova-aj.com.br/wp-content/uploads/2020/02/Relacao-de-Credores.pdf" TargetMode="External" Id="rId297" /><Relationship Type="http://schemas.openxmlformats.org/officeDocument/2006/relationships/hyperlink" Target="https://inova-aj.com.br/wp-content/uploads/2020/02/Relacao-de-Credores.pdf" TargetMode="External" Id="rId298" /><Relationship Type="http://schemas.openxmlformats.org/officeDocument/2006/relationships/hyperlink" Target="https://inova-aj.com.br/wp-content/uploads/2020/02/Relacao-de-Credores.pdf" TargetMode="External" Id="rId299" /><Relationship Type="http://schemas.openxmlformats.org/officeDocument/2006/relationships/hyperlink" Target="https://inova-aj.com.br/wp-content/uploads/2020/02/Relacao-de-Credores.pdf" TargetMode="External" Id="rId300" /><Relationship Type="http://schemas.openxmlformats.org/officeDocument/2006/relationships/hyperlink" Target="https://inova-aj.com.br/wp-content/uploads/2020/02/Relacao-de-Credores.pdf" TargetMode="External" Id="rId301" /><Relationship Type="http://schemas.openxmlformats.org/officeDocument/2006/relationships/hyperlink" Target="https://inova-aj.com.br/wp-content/uploads/2018/11/Rela&#231;&#227;o-de-Credores-Grupo-CFF-Art.-7&#186;-&#167;2&#186;-LRE-RETIFICADA.pdf" TargetMode="External" Id="rId302" /><Relationship Type="http://schemas.openxmlformats.org/officeDocument/2006/relationships/hyperlink" Target="https://inova-aj.com.br/wp-content/uploads/2018/11/Rela&#231;&#227;o-de-Credores-Grupo-CFF-Art.-7&#186;-&#167;2&#186;-LRE-RETIFICADA.pdf" TargetMode="External" Id="rId303" /><Relationship Type="http://schemas.openxmlformats.org/officeDocument/2006/relationships/hyperlink" Target="https://inova-aj.com.br/wp-content/uploads/2018/11/Rela&#231;&#227;o-de-Credores-Grupo-CFF-Art.-7&#186;-&#167;2&#186;-LRE-RETIFICADA.pdf" TargetMode="External" Id="rId304" /><Relationship Type="http://schemas.openxmlformats.org/officeDocument/2006/relationships/hyperlink" Target="https://inova-aj.com.br/wp-content/uploads/2018/11/Rela&#231;&#227;o-de-Credores-Grupo-CFF-Art.-7&#186;-&#167;2&#186;-LRE-RETIFICADA.pdf" TargetMode="External" Id="rId305" /><Relationship Type="http://schemas.openxmlformats.org/officeDocument/2006/relationships/hyperlink" Target="https://inova-aj.com.br/wp-content/uploads/2018/11/Rela&#231;&#227;o-de-Credores-Grupo-CFF-Art.-7&#186;-&#167;2&#186;-LRE-RETIFICADA.pdf" TargetMode="External" Id="rId306" /><Relationship Type="http://schemas.openxmlformats.org/officeDocument/2006/relationships/hyperlink" Target="https://inova-aj.com.br/wp-content/uploads/2018/11/Rela&#231;&#227;o-de-Credores-Grupo-CFF-Art.-7&#186;-&#167;2&#186;-LRE-RETIFICADA.pdf" TargetMode="External" Id="rId307" /><Relationship Type="http://schemas.openxmlformats.org/officeDocument/2006/relationships/hyperlink" Target="https://inova-aj.com.br/wp-content/uploads/2018/11/Rela&#231;&#227;o-de-Credores-Grupo-CFF-Art.-7&#186;-&#167;2&#186;-LRE-RETIFICADA.pdf" TargetMode="External" Id="rId308" /><Relationship Type="http://schemas.openxmlformats.org/officeDocument/2006/relationships/hyperlink" Target="https://inova-aj.com.br/wp-content/uploads/2018/11/Rela&#231;&#227;o-de-Credores-Grupo-CFF-Art.-7&#186;-&#167;2&#186;-LRE-RETIFICADA.pdf" TargetMode="External" Id="rId309" /><Relationship Type="http://schemas.openxmlformats.org/officeDocument/2006/relationships/hyperlink" Target="https://inova-aj.com.br/wp-content/uploads/2018/11/Rela&#231;&#227;o-de-Credores-Grupo-CFF-Art.-7&#186;-&#167;2&#186;-LRE-RETIFICADA.pdf" TargetMode="External" Id="rId310" /><Relationship Type="http://schemas.openxmlformats.org/officeDocument/2006/relationships/hyperlink" Target="https://inova-aj.com.br/wp-content/uploads/2018/11/Rela&#231;&#227;o-de-Credores-Grupo-CFF-Art.-7&#186;-&#167;2&#186;-LRE-RETIFICADA.pdf" TargetMode="External" Id="rId311" /><Relationship Type="http://schemas.openxmlformats.org/officeDocument/2006/relationships/hyperlink" Target="https://inova-aj.com.br/wp-content/uploads/2018/11/Rela&#231;&#227;o-de-Credores-Grupo-CFF-Art.-7&#186;-&#167;2&#186;-LRE-RETIFICADA.pdf" TargetMode="External" Id="rId312" /><Relationship Type="http://schemas.openxmlformats.org/officeDocument/2006/relationships/hyperlink" Target="https://inova-aj.com.br/wp-content/uploads/2018/11/Rela&#231;&#227;o-de-Credores-Grupo-CFF-Art.-7&#186;-&#167;2&#186;-LRE-RETIFICADA.pdf" TargetMode="External" Id="rId313" /><Relationship Type="http://schemas.openxmlformats.org/officeDocument/2006/relationships/hyperlink" Target="https://inova-aj.com.br/wp-content/uploads/2018/11/Rela&#231;&#227;o-de-Credores-Grupo-CFF-Art.-7&#186;-&#167;2&#186;-LRE-RETIFICADA.pdf" TargetMode="External" Id="rId314" /><Relationship Type="http://schemas.openxmlformats.org/officeDocument/2006/relationships/hyperlink" Target="https://rlg-aj.com.br/wp-content/uploads/2023/05/Relacao-de-Credores-do-art.-7o-&#167;2o-da-Lei-n.o-11.101-de-2005-Lojas-Aldo.pdf" TargetMode="External" Id="rId315" /><Relationship Type="http://schemas.openxmlformats.org/officeDocument/2006/relationships/hyperlink" Target="https://rlg-aj.com.br/wp-content/uploads/2023/05/Relacao-de-Credores-do-art.-7o-&#167;2o-da-Lei-n.o-11.101-de-2005-Lojas-Aldo.pdf" TargetMode="External" Id="rId316" /><Relationship Type="http://schemas.openxmlformats.org/officeDocument/2006/relationships/hyperlink" Target="https://rlg-aj.com.br/wp-content/uploads/2023/05/Relacao-de-Credores-do-art.-7o-&#167;2o-da-Lei-n.o-11.101-de-2005-Lojas-Aldo.pdf" TargetMode="External" Id="rId317" /><Relationship Type="http://schemas.openxmlformats.org/officeDocument/2006/relationships/hyperlink" Target="https://rlg-aj.com.br/wp-content/uploads/2023/05/Relacao-de-Credores-do-art.-7o-&#167;2o-da-Lei-n.o-11.101-de-2005-Lojas-Aldo.pdf" TargetMode="External" Id="rId318" /><Relationship Type="http://schemas.openxmlformats.org/officeDocument/2006/relationships/hyperlink" Target="https://rlg-aj.com.br/wp-content/uploads/2023/05/Relacao-de-Credores-do-art.-7o-&#167;2o-da-Lei-n.o-11.101-de-2005-Lojas-Aldo.pdf" TargetMode="External" Id="rId319" /><Relationship Type="http://schemas.openxmlformats.org/officeDocument/2006/relationships/hyperlink" Target="https://rlg-aj.com.br/wp-content/uploads/2023/05/Relacao-de-Credores-do-art.-7o-&#167;2o-da-Lei-n.o-11.101-de-2005-Lojas-Aldo.pdf" TargetMode="External" Id="rId320" /><Relationship Type="http://schemas.openxmlformats.org/officeDocument/2006/relationships/hyperlink" Target="https://rlg-aj.com.br/wp-content/uploads/2023/05/Relacao-de-Credores-do-art.-7o-&#167;2o-da-Lei-n.o-11.101-de-2005-Lojas-Aldo.pdf" TargetMode="External" Id="rId321" /><Relationship Type="http://schemas.openxmlformats.org/officeDocument/2006/relationships/hyperlink" Target="https://rlg-aj.com.br/wp-content/uploads/2023/05/Relacao-de-Credores-do-art.-7o-&#167;2o-da-Lei-n.o-11.101-de-2005-Lojas-Aldo.pdf" TargetMode="External" Id="rId322" /><Relationship Type="http://schemas.openxmlformats.org/officeDocument/2006/relationships/hyperlink" Target="https://rlg-aj.com.br/wp-content/uploads/2023/05/Relacao-de-Credores-do-art.-7o-&#167;2o-da-Lei-n.o-11.101-de-2005-Lojas-Aldo.pdf" TargetMode="External" Id="rId323" /><Relationship Type="http://schemas.openxmlformats.org/officeDocument/2006/relationships/hyperlink" Target="https://rlg-aj.com.br/wp-content/uploads/2023/05/Relacao-de-Credores-do-art.-7o-&#167;2o-da-Lei-n.o-11.101-de-2005-Lojas-Aldo.pdf" TargetMode="External" Id="rId324" /><Relationship Type="http://schemas.openxmlformats.org/officeDocument/2006/relationships/hyperlink" Target="https://rlg-aj.com.br/wp-content/uploads/2023/05/Relacao-de-Credores-do-art.-7o-&#167;2o-da-Lei-n.o-11.101-de-2005-Lojas-Aldo.pdf" TargetMode="External" Id="rId325" /><Relationship Type="http://schemas.openxmlformats.org/officeDocument/2006/relationships/hyperlink" Target="https://rlg-aj.com.br/wp-content/uploads/2023/05/Relacao-de-Credores-do-art.-7o-&#167;2o-da-Lei-n.o-11.101-de-2005-Lojas-Aldo.pdf" TargetMode="External" Id="rId326" /><Relationship Type="http://schemas.openxmlformats.org/officeDocument/2006/relationships/hyperlink" Target="https://rlg-aj.com.br/wp-content/uploads/2023/05/Relacao-de-Credores-do-art.-7o-&#167;2o-da-Lei-n.o-11.101-de-2005-Lojas-Aldo.pdf" TargetMode="External" Id="rId327" /><Relationship Type="http://schemas.openxmlformats.org/officeDocument/2006/relationships/hyperlink" Target="https://rlg-aj.com.br/wp-content/uploads/2023/05/Relacao-de-Credores-do-art.-7o-&#167;2o-da-Lei-n.o-11.101-de-2005-Lojas-Aldo.pdf" TargetMode="External" Id="rId328" /><Relationship Type="http://schemas.openxmlformats.org/officeDocument/2006/relationships/hyperlink" Target="https://rlg-aj.com.br/wp-content/uploads/2023/05/Relacao-de-Credores-do-art.-7o-&#167;2o-da-Lei-n.o-11.101-de-2005-Lojas-Aldo.pdf" TargetMode="External" Id="rId329" /><Relationship Type="http://schemas.openxmlformats.org/officeDocument/2006/relationships/hyperlink" Target="https://rlg-aj.com.br/wp-content/uploads/2023/05/Relacao-de-Credores-do-art.-7o-&#167;2o-da-Lei-n.o-11.101-de-2005-Lojas-Aldo.pdf" TargetMode="External" Id="rId330" /><Relationship Type="http://schemas.openxmlformats.org/officeDocument/2006/relationships/hyperlink" Target="https://rlg-aj.com.br/wp-content/uploads/2023/05/Relacao-de-Credores-do-art.-7o-&#167;2o-da-Lei-n.o-11.101-de-2005-Lojas-Aldo.pdf" TargetMode="External" Id="rId331" /><Relationship Type="http://schemas.openxmlformats.org/officeDocument/2006/relationships/hyperlink" Target="https://rlg-aj.com.br/wp-content/uploads/2026/02/2a-Lista-de-Credores-Relacao-Completa-Artigo-7o-Paragrafo-2-da-Lei-11.101-de-2005-Madefus.pdf" TargetMode="External" Id="rId332" /><Relationship Type="http://schemas.openxmlformats.org/officeDocument/2006/relationships/hyperlink" Target="https://rlg-aj.com.br/wp-content/uploads/2026/02/2a-Lista-de-Credores-Relacao-Completa-Artigo-7o-Paragrafo-2-da-Lei-11.101-de-2005-Madefus.pdf" TargetMode="External" Id="rId333" /><Relationship Type="http://schemas.openxmlformats.org/officeDocument/2006/relationships/hyperlink" Target="https://rlg-aj.com.br/wp-content/uploads/2026/02/2a-Lista-de-Credores-Relacao-Completa-Artigo-7o-Paragrafo-2-da-Lei-11.101-de-2005-Madefus.pdf" TargetMode="External" Id="rId334" /><Relationship Type="http://schemas.openxmlformats.org/officeDocument/2006/relationships/hyperlink" Target="https://violet-wolf-754008.hostingersite.com/wp-content/uploads/recuperacoes-judiciais/Grupo-bem/2&#186;-Edital-Grupo-Bem.pdf" TargetMode="External" Id="rId335" /><Relationship Type="http://schemas.openxmlformats.org/officeDocument/2006/relationships/hyperlink" Target="https://violet-wolf-754008.hostingersite.com/wp-content/uploads/recuperacoes-judiciais/Grupo-bem/2&#186;-Edital-Grupo-Bem.pdf" TargetMode="External" Id="rId336" /><Relationship Type="http://schemas.openxmlformats.org/officeDocument/2006/relationships/hyperlink" Target="https://violet-wolf-754008.hostingersite.com/wp-content/uploads/recuperacoes-judiciais/Grupo-bem/2&#186;-Edital-Grupo-Bem.pdf" TargetMode="External" Id="rId337" /><Relationship Type="http://schemas.openxmlformats.org/officeDocument/2006/relationships/hyperlink" Target="https://violet-wolf-754008.hostingersite.com/wp-content/uploads/recuperacoes-judiciais/Grupo-bem/2&#186;-Edital-Grupo-Bem.pdf" TargetMode="External" Id="rId338" /><Relationship Type="http://schemas.openxmlformats.org/officeDocument/2006/relationships/hyperlink" Target="https://violet-wolf-754008.hostingersite.com/wp-content/uploads/recuperacoes-judiciais/Grupo-bem/2&#186;-Edital-Grupo-Bem.pdf" TargetMode="External" Id="rId339" /><Relationship Type="http://schemas.openxmlformats.org/officeDocument/2006/relationships/hyperlink" Target="https://violet-wolf-754008.hostingersite.com/wp-content/uploads/recuperacoes-judiciais/Grupo-bem/2&#186;-Edital-Grupo-Bem.pdf" TargetMode="External" Id="rId340" /><Relationship Type="http://schemas.openxmlformats.org/officeDocument/2006/relationships/hyperlink" Target="https://violet-wolf-754008.hostingersite.com/wp-content/uploads/recuperacoes-judiciais/Grupo-bem/2&#186;-Edital-Grupo-Bem.pdf" TargetMode="External" Id="rId341" /><Relationship Type="http://schemas.openxmlformats.org/officeDocument/2006/relationships/hyperlink" Target="https://violet-wolf-754008.hostingersite.com/wp-content/uploads/recuperacoes-judiciais/Grupo-bem/2&#186;-Edital-Grupo-Bem.pdf" TargetMode="External" Id="rId342" /><Relationship Type="http://schemas.openxmlformats.org/officeDocument/2006/relationships/hyperlink" Target="https://violet-wolf-754008.hostingersite.com/wp-content/uploads/recuperacoes-judiciais/Grupo-bem/2&#186;-Edital-Grupo-Bem.pdf" TargetMode="External" Id="rId343" /><Relationship Type="http://schemas.openxmlformats.org/officeDocument/2006/relationships/hyperlink" Target="https://violet-wolf-754008.hostingersite.com/wp-content/uploads/recuperacoes-judiciais/Grupo-bem/2&#186;-Edital-Grupo-Bem.pdf" TargetMode="External" Id="rId344" /><Relationship Type="http://schemas.openxmlformats.org/officeDocument/2006/relationships/hyperlink" Target="https://violet-wolf-754008.hostingersite.com/wp-content/uploads/recuperacoes-judiciais/Grupo-bem/2&#186;-Edital-Grupo-Bem.pdf" TargetMode="External" Id="rId345" /><Relationship Type="http://schemas.openxmlformats.org/officeDocument/2006/relationships/hyperlink" Target="https://violet-wolf-754008.hostingersite.com/wp-content/uploads/recuperacoes-judiciais/Grupo-bem/2&#186;-Edital-Grupo-Bem.pdf" TargetMode="External" Id="rId346" /><Relationship Type="http://schemas.openxmlformats.org/officeDocument/2006/relationships/hyperlink" Target="https://violet-wolf-754008.hostingersite.com/wp-content/uploads/recuperacoes-judiciais/Grupo-bem/2&#186;-Edital-Grupo-Bem.pdf" TargetMode="External" Id="rId347" /><Relationship Type="http://schemas.openxmlformats.org/officeDocument/2006/relationships/hyperlink" Target="https://violet-wolf-754008.hostingersite.com/wp-content/uploads/recuperacoes-judiciais/Grupo-bem/2&#186;-Edital-Grupo-Bem.pdf" TargetMode="External" Id="rId348" /><Relationship Type="http://schemas.openxmlformats.org/officeDocument/2006/relationships/hyperlink" Target="https://violet-wolf-754008.hostingersite.com/wp-content/uploads/recuperacoes-judiciais/Grupo-bem/2&#186;-Edital-Grupo-Bem.pdf" TargetMode="External" Id="rId349" /><Relationship Type="http://schemas.openxmlformats.org/officeDocument/2006/relationships/hyperlink" Target="https://violet-wolf-754008.hostingersite.com/wp-content/uploads/recuperacoes-judiciais/Grupo-bem/2&#186;-Edital-Grupo-Bem.pdf" TargetMode="External" Id="rId350" /><Relationship Type="http://schemas.openxmlformats.org/officeDocument/2006/relationships/hyperlink" Target="https://violet-wolf-754008.hostingersite.com/wp-content/uploads/2024/06/1o-Edital-de-Credores.pdf" TargetMode="External" Id="rId351" /><Relationship Type="http://schemas.openxmlformats.org/officeDocument/2006/relationships/hyperlink" Target="https://violet-wolf-754008.hostingersite.com/wp-content/uploads/2024/06/1o-Edital-de-Credores.pdf" TargetMode="External" Id="rId352" /><Relationship Type="http://schemas.openxmlformats.org/officeDocument/2006/relationships/hyperlink" Target="https://violet-wolf-754008.hostingersite.com/wp-content/uploads/2024/06/1o-Edital-de-Credores.pdf" TargetMode="External" Id="rId353" /><Relationship Type="http://schemas.openxmlformats.org/officeDocument/2006/relationships/hyperlink" Target="https://violet-wolf-754008.hostingersite.com/wp-content/uploads/2024/06/1o-Edital-de-Credores.pdf" TargetMode="External" Id="rId354" /><Relationship Type="http://schemas.openxmlformats.org/officeDocument/2006/relationships/hyperlink" Target="https://violet-wolf-754008.hostingersite.com/wp-content/uploads/recuperacoes-judiciais/ever-ton/1&#186;-edital.pdf" TargetMode="External" Id="rId355" /><Relationship Type="http://schemas.openxmlformats.org/officeDocument/2006/relationships/hyperlink" Target="https://violet-wolf-754008.hostingersite.com/wp-content/uploads/recuperacoes-judiciais/ever-ton/1&#186;-edital.pdf" TargetMode="External" Id="rId356" /><Relationship Type="http://schemas.openxmlformats.org/officeDocument/2006/relationships/hyperlink" Target="https://violet-wolf-754008.hostingersite.com/wp-content/uploads/recuperacoes-judiciais/ever-ton/1&#186;-edital.pdf" TargetMode="External" Id="rId357" /><Relationship Type="http://schemas.openxmlformats.org/officeDocument/2006/relationships/hyperlink" Target="https://violet-wolf-754008.hostingersite.com/wp-content/uploads/recuperacoes-judiciais/ever-ton/1&#186;-edital.pdf" TargetMode="External" Id="rId358" /><Relationship Type="http://schemas.openxmlformats.org/officeDocument/2006/relationships/hyperlink" Target="https://inova-aj.com.br/wp-content/uploads/2022/06/QGC-Engetecnica-e-Construtora-Zadar-Homologado.pdf" TargetMode="External" Id="rId359" /><Relationship Type="http://schemas.openxmlformats.org/officeDocument/2006/relationships/hyperlink" Target="https://inova-aj.com.br/wp-content/uploads/2022/06/QGC-Engetecnica-e-Construtora-Zadar-Homologado.pdf" TargetMode="External" Id="rId360" /><Relationship Type="http://schemas.openxmlformats.org/officeDocument/2006/relationships/hyperlink" Target="https://inova-aj.com.br/wp-content/uploads/2022/06/QGC-Engetecnica-e-Construtora-Zadar-Homologado.pdf" TargetMode="External" Id="rId361" /><Relationship Type="http://schemas.openxmlformats.org/officeDocument/2006/relationships/hyperlink" Target="https://inova-aj.com.br/wp-content/uploads/2022/06/QGC-Engetecnica-e-Construtora-Zadar-Homologado.pdf" TargetMode="External" Id="rId362" /><Relationship Type="http://schemas.openxmlformats.org/officeDocument/2006/relationships/hyperlink" Target="https://inova-aj.com.br/wp-content/uploads/2022/06/QGC-Engetecnica-e-Construtora-Zadar-Homologado.pdf" TargetMode="External" Id="rId363" /><Relationship Type="http://schemas.openxmlformats.org/officeDocument/2006/relationships/hyperlink" Target="https://inova-aj.com.br/wp-content/uploads/2022/06/QGC-Engetecnica-e-Construtora-Zadar-Homologado.pdf" TargetMode="External" Id="rId364" /><Relationship Type="http://schemas.openxmlformats.org/officeDocument/2006/relationships/hyperlink" Target="https://inova-aj.com.br/wp-content/uploads/2022/06/QGC-Engetecnica-e-Construtora-Zadar-Homologado.pdf" TargetMode="External" Id="rId365" /><Relationship Type="http://schemas.openxmlformats.org/officeDocument/2006/relationships/hyperlink" Target="https://inova-aj.com.br/wp-content/uploads/2022/06/QGC-Engetecnica-e-Construtora-Zadar-Homologado.pdf" TargetMode="External" Id="rId366" /><Relationship Type="http://schemas.openxmlformats.org/officeDocument/2006/relationships/hyperlink" Target="https://inova-aj.com.br/wp-content/uploads/2022/06/QGC-Engetecnica-e-Construtora-Zadar-Homologado.pdf" TargetMode="External" Id="rId367" /><Relationship Type="http://schemas.openxmlformats.org/officeDocument/2006/relationships/hyperlink" Target="https://inova-aj.com.br/wp-content/uploads/2022/06/QGC-Engetecnica-e-Construtora-Zadar-Homologado.pdf" TargetMode="External" Id="rId368" /><Relationship Type="http://schemas.openxmlformats.org/officeDocument/2006/relationships/hyperlink" Target="https://inova-aj.com.br/wp-content/uploads/2022/06/QGC-Engetecnica-e-Construtora-Zadar-Homologado.pdf" TargetMode="External" Id="rId369" /><Relationship Type="http://schemas.openxmlformats.org/officeDocument/2006/relationships/hyperlink" Target="https://inova-aj.com.br/wp-content/uploads/2022/06/QGC-Engetecnica-e-Construtora-Zadar-Homologado.pdf" TargetMode="External" Id="rId370" /><Relationship Type="http://schemas.openxmlformats.org/officeDocument/2006/relationships/hyperlink" Target="https://inova-aj.com.br/wp-content/uploads/2022/06/QGC-Engetecnica-e-Construtora-Zadar-Homologado.pdf" TargetMode="External" Id="rId371" /><Relationship Type="http://schemas.openxmlformats.org/officeDocument/2006/relationships/hyperlink" Target="https://inova-aj.com.br/wp-content/uploads/2022/06/QGC-Engetecnica-e-Construtora-Zadar-Homologado.pdf" TargetMode="External" Id="rId372" /><Relationship Type="http://schemas.openxmlformats.org/officeDocument/2006/relationships/hyperlink" Target="https://inova-aj.com.br/wp-content/uploads/2022/06/QGC-Engetecnica-e-Construtora-Zadar-Homologado.pdf" TargetMode="External" Id="rId373" /><Relationship Type="http://schemas.openxmlformats.org/officeDocument/2006/relationships/hyperlink" Target="https://inova-aj.com.br/wp-content/uploads/2022/06/QGC-Engetecnica-e-Construtora-Zadar-Homologado.pdf" TargetMode="External" Id="rId374" /><Relationship Type="http://schemas.openxmlformats.org/officeDocument/2006/relationships/hyperlink" Target="https://inova-aj.com.br/wp-content/uploads/2022/06/QGC-Engetecnica-e-Construtora-Zadar-Homologado.pdf" TargetMode="External" Id="rId375" /><Relationship Type="http://schemas.openxmlformats.org/officeDocument/2006/relationships/hyperlink" Target="https://inova-aj.com.br/wp-content/uploads/2022/06/QGC-Engetecnica-e-Construtora-Zadar-Homologado.pdf" TargetMode="External" Id="rId376" /><Relationship Type="http://schemas.openxmlformats.org/officeDocument/2006/relationships/hyperlink" Target="https://inova-aj.com.br/wp-content/uploads/2022/06/QGC-Engetecnica-e-Construtora-Zadar-Homologado.pdf" TargetMode="External" Id="rId377" /><Relationship Type="http://schemas.openxmlformats.org/officeDocument/2006/relationships/hyperlink" Target="https://inova-aj.com.br/wp-content/uploads/2022/06/QGC-Engetecnica-e-Construtora-Zadar-Homologado.pdf" TargetMode="External" Id="rId378" /><Relationship Type="http://schemas.openxmlformats.org/officeDocument/2006/relationships/hyperlink" Target="https://inova-aj.com.br/wp-content/uploads/2022/06/QGC-Engetecnica-e-Construtora-Zadar-Homologado.pdf" TargetMode="External" Id="rId379" /><Relationship Type="http://schemas.openxmlformats.org/officeDocument/2006/relationships/hyperlink" Target="https://inova-aj.com.br/wp-content/uploads/2022/06/QGC-Engetecnica-e-Construtora-Zadar-Homologado.pdf" TargetMode="External" Id="rId380" /><Relationship Type="http://schemas.openxmlformats.org/officeDocument/2006/relationships/hyperlink" Target="https://inova-aj.com.br/wp-content/uploads/2022/06/QGC-Engetecnica-e-Construtora-Zadar-Homologado.pdf" TargetMode="External" Id="rId381" /><Relationship Type="http://schemas.openxmlformats.org/officeDocument/2006/relationships/hyperlink" Target="https://inova-aj.com.br/wp-content/uploads/2022/06/QGC-Engetecnica-e-Construtora-Zadar-Homologado.pdf" TargetMode="External" Id="rId382" /><Relationship Type="http://schemas.openxmlformats.org/officeDocument/2006/relationships/hyperlink" Target="https://inova-aj.com.br/wp-content/uploads/2022/06/QGC-Engetecnica-e-Construtora-Zadar-Homologado.pdf" TargetMode="External" Id="rId383" /><Relationship Type="http://schemas.openxmlformats.org/officeDocument/2006/relationships/hyperlink" Target="https://inova-aj.com.br/wp-content/uploads/2022/06/QGC-Engetecnica-e-Construtora-Zadar-Homologado.pdf" TargetMode="External" Id="rId384" /><Relationship Type="http://schemas.openxmlformats.org/officeDocument/2006/relationships/hyperlink" Target="https://inova-aj.com.br/wp-content/uploads/2022/06/QGC-Engetecnica-e-Construtora-Zadar-Homologado.pdf" TargetMode="External" Id="rId385" /><Relationship Type="http://schemas.openxmlformats.org/officeDocument/2006/relationships/hyperlink" Target="https://inova-aj.com.br/wp-content/uploads/2022/06/QGC-Engetecnica-e-Construtora-Zadar-Homologado.pdf" TargetMode="External" Id="rId386" /><Relationship Type="http://schemas.openxmlformats.org/officeDocument/2006/relationships/hyperlink" Target="https://inova-aj.com.br/wp-content/uploads/2022/06/QGC-Engetecnica-e-Construtora-Zadar-Homologado.pdf" TargetMode="External" Id="rId387" /><Relationship Type="http://schemas.openxmlformats.org/officeDocument/2006/relationships/hyperlink" Target="https://inova-aj.com.br/wp-content/uploads/2022/06/QGC-Engetecnica-e-Construtora-Zadar-Homologado.pdf" TargetMode="External" Id="rId388" /><Relationship Type="http://schemas.openxmlformats.org/officeDocument/2006/relationships/hyperlink" Target="https://inova-aj.com.br/wp-content/uploads/2022/06/QGC-Engetecnica-e-Construtora-Zadar-Homologado.pdf" TargetMode="External" Id="rId389" /><Relationship Type="http://schemas.openxmlformats.org/officeDocument/2006/relationships/hyperlink" Target="https://inova-aj.com.br/wp-content/uploads/2022/06/QGC-Engetecnica-e-Construtora-Zadar-Homologado.pdf" TargetMode="External" Id="rId390" /><Relationship Type="http://schemas.openxmlformats.org/officeDocument/2006/relationships/hyperlink" Target="https://inova-aj.com.br/wp-content/uploads/2022/06/QGC-Engetecnica-e-Construtora-Zadar-Homologado.pdf" TargetMode="External" Id="rId391" /><Relationship Type="http://schemas.openxmlformats.org/officeDocument/2006/relationships/hyperlink" Target="https://inova-aj.com.br/wp-content/uploads/2022/06/QGC-Engetecnica-e-Construtora-Zadar-Homologado.pdf" TargetMode="External" Id="rId392" /><Relationship Type="http://schemas.openxmlformats.org/officeDocument/2006/relationships/hyperlink" Target="https://inova-aj.com.br/wp-content/uploads/2022/06/QGC-Engetecnica-e-Construtora-Zadar-Homologado.pdf" TargetMode="External" Id="rId393" /><Relationship Type="http://schemas.openxmlformats.org/officeDocument/2006/relationships/hyperlink" Target="https://inova-aj.com.br/wp-content/uploads/2022/06/QGC-Engetecnica-e-Construtora-Zadar-Homologado.pdf" TargetMode="External" Id="rId394" /><Relationship Type="http://schemas.openxmlformats.org/officeDocument/2006/relationships/hyperlink" Target="https://inova-aj.com.br/wp-content/uploads/2022/06/QGC-Engetecnica-e-Construtora-Zadar-Homologado.pdf" TargetMode="External" Id="rId395" /><Relationship Type="http://schemas.openxmlformats.org/officeDocument/2006/relationships/hyperlink" Target="https://inova-aj.com.br/wp-content/uploads/2022/06/QGC-Engetecnica-e-Construtora-Zadar-Homologado.pdf" TargetMode="External" Id="rId396" /><Relationship Type="http://schemas.openxmlformats.org/officeDocument/2006/relationships/hyperlink" Target="https://inova-aj.com.br/wp-content/uploads/2022/06/QGC-Engetecnica-e-Construtora-Zadar-Homologado.pdf" TargetMode="External" Id="rId397" /><Relationship Type="http://schemas.openxmlformats.org/officeDocument/2006/relationships/hyperlink" Target="https://inova-aj.com.br/wp-content/uploads/2022/06/QGC-Engetecnica-e-Construtora-Zadar-Homologado.pdf" TargetMode="External" Id="rId398" /><Relationship Type="http://schemas.openxmlformats.org/officeDocument/2006/relationships/hyperlink" Target="https://inova-aj.com.br/wp-content/uploads/2022/06/QGC-Engetecnica-e-Construtora-Zadar-Homologado.pdf" TargetMode="External" Id="rId399" /><Relationship Type="http://schemas.openxmlformats.org/officeDocument/2006/relationships/hyperlink" Target="https://inova-aj.com.br/wp-content/uploads/2022/06/QGC-Engetecnica-e-Construtora-Zadar-Homologado.pdf" TargetMode="External" Id="rId400" /><Relationship Type="http://schemas.openxmlformats.org/officeDocument/2006/relationships/hyperlink" Target="https://inova-aj.com.br/wp-content/uploads/2022/06/QGC-Engetecnica-e-Construtora-Zadar-Homologado.pdf" TargetMode="External" Id="rId401" /><Relationship Type="http://schemas.openxmlformats.org/officeDocument/2006/relationships/hyperlink" Target="https://inova-aj.com.br/wp-content/uploads/2022/06/QGC-Engetecnica-e-Construtora-Zadar-Homologado.pdf" TargetMode="External" Id="rId402" /><Relationship Type="http://schemas.openxmlformats.org/officeDocument/2006/relationships/hyperlink" Target="https://inova-aj.com.br/wp-content/uploads/2022/06/QGC-Engetecnica-e-Construtora-Zadar-Homologado.pdf" TargetMode="External" Id="rId403" /><Relationship Type="http://schemas.openxmlformats.org/officeDocument/2006/relationships/hyperlink" Target="https://inova-aj.com.br/wp-content/uploads/2022/06/QGC-Engetecnica-e-Construtora-Zadar-Homologado.pdf" TargetMode="External" Id="rId404" /><Relationship Type="http://schemas.openxmlformats.org/officeDocument/2006/relationships/hyperlink" Target="https://inova-aj.com.br/wp-content/uploads/2022/06/QGC-Engetecnica-e-Construtora-Zadar-Homologado.pdf" TargetMode="External" Id="rId405" /><Relationship Type="http://schemas.openxmlformats.org/officeDocument/2006/relationships/hyperlink" Target="https://inova-aj.com.br/wp-content/uploads/2022/06/QGC-Engetecnica-e-Construtora-Zadar-Homologado.pdf" TargetMode="External" Id="rId406" /><Relationship Type="http://schemas.openxmlformats.org/officeDocument/2006/relationships/hyperlink" Target="https://violet-wolf-754008.hostingersite.com/wp-content/uploads/recuperacoes-judiciais/Grupo-Hoken/2o-Edital-Grupo-Hoken.pdf" TargetMode="External" Id="rId407" /><Relationship Type="http://schemas.openxmlformats.org/officeDocument/2006/relationships/hyperlink" Target="https://violet-wolf-754008.hostingersite.com/wp-content/uploads/recuperacoes-judiciais/Grupo-Hoken/2o-Edital-Grupo-Hoken.pdf" TargetMode="External" Id="rId408" /><Relationship Type="http://schemas.openxmlformats.org/officeDocument/2006/relationships/hyperlink" Target="https://violet-wolf-754008.hostingersite.com/wp-content/uploads/recuperacoes-judiciais/Grupo-Hoken/2o-Edital-Grupo-Hoken.pdf" TargetMode="External" Id="rId409" /><Relationship Type="http://schemas.openxmlformats.org/officeDocument/2006/relationships/hyperlink" Target="https://violet-wolf-754008.hostingersite.com/wp-content/uploads/recuperacoes-judiciais/Grupo-Hoken/2o-Edital-Grupo-Hoken.pdf" TargetMode="External" Id="rId410" /><Relationship Type="http://schemas.openxmlformats.org/officeDocument/2006/relationships/hyperlink" Target="https://violet-wolf-754008.hostingersite.com/wp-content/uploads/recuperacoes-judiciais/Grupo-Hoken/2o-Edital-Grupo-Hoken.pdf" TargetMode="External" Id="rId411" /><Relationship Type="http://schemas.openxmlformats.org/officeDocument/2006/relationships/hyperlink" Target="https://violet-wolf-754008.hostingersite.com/wp-content/uploads/recuperacoes-judiciais/Grupo-Hoken/2o-Edital-Grupo-Hoken.pdf" TargetMode="External" Id="rId412" /><Relationship Type="http://schemas.openxmlformats.org/officeDocument/2006/relationships/hyperlink" Target="https://violet-wolf-754008.hostingersite.com/wp-content/uploads/recuperacoes-judiciais/Grupo-Hoken/2o-Edital-Grupo-Hoken.pdf" TargetMode="External" Id="rId413" /><Relationship Type="http://schemas.openxmlformats.org/officeDocument/2006/relationships/hyperlink" Target="https://violet-wolf-754008.hostingersite.com/wp-content/uploads/recuperacoes-judiciais/Grupo-Hoken/2o-Edital-Grupo-Hoken.pdf" TargetMode="External" Id="rId414" /><Relationship Type="http://schemas.openxmlformats.org/officeDocument/2006/relationships/hyperlink" Target="https://violet-wolf-754008.hostingersite.com/wp-content/uploads/recuperacoes-judiciais/Grupo-Hoken/2o-Edital-Grupo-Hoken.pdf" TargetMode="External" Id="rId415" /><Relationship Type="http://schemas.openxmlformats.org/officeDocument/2006/relationships/hyperlink" Target="https://rlg-aj.com.br/wp-content/uploads/2024/02/Relacao-de-Credores-do-art.-7o-&#167;2o-da-Lei-n.o-11.101-de-2005-Starkfest-Industria-do-Vestuario-Ltda-1.pdf" TargetMode="External" Id="rId416" /><Relationship Type="http://schemas.openxmlformats.org/officeDocument/2006/relationships/hyperlink" Target="https://rlg-aj.com.br/wp-content/uploads/2024/02/Relacao-de-Credores-do-art.-7o-&#167;2o-da-Lei-n.o-11.101-de-2005-Starkfest-Industria-do-Vestuario-Ltda-1.pdf" TargetMode="External" Id="rId417" /><Relationship Type="http://schemas.openxmlformats.org/officeDocument/2006/relationships/hyperlink" Target="https://rlg-aj.com.br/wp-content/uploads/2024/02/Relacao-de-Credores-do-art.-7o-&#167;2o-da-Lei-n.o-11.101-de-2005-Starkfest-Industria-do-Vestuario-Ltda-1.pdf" TargetMode="External" Id="rId418" /><Relationship Type="http://schemas.openxmlformats.org/officeDocument/2006/relationships/hyperlink" Target="https://violet-wolf-754008.hostingersite.com/wp-content/uploads/2022/10/Primeiro-Edital-de-Credores-Integral-com-creditos.pdf" TargetMode="External" Id="rId419" /><Relationship Type="http://schemas.openxmlformats.org/officeDocument/2006/relationships/hyperlink" Target="https://inova-aj.com.br/wp-content/uploads/2020/01/Rela&#231;&#227;o-de-Credores-Falida-Art.-99-PU-LRE.pdf" TargetMode="External" Id="rId420" /><Relationship Type="http://schemas.openxmlformats.org/officeDocument/2006/relationships/hyperlink" Target="https://gatekeeperaj.com.br/wp-content/uploads/2026/08/QGC-AGOSTO-07.08.2026-1.pdf" TargetMode="External" Id="rId421" /><Relationship Type="http://schemas.openxmlformats.org/officeDocument/2006/relationships/hyperlink" Target="https://rlg-aj.com.br/wp-content/uploads/2024/01/Quadro-Geral-de-Credores-Refrigerantes-Polo-Sul.pdf" TargetMode="External" Id="rId422" /><Relationship Type="http://schemas.openxmlformats.org/officeDocument/2006/relationships/hyperlink" Target="https://gatekeeperaj.com.br/wp-content/uploads/2026/03/BRA2_merged.pdf" TargetMode="External" Id="rId423" /><Relationship Type="http://schemas.openxmlformats.org/officeDocument/2006/relationships/hyperlink" Target="https://gatekeeperaj.com.br/wp-content/uploads/2026/03/BRA2_merged.pdf" TargetMode="External" Id="rId424" /><Relationship Type="http://schemas.openxmlformats.org/officeDocument/2006/relationships/hyperlink" Target="https://gatekeeperaj.com.br/wp-content/uploads/2026/03/BRA2_merged.pdf" TargetMode="External" Id="rId425" /><Relationship Type="http://schemas.openxmlformats.org/officeDocument/2006/relationships/hyperlink" Target="https://gatekeeperaj.com.br/wp-content/uploads/2026/03/BRA2_merged.pdf" TargetMode="External" Id="rId426" /><Relationship Type="http://schemas.openxmlformats.org/officeDocument/2006/relationships/hyperlink" Target="https://gatekeeperaj.com.br/wp-content/uploads/2026/03/BRA2_merged.pdf" TargetMode="External" Id="rId427" /><Relationship Type="http://schemas.openxmlformats.org/officeDocument/2006/relationships/hyperlink" Target="https://gatekeeperaj.com.br/wp-content/uploads/2026/03/BRA2_merged.pdf" TargetMode="External" Id="rId428" /><Relationship Type="http://schemas.openxmlformats.org/officeDocument/2006/relationships/hyperlink" Target="https://gatekeeperaj.com.br/wp-content/uploads/2026/03/BRA2_merged.pdf" TargetMode="External" Id="rId429" /><Relationship Type="http://schemas.openxmlformats.org/officeDocument/2006/relationships/hyperlink" Target="https://gatekeeperaj.com.br/wp-content/uploads/2026/03/BRA2_merged.pdf" TargetMode="External" Id="rId430" /><Relationship Type="http://schemas.openxmlformats.org/officeDocument/2006/relationships/hyperlink" Target="https://gatekeeperaj.com.br/wp-content/uploads/2026/03/BRA2_merged.pdf" TargetMode="External" Id="rId431" /><Relationship Type="http://schemas.openxmlformats.org/officeDocument/2006/relationships/hyperlink" Target="https://gatekeeperaj.com.br/wp-content/uploads/2026/03/BRA2_merged.pdf" TargetMode="External" Id="rId432" /><Relationship Type="http://schemas.openxmlformats.org/officeDocument/2006/relationships/hyperlink" Target="https://gatekeeperaj.com.br/wp-content/uploads/2026/03/BRA2_merged.pdf" TargetMode="External" Id="rId433" /><Relationship Type="http://schemas.openxmlformats.org/officeDocument/2006/relationships/hyperlink" Target="https://gatekeeperaj.com.br/wp-content/uploads/2026/03/BRA2_merged.pdf" TargetMode="External" Id="rId434" /><Relationship Type="http://schemas.openxmlformats.org/officeDocument/2006/relationships/hyperlink" Target="https://gatekeeperaj.com.br/wp-content/uploads/2026/03/BRA2_merged.pdf" TargetMode="External" Id="rId435" /><Relationship Type="http://schemas.openxmlformats.org/officeDocument/2006/relationships/hyperlink" Target="https://gatekeeperaj.com.br/wp-content/uploads/2026/03/BRA2_merged.pdf" TargetMode="External" Id="rId436" /><Relationship Type="http://schemas.openxmlformats.org/officeDocument/2006/relationships/hyperlink" Target="https://gatekeeperaj.com.br/wp-content/uploads/2026/03/BRA2_merged.pdf" TargetMode="External" Id="rId437" /><Relationship Type="http://schemas.openxmlformats.org/officeDocument/2006/relationships/hyperlink" Target="https://gatekeeperaj.com.br/wp-content/uploads/2026/03/BRA2_merged.pdf" TargetMode="External" Id="rId438" /><Relationship Type="http://schemas.openxmlformats.org/officeDocument/2006/relationships/hyperlink" Target="https://gatekeeperaj.com.br/wp-content/uploads/2026/03/BRA2_merged.pdf" TargetMode="External" Id="rId439" /><Relationship Type="http://schemas.openxmlformats.org/officeDocument/2006/relationships/hyperlink" Target="https://gatekeeperaj.com.br/wp-content/uploads/2026/03/BRA2_merged.pdf" TargetMode="External" Id="rId440" /><Relationship Type="http://schemas.openxmlformats.org/officeDocument/2006/relationships/hyperlink" Target="https://gatekeeperaj.com.br/wp-content/uploads/2026/03/BRA2_merged.pdf" TargetMode="External" Id="rId441" /><Relationship Type="http://schemas.openxmlformats.org/officeDocument/2006/relationships/hyperlink" Target="https://gatekeeperaj.com.br/wp-content/uploads/2026/03/BRA2_merged.pdf" TargetMode="External" Id="rId442" /><Relationship Type="http://schemas.openxmlformats.org/officeDocument/2006/relationships/hyperlink" Target="https://gatekeeperaj.com.br/wp-content/uploads/2026/03/BRA2_merged.pdf" TargetMode="External" Id="rId443" /><Relationship Type="http://schemas.openxmlformats.org/officeDocument/2006/relationships/hyperlink" Target="https://gatekeeperaj.com.br/wp-content/uploads/2026/03/BRA2_merged.pdf" TargetMode="External" Id="rId444" /><Relationship Type="http://schemas.openxmlformats.org/officeDocument/2006/relationships/hyperlink" Target="https://gatekeeperaj.com.br/wp-content/uploads/2026/03/BRA2_merged.pdf" TargetMode="External" Id="rId445" /><Relationship Type="http://schemas.openxmlformats.org/officeDocument/2006/relationships/hyperlink" Target="https://gatekeeperaj.com.br/wp-content/uploads/2026/03/BRA2_merged.pdf" TargetMode="External" Id="rId446" /><Relationship Type="http://schemas.openxmlformats.org/officeDocument/2006/relationships/hyperlink" Target="https://gatekeeperaj.com.br/wp-content/uploads/2026/03/BRA2_merged.pdf" TargetMode="External" Id="rId447" /><Relationship Type="http://schemas.openxmlformats.org/officeDocument/2006/relationships/hyperlink" Target="https://gatekeeperaj.com.br/wp-content/uploads/2026/03/BRA2_merged.pdf" TargetMode="External" Id="rId448" /><Relationship Type="http://schemas.openxmlformats.org/officeDocument/2006/relationships/hyperlink" Target="https://gatekeeperaj.com.br/wp-content/uploads/2026/03/BRA2_merged.pdf" TargetMode="External" Id="rId449" /><Relationship Type="http://schemas.openxmlformats.org/officeDocument/2006/relationships/hyperlink" Target="https://gatekeeperaj.com.br/wp-content/uploads/2026/03/BRA2_merged.pdf" TargetMode="External" Id="rId450" /><Relationship Type="http://schemas.openxmlformats.org/officeDocument/2006/relationships/hyperlink" Target="https://gatekeeperaj.com.br/wp-content/uploads/2026/03/BRA2_merged.pdf" TargetMode="External" Id="rId451" /><Relationship Type="http://schemas.openxmlformats.org/officeDocument/2006/relationships/hyperlink" Target="https://gatekeeperaj.com.br/wp-content/uploads/2026/03/BRA2_merged.pdf" TargetMode="External" Id="rId452" /><Relationship Type="http://schemas.openxmlformats.org/officeDocument/2006/relationships/hyperlink" Target="https://gatekeeperaj.com.br/wp-content/uploads/2026/03/BRA2_merged.pdf" TargetMode="External" Id="rId453" /><Relationship Type="http://schemas.openxmlformats.org/officeDocument/2006/relationships/hyperlink" Target="https://gatekeeperaj.com.br/wp-content/uploads/2026/03/BRA2_merged.pdf" TargetMode="External" Id="rId454" /><Relationship Type="http://schemas.openxmlformats.org/officeDocument/2006/relationships/hyperlink" Target="https://gatekeeperaj.com.br/wp-content/uploads/2026/03/BRA2_merged.pdf" TargetMode="External" Id="rId455" /><Relationship Type="http://schemas.openxmlformats.org/officeDocument/2006/relationships/hyperlink" Target="https://gatekeeperaj.com.br/wp-content/uploads/2026/03/BRA2_merged.pdf" TargetMode="External" Id="rId456" /><Relationship Type="http://schemas.openxmlformats.org/officeDocument/2006/relationships/hyperlink" Target="https://gatekeeperaj.com.br/wp-content/uploads/2026/03/BRA2_merged.pdf" TargetMode="External" Id="rId457" /><Relationship Type="http://schemas.openxmlformats.org/officeDocument/2006/relationships/hyperlink" Target="https://gatekeeperaj.com.br/wp-content/uploads/2026/03/BRA2_merged.pdf" TargetMode="External" Id="rId458" /><Relationship Type="http://schemas.openxmlformats.org/officeDocument/2006/relationships/hyperlink" Target="https://gatekeeperaj.com.br/wp-content/uploads/2026/03/BRA2_merged.pdf" TargetMode="External" Id="rId459" /><Relationship Type="http://schemas.openxmlformats.org/officeDocument/2006/relationships/hyperlink" Target="https://gatekeeperaj.com.br/wp-content/uploads/2026/03/BRA2_merged.pdf" TargetMode="External" Id="rId460" /><Relationship Type="http://schemas.openxmlformats.org/officeDocument/2006/relationships/hyperlink" Target="https://gatekeeperaj.com.br/wp-content/uploads/2026/03/BRA2_merged.pdf" TargetMode="External" Id="rId461" /><Relationship Type="http://schemas.openxmlformats.org/officeDocument/2006/relationships/hyperlink" Target="https://gatekeeperaj.com.br/wp-content/uploads/2026/03/BRA2_merged.pdf" TargetMode="External" Id="rId462" /><Relationship Type="http://schemas.openxmlformats.org/officeDocument/2006/relationships/hyperlink" Target="https://gatekeeperaj.com.br/wp-content/uploads/2026/03/BRA2_merged.pdf" TargetMode="External" Id="rId463" /><Relationship Type="http://schemas.openxmlformats.org/officeDocument/2006/relationships/hyperlink" Target="https://gatekeeperaj.com.br/wp-content/uploads/2026/03/BRA2_merged.pdf" TargetMode="External" Id="rId464" /><Relationship Type="http://schemas.openxmlformats.org/officeDocument/2006/relationships/hyperlink" Target="https://gatekeeperaj.com.br/wp-content/uploads/2026/03/BRA2_merged.pdf" TargetMode="External" Id="rId465" /><Relationship Type="http://schemas.openxmlformats.org/officeDocument/2006/relationships/hyperlink" Target="https://gatekeeperaj.com.br/wp-content/uploads/2026/03/BRA2_merged.pdf" TargetMode="External" Id="rId466" /><Relationship Type="http://schemas.openxmlformats.org/officeDocument/2006/relationships/hyperlink" Target="https://gatekeeperaj.com.br/wp-content/uploads/2026/03/BRA2_merged.pdf" TargetMode="External" Id="rId467" /><Relationship Type="http://schemas.openxmlformats.org/officeDocument/2006/relationships/hyperlink" Target="https://gatekeeperaj.com.br/wp-content/uploads/2026/03/BRA2_merged.pdf" TargetMode="External" Id="rId468" /><Relationship Type="http://schemas.openxmlformats.org/officeDocument/2006/relationships/hyperlink" Target="https://gatekeeperaj.com.br/wp-content/uploads/2026/03/BRA2_merged.pdf" TargetMode="External" Id="rId469" /><Relationship Type="http://schemas.openxmlformats.org/officeDocument/2006/relationships/hyperlink" Target="https://gatekeeperaj.com.br/wp-content/uploads/2026/03/BRA2_merged.pdf" TargetMode="External" Id="rId470" /><Relationship Type="http://schemas.openxmlformats.org/officeDocument/2006/relationships/hyperlink" Target="https://gatekeeperaj.com.br/wp-content/uploads/2026/03/BRA2_merged.pdf" TargetMode="External" Id="rId471" /><Relationship Type="http://schemas.openxmlformats.org/officeDocument/2006/relationships/hyperlink" Target="https://gatekeeperaj.com.br/wp-content/uploads/2026/03/BRA2_merged.pdf" TargetMode="External" Id="rId472" /><Relationship Type="http://schemas.openxmlformats.org/officeDocument/2006/relationships/hyperlink" Target="https://gatekeeperaj.com.br/wp-content/uploads/2026/03/BRA2_merged.pdf" TargetMode="External" Id="rId473" /><Relationship Type="http://schemas.openxmlformats.org/officeDocument/2006/relationships/hyperlink" Target="https://gatekeeperaj.com.br/wp-content/uploads/2026/03/BRA2_merged.pdf" TargetMode="External" Id="rId474" /><Relationship Type="http://schemas.openxmlformats.org/officeDocument/2006/relationships/hyperlink" Target="https://gatekeeperaj.com.br/wp-content/uploads/2026/03/BRA2_merged.pdf" TargetMode="External" Id="rId475" /><Relationship Type="http://schemas.openxmlformats.org/officeDocument/2006/relationships/hyperlink" Target="https://gatekeeperaj.com.br/wp-content/uploads/2026/03/BRA2_merged.pdf" TargetMode="External" Id="rId476" /><Relationship Type="http://schemas.openxmlformats.org/officeDocument/2006/relationships/hyperlink" Target="https://gatekeeperaj.com.br/wp-content/uploads/2026/03/BRA2_merged.pdf" TargetMode="External" Id="rId477" /><Relationship Type="http://schemas.openxmlformats.org/officeDocument/2006/relationships/hyperlink" Target="https://gatekeeperaj.com.br/wp-content/uploads/2026/03/BRA2_merged.pdf" TargetMode="External" Id="rId478" /><Relationship Type="http://schemas.openxmlformats.org/officeDocument/2006/relationships/hyperlink" Target="https://gatekeeperaj.com.br/wp-content/uploads/2026/03/BRA2_merged.pdf" TargetMode="External" Id="rId479" /><Relationship Type="http://schemas.openxmlformats.org/officeDocument/2006/relationships/hyperlink" Target="https://gatekeeperaj.com.br/wp-content/uploads/2026/03/BRA2_merged.pdf" TargetMode="External" Id="rId480" /><Relationship Type="http://schemas.openxmlformats.org/officeDocument/2006/relationships/hyperlink" Target="https://gatekeeperaj.com.br/wp-content/uploads/2026/03/BRA2_merged.pdf" TargetMode="External" Id="rId481" /><Relationship Type="http://schemas.openxmlformats.org/officeDocument/2006/relationships/hyperlink" Target="https://gatekeeperaj.com.br/wp-content/uploads/2026/03/BRA2_merged.pdf" TargetMode="External" Id="rId482" /><Relationship Type="http://schemas.openxmlformats.org/officeDocument/2006/relationships/hyperlink" Target="https://gatekeeperaj.com.br/wp-content/uploads/2026/03/BRA2_merged.pdf" TargetMode="External" Id="rId483" /><Relationship Type="http://schemas.openxmlformats.org/officeDocument/2006/relationships/hyperlink" Target="https://gatekeeperaj.com.br/wp-content/uploads/2026/03/BRA2_merged.pdf" TargetMode="External" Id="rId484" /><Relationship Type="http://schemas.openxmlformats.org/officeDocument/2006/relationships/hyperlink" Target="https://gatekeeperaj.com.br/wp-content/uploads/2026/03/BRA2_merged.pdf" TargetMode="External" Id="rId485" /><Relationship Type="http://schemas.openxmlformats.org/officeDocument/2006/relationships/hyperlink" Target="https://gatekeeperaj.com.br/wp-content/uploads/2026/03/BRA2_merged.pdf" TargetMode="External" Id="rId486" /><Relationship Type="http://schemas.openxmlformats.org/officeDocument/2006/relationships/hyperlink" Target="https://gatekeeperaj.com.br/wp-content/uploads/2026/03/BRA2_merged.pdf" TargetMode="External" Id="rId487" /><Relationship Type="http://schemas.openxmlformats.org/officeDocument/2006/relationships/hyperlink" Target="https://gatekeeperaj.com.br/wp-content/uploads/2026/03/BRA2_merged.pdf" TargetMode="External" Id="rId488" /><Relationship Type="http://schemas.openxmlformats.org/officeDocument/2006/relationships/hyperlink" Target="https://gatekeeperaj.com.br/wp-content/uploads/2026/03/BRA2_merged.pdf" TargetMode="External" Id="rId489" /><Relationship Type="http://schemas.openxmlformats.org/officeDocument/2006/relationships/hyperlink" Target="https://gatekeeperaj.com.br/wp-content/uploads/2026/03/BRA2_merged.pdf" TargetMode="External" Id="rId490" /><Relationship Type="http://schemas.openxmlformats.org/officeDocument/2006/relationships/hyperlink" Target="https://gatekeeperaj.com.br/wp-content/uploads/2026/03/BRA2_merged.pdf" TargetMode="External" Id="rId491" /><Relationship Type="http://schemas.openxmlformats.org/officeDocument/2006/relationships/hyperlink" Target="https://gatekeeperaj.com.br/wp-content/uploads/2026/03/BRA2_merged.pdf" TargetMode="External" Id="rId492" /><Relationship Type="http://schemas.openxmlformats.org/officeDocument/2006/relationships/hyperlink" Target="https://gatekeeperaj.com.br/wp-content/uploads/2026/03/BRA2_merged.pdf" TargetMode="External" Id="rId493" /><Relationship Type="http://schemas.openxmlformats.org/officeDocument/2006/relationships/hyperlink" Target="https://gatekeeperaj.com.br/wp-content/uploads/2026/03/BRA2_merged.pdf" TargetMode="External" Id="rId494" /><Relationship Type="http://schemas.openxmlformats.org/officeDocument/2006/relationships/hyperlink" Target="https://gatekeeperaj.com.br/wp-content/uploads/2026/03/BRA2_merged.pdf" TargetMode="External" Id="rId495" /><Relationship Type="http://schemas.openxmlformats.org/officeDocument/2006/relationships/hyperlink" Target="https://gatekeeperaj.com.br/wp-content/uploads/2026/03/BRA2_merged.pdf" TargetMode="External" Id="rId496" /><Relationship Type="http://schemas.openxmlformats.org/officeDocument/2006/relationships/hyperlink" Target="https://gatekeeperaj.com.br/wp-content/uploads/2026/03/BRA2_merged.pdf" TargetMode="External" Id="rId497" /><Relationship Type="http://schemas.openxmlformats.org/officeDocument/2006/relationships/hyperlink" Target="https://gatekeeperaj.com.br/wp-content/uploads/2026/03/BRA2_merged.pdf" TargetMode="External" Id="rId498" /><Relationship Type="http://schemas.openxmlformats.org/officeDocument/2006/relationships/hyperlink" Target="https://gatekeeperaj.com.br/wp-content/uploads/2026/03/BRA2_merged.pdf" TargetMode="External" Id="rId499" /><Relationship Type="http://schemas.openxmlformats.org/officeDocument/2006/relationships/hyperlink" Target="https://gatekeeperaj.com.br/wp-content/uploads/2026/03/BRA2_merged.pdf" TargetMode="External" Id="rId500" /><Relationship Type="http://schemas.openxmlformats.org/officeDocument/2006/relationships/hyperlink" Target="https://gatekeeperaj.com.br/wp-content/uploads/2026/03/BRA2_merged.pdf" TargetMode="External" Id="rId501" /><Relationship Type="http://schemas.openxmlformats.org/officeDocument/2006/relationships/hyperlink" Target="https://gatekeeperaj.com.br/wp-content/uploads/2026/03/BRA2_merged.pdf" TargetMode="External" Id="rId502" /><Relationship Type="http://schemas.openxmlformats.org/officeDocument/2006/relationships/hyperlink" Target="https://gatekeeperaj.com.br/wp-content/uploads/2026/03/BRA2_merged.pdf" TargetMode="External" Id="rId503" /><Relationship Type="http://schemas.openxmlformats.org/officeDocument/2006/relationships/hyperlink" Target="https://gatekeeperaj.com.br/wp-content/uploads/2026/03/BRA2_merged.pdf" TargetMode="External" Id="rId504" /><Relationship Type="http://schemas.openxmlformats.org/officeDocument/2006/relationships/hyperlink" Target="https://gatekeeperaj.com.br/wp-content/uploads/2026/03/BRA2_merged.pdf" TargetMode="External" Id="rId505" /><Relationship Type="http://schemas.openxmlformats.org/officeDocument/2006/relationships/hyperlink" Target="https://gatekeeperaj.com.br/wp-content/uploads/2026/03/BRA2_merged.pdf" TargetMode="External" Id="rId506" /><Relationship Type="http://schemas.openxmlformats.org/officeDocument/2006/relationships/hyperlink" Target="https://gatekeeperaj.com.br/wp-content/uploads/2026/03/BRA2_merged.pdf" TargetMode="External" Id="rId507" /><Relationship Type="http://schemas.openxmlformats.org/officeDocument/2006/relationships/hyperlink" Target="https://gatekeeperaj.com.br/wp-content/uploads/2026/03/BRA2_merged.pdf" TargetMode="External" Id="rId508" /><Relationship Type="http://schemas.openxmlformats.org/officeDocument/2006/relationships/hyperlink" Target="https://gatekeeperaj.com.br/wp-content/uploads/2026/03/BRA2_merged.pdf" TargetMode="External" Id="rId509" /><Relationship Type="http://schemas.openxmlformats.org/officeDocument/2006/relationships/hyperlink" Target="https://gatekeeperaj.com.br/wp-content/uploads/2026/03/BRA2_merged.pdf" TargetMode="External" Id="rId510" /><Relationship Type="http://schemas.openxmlformats.org/officeDocument/2006/relationships/hyperlink" Target="https://gatekeeperaj.com.br/wp-content/uploads/2026/03/BRA2_merged.pdf" TargetMode="External" Id="rId511" /><Relationship Type="http://schemas.openxmlformats.org/officeDocument/2006/relationships/hyperlink" Target="https://gatekeeperaj.com.br/wp-content/uploads/2026/03/BRA2_merged.pdf" TargetMode="External" Id="rId512" /><Relationship Type="http://schemas.openxmlformats.org/officeDocument/2006/relationships/hyperlink" Target="https://gatekeeperaj.com.br/wp-content/uploads/2026/03/BRA2_merged.pdf" TargetMode="External" Id="rId513" /><Relationship Type="http://schemas.openxmlformats.org/officeDocument/2006/relationships/hyperlink" Target="https://gatekeeperaj.com.br/wp-content/uploads/2026/03/BRA2_merged.pdf" TargetMode="External" Id="rId514" /><Relationship Type="http://schemas.openxmlformats.org/officeDocument/2006/relationships/hyperlink" Target="https://gatekeeperaj.com.br/wp-content/uploads/2026/03/BRA2_merged.pdf" TargetMode="External" Id="rId515" /><Relationship Type="http://schemas.openxmlformats.org/officeDocument/2006/relationships/hyperlink" Target="https://gatekeeperaj.com.br/wp-content/uploads/2026/03/BRA2_merged.pdf" TargetMode="External" Id="rId516" /><Relationship Type="http://schemas.openxmlformats.org/officeDocument/2006/relationships/hyperlink" Target="https://gatekeeperaj.com.br/wp-content/uploads/2026/03/BRA2_merged.pdf" TargetMode="External" Id="rId517" /><Relationship Type="http://schemas.openxmlformats.org/officeDocument/2006/relationships/hyperlink" Target="https://gatekeeperaj.com.br/wp-content/uploads/2026/03/BRA2_merged.pdf" TargetMode="External" Id="rId518" /><Relationship Type="http://schemas.openxmlformats.org/officeDocument/2006/relationships/hyperlink" Target="https://gatekeeperaj.com.br/wp-content/uploads/2026/03/BRA2_merged.pdf" TargetMode="External" Id="rId519" /><Relationship Type="http://schemas.openxmlformats.org/officeDocument/2006/relationships/hyperlink" Target="https://gatekeeperaj.com.br/wp-content/uploads/2026/03/BRA2_merged.pdf" TargetMode="External" Id="rId520" /><Relationship Type="http://schemas.openxmlformats.org/officeDocument/2006/relationships/hyperlink" Target="https://gatekeeperaj.com.br/wp-content/uploads/2026/03/BRA2_merged.pdf" TargetMode="External" Id="rId521" /><Relationship Type="http://schemas.openxmlformats.org/officeDocument/2006/relationships/hyperlink" Target="https://gatekeeperaj.com.br/wp-content/uploads/2026/03/BRA2_merged.pdf" TargetMode="External" Id="rId522" /><Relationship Type="http://schemas.openxmlformats.org/officeDocument/2006/relationships/hyperlink" Target="https://gatekeeperaj.com.br/wp-content/uploads/2026/03/BRA2_merged.pdf" TargetMode="External" Id="rId523" /><Relationship Type="http://schemas.openxmlformats.org/officeDocument/2006/relationships/hyperlink" Target="https://gatekeeperaj.com.br/wp-content/uploads/2026/03/BRA2_merged.pdf" TargetMode="External" Id="rId524" /><Relationship Type="http://schemas.openxmlformats.org/officeDocument/2006/relationships/hyperlink" Target="https://gatekeeperaj.com.br/wp-content/uploads/2026/03/BRA2_merged.pdf" TargetMode="External" Id="rId525" /><Relationship Type="http://schemas.openxmlformats.org/officeDocument/2006/relationships/hyperlink" Target="https://gatekeeperaj.com.br/wp-content/uploads/2026/03/BRA2_merged.pdf" TargetMode="External" Id="rId526" /><Relationship Type="http://schemas.openxmlformats.org/officeDocument/2006/relationships/hyperlink" Target="https://gatekeeperaj.com.br/wp-content/uploads/2026/03/BRA2_merged.pdf" TargetMode="External" Id="rId527" /><Relationship Type="http://schemas.openxmlformats.org/officeDocument/2006/relationships/hyperlink" Target="https://gatekeeperaj.com.br/wp-content/uploads/2026/03/BRA2_merged.pdf" TargetMode="External" Id="rId528" /><Relationship Type="http://schemas.openxmlformats.org/officeDocument/2006/relationships/hyperlink" Target="https://gatekeeperaj.com.br/wp-content/uploads/2026/03/BRA2_merged.pdf" TargetMode="External" Id="rId529" /><Relationship Type="http://schemas.openxmlformats.org/officeDocument/2006/relationships/hyperlink" Target="https://gatekeeperaj.com.br/wp-content/uploads/2026/03/BRA2_merged.pdf" TargetMode="External" Id="rId530" /><Relationship Type="http://schemas.openxmlformats.org/officeDocument/2006/relationships/hyperlink" Target="https://gatekeeperaj.com.br/wp-content/uploads/2026/03/BRA2_merged.pdf" TargetMode="External" Id="rId531" /><Relationship Type="http://schemas.openxmlformats.org/officeDocument/2006/relationships/hyperlink" Target="https://gatekeeperaj.com.br/wp-content/uploads/2026/03/BRA2_merged.pdf" TargetMode="External" Id="rId532" /><Relationship Type="http://schemas.openxmlformats.org/officeDocument/2006/relationships/hyperlink" Target="https://gatekeeperaj.com.br/wp-content/uploads/2026/03/BRA2_merged.pdf" TargetMode="External" Id="rId533" /><Relationship Type="http://schemas.openxmlformats.org/officeDocument/2006/relationships/hyperlink" Target="https://gatekeeperaj.com.br/wp-content/uploads/2026/03/BRA2_merged.pdf" TargetMode="External" Id="rId534" /><Relationship Type="http://schemas.openxmlformats.org/officeDocument/2006/relationships/hyperlink" Target="https://gatekeeperaj.com.br/wp-content/uploads/2026/03/BRA2_merged.pdf" TargetMode="External" Id="rId535" /><Relationship Type="http://schemas.openxmlformats.org/officeDocument/2006/relationships/hyperlink" Target="https://gatekeeperaj.com.br/wp-content/uploads/2026/03/BRA2_merged.pdf" TargetMode="External" Id="rId536" /><Relationship Type="http://schemas.openxmlformats.org/officeDocument/2006/relationships/hyperlink" Target="https://gatekeeperaj.com.br/wp-content/uploads/2026/03/BRA2_merged.pdf" TargetMode="External" Id="rId537" /><Relationship Type="http://schemas.openxmlformats.org/officeDocument/2006/relationships/hyperlink" Target="https://gatekeeperaj.com.br/wp-content/uploads/2026/03/BRA2_merged.pdf" TargetMode="External" Id="rId538" /><Relationship Type="http://schemas.openxmlformats.org/officeDocument/2006/relationships/hyperlink" Target="https://gatekeeperaj.com.br/wp-content/uploads/2026/03/BRA2_merged.pdf" TargetMode="External" Id="rId539" /><Relationship Type="http://schemas.openxmlformats.org/officeDocument/2006/relationships/hyperlink" Target="https://gatekeeperaj.com.br/wp-content/uploads/2026/03/BRA2_merged.pdf" TargetMode="External" Id="rId540" /><Relationship Type="http://schemas.openxmlformats.org/officeDocument/2006/relationships/hyperlink" Target="https://gatekeeperaj.com.br/wp-content/uploads/2026/03/BRA2_merged.pdf" TargetMode="External" Id="rId541" /><Relationship Type="http://schemas.openxmlformats.org/officeDocument/2006/relationships/hyperlink" Target="https://gatekeeperaj.com.br/wp-content/uploads/2026/03/BRA2_merged.pdf" TargetMode="External" Id="rId542" /><Relationship Type="http://schemas.openxmlformats.org/officeDocument/2006/relationships/hyperlink" Target="https://gatekeeperaj.com.br/wp-content/uploads/2026/03/BRA2_merged.pdf" TargetMode="External" Id="rId543" /><Relationship Type="http://schemas.openxmlformats.org/officeDocument/2006/relationships/hyperlink" Target="https://gatekeeperaj.com.br/wp-content/uploads/2026/03/BRA2_merged.pdf" TargetMode="External" Id="rId544" /><Relationship Type="http://schemas.openxmlformats.org/officeDocument/2006/relationships/hyperlink" Target="https://gatekeeperaj.com.br/wp-content/uploads/2026/03/BRA2_merged.pdf" TargetMode="External" Id="rId545" /><Relationship Type="http://schemas.openxmlformats.org/officeDocument/2006/relationships/hyperlink" Target="https://gatekeeperaj.com.br/wp-content/uploads/2026/03/BRA2_merged.pdf" TargetMode="External" Id="rId546" /><Relationship Type="http://schemas.openxmlformats.org/officeDocument/2006/relationships/hyperlink" Target="https://gatekeeperaj.com.br/wp-content/uploads/2026/06/QGC-BERTINI-16.06.2026.pdf" TargetMode="External" Id="rId547" /><Relationship Type="http://schemas.openxmlformats.org/officeDocument/2006/relationships/hyperlink" Target="https://gatekeeperaj.com.br/wp-content/uploads/2026/06/QGC-BERTINI-16.06.2026.pdf" TargetMode="External" Id="rId548" /><Relationship Type="http://schemas.openxmlformats.org/officeDocument/2006/relationships/hyperlink" Target="https://www.cb2d.com.br/portal/_uploads/4270e808-8367-4c04-a7ae-240724b24512.pdf" TargetMode="External" Id="rId549" /><Relationship Type="http://schemas.openxmlformats.org/officeDocument/2006/relationships/hyperlink" Target="https://www.cb2d.com.br/portal/_uploads/4270e808-8367-4c04-a7ae-240724b24512.pdf" TargetMode="External" Id="rId550" /><Relationship Type="http://schemas.openxmlformats.org/officeDocument/2006/relationships/hyperlink" Target="https://www.cb2d.com.br/portal/_uploads/4270e808-8367-4c04-a7ae-240724b24512.pdf" TargetMode="External" Id="rId551" /><Relationship Type="http://schemas.openxmlformats.org/officeDocument/2006/relationships/hyperlink" Target="https://www.cb2d.com.br/portal/_uploads/4270e808-8367-4c04-a7ae-240724b24512.pdf" TargetMode="External" Id="rId552" /><Relationship Type="http://schemas.openxmlformats.org/officeDocument/2006/relationships/hyperlink" Target="https://www.cb2d.com.br/portal/_uploads/4270e808-8367-4c04-a7ae-240724b24512.pdf" TargetMode="External" Id="rId553" /><Relationship Type="http://schemas.openxmlformats.org/officeDocument/2006/relationships/hyperlink" Target="https://www.cb2d.com.br/portal/_uploads/4270e808-8367-4c04-a7ae-240724b24512.pdf" TargetMode="External" Id="rId554" /><Relationship Type="http://schemas.openxmlformats.org/officeDocument/2006/relationships/hyperlink" Target="https://www.cb2d.com.br/portal/_uploads/4270e808-8367-4c04-a7ae-240724b24512.pdf" TargetMode="External" Id="rId555" /><Relationship Type="http://schemas.openxmlformats.org/officeDocument/2006/relationships/hyperlink" Target="https://www.cb2d.com.br/portal/_uploads/4270e808-8367-4c04-a7ae-240724b24512.pdf" TargetMode="External" Id="rId556" /><Relationship Type="http://schemas.openxmlformats.org/officeDocument/2006/relationships/hyperlink" Target="https://www.cb2d.com.br/portal/_uploads/4270e808-8367-4c04-a7ae-240724b24512.pdf" TargetMode="External" Id="rId557" /><Relationship Type="http://schemas.openxmlformats.org/officeDocument/2006/relationships/hyperlink" Target="https://www.cb2d.com.br/portal/_uploads/4270e808-8367-4c04-a7ae-240724b24512.pdf" TargetMode="External" Id="rId558" /><Relationship Type="http://schemas.openxmlformats.org/officeDocument/2006/relationships/hyperlink" Target="https://www.cb2d.com.br/portal/_uploads/4270e808-8367-4c04-a7ae-240724b24512.pdf" TargetMode="External" Id="rId559" /><Relationship Type="http://schemas.openxmlformats.org/officeDocument/2006/relationships/hyperlink" Target="https://www.cb2d.com.br/portal/_uploads/4270e808-8367-4c04-a7ae-240724b24512.pdf" TargetMode="External" Id="rId560" /><Relationship Type="http://schemas.openxmlformats.org/officeDocument/2006/relationships/hyperlink" Target="https://www.cb2d.com.br/portal/_uploads/4270e808-8367-4c04-a7ae-240724b24512.pdf" TargetMode="External" Id="rId561" /><Relationship Type="http://schemas.openxmlformats.org/officeDocument/2006/relationships/hyperlink" Target="https://www.cb2d.com.br/portal/_uploads/4270e808-8367-4c04-a7ae-240724b24512.pdf" TargetMode="External" Id="rId562" /><Relationship Type="http://schemas.openxmlformats.org/officeDocument/2006/relationships/hyperlink" Target="https://www.cb2d.com.br/portal/_uploads/4270e808-8367-4c04-a7ae-240724b24512.pdf" TargetMode="External" Id="rId563" /><Relationship Type="http://schemas.openxmlformats.org/officeDocument/2006/relationships/hyperlink" Target="https://www.cb2d.com.br/portal/_uploads/4270e808-8367-4c04-a7ae-240724b24512.pdf" TargetMode="External" Id="rId564" /><Relationship Type="http://schemas.openxmlformats.org/officeDocument/2006/relationships/hyperlink" Target="https://www.cb2d.com.br/portal/_uploads/4270e808-8367-4c04-a7ae-240724b24512.pdf" TargetMode="External" Id="rId565" /><Relationship Type="http://schemas.openxmlformats.org/officeDocument/2006/relationships/hyperlink" Target="https://www.cb2d.com.br/portal/_uploads/4270e808-8367-4c04-a7ae-240724b24512.pdf" TargetMode="External" Id="rId566" /><Relationship Type="http://schemas.openxmlformats.org/officeDocument/2006/relationships/hyperlink" Target="https://www.cb2d.com.br/portal/_uploads/4270e808-8367-4c04-a7ae-240724b24512.pdf" TargetMode="External" Id="rId567" /><Relationship Type="http://schemas.openxmlformats.org/officeDocument/2006/relationships/hyperlink" Target="https://www.cb2d.com.br/portal/_uploads/4270e808-8367-4c04-a7ae-240724b24512.pdf" TargetMode="External" Id="rId568" /><Relationship Type="http://schemas.openxmlformats.org/officeDocument/2006/relationships/hyperlink" Target="https://www.cb2d.com.br/portal/_uploads/4270e808-8367-4c04-a7ae-240724b24512.pdf" TargetMode="External" Id="rId569" /><Relationship Type="http://schemas.openxmlformats.org/officeDocument/2006/relationships/hyperlink" Target="https://www.cb2d.com.br/portal/_uploads/4270e808-8367-4c04-a7ae-240724b24512.pdf" TargetMode="External" Id="rId570" /><Relationship Type="http://schemas.openxmlformats.org/officeDocument/2006/relationships/hyperlink" Target="https://www.cb2d.com.br/portal/_uploads/4270e808-8367-4c04-a7ae-240724b24512.pdf" TargetMode="External" Id="rId571" /><Relationship Type="http://schemas.openxmlformats.org/officeDocument/2006/relationships/hyperlink" Target="https://www.cb2d.com.br/portal/_uploads/4270e808-8367-4c04-a7ae-240724b24512.pdf" TargetMode="External" Id="rId572" /><Relationship Type="http://schemas.openxmlformats.org/officeDocument/2006/relationships/hyperlink" Target="https://www.cb2d.com.br/portal/_uploads/4270e808-8367-4c04-a7ae-240724b24512.pdf" TargetMode="External" Id="rId573" /><Relationship Type="http://schemas.openxmlformats.org/officeDocument/2006/relationships/hyperlink" Target="https://www.cb2d.com.br/portal/_uploads/4270e808-8367-4c04-a7ae-240724b24512.pdf" TargetMode="External" Id="rId574" /><Relationship Type="http://schemas.openxmlformats.org/officeDocument/2006/relationships/hyperlink" Target="https://www.cb2d.com.br/portal/_uploads/4270e808-8367-4c04-a7ae-240724b24512.pdf" TargetMode="External" Id="rId575" /><Relationship Type="http://schemas.openxmlformats.org/officeDocument/2006/relationships/hyperlink" Target="https://www.cb2d.com.br/portal/_uploads/4270e808-8367-4c04-a7ae-240724b24512.pdf" TargetMode="External" Id="rId576" /><Relationship Type="http://schemas.openxmlformats.org/officeDocument/2006/relationships/hyperlink" Target="https://www.cb2d.com.br/portal/_uploads/87b1f001-428b-4c8a-ae00-e84bf634a781.pdf" TargetMode="External" Id="rId577" /><Relationship Type="http://schemas.openxmlformats.org/officeDocument/2006/relationships/hyperlink" Target="https://www.cb2d.com.br/portal/_uploads/87b1f001-428b-4c8a-ae00-e84bf634a781.pdf" TargetMode="External" Id="rId578" /><Relationship Type="http://schemas.openxmlformats.org/officeDocument/2006/relationships/hyperlink" Target="https://www.cb2d.com.br/portal/_uploads/87b1f001-428b-4c8a-ae00-e84bf634a781.pdf" TargetMode="External" Id="rId579" /><Relationship Type="http://schemas.openxmlformats.org/officeDocument/2006/relationships/hyperlink" Target="https://www.cb2d.com.br/portal/_uploads/87b1f001-428b-4c8a-ae00-e84bf634a781.pdf" TargetMode="External" Id="rId580" /><Relationship Type="http://schemas.openxmlformats.org/officeDocument/2006/relationships/hyperlink" Target="https://www.cb2d.com.br/portal/_uploads/87b1f001-428b-4c8a-ae00-e84bf634a781.pdf" TargetMode="External" Id="rId581" /><Relationship Type="http://schemas.openxmlformats.org/officeDocument/2006/relationships/hyperlink" Target="https://www.cb2d.com.br/portal/_uploads/87b1f001-428b-4c8a-ae00-e84bf634a781.pdf" TargetMode="External" Id="rId582" /><Relationship Type="http://schemas.openxmlformats.org/officeDocument/2006/relationships/hyperlink" Target="https://www.cb2d.com.br/portal/_uploads/87b1f001-428b-4c8a-ae00-e84bf634a781.pdf" TargetMode="External" Id="rId583" /><Relationship Type="http://schemas.openxmlformats.org/officeDocument/2006/relationships/hyperlink" Target="https://www.cb2d.com.br/portal/_uploads/87b1f001-428b-4c8a-ae00-e84bf634a781.pdf" TargetMode="External" Id="rId584" /><Relationship Type="http://schemas.openxmlformats.org/officeDocument/2006/relationships/hyperlink" Target="https://www.cb2d.com.br/portal/_uploads/87b1f001-428b-4c8a-ae00-e84bf634a781.pdf" TargetMode="External" Id="rId585" /><Relationship Type="http://schemas.openxmlformats.org/officeDocument/2006/relationships/hyperlink" Target="https://www.cb2d.com.br/portal/_uploads/87b1f001-428b-4c8a-ae00-e84bf634a781.pdf" TargetMode="External" Id="rId586" /><Relationship Type="http://schemas.openxmlformats.org/officeDocument/2006/relationships/hyperlink" Target="https://www.cb2d.com.br/portal/_uploads/87b1f001-428b-4c8a-ae00-e84bf634a781.pdf" TargetMode="External" Id="rId587" /><Relationship Type="http://schemas.openxmlformats.org/officeDocument/2006/relationships/hyperlink" Target="https://www.cb2d.com.br/portal/_uploads/87b1f001-428b-4c8a-ae00-e84bf634a781.pdf" TargetMode="External" Id="rId588" /><Relationship Type="http://schemas.openxmlformats.org/officeDocument/2006/relationships/hyperlink" Target="https://www.cb2d.com.br/portal/_uploads/87b1f001-428b-4c8a-ae00-e84bf634a781.pdf" TargetMode="External" Id="rId589" /><Relationship Type="http://schemas.openxmlformats.org/officeDocument/2006/relationships/hyperlink" Target="https://www.cb2d.com.br/portal/_uploads/87b1f001-428b-4c8a-ae00-e84bf634a781.pdf" TargetMode="External" Id="rId590" /><Relationship Type="http://schemas.openxmlformats.org/officeDocument/2006/relationships/hyperlink" Target="https://www.cb2d.com.br/portal/_uploads/87b1f001-428b-4c8a-ae00-e84bf634a781.pdf" TargetMode="External" Id="rId591" /><Relationship Type="http://schemas.openxmlformats.org/officeDocument/2006/relationships/hyperlink" Target="https://www.cb2d.com.br/portal/_uploads/87b1f001-428b-4c8a-ae00-e84bf634a781.pdf" TargetMode="External" Id="rId592" /><Relationship Type="http://schemas.openxmlformats.org/officeDocument/2006/relationships/hyperlink" Target="https://www.cb2d.com.br/portal/_uploads/3e197128-9049-4520-aa9e-46bc6d4ac183.pdf" TargetMode="External" Id="rId593" /><Relationship Type="http://schemas.openxmlformats.org/officeDocument/2006/relationships/hyperlink" Target="https://www.cb2d.com.br/portal/_uploads/3e197128-9049-4520-aa9e-46bc6d4ac183.pdf" TargetMode="External" Id="rId594" /><Relationship Type="http://schemas.openxmlformats.org/officeDocument/2006/relationships/hyperlink" Target="https://www.cb2d.com.br/portal/_uploads/3e197128-9049-4520-aa9e-46bc6d4ac183.pdf" TargetMode="External" Id="rId595" /><Relationship Type="http://schemas.openxmlformats.org/officeDocument/2006/relationships/hyperlink" Target="https://www.cb2d.com.br/portal/_uploads/3e197128-9049-4520-aa9e-46bc6d4ac183.pdf" TargetMode="External" Id="rId596" /><Relationship Type="http://schemas.openxmlformats.org/officeDocument/2006/relationships/hyperlink" Target="https://www.cb2d.com.br/portal/_uploads/3e197128-9049-4520-aa9e-46bc6d4ac183.pdf" TargetMode="External" Id="rId597" /><Relationship Type="http://schemas.openxmlformats.org/officeDocument/2006/relationships/hyperlink" Target="https://www.cb2d.com.br/portal/_uploads/3e197128-9049-4520-aa9e-46bc6d4ac183.pdf" TargetMode="External" Id="rId598" /><Relationship Type="http://schemas.openxmlformats.org/officeDocument/2006/relationships/hyperlink" Target="https://www.cb2d.com.br/portal/_uploads/3e197128-9049-4520-aa9e-46bc6d4ac183.pdf" TargetMode="External" Id="rId599" /><Relationship Type="http://schemas.openxmlformats.org/officeDocument/2006/relationships/hyperlink" Target="https://www.cb2d.com.br/portal/_uploads/3e197128-9049-4520-aa9e-46bc6d4ac183.pdf" TargetMode="External" Id="rId600" /><Relationship Type="http://schemas.openxmlformats.org/officeDocument/2006/relationships/hyperlink" Target="https://www.cb2d.com.br/portal/_uploads/3e197128-9049-4520-aa9e-46bc6d4ac183.pdf" TargetMode="External" Id="rId601" /><Relationship Type="http://schemas.openxmlformats.org/officeDocument/2006/relationships/hyperlink" Target="https://www.cb2d.com.br/portal/_uploads/3e197128-9049-4520-aa9e-46bc6d4ac183.pdf" TargetMode="External" Id="rId602" /><Relationship Type="http://schemas.openxmlformats.org/officeDocument/2006/relationships/hyperlink" Target="https://www.cb2d.com.br/portal/_uploads/3e197128-9049-4520-aa9e-46bc6d4ac183.pdf" TargetMode="External" Id="rId603" /><Relationship Type="http://schemas.openxmlformats.org/officeDocument/2006/relationships/hyperlink" Target="https://www.cb2d.com.br/portal/_uploads/3e197128-9049-4520-aa9e-46bc6d4ac183.pdf" TargetMode="External" Id="rId604" /><Relationship Type="http://schemas.openxmlformats.org/officeDocument/2006/relationships/hyperlink" Target="https://www.cb2d.com.br/portal/_uploads/3e197128-9049-4520-aa9e-46bc6d4ac183.pdf" TargetMode="External" Id="rId605" /><Relationship Type="http://schemas.openxmlformats.org/officeDocument/2006/relationships/hyperlink" Target="https://www.cb2d.com.br/portal/_uploads/3e197128-9049-4520-aa9e-46bc6d4ac183.pdf" TargetMode="External" Id="rId606" /><Relationship Type="http://schemas.openxmlformats.org/officeDocument/2006/relationships/hyperlink" Target="https://www.cb2d.com.br/portal/_uploads/3e197128-9049-4520-aa9e-46bc6d4ac183.pdf" TargetMode="External" Id="rId607" /><Relationship Type="http://schemas.openxmlformats.org/officeDocument/2006/relationships/hyperlink" Target="https://www.cb2d.com.br/portal/_uploads/3e197128-9049-4520-aa9e-46bc6d4ac183.pdf" TargetMode="External" Id="rId608" /><Relationship Type="http://schemas.openxmlformats.org/officeDocument/2006/relationships/hyperlink" Target="https://www.cb2d.com.br/portal/_uploads/3e197128-9049-4520-aa9e-46bc6d4ac183.pdf" TargetMode="External" Id="rId609" /><Relationship Type="http://schemas.openxmlformats.org/officeDocument/2006/relationships/hyperlink" Target="https://www.cb2d.com.br/portal/_uploads/3e197128-9049-4520-aa9e-46bc6d4ac183.pdf" TargetMode="External" Id="rId610" /><Relationship Type="http://schemas.openxmlformats.org/officeDocument/2006/relationships/hyperlink" Target="https://www.cb2d.com.br/portal/_uploads/3e197128-9049-4520-aa9e-46bc6d4ac183.pdf" TargetMode="External" Id="rId611" /><Relationship Type="http://schemas.openxmlformats.org/officeDocument/2006/relationships/hyperlink" Target="https://www.cb2d.com.br/portal/_uploads/3e197128-9049-4520-aa9e-46bc6d4ac183.pdf" TargetMode="External" Id="rId612" /><Relationship Type="http://schemas.openxmlformats.org/officeDocument/2006/relationships/hyperlink" Target="https://www.cb2d.com.br/portal/_uploads/3e197128-9049-4520-aa9e-46bc6d4ac183.pdf" TargetMode="External" Id="rId613" /><Relationship Type="http://schemas.openxmlformats.org/officeDocument/2006/relationships/hyperlink" Target="https://www.cb2d.com.br/portal/_uploads/3e197128-9049-4520-aa9e-46bc6d4ac183.pdf" TargetMode="External" Id="rId614" /><Relationship Type="http://schemas.openxmlformats.org/officeDocument/2006/relationships/hyperlink" Target="https://www.cb2d.com.br/portal/_uploads/7583870e-fc67-4040-836a-b98e144302de.pdf" TargetMode="External" Id="rId615" /><Relationship Type="http://schemas.openxmlformats.org/officeDocument/2006/relationships/hyperlink" Target="https://www.cb2d.com.br/portal/_uploads/7583870e-fc67-4040-836a-b98e144302de.pdf" TargetMode="External" Id="rId616" /><Relationship Type="http://schemas.openxmlformats.org/officeDocument/2006/relationships/hyperlink" Target="https://www.cb2d.com.br/portal/_uploads/7583870e-fc67-4040-836a-b98e144302de.pdf" TargetMode="External" Id="rId617" /><Relationship Type="http://schemas.openxmlformats.org/officeDocument/2006/relationships/hyperlink" Target="https://www.cb2d.com.br/portal/_uploads/7583870e-fc67-4040-836a-b98e144302de.pdf" TargetMode="External" Id="rId618" /><Relationship Type="http://schemas.openxmlformats.org/officeDocument/2006/relationships/hyperlink" Target="https://www.cb2d.com.br/portal/_uploads/7583870e-fc67-4040-836a-b98e144302de.pdf" TargetMode="External" Id="rId619" /><Relationship Type="http://schemas.openxmlformats.org/officeDocument/2006/relationships/hyperlink" Target="https://www.cb2d.com.br/portal/_uploads/7583870e-fc67-4040-836a-b98e144302de.pdf" TargetMode="External" Id="rId620" /><Relationship Type="http://schemas.openxmlformats.org/officeDocument/2006/relationships/hyperlink" Target="https://gatekeeperaj.com.br/wp-content/uploads/2023/07/2a-Lista-de-credores-LR-1.pdf" TargetMode="External" Id="rId621" /><Relationship Type="http://schemas.openxmlformats.org/officeDocument/2006/relationships/hyperlink" Target="https://gatekeeperaj.com.br/wp-content/uploads/2023/07/2a-Lista-de-credores-LR-1.pdf" TargetMode="External" Id="rId622" /><Relationship Type="http://schemas.openxmlformats.org/officeDocument/2006/relationships/hyperlink" Target="https://gatekeeperaj.com.br/wp-content/uploads/2023/07/2a-Lista-de-credores-LR-1.pdf" TargetMode="External" Id="rId623" /><Relationship Type="http://schemas.openxmlformats.org/officeDocument/2006/relationships/hyperlink" Target="https://gatekeeperaj.com.br/wp-content/uploads/2023/07/2a-Lista-de-credores-LR-1.pdf" TargetMode="External" Id="rId624" /><Relationship Type="http://schemas.openxmlformats.org/officeDocument/2006/relationships/hyperlink" Target="https://gatekeeperaj.com.br/wp-content/uploads/2023/07/2a-Lista-de-credores-LR-1.pdf" TargetMode="External" Id="rId625" /><Relationship Type="http://schemas.openxmlformats.org/officeDocument/2006/relationships/hyperlink" Target="https://www.cb2d.com.br/portal/_uploads/e0a53569-6b65-453b-a2bf-022814516271.pdf" TargetMode="External" Id="rId626" /><Relationship Type="http://schemas.openxmlformats.org/officeDocument/2006/relationships/hyperlink" Target="https://www.cb2d.com.br/portal/_uploads/e0a53569-6b65-453b-a2bf-022814516271.pdf" TargetMode="External" Id="rId627" /><Relationship Type="http://schemas.openxmlformats.org/officeDocument/2006/relationships/hyperlink" Target="https://www.cb2d.com.br/portal/_uploads/e0a53569-6b65-453b-a2bf-022814516271.pdf" TargetMode="External" Id="rId628" /><Relationship Type="http://schemas.openxmlformats.org/officeDocument/2006/relationships/hyperlink" Target="https://www.cb2d.com.br/portal/_uploads/e0a53569-6b65-453b-a2bf-022814516271.pdf" TargetMode="External" Id="rId629" /><Relationship Type="http://schemas.openxmlformats.org/officeDocument/2006/relationships/hyperlink" Target="https://www.cb2d.com.br/portal/_uploads/e0a53569-6b65-453b-a2bf-022814516271.pdf" TargetMode="External" Id="rId630" /><Relationship Type="http://schemas.openxmlformats.org/officeDocument/2006/relationships/hyperlink" Target="https://www.cb2d.com.br/portal/_uploads/e0a53569-6b65-453b-a2bf-022814516271.pdf" TargetMode="External" Id="rId631" /><Relationship Type="http://schemas.openxmlformats.org/officeDocument/2006/relationships/hyperlink" Target="https://www.cb2d.com.br/portal/_uploads/e0a53569-6b65-453b-a2bf-022814516271.pdf" TargetMode="External" Id="rId632" /><Relationship Type="http://schemas.openxmlformats.org/officeDocument/2006/relationships/hyperlink" Target="https://www.cb2d.com.br/portal/_uploads/e0a53569-6b65-453b-a2bf-022814516271.pdf" TargetMode="External" Id="rId633" /><Relationship Type="http://schemas.openxmlformats.org/officeDocument/2006/relationships/hyperlink" Target="https://www.cb2d.com.br/portal/_uploads/e0a53569-6b65-453b-a2bf-022814516271.pdf" TargetMode="External" Id="rId634" /><Relationship Type="http://schemas.openxmlformats.org/officeDocument/2006/relationships/hyperlink" Target="https://www.cb2d.com.br/portal/_uploads/e0a53569-6b65-453b-a2bf-022814516271.pdf" TargetMode="External" Id="rId635" /><Relationship Type="http://schemas.openxmlformats.org/officeDocument/2006/relationships/hyperlink" Target="https://www.cb2d.com.br/portal/_uploads/e0a53569-6b65-453b-a2bf-022814516271.pdf" TargetMode="External" Id="rId636" /><Relationship Type="http://schemas.openxmlformats.org/officeDocument/2006/relationships/hyperlink" Target="https://www.cb2d.com.br/portal/_uploads/e0a53569-6b65-453b-a2bf-022814516271.pdf" TargetMode="External" Id="rId637" /><Relationship Type="http://schemas.openxmlformats.org/officeDocument/2006/relationships/hyperlink" Target="https://www.cb2d.com.br/portal/_uploads/e0a53569-6b65-453b-a2bf-022814516271.pdf" TargetMode="External" Id="rId638" /><Relationship Type="http://schemas.openxmlformats.org/officeDocument/2006/relationships/hyperlink" Target="https://www.cb2d.com.br/portal/_uploads/e0a53569-6b65-453b-a2bf-022814516271.pdf" TargetMode="External" Id="rId639" /><Relationship Type="http://schemas.openxmlformats.org/officeDocument/2006/relationships/hyperlink" Target="https://www.cb2d.com.br/portal/_uploads/e0a53569-6b65-453b-a2bf-022814516271.pdf" TargetMode="External" Id="rId640" /><Relationship Type="http://schemas.openxmlformats.org/officeDocument/2006/relationships/hyperlink" Target="https://www.cb2d.com.br/portal/_uploads/e0a53569-6b65-453b-a2bf-022814516271.pdf" TargetMode="External" Id="rId641" /><Relationship Type="http://schemas.openxmlformats.org/officeDocument/2006/relationships/hyperlink" Target="https://www.cb2d.com.br/portal/_uploads/e0a53569-6b65-453b-a2bf-022814516271.pdf" TargetMode="External" Id="rId642" /><Relationship Type="http://schemas.openxmlformats.org/officeDocument/2006/relationships/hyperlink" Target="https://www.cb2d.com.br/portal/_uploads/e0a53569-6b65-453b-a2bf-022814516271.pdf" TargetMode="External" Id="rId643" /><Relationship Type="http://schemas.openxmlformats.org/officeDocument/2006/relationships/hyperlink" Target="https://www.cb2d.com.br/portal/_uploads/e0a53569-6b65-453b-a2bf-022814516271.pdf" TargetMode="External" Id="rId644" /><Relationship Type="http://schemas.openxmlformats.org/officeDocument/2006/relationships/hyperlink" Target="https://www.cb2d.com.br/portal/_uploads/e0a53569-6b65-453b-a2bf-022814516271.pdf" TargetMode="External" Id="rId645" /><Relationship Type="http://schemas.openxmlformats.org/officeDocument/2006/relationships/hyperlink" Target="https://www.cb2d.com.br/portal/_uploads/e0a53569-6b65-453b-a2bf-022814516271.pdf" TargetMode="External" Id="rId646" /><Relationship Type="http://schemas.openxmlformats.org/officeDocument/2006/relationships/hyperlink" Target="https://www.cb2d.com.br/portal/_uploads/e0a53569-6b65-453b-a2bf-022814516271.pdf" TargetMode="External" Id="rId647" /><Relationship Type="http://schemas.openxmlformats.org/officeDocument/2006/relationships/hyperlink" Target="https://www.cb2d.com.br/portal/_uploads/e0a53569-6b65-453b-a2bf-022814516271.pdf" TargetMode="External" Id="rId648" /><Relationship Type="http://schemas.openxmlformats.org/officeDocument/2006/relationships/hyperlink" Target="https://www.cb2d.com.br/portal/_uploads/e0a53569-6b65-453b-a2bf-022814516271.pdf" TargetMode="External" Id="rId649" /><Relationship Type="http://schemas.openxmlformats.org/officeDocument/2006/relationships/hyperlink" Target="https://www.cb2d.com.br/portal/_uploads/e0a53569-6b65-453b-a2bf-022814516271.pdf" TargetMode="External" Id="rId650" /><Relationship Type="http://schemas.openxmlformats.org/officeDocument/2006/relationships/hyperlink" Target="https://www.cb2d.com.br/portal/_uploads/e0a53569-6b65-453b-a2bf-022814516271.pdf" TargetMode="External" Id="rId651" /><Relationship Type="http://schemas.openxmlformats.org/officeDocument/2006/relationships/hyperlink" Target="https://www.cb2d.com.br/portal/_uploads/e0a53569-6b65-453b-a2bf-022814516271.pdf" TargetMode="External" Id="rId652" /><Relationship Type="http://schemas.openxmlformats.org/officeDocument/2006/relationships/hyperlink" Target="https://www.cb2d.com.br/portal/_uploads/e0a53569-6b65-453b-a2bf-022814516271.pdf" TargetMode="External" Id="rId653" /><Relationship Type="http://schemas.openxmlformats.org/officeDocument/2006/relationships/hyperlink" Target="https://www.cb2d.com.br/portal/_uploads/e0a53569-6b65-453b-a2bf-022814516271.pdf" TargetMode="External" Id="rId654" /><Relationship Type="http://schemas.openxmlformats.org/officeDocument/2006/relationships/hyperlink" Target="https://www.cb2d.com.br/portal/_uploads/e0a53569-6b65-453b-a2bf-022814516271.pdf" TargetMode="External" Id="rId655" /><Relationship Type="http://schemas.openxmlformats.org/officeDocument/2006/relationships/hyperlink" Target="https://www.cb2d.com.br/portal/_uploads/1d9879cf-e70a-4c82-b3da-453d43886c71.pdf" TargetMode="External" Id="rId656" /><Relationship Type="http://schemas.openxmlformats.org/officeDocument/2006/relationships/hyperlink" Target="https://www.cb2d.com.br/portal/_uploads/1d9879cf-e70a-4c82-b3da-453d43886c71.pdf" TargetMode="External" Id="rId657" /><Relationship Type="http://schemas.openxmlformats.org/officeDocument/2006/relationships/hyperlink" Target="https://www.cb2d.com.br/portal/_uploads/1d9879cf-e70a-4c82-b3da-453d43886c71.pdf" TargetMode="External" Id="rId658" /><Relationship Type="http://schemas.openxmlformats.org/officeDocument/2006/relationships/hyperlink" Target="https://www.cb2d.com.br/portal/_uploads/1d9879cf-e70a-4c82-b3da-453d43886c71.pdf" TargetMode="External" Id="rId659" /><Relationship Type="http://schemas.openxmlformats.org/officeDocument/2006/relationships/hyperlink" Target="https://www.cb2d.com.br/portal/_uploads/1d9879cf-e70a-4c82-b3da-453d43886c71.pdf" TargetMode="External" Id="rId660" /><Relationship Type="http://schemas.openxmlformats.org/officeDocument/2006/relationships/hyperlink" Target="https://www.cb2d.com.br/portal/_uploads/1d9879cf-e70a-4c82-b3da-453d43886c71.pdf" TargetMode="External" Id="rId661" /><Relationship Type="http://schemas.openxmlformats.org/officeDocument/2006/relationships/hyperlink" Target="https://www.cb2d.com.br/portal/_uploads/1d9879cf-e70a-4c82-b3da-453d43886c71.pdf" TargetMode="External" Id="rId662" /><Relationship Type="http://schemas.openxmlformats.org/officeDocument/2006/relationships/hyperlink" Target="https://www.cb2d.com.br/portal/_uploads/1d9879cf-e70a-4c82-b3da-453d43886c71.pdf" TargetMode="External" Id="rId663" /><Relationship Type="http://schemas.openxmlformats.org/officeDocument/2006/relationships/hyperlink" Target="https://www.cb2d.com.br/portal/_uploads/1d9879cf-e70a-4c82-b3da-453d43886c71.pdf" TargetMode="External" Id="rId664" /><Relationship Type="http://schemas.openxmlformats.org/officeDocument/2006/relationships/hyperlink" Target="https://acfb.com.br/wp-content/uploads/2024/06/doc_227774999.pdf" TargetMode="External" Id="rId665" /><Relationship Type="http://schemas.openxmlformats.org/officeDocument/2006/relationships/hyperlink" Target="https://acfb.com.br/wp-content/uploads/2024/06/doc_227774999.pdf" TargetMode="External" Id="rId666" /><Relationship Type="http://schemas.openxmlformats.org/officeDocument/2006/relationships/hyperlink" Target="https://acfb.com.br/wp-content/uploads/2024/06/doc_227774999.pdf" TargetMode="External" Id="rId667" /><Relationship Type="http://schemas.openxmlformats.org/officeDocument/2006/relationships/hyperlink" Target="https://acfb.com.br/wp-content/uploads/2024/06/doc_227774999.pdf" TargetMode="External" Id="rId668" /><Relationship Type="http://schemas.openxmlformats.org/officeDocument/2006/relationships/hyperlink" Target="https://acfb.com.br/wp-content/uploads/2024/06/doc_227774999.pdf" TargetMode="External" Id="rId669" /><Relationship Type="http://schemas.openxmlformats.org/officeDocument/2006/relationships/hyperlink" Target="https://acfb.com.br/wp-content/uploads/2024/06/doc_227774999.pdf" TargetMode="External" Id="rId670" /><Relationship Type="http://schemas.openxmlformats.org/officeDocument/2006/relationships/hyperlink" Target="https://acfb.com.br/wp-content/uploads/2024/06/doc_227774999.pdf" TargetMode="External" Id="rId671" /><Relationship Type="http://schemas.openxmlformats.org/officeDocument/2006/relationships/hyperlink" Target="https://acfb.com.br/wp-content/uploads/2018/05/1&#186;-Edital.pdf" TargetMode="External" Id="rId672" /><Relationship Type="http://schemas.openxmlformats.org/officeDocument/2006/relationships/hyperlink" Target="https://www.cb2d.com.br/portal/_uploads/90d84dbb-ba11-4915-b65d-98d831bb93b8.pdf" TargetMode="External" Id="rId673" /><Relationship Type="http://schemas.openxmlformats.org/officeDocument/2006/relationships/hyperlink" Target="https://www.cb2d.com.br/portal/_uploads/90d84dbb-ba11-4915-b65d-98d831bb93b8.pdf" TargetMode="External" Id="rId674" /><Relationship Type="http://schemas.openxmlformats.org/officeDocument/2006/relationships/hyperlink" Target="https://www.cb2d.com.br/portal/_uploads/90d84dbb-ba11-4915-b65d-98d831bb93b8.pdf" TargetMode="External" Id="rId675" /><Relationship Type="http://schemas.openxmlformats.org/officeDocument/2006/relationships/hyperlink" Target="https://www.cb2d.com.br/portal/_uploads/90d84dbb-ba11-4915-b65d-98d831bb93b8.pdf" TargetMode="External" Id="rId676" /><Relationship Type="http://schemas.openxmlformats.org/officeDocument/2006/relationships/hyperlink" Target="https://www.cb2d.com.br/portal/_uploads/3901124d-5e78-40f5-837a-ea11d6c69527.pdf" TargetMode="External" Id="rId677" /><Relationship Type="http://schemas.openxmlformats.org/officeDocument/2006/relationships/hyperlink" Target="https://www.cb2d.com.br/portal/_uploads/3901124d-5e78-40f5-837a-ea11d6c69527.pdf" TargetMode="External" Id="rId678" /><Relationship Type="http://schemas.openxmlformats.org/officeDocument/2006/relationships/hyperlink" Target="https://www.cb2d.com.br/portal/_uploads/3901124d-5e78-40f5-837a-ea11d6c69527.pdf" TargetMode="External" Id="rId679" /><Relationship Type="http://schemas.openxmlformats.org/officeDocument/2006/relationships/hyperlink" Target="https://www.cb2d.com.br/portal/_uploads/3901124d-5e78-40f5-837a-ea11d6c69527.pdf" TargetMode="External" Id="rId680" /><Relationship Type="http://schemas.openxmlformats.org/officeDocument/2006/relationships/hyperlink" Target="https://www.cb2d.com.br/portal/_uploads/7ee8d870-ccd2-48c0-8956-becd6b724157.pdf" TargetMode="External" Id="rId681" /><Relationship Type="http://schemas.openxmlformats.org/officeDocument/2006/relationships/hyperlink" Target="https://www.cb2d.com.br/portal/_uploads/e133a69c-5147-417c-ab51-b070cf2d3b7b.pdf" TargetMode="External" Id="rId682"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683" /><Relationship Type="http://schemas.openxmlformats.org/officeDocument/2006/relationships/hyperlink" Target="https://www.cb2d.com.br/portal/_uploads/fd3aa07f-855c-40df-874d-61b0f89db243.pdf" TargetMode="External" Id="rId684" /><Relationship Type="http://schemas.openxmlformats.org/officeDocument/2006/relationships/hyperlink" Target="https://www.cb2d.com.br/portal/_uploads/fd3aa07f-855c-40df-874d-61b0f89db243.pdf" TargetMode="External" Id="rId685" /><Relationship Type="http://schemas.openxmlformats.org/officeDocument/2006/relationships/hyperlink" Target="https://www.cb2d.com.br/portal/_uploads/fd3aa07f-855c-40df-874d-61b0f89db243.pdf" TargetMode="External" Id="rId686" /><Relationship Type="http://schemas.openxmlformats.org/officeDocument/2006/relationships/hyperlink" Target="https://www.cb2d.com.br/portal/_uploads/fd3aa07f-855c-40df-874d-61b0f89db243.pdf" TargetMode="External" Id="rId687" /><Relationship Type="http://schemas.openxmlformats.org/officeDocument/2006/relationships/hyperlink" Target="https://www.cb2d.com.br/portal/_uploads/fd3aa07f-855c-40df-874d-61b0f89db243.pdf" TargetMode="External" Id="rId688" /><Relationship Type="http://schemas.openxmlformats.org/officeDocument/2006/relationships/hyperlink" Target="https://www.cb2d.com.br/portal/_uploads/fd3aa07f-855c-40df-874d-61b0f89db243.pdf" TargetMode="External" Id="rId689" /><Relationship Type="http://schemas.openxmlformats.org/officeDocument/2006/relationships/hyperlink" Target="https://www.cb2d.com.br/portal/_uploads/fd3aa07f-855c-40df-874d-61b0f89db243.pdf" TargetMode="External" Id="rId690" /><Relationship Type="http://schemas.openxmlformats.org/officeDocument/2006/relationships/hyperlink" Target="https://www.cb2d.com.br/portal/_uploads/fd3aa07f-855c-40df-874d-61b0f89db243.pdf" TargetMode="External" Id="rId691" /><Relationship Type="http://schemas.openxmlformats.org/officeDocument/2006/relationships/hyperlink" Target="https://www.cb2d.com.br/portal/_uploads/fd3aa07f-855c-40df-874d-61b0f89db243.pdf" TargetMode="External" Id="rId692" /><Relationship Type="http://schemas.openxmlformats.org/officeDocument/2006/relationships/hyperlink" Target="https://www.cb2d.com.br/portal/_uploads/fd3aa07f-855c-40df-874d-61b0f89db243.pdf" TargetMode="External" Id="rId693" /><Relationship Type="http://schemas.openxmlformats.org/officeDocument/2006/relationships/hyperlink" Target="https://www.cb2d.com.br/portal/_uploads/fd3aa07f-855c-40df-874d-61b0f89db243.pdf" TargetMode="External" Id="rId694" /><Relationship Type="http://schemas.openxmlformats.org/officeDocument/2006/relationships/hyperlink" Target="https://www.cb2d.com.br/portal/_uploads/fd3aa07f-855c-40df-874d-61b0f89db243.pdf" TargetMode="External" Id="rId695" /><Relationship Type="http://schemas.openxmlformats.org/officeDocument/2006/relationships/hyperlink" Target="https://www.cb2d.com.br/portal/_uploads/fd3aa07f-855c-40df-874d-61b0f89db243.pdf" TargetMode="External" Id="rId696" /><Relationship Type="http://schemas.openxmlformats.org/officeDocument/2006/relationships/hyperlink" Target="https://www.cb2d.com.br/portal/_uploads/fd3aa07f-855c-40df-874d-61b0f89db243.pdf" TargetMode="External" Id="rId697" /><Relationship Type="http://schemas.openxmlformats.org/officeDocument/2006/relationships/hyperlink" Target="https://www.cb2d.com.br/portal/_uploads/fd3aa07f-855c-40df-874d-61b0f89db243.pdf" TargetMode="External" Id="rId698" /><Relationship Type="http://schemas.openxmlformats.org/officeDocument/2006/relationships/hyperlink" Target="https://www.cb2d.com.br/portal/_uploads/fd3aa07f-855c-40df-874d-61b0f89db243.pdf" TargetMode="External" Id="rId699" /><Relationship Type="http://schemas.openxmlformats.org/officeDocument/2006/relationships/hyperlink" Target="https://www.cb2d.com.br/portal/_uploads/fd3aa07f-855c-40df-874d-61b0f89db243.pdf" TargetMode="External" Id="rId700" /><Relationship Type="http://schemas.openxmlformats.org/officeDocument/2006/relationships/hyperlink" Target="https://www.cb2d.com.br/portal/_uploads/fd3aa07f-855c-40df-874d-61b0f89db243.pdf" TargetMode="External" Id="rId701" /><Relationship Type="http://schemas.openxmlformats.org/officeDocument/2006/relationships/hyperlink" Target="https://www.cb2d.com.br/portal/_uploads/fd3aa07f-855c-40df-874d-61b0f89db243.pdf" TargetMode="External" Id="rId702" /><Relationship Type="http://schemas.openxmlformats.org/officeDocument/2006/relationships/hyperlink" Target="https://www.cb2d.com.br/portal/_uploads/fd3aa07f-855c-40df-874d-61b0f89db243.pdf" TargetMode="External" Id="rId703" /><Relationship Type="http://schemas.openxmlformats.org/officeDocument/2006/relationships/hyperlink" Target="https://www.cb2d.com.br/portal/_uploads/fd3aa07f-855c-40df-874d-61b0f89db243.pdf" TargetMode="External" Id="rId704" /><Relationship Type="http://schemas.openxmlformats.org/officeDocument/2006/relationships/hyperlink" Target="https://www.cb2d.com.br/portal/_uploads/fd3aa07f-855c-40df-874d-61b0f89db243.pdf" TargetMode="External" Id="rId705" /><Relationship Type="http://schemas.openxmlformats.org/officeDocument/2006/relationships/hyperlink" Target="https://www.cb2d.com.br/portal/_uploads/fd3aa07f-855c-40df-874d-61b0f89db243.pdf" TargetMode="External" Id="rId706" /><Relationship Type="http://schemas.openxmlformats.org/officeDocument/2006/relationships/hyperlink" Target="https://ajruiz.com.br/sites/default/files/public/arquivos-processos/2023-12/2._relacao_de_credores.pdf" TargetMode="External" Id="rId707" /><Relationship Type="http://schemas.openxmlformats.org/officeDocument/2006/relationships/hyperlink" Target="https://ajruiz.com.br/sites/default/files/public/arquivos-processos/2023-12/2._relacao_de_credores.pdf" TargetMode="External" Id="rId708" /><Relationship Type="http://schemas.openxmlformats.org/officeDocument/2006/relationships/hyperlink" Target="https://ajruiz.com.br/sites/default/files/public/arquivos-processos/2023-12/2._relacao_de_credores.pdf" TargetMode="External" Id="rId709" /><Relationship Type="http://schemas.openxmlformats.org/officeDocument/2006/relationships/hyperlink" Target="https://ajruiz.com.br/sites/default/files/public/arquivos-processos/2023-12/2._relacao_de_credores.pdf" TargetMode="External" Id="rId710" /><Relationship Type="http://schemas.openxmlformats.org/officeDocument/2006/relationships/hyperlink" Target="https://ajruiz.com.br/sites/default/files/public/arquivos-processos/2023-12/2._relacao_de_credores.pdf" TargetMode="External" Id="rId711" /><Relationship Type="http://schemas.openxmlformats.org/officeDocument/2006/relationships/hyperlink" Target="https://ajruiz.com.br/sites/default/files/public/arquivos-processos/2023-12/2._relacao_de_credores.pdf" TargetMode="External" Id="rId712" /><Relationship Type="http://schemas.openxmlformats.org/officeDocument/2006/relationships/hyperlink" Target="https://ajruiz.com.br/sites/default/files/public/arquivos-processos/2023-12/2._relacao_de_credores.pdf" TargetMode="External" Id="rId713" /><Relationship Type="http://schemas.openxmlformats.org/officeDocument/2006/relationships/hyperlink" Target="https://www.cb2d.com.br/portal/_uploads/49be2fec-2b78-48b0-966c-8d8f0b9d8220.pdf" TargetMode="External" Id="rId714" /><Relationship Type="http://schemas.openxmlformats.org/officeDocument/2006/relationships/hyperlink" Target="https://www.cb2d.com.br/portal/_uploads/49be2fec-2b78-48b0-966c-8d8f0b9d8220.pdf" TargetMode="External" Id="rId715" /><Relationship Type="http://schemas.openxmlformats.org/officeDocument/2006/relationships/hyperlink" Target="https://ajruiz.com.br/sites/default/files/public/arquivos-processos/2025-10/brassuco_quadro_geral_de_credores_provisorio_mo.pdf" TargetMode="External" Id="rId716" /><Relationship Type="http://schemas.openxmlformats.org/officeDocument/2006/relationships/hyperlink" Target="https://ajruiz.com.br/sites/default/files/public/arquivos-processos/2025-10/brassuco_quadro_geral_de_credores_provisorio_mo.pdf" TargetMode="External" Id="rId717" /><Relationship Type="http://schemas.openxmlformats.org/officeDocument/2006/relationships/hyperlink" Target="https://ajruiz.com.br/sites/default/files/public/arquivos-processos/2025-10/brassuco_quadro_geral_de_credores_provisorio_mo.pdf" TargetMode="External" Id="rId718" /><Relationship Type="http://schemas.openxmlformats.org/officeDocument/2006/relationships/hyperlink" Target="https://ajruiz.com.br/sites/default/files/public/arquivos-processos/2025-10/brassuco_quadro_geral_de_credores_provisorio_mo.pdf" TargetMode="External" Id="rId719" /><Relationship Type="http://schemas.openxmlformats.org/officeDocument/2006/relationships/hyperlink" Target="https://ajruiz.com.br/sites/default/files/public/arquivos-processos/2025-10/brassuco_quadro_geral_de_credores_provisorio_mo.pdf" TargetMode="External" Id="rId720" /><Relationship Type="http://schemas.openxmlformats.org/officeDocument/2006/relationships/hyperlink" Target="https://ajruiz.com.br/sites/default/files/public/arquivos-processos/2025-10/brassuco_quadro_geral_de_credores_provisorio_mo.pdf" TargetMode="External" Id="rId721" /><Relationship Type="http://schemas.openxmlformats.org/officeDocument/2006/relationships/hyperlink" Target="https://www.cb2d.com.br/portal/_uploads/3d6194a9-0d18-41a2-81df-1e270464997f.pdf" TargetMode="External" Id="rId722" /><Relationship Type="http://schemas.openxmlformats.org/officeDocument/2006/relationships/hyperlink" Target="https://www.cb2d.com.br/portal/_uploads/3d6194a9-0d18-41a2-81df-1e270464997f.pdf" TargetMode="External" Id="rId723" /><Relationship Type="http://schemas.openxmlformats.org/officeDocument/2006/relationships/hyperlink" Target="https://www.cb2d.com.br/portal/_uploads/3d6194a9-0d18-41a2-81df-1e270464997f.pdf" TargetMode="External" Id="rId724" /><Relationship Type="http://schemas.openxmlformats.org/officeDocument/2006/relationships/hyperlink" Target="https://www.cb2d.com.br/portal/_uploads/3d6194a9-0d18-41a2-81df-1e270464997f.pdf" TargetMode="External" Id="rId725" /><Relationship Type="http://schemas.openxmlformats.org/officeDocument/2006/relationships/hyperlink" Target="https://www.cb2d.com.br/portal/_uploads/3d6194a9-0d18-41a2-81df-1e270464997f.pdf" TargetMode="External" Id="rId726" /><Relationship Type="http://schemas.openxmlformats.org/officeDocument/2006/relationships/hyperlink" Target="https://www.cb2d.com.br/portal/_uploads/3d6194a9-0d18-41a2-81df-1e270464997f.pdf" TargetMode="External" Id="rId727" /><Relationship Type="http://schemas.openxmlformats.org/officeDocument/2006/relationships/hyperlink" Target="https://www.cb2d.com.br/portal/_uploads/3d6194a9-0d18-41a2-81df-1e270464997f.pdf" TargetMode="External" Id="rId728" /><Relationship Type="http://schemas.openxmlformats.org/officeDocument/2006/relationships/hyperlink" Target="https://ajruiz.com.br/sites/default/files/public/arquivos-processos/2026-01/safrasul_relacao_de_credores_recuperanda.pdf" TargetMode="External" Id="rId729" /><Relationship Type="http://schemas.openxmlformats.org/officeDocument/2006/relationships/hyperlink" Target="https://ativosajce.com.br/admin/download.php?file=files/processo_documento/processo_documento14321031072026_1_.pdf&amp;nome=Rela&#231;&#227;o de credores - 27/10/2025" TargetMode="External" Id="rId730" /><Relationship Type="http://schemas.openxmlformats.org/officeDocument/2006/relationships/hyperlink" Target="https://ativosajce.com.br/admin/download.php?file=files/processo_documento/processo_documento14321031072026_1_.pdf&amp;nome=Rela&#231;&#227;o de credores - 27/10/2025" TargetMode="External" Id="rId731" /><Relationship Type="http://schemas.openxmlformats.org/officeDocument/2006/relationships/hyperlink" Target="https://ativosajce.com.br/admin/download.php?file=files/processo_documento/processo_documento14321031072026_1_.pdf&amp;nome=Rela&#231;&#227;o de credores - 27/10/2025" TargetMode="External" Id="rId732" /><Relationship Type="http://schemas.openxmlformats.org/officeDocument/2006/relationships/hyperlink" Target="https://ativosajce.com.br/admin/download.php?file=files/processo_documento/processo_documento14321031072026_1_.pdf&amp;nome=Rela&#231;&#227;o de credores - 27/10/2025" TargetMode="External" Id="rId733" /><Relationship Type="http://schemas.openxmlformats.org/officeDocument/2006/relationships/hyperlink" Target="https://ativosajce.com.br/admin/download.php?file=files/processo_documento/processo_documento14321031072026_1_.pdf&amp;nome=Rela&#231;&#227;o de credores - 27/10/2025" TargetMode="External" Id="rId734" /><Relationship Type="http://schemas.openxmlformats.org/officeDocument/2006/relationships/hyperlink" Target="https://ativosajce.com.br/admin/download.php?file=files/processo_documento/processo_documento14321031072026_1_.pdf&amp;nome=Rela&#231;&#227;o de credores - 27/10/2025" TargetMode="External" Id="rId735" /><Relationship Type="http://schemas.openxmlformats.org/officeDocument/2006/relationships/hyperlink" Target="https://ativosajce.com.br/admin/download.php?file=files/processo_documento/processo_documento14321031072026_1_.pdf&amp;nome=Rela&#231;&#227;o de credores - 27/10/2025" TargetMode="External" Id="rId736" /><Relationship Type="http://schemas.openxmlformats.org/officeDocument/2006/relationships/hyperlink" Target="https://ajruiz.com.br/sites/default/files/public/arquivos-processos/2023-11/4_edital_de_convocacao_de_credores_art._52_parag_1o_da_lei_11.101.2005_dje_11.07.2018.pdf" TargetMode="External" Id="rId737" /><Relationship Type="http://schemas.openxmlformats.org/officeDocument/2006/relationships/hyperlink" Target="https://ajruiz.com.br/sites/default/files/public/arquivos-processos/2023-11/4_edital_de_convocacao_de_credores_art._52_parag_1o_da_lei_11.101.2005_dje_11.07.2018.pdf" TargetMode="External" Id="rId738" /><Relationship Type="http://schemas.openxmlformats.org/officeDocument/2006/relationships/hyperlink" Target="https://ajruiz.com.br/sites/default/files/public/arquivos-processos/2023-11/4_edital_de_convocacao_de_credores_art._52_parag_1o_da_lei_11.101.2005_dje_11.07.2018.pdf" TargetMode="External" Id="rId739" /><Relationship Type="http://schemas.openxmlformats.org/officeDocument/2006/relationships/hyperlink" Target="https://ajruiz.com.br/sites/default/files/public/arquivos-processos/2023-11/4_edital_de_convocacao_de_credores_art._52_parag_1o_da_lei_11.101.2005_dje_11.07.2018.pdf" TargetMode="External" Id="rId740" /><Relationship Type="http://schemas.openxmlformats.org/officeDocument/2006/relationships/hyperlink" Target="https://ajruiz.com.br/sites/default/files/public/arquivos-processos/2023-11/4_edital_de_convocacao_de_credores_art._52_parag_1o_da_lei_11.101.2005_dje_11.07.2018.pdf" TargetMode="External" Id="rId741" /><Relationship Type="http://schemas.openxmlformats.org/officeDocument/2006/relationships/hyperlink" Target="https://ajruiz.com.br/sites/default/files/public/arquivos-processos/2023-11/4_edital_de_convocacao_de_credores_art._52_parag_1o_da_lei_11.101.2005_dje_11.07.2018.pdf" TargetMode="External" Id="rId742" /><Relationship Type="http://schemas.openxmlformats.org/officeDocument/2006/relationships/hyperlink" Target="https://ajruiz.com.br/sites/default/files/public/arquivos-processos/2023-11/4_edital_de_convocacao_de_credores_art._52_parag_1o_da_lei_11.101.2005_dje_11.07.2018.pdf" TargetMode="External" Id="rId743" /><Relationship Type="http://schemas.openxmlformats.org/officeDocument/2006/relationships/hyperlink" Target="https://ajruiz.com.br/sites/default/files/public/arquivos-processos/2023-11/4_edital_de_convocacao_de_credores_art._52_parag_1o_da_lei_11.101.2005_dje_11.07.2018.pdf" TargetMode="External" Id="rId744" /><Relationship Type="http://schemas.openxmlformats.org/officeDocument/2006/relationships/hyperlink" Target="https://ajruiz.com.br/sites/default/files/public/arquivos-processos/2023-11/4_edital_de_convocacao_de_credores_art._52_parag_1o_da_lei_11.101.2005_dje_11.07.2018.pdf" TargetMode="External" Id="rId745" /><Relationship Type="http://schemas.openxmlformats.org/officeDocument/2006/relationships/hyperlink" Target="https://ativosajce.com.br/admin/download.php?file=files/processo_documento/processo_documento18363702062025_1_.pdf&amp;nome=Edital de Rela&#231;&#227;o de Credores - Art. 7&#186;, &#167; 2&#186; - 24/04/2025" TargetMode="External" Id="rId746" /><Relationship Type="http://schemas.openxmlformats.org/officeDocument/2006/relationships/hyperlink" Target="https://ajruiz.com.br/sites/default/files/public/arquivos-processos/2026-05/1._relacao_de_credores_empresas.pdf" TargetMode="External" Id="rId747" /><Relationship Type="http://schemas.openxmlformats.org/officeDocument/2006/relationships/hyperlink" Target="https://ajruiz.com.br/sites/default/files/public/arquivos-processos/2026-05/1._relacao_de_credores_empresas.pdf" TargetMode="External" Id="rId748" /><Relationship Type="http://schemas.openxmlformats.org/officeDocument/2006/relationships/hyperlink" Target="https://lrflideres.com.br/wp-content/plugins/download-attachments/includes/download.php?id=3469" TargetMode="External" Id="rId749" /><Relationship Type="http://schemas.openxmlformats.org/officeDocument/2006/relationships/hyperlink" Target="https://lrflideres.com.br/wp-content/plugins/download-attachments/includes/download.php?id=3469" TargetMode="External" Id="rId750" /><Relationship Type="http://schemas.openxmlformats.org/officeDocument/2006/relationships/hyperlink" Target="https://lrflideres.com.br/wp-content/plugins/download-attachments/includes/download.php?id=3469" TargetMode="External" Id="rId751" /><Relationship Type="http://schemas.openxmlformats.org/officeDocument/2006/relationships/hyperlink" Target="https://lrflideres.com.br/wp-content/plugins/download-attachments/includes/download.php?id=3469" TargetMode="External" Id="rId752" /><Relationship Type="http://schemas.openxmlformats.org/officeDocument/2006/relationships/hyperlink" Target="https://lrflideres.com.br/wp-content/plugins/download-attachments/includes/download.php?id=3469" TargetMode="External" Id="rId753" /><Relationship Type="http://schemas.openxmlformats.org/officeDocument/2006/relationships/hyperlink" Target="https://lrflideres.com.br/wp-content/plugins/download-attachments/includes/download.php?id=3469" TargetMode="External" Id="rId754" /><Relationship Type="http://schemas.openxmlformats.org/officeDocument/2006/relationships/hyperlink" Target="https://lrflideres.com.br/wp-content/plugins/download-attachments/includes/download.php?id=3469" TargetMode="External" Id="rId755" /><Relationship Type="http://schemas.openxmlformats.org/officeDocument/2006/relationships/hyperlink" Target="https://lrflideres.com.br/wp-content/plugins/download-attachments/includes/download.php?id=3469" TargetMode="External" Id="rId756" /><Relationship Type="http://schemas.openxmlformats.org/officeDocument/2006/relationships/hyperlink" Target="https://lrflideres.com.br/wp-content/plugins/download-attachments/includes/download.php?id=3469" TargetMode="External" Id="rId757" /><Relationship Type="http://schemas.openxmlformats.org/officeDocument/2006/relationships/hyperlink" Target="https://lrflideres.com.br/wp-content/plugins/download-attachments/includes/download.php?id=3469" TargetMode="External" Id="rId758" /><Relationship Type="http://schemas.openxmlformats.org/officeDocument/2006/relationships/hyperlink" Target="https://lrflideres.com.br/wp-content/plugins/download-attachments/includes/download.php?id=3469" TargetMode="External" Id="rId759" /><Relationship Type="http://schemas.openxmlformats.org/officeDocument/2006/relationships/hyperlink" Target="https://lrflideres.com.br/wp-content/plugins/download-attachments/includes/download.php?id=3469" TargetMode="External" Id="rId760" /><Relationship Type="http://schemas.openxmlformats.org/officeDocument/2006/relationships/hyperlink" Target="https://lrflideres.com.br/wp-content/plugins/download-attachments/includes/download.php?id=3469" TargetMode="External" Id="rId761" /><Relationship Type="http://schemas.openxmlformats.org/officeDocument/2006/relationships/hyperlink" Target="https://lrflideres.com.br/wp-content/plugins/download-attachments/includes/download.php?id=3469" TargetMode="External" Id="rId762" /><Relationship Type="http://schemas.openxmlformats.org/officeDocument/2006/relationships/hyperlink" Target="https://lrflideres.com.br/wp-content/plugins/download-attachments/includes/download.php?id=3469" TargetMode="External" Id="rId763" /><Relationship Type="http://schemas.openxmlformats.org/officeDocument/2006/relationships/hyperlink" Target="https://lrflideres.com.br/wp-content/plugins/download-attachments/includes/download.php?id=3469" TargetMode="External" Id="rId764" /><Relationship Type="http://schemas.openxmlformats.org/officeDocument/2006/relationships/hyperlink" Target="https://lrflideres.com.br/wp-content/plugins/download-attachments/includes/download.php?id=3469" TargetMode="External" Id="rId765" /><Relationship Type="http://schemas.openxmlformats.org/officeDocument/2006/relationships/hyperlink" Target="https://lrflideres.com.br/wp-content/plugins/download-attachments/includes/download.php?id=3469" TargetMode="External" Id="rId766" /><Relationship Type="http://schemas.openxmlformats.org/officeDocument/2006/relationships/hyperlink" Target="https://lrflideres.com.br/wp-content/plugins/download-attachments/includes/download.php?id=3469" TargetMode="External" Id="rId767" /><Relationship Type="http://schemas.openxmlformats.org/officeDocument/2006/relationships/hyperlink" Target="https://lrflideres.com.br/wp-content/plugins/download-attachments/includes/download.php?id=3469" TargetMode="External" Id="rId768" /><Relationship Type="http://schemas.openxmlformats.org/officeDocument/2006/relationships/hyperlink" Target="https://3fmodas.madgav.com.br/wp-content/uploads/2025/05/Quadro-Geral-de-Credores.pdf" TargetMode="External" Id="rId769" /><Relationship Type="http://schemas.openxmlformats.org/officeDocument/2006/relationships/hyperlink" Target="https://3fmodas.madgav.com.br/wp-content/uploads/2025/05/Quadro-Geral-de-Credores.pdf" TargetMode="External" Id="rId770" /><Relationship Type="http://schemas.openxmlformats.org/officeDocument/2006/relationships/hyperlink" Target="https://3fmodas.madgav.com.br/wp-content/uploads/2025/05/Quadro-Geral-de-Credores.pdf" TargetMode="External" Id="rId771" /><Relationship Type="http://schemas.openxmlformats.org/officeDocument/2006/relationships/hyperlink" Target="https://3fmodas.madgav.com.br/wp-content/uploads/2025/05/Quadro-Geral-de-Credores.pdf" TargetMode="External" Id="rId772" /><Relationship Type="http://schemas.openxmlformats.org/officeDocument/2006/relationships/hyperlink" Target="https://3fmodas.madgav.com.br/wp-content/uploads/2025/05/Quadro-Geral-de-Credores.pdf" TargetMode="External" Id="rId773" /><Relationship Type="http://schemas.openxmlformats.org/officeDocument/2006/relationships/hyperlink" Target="https://3fmodas.madgav.com.br/wp-content/uploads/2025/05/Quadro-Geral-de-Credores.pdf" TargetMode="External" Id="rId774" /><Relationship Type="http://schemas.openxmlformats.org/officeDocument/2006/relationships/hyperlink" Target="https://lrflideres.com.br/wp-content/uploads/2021/09/LISTA-DE-CREDORES-FALENCIA.pdf" TargetMode="External" Id="rId775" /><Relationship Type="http://schemas.openxmlformats.org/officeDocument/2006/relationships/hyperlink" Target="https://lrflideres.com.br/wp-content/uploads/2021/09/LISTA-DE-CREDORES-FALENCIA.pdf" TargetMode="External" Id="rId776" /><Relationship Type="http://schemas.openxmlformats.org/officeDocument/2006/relationships/hyperlink" Target="https://lrflideres.com.br/wp-content/uploads/2021/09/LISTA-DE-CREDORES-FALENCIA.pdf" TargetMode="External" Id="rId777" /><Relationship Type="http://schemas.openxmlformats.org/officeDocument/2006/relationships/hyperlink" Target="https://lrflideres.com.br/wp-content/uploads/2021/09/LISTA-DE-CREDORES-FALENCIA.pdf" TargetMode="External" Id="rId778" /><Relationship Type="http://schemas.openxmlformats.org/officeDocument/2006/relationships/hyperlink" Target="https://lrflideres.com.br/wp-content/uploads/2021/09/LISTA-DE-CREDORES-FALENCIA.pdf" TargetMode="External" Id="rId779" /><Relationship Type="http://schemas.openxmlformats.org/officeDocument/2006/relationships/hyperlink" Target="https://lrflideres.com.br/wp-content/uploads/2021/09/LISTA-DE-CREDORES-FALENCIA.pdf" TargetMode="External" Id="rId780" /><Relationship Type="http://schemas.openxmlformats.org/officeDocument/2006/relationships/hyperlink" Target="https://lrflideres.com.br/wp-content/uploads/2021/09/LISTA-DE-CREDORES-FALENCIA.pdf" TargetMode="External" Id="rId781" /><Relationship Type="http://schemas.openxmlformats.org/officeDocument/2006/relationships/hyperlink" Target="https://vivanteaj.com.br/wp-content/uploads/2024/11/Primeira-relacao-de-credores-da-Falencia-Multidia.pdf" TargetMode="External" Id="rId782" /><Relationship Type="http://schemas.openxmlformats.org/officeDocument/2006/relationships/hyperlink" Target="https://vivanteaj.com.br/wp-content/uploads/2024/11/Primeira-relacao-de-credores-da-Falencia-Multidia.pdf" TargetMode="External" Id="rId783" /><Relationship Type="http://schemas.openxmlformats.org/officeDocument/2006/relationships/hyperlink" Target="https://vivanteaj.com.br/wp-content/uploads/2024/11/Primeira-relacao-de-credores-da-Falencia-Multidia.pdf" TargetMode="External" Id="rId784" /><Relationship Type="http://schemas.openxmlformats.org/officeDocument/2006/relationships/hyperlink" Target="https://vivanteaj.com.br/wp-content/uploads/2024/11/Primeira-relacao-de-credores-da-Falencia-Multidia.pdf" TargetMode="External" Id="rId785" /><Relationship Type="http://schemas.openxmlformats.org/officeDocument/2006/relationships/hyperlink" Target="https://vivanteaj.com.br/wp-content/uploads/2024/11/Primeira-relacao-de-credores-da-Falencia-Multidia.pdf" TargetMode="External" Id="rId786" /><Relationship Type="http://schemas.openxmlformats.org/officeDocument/2006/relationships/hyperlink" Target="https://vivanteaj.com.br/wp-content/uploads/2024/11/Primeira-relacao-de-credores-da-Falencia-Multidia.pdf" TargetMode="External" Id="rId787" /><Relationship Type="http://schemas.openxmlformats.org/officeDocument/2006/relationships/hyperlink" Target="https://vivanteaj.com.br/wp-content/uploads/2024/11/Primeira-relacao-de-credores-da-Falencia-Multidia.pdf" TargetMode="External" Id="rId788" /><Relationship Type="http://schemas.openxmlformats.org/officeDocument/2006/relationships/hyperlink" Target="https://vivanteaj.com.br/wp-content/uploads/2024/11/Primeira-relacao-de-credores-da-Falencia-Multidia.pdf" TargetMode="External" Id="rId789" /><Relationship Type="http://schemas.openxmlformats.org/officeDocument/2006/relationships/hyperlink" Target="https://vivanteaj.com.br/wp-content/uploads/2024/11/Primeira-relacao-de-credores-da-Falencia-Multidia.pdf" TargetMode="External" Id="rId790" /><Relationship Type="http://schemas.openxmlformats.org/officeDocument/2006/relationships/hyperlink" Target="https://vivanteaj.com.br/wp-content/uploads/2024/11/Primeira-relacao-de-credores-da-Falencia-Multidia.pdf" TargetMode="External" Id="rId791" /><Relationship Type="http://schemas.openxmlformats.org/officeDocument/2006/relationships/hyperlink" Target="https://vivanteaj.com.br/wp-content/uploads/2024/11/Primeira-relacao-de-credores-da-Falencia-Multidia.pdf" TargetMode="External" Id="rId792" /><Relationship Type="http://schemas.openxmlformats.org/officeDocument/2006/relationships/hyperlink" Target="https://vivanteaj.com.br/wp-content/uploads/2024/11/Primeira-relacao-de-credores-da-Falencia-Multidia.pdf" TargetMode="External" Id="rId793" /><Relationship Type="http://schemas.openxmlformats.org/officeDocument/2006/relationships/hyperlink" Target="https://vivanteaj.com.br/wp-content/uploads/2024/11/Primeira-relacao-de-credores-da-Falencia-Multidia.pdf" TargetMode="External" Id="rId794" /><Relationship Type="http://schemas.openxmlformats.org/officeDocument/2006/relationships/hyperlink" Target="https://vivanteaj.com.br/wp-content/uploads/2024/11/Primeira-relacao-de-credores-da-Falencia-Multidia.pdf" TargetMode="External" Id="rId795" /><Relationship Type="http://schemas.openxmlformats.org/officeDocument/2006/relationships/hyperlink" Target="https://vivanteaj.com.br/wp-content/uploads/2024/11/Primeira-relacao-de-credores-da-Falencia-Multidia.pdf" TargetMode="External" Id="rId796" /><Relationship Type="http://schemas.openxmlformats.org/officeDocument/2006/relationships/hyperlink" Target="https://vivanteaj.com.br/wp-content/uploads/2024/11/Primeira-relacao-de-credores-da-Falencia-Multidia.pdf" TargetMode="External" Id="rId797" /><Relationship Type="http://schemas.openxmlformats.org/officeDocument/2006/relationships/hyperlink" Target="https://vivanteaj.com.br/wp-content/uploads/2024/11/Primeira-relacao-de-credores-da-Falencia-Multidia.pdf" TargetMode="External" Id="rId798" /><Relationship Type="http://schemas.openxmlformats.org/officeDocument/2006/relationships/hyperlink" Target="https://www.vcpericia.com.br/wp-content/uploads/2023/02/Edital-de-aviso-aos-credores-sobre-Plano-e-Lista-do-AJ.pdf" TargetMode="External" Id="rId799" /><Relationship Type="http://schemas.openxmlformats.org/officeDocument/2006/relationships/hyperlink" Target="https://www.vcpericia.com.br/wp-content/uploads/2023/02/Edital-de-aviso-aos-credores-sobre-Plano-e-Lista-do-AJ.pdf" TargetMode="External" Id="rId800" /><Relationship Type="http://schemas.openxmlformats.org/officeDocument/2006/relationships/hyperlink" Target="https://diligence.adm.br/wp-content/plugins/download-attachments/includes/download.php?id=4121" TargetMode="External" Id="rId801" /><Relationship Type="http://schemas.openxmlformats.org/officeDocument/2006/relationships/hyperlink" Target="https://diligence.adm.br/wp-content/plugins/download-attachments/includes/download.php?id=4121" TargetMode="External" Id="rId802" /><Relationship Type="http://schemas.openxmlformats.org/officeDocument/2006/relationships/hyperlink" Target="https://diligence.adm.br/wp-content/plugins/download-attachments/includes/download.php?id=4121" TargetMode="External" Id="rId803" /><Relationship Type="http://schemas.openxmlformats.org/officeDocument/2006/relationships/hyperlink" Target="https://diligence.adm.br/wp-content/plugins/download-attachments/includes/download.php?id=4121" TargetMode="External" Id="rId804" /><Relationship Type="http://schemas.openxmlformats.org/officeDocument/2006/relationships/hyperlink" Target="https://diligence.adm.br/wp-content/plugins/download-attachments/includes/download.php?id=4121" TargetMode="External" Id="rId805" /><Relationship Type="http://schemas.openxmlformats.org/officeDocument/2006/relationships/hyperlink" Target="https://diligence.adm.br/wp-content/plugins/download-attachments/includes/download.php?id=4121" TargetMode="External" Id="rId806" /><Relationship Type="http://schemas.openxmlformats.org/officeDocument/2006/relationships/hyperlink" Target="https://diligence.adm.br/wp-content/plugins/download-attachments/includes/download.php?id=4121" TargetMode="External" Id="rId807" /><Relationship Type="http://schemas.openxmlformats.org/officeDocument/2006/relationships/hyperlink" Target="https://diligence.adm.br/wp-content/plugins/download-attachments/includes/download.php?id=4121" TargetMode="External" Id="rId808" /><Relationship Type="http://schemas.openxmlformats.org/officeDocument/2006/relationships/hyperlink" Target="https://diligence.adm.br/wp-content/plugins/download-attachments/includes/download.php?id=4121" TargetMode="External" Id="rId809" /><Relationship Type="http://schemas.openxmlformats.org/officeDocument/2006/relationships/hyperlink" Target="https://diligence.adm.br/wp-content/plugins/download-attachments/includes/download.php?id=4121" TargetMode="External" Id="rId810" /><Relationship Type="http://schemas.openxmlformats.org/officeDocument/2006/relationships/hyperlink" Target="https://diligence.adm.br/wp-content/plugins/download-attachments/includes/download.php?id=4121" TargetMode="External" Id="rId811" /><Relationship Type="http://schemas.openxmlformats.org/officeDocument/2006/relationships/hyperlink" Target="https://diligence.adm.br/wp-content/plugins/download-attachments/includes/download.php?id=4121" TargetMode="External" Id="rId812" /><Relationship Type="http://schemas.openxmlformats.org/officeDocument/2006/relationships/hyperlink" Target="https://diligence.adm.br/wp-content/plugins/download-attachments/includes/download.php?id=4121" TargetMode="External" Id="rId813" /><Relationship Type="http://schemas.openxmlformats.org/officeDocument/2006/relationships/hyperlink" Target="https://diligence.adm.br/wp-content/plugins/download-attachments/includes/download.php?id=4599" TargetMode="External" Id="rId814" /><Relationship Type="http://schemas.openxmlformats.org/officeDocument/2006/relationships/hyperlink" Target="https://diligence.adm.br/wp-content/plugins/download-attachments/includes/download.php?id=4599" TargetMode="External" Id="rId815" /><Relationship Type="http://schemas.openxmlformats.org/officeDocument/2006/relationships/hyperlink" Target="https://cataliseaj.com.br/sgc/download.php?file=files/processo_documento/processo_documento16031312062024_1_.pdf&amp;nome=14. RELA&#199;&#195;O DE CREDORES INDIVIDUALIZADA" TargetMode="External" Id="rId816" /><Relationship Type="http://schemas.openxmlformats.org/officeDocument/2006/relationships/hyperlink" Target="https://cataliseaj.com.br/sgc/download.php?file=files/processo_documento/processo_documento16031312062024_1_.pdf&amp;nome=14. RELA&#199;&#195;O DE CREDORES INDIVIDUALIZADA" TargetMode="External" Id="rId817" /><Relationship Type="http://schemas.openxmlformats.org/officeDocument/2006/relationships/hyperlink" Target="https://cataliseaj.com.br/sgc/download.php?file=files/processo_documento/processo_documento16031312062024_1_.pdf&amp;nome=14. RELA&#199;&#195;O DE CREDORES INDIVIDUALIZADA" TargetMode="External" Id="rId818" /><Relationship Type="http://schemas.openxmlformats.org/officeDocument/2006/relationships/hyperlink" Target="https://cataliseaj.com.br/sgc/download.php?file=files/processo_documento/processo_documento16031312062024_1_.pdf&amp;nome=14. RELA&#199;&#195;O DE CREDORES INDIVIDUALIZADA" TargetMode="External" Id="rId819" /><Relationship Type="http://schemas.openxmlformats.org/officeDocument/2006/relationships/hyperlink" Target="https://cataliseaj.com.br/sgc/download.php?file=files/processo_documento/processo_documento16031312062024_1_.pdf&amp;nome=14. RELA&#199;&#195;O DE CREDORES INDIVIDUALIZADA" TargetMode="External" Id="rId820" /><Relationship Type="http://schemas.openxmlformats.org/officeDocument/2006/relationships/hyperlink" Target="https://cataliseaj.com.br/sgc/download.php?file=files/processo_documento/processo_documento16031312062024_1_.pdf&amp;nome=14. RELA&#199;&#195;O DE CREDORES INDIVIDUALIZADA" TargetMode="External" Id="rId821" /><Relationship Type="http://schemas.openxmlformats.org/officeDocument/2006/relationships/hyperlink" Target="https://cataliseaj.com.br/sgc/download.php?file=files/processo_documento/processo_documento16031312062024_1_.pdf&amp;nome=14. RELA&#199;&#195;O DE CREDORES INDIVIDUALIZADA" TargetMode="External" Id="rId822" /><Relationship Type="http://schemas.openxmlformats.org/officeDocument/2006/relationships/hyperlink" Target="https://cataliseaj.com.br/sgc/download.php?file=files/processo_documento/processo_documento16031312062024_1_.pdf&amp;nome=14. RELA&#199;&#195;O DE CREDORES INDIVIDUALIZADA" TargetMode="External" Id="rId823" /><Relationship Type="http://schemas.openxmlformats.org/officeDocument/2006/relationships/hyperlink" Target="https://cataliseaj.com.br/sgc/download.php?file=files/processo_documento/processo_documento16031312062024_1_.pdf&amp;nome=14. RELA&#199;&#195;O DE CREDORES INDIVIDUALIZADA" TargetMode="External" Id="rId824" /><Relationship Type="http://schemas.openxmlformats.org/officeDocument/2006/relationships/hyperlink" Target="https://cataliseaj.com.br/sgc/download.php?file=files/processo_documento/processo_documento16031312062024_1_.pdf&amp;nome=14. RELA&#199;&#195;O DE CREDORES INDIVIDUALIZADA" TargetMode="External" Id="rId825" /><Relationship Type="http://schemas.openxmlformats.org/officeDocument/2006/relationships/hyperlink" Target="https://cataliseaj.com.br/sgc/download.php?file=files/processo_documento/processo_documento16031312062024_1_.pdf&amp;nome=14. RELA&#199;&#195;O DE CREDORES INDIVIDUALIZADA" TargetMode="External" Id="rId826" /><Relationship Type="http://schemas.openxmlformats.org/officeDocument/2006/relationships/hyperlink" Target="https://cataliseaj.com.br/sgc/download.php?file=files/processo_documento/processo_documento16031312062024_1_.pdf&amp;nome=14. RELA&#199;&#195;O DE CREDORES INDIVIDUALIZADA" TargetMode="External" Id="rId827" /><Relationship Type="http://schemas.openxmlformats.org/officeDocument/2006/relationships/hyperlink" Target="https://cataliseaj.com.br/sgc/download.php?file=files/processo_documento/processo_documento16031312062024_1_.pdf&amp;nome=14. RELA&#199;&#195;O DE CREDORES INDIVIDUALIZADA" TargetMode="External" Id="rId828" /><Relationship Type="http://schemas.openxmlformats.org/officeDocument/2006/relationships/hyperlink" Target="https://cataliseaj.com.br/sgc/download.php?file=files/processo_documento/processo_documento16031312062024_1_.pdf&amp;nome=14. RELA&#199;&#195;O DE CREDORES INDIVIDUALIZADA" TargetMode="External" Id="rId829"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30"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31"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32"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33" /><Relationship Type="http://schemas.openxmlformats.org/officeDocument/2006/relationships/hyperlink" Target="https://scalzilliaj.com.br/sgc/download.php?file=files/processo_documento/processo_documento15542620022025_1_.pdf&amp;nome=11 - Rela&#231;&#227;o de credores - art. 7&#186;, &#167;2&#186;, da LREF" TargetMode="External" Id="rId834" /><Relationship Type="http://schemas.openxmlformats.org/officeDocument/2006/relationships/hyperlink" Target="https://scalzilliaj.com.br/sgc/download.php?file=files/processo_documento/processo_documento15542620022025_1_.pdf&amp;nome=11 - Rela&#231;&#227;o de credores - art. 7&#186;, &#167;2&#186;, da LREF" TargetMode="External" Id="rId835" /><Relationship Type="http://schemas.openxmlformats.org/officeDocument/2006/relationships/hyperlink" Target="https://recuperacaojudicial.squarespace.com/s/RJ-Grupo-Arnon-de-Melo-Lista-de-Credores-Consolidada-abril-2022.pdf" TargetMode="External" Id="rId836" /><Relationship Type="http://schemas.openxmlformats.org/officeDocument/2006/relationships/hyperlink" Target="https://scalzilliaj.com.br/sgc/download.php?file=files/processo_documento/processo_documento09514021082025_1_.pdf&amp;nome=04 - Rela&#231;&#227;o de credores das Recuperandas" TargetMode="External" Id="rId837" /><Relationship Type="http://schemas.openxmlformats.org/officeDocument/2006/relationships/hyperlink" Target="https://lrflideres.com.br/wp-content/plugins/download-attachments/includes/download.php?id=3683" TargetMode="External" Id="rId838" /><Relationship Type="http://schemas.openxmlformats.org/officeDocument/2006/relationships/hyperlink" Target="https://lrflideres.com.br/wp-content/plugins/download-attachments/includes/download.php?id=3683" TargetMode="External" Id="rId839" /><Relationship Type="http://schemas.openxmlformats.org/officeDocument/2006/relationships/hyperlink" Target="https://lrflideres.com.br/wp-content/plugins/download-attachments/includes/download.php?id=3683" TargetMode="External" Id="rId840" /><Relationship Type="http://schemas.openxmlformats.org/officeDocument/2006/relationships/hyperlink" Target="https://lrflideres.com.br/wp-content/plugins/download-attachments/includes/download.php?id=3683" TargetMode="External" Id="rId841" /><Relationship Type="http://schemas.openxmlformats.org/officeDocument/2006/relationships/hyperlink" Target="https://lrflideres.com.br/wp-content/plugins/download-attachments/includes/download.php?id=3683" TargetMode="External" Id="rId842" /><Relationship Type="http://schemas.openxmlformats.org/officeDocument/2006/relationships/hyperlink" Target="https://lrflideres.com.br/wp-content/plugins/download-attachments/includes/download.php?id=3683" TargetMode="External" Id="rId843" /><Relationship Type="http://schemas.openxmlformats.org/officeDocument/2006/relationships/hyperlink" Target="https://lrflideres.com.br/wp-content/plugins/download-attachments/includes/download.php?id=3683" TargetMode="External" Id="rId844" /><Relationship Type="http://schemas.openxmlformats.org/officeDocument/2006/relationships/hyperlink" Target="https://lrflideres.com.br/wp-content/plugins/download-attachments/includes/download.php?id=3683" TargetMode="External" Id="rId845" /><Relationship Type="http://schemas.openxmlformats.org/officeDocument/2006/relationships/hyperlink" Target="https://lrflideres.com.br/wp-content/plugins/download-attachments/includes/download.php?id=3683" TargetMode="External" Id="rId846" /><Relationship Type="http://schemas.openxmlformats.org/officeDocument/2006/relationships/hyperlink" Target="https://lrflideres.com.br/wp-content/plugins/download-attachments/includes/download.php?id=3683" TargetMode="External" Id="rId847" /><Relationship Type="http://schemas.openxmlformats.org/officeDocument/2006/relationships/hyperlink" Target="https://lrflideres.com.br/wp-content/plugins/download-attachments/includes/download.php?id=3683" TargetMode="External" Id="rId848" /><Relationship Type="http://schemas.openxmlformats.org/officeDocument/2006/relationships/hyperlink" Target="https://lrflideres.com.br/wp-content/plugins/download-attachments/includes/download.php?id=3683" TargetMode="External" Id="rId849" /><Relationship Type="http://schemas.openxmlformats.org/officeDocument/2006/relationships/hyperlink" Target="https://lrflideres.com.br/wp-content/plugins/download-attachments/includes/download.php?id=3683" TargetMode="External" Id="rId850" /><Relationship Type="http://schemas.openxmlformats.org/officeDocument/2006/relationships/hyperlink" Target="https://lrflideres.com.br/wp-content/plugins/download-attachments/includes/download.php?id=3683" TargetMode="External" Id="rId851" /><Relationship Type="http://schemas.openxmlformats.org/officeDocument/2006/relationships/hyperlink" Target="https://lrflideres.com.br/wp-content/plugins/download-attachments/includes/download.php?id=3683" TargetMode="External" Id="rId852" /><Relationship Type="http://schemas.openxmlformats.org/officeDocument/2006/relationships/hyperlink" Target="https://lrflideres.com.br/wp-content/plugins/download-attachments/includes/download.php?id=3683" TargetMode="External" Id="rId853" /><Relationship Type="http://schemas.openxmlformats.org/officeDocument/2006/relationships/hyperlink" Target="https://lrflideres.com.br/wp-content/plugins/download-attachments/includes/download.php?id=3683" TargetMode="External" Id="rId854" /><Relationship Type="http://schemas.openxmlformats.org/officeDocument/2006/relationships/hyperlink" Target="https://lrflideres.com.br/wp-content/plugins/download-attachments/includes/download.php?id=3683" TargetMode="External" Id="rId855" /><Relationship Type="http://schemas.openxmlformats.org/officeDocument/2006/relationships/hyperlink" Target="https://lrflideres.com.br/wp-content/plugins/download-attachments/includes/download.php?id=3683" TargetMode="External" Id="rId856" /><Relationship Type="http://schemas.openxmlformats.org/officeDocument/2006/relationships/hyperlink" Target="https://lrflideres.com.br/wp-content/plugins/download-attachments/includes/download.php?id=3683" TargetMode="External" Id="rId857" /><Relationship Type="http://schemas.openxmlformats.org/officeDocument/2006/relationships/hyperlink" Target="https://lrflideres.com.br/wp-content/plugins/download-attachments/includes/download.php?id=3683" TargetMode="External" Id="rId858" /><Relationship Type="http://schemas.openxmlformats.org/officeDocument/2006/relationships/hyperlink" Target="https://lrflideres.com.br/wp-content/plugins/download-attachments/includes/download.php?id=3683" TargetMode="External" Id="rId859" /><Relationship Type="http://schemas.openxmlformats.org/officeDocument/2006/relationships/hyperlink" Target="https://lrflideres.com.br/wp-content/plugins/download-attachments/includes/download.php?id=3683" TargetMode="External" Id="rId860" /><Relationship Type="http://schemas.openxmlformats.org/officeDocument/2006/relationships/hyperlink" Target="https://lrflideres.com.br/wp-content/plugins/download-attachments/includes/download.php?id=3683" TargetMode="External" Id="rId861" /><Relationship Type="http://schemas.openxmlformats.org/officeDocument/2006/relationships/hyperlink" Target="https://lrflideres.com.br/wp-content/plugins/download-attachments/includes/download.php?id=3683" TargetMode="External" Id="rId862" /><Relationship Type="http://schemas.openxmlformats.org/officeDocument/2006/relationships/hyperlink" Target="https://lrflideres.com.br/wp-content/plugins/download-attachments/includes/download.php?id=3683" TargetMode="External" Id="rId863" /><Relationship Type="http://schemas.openxmlformats.org/officeDocument/2006/relationships/hyperlink" Target="https://lrflideres.com.br/wp-content/plugins/download-attachments/includes/download.php?id=3683" TargetMode="External" Id="rId864" /><Relationship Type="http://schemas.openxmlformats.org/officeDocument/2006/relationships/hyperlink" Target="https://lrflideres.com.br/wp-content/plugins/download-attachments/includes/download.php?id=3683" TargetMode="External" Id="rId865" /><Relationship Type="http://schemas.openxmlformats.org/officeDocument/2006/relationships/hyperlink" Target="https://lrflideres.com.br/wp-content/plugins/download-attachments/includes/download.php?id=3683" TargetMode="External" Id="rId866" /><Relationship Type="http://schemas.openxmlformats.org/officeDocument/2006/relationships/hyperlink" Target="https://lrflideres.com.br/wp-content/plugins/download-attachments/includes/download.php?id=3683" TargetMode="External" Id="rId867" /><Relationship Type="http://schemas.openxmlformats.org/officeDocument/2006/relationships/hyperlink" Target="https://lrflideres.com.br/wp-content/plugins/download-attachments/includes/download.php?id=3683" TargetMode="External" Id="rId868" /><Relationship Type="http://schemas.openxmlformats.org/officeDocument/2006/relationships/hyperlink" Target="https://lrflideres.com.br/wp-content/plugins/download-attachments/includes/download.php?id=3683" TargetMode="External" Id="rId869" /><Relationship Type="http://schemas.openxmlformats.org/officeDocument/2006/relationships/hyperlink" Target="https://lrflideres.com.br/wp-content/plugins/download-attachments/includes/download.php?id=3683" TargetMode="External" Id="rId870" /><Relationship Type="http://schemas.openxmlformats.org/officeDocument/2006/relationships/hyperlink" Target="https://lrflideres.com.br/wp-content/plugins/download-attachments/includes/download.php?id=3683" TargetMode="External" Id="rId871" /><Relationship Type="http://schemas.openxmlformats.org/officeDocument/2006/relationships/hyperlink" Target="https://lrflideres.com.br/wp-content/plugins/download-attachments/includes/download.php?id=3751" TargetMode="External" Id="rId872" /><Relationship Type="http://schemas.openxmlformats.org/officeDocument/2006/relationships/hyperlink" Target="https://lrflideres.com.br/wp-content/plugins/download-attachments/includes/download.php?id=3751" TargetMode="External" Id="rId873" /><Relationship Type="http://schemas.openxmlformats.org/officeDocument/2006/relationships/hyperlink" Target="https://lrflideres.com.br/wp-content/plugins/download-attachments/includes/download.php?id=3751" TargetMode="External" Id="rId874" /><Relationship Type="http://schemas.openxmlformats.org/officeDocument/2006/relationships/hyperlink" Target="https://lrflideres.com.br/wp-content/plugins/download-attachments/includes/download.php?id=3751" TargetMode="External" Id="rId875" /><Relationship Type="http://schemas.openxmlformats.org/officeDocument/2006/relationships/hyperlink" Target="https://lrflideres.com.br/wp-content/plugins/download-attachments/includes/download.php?id=3751" TargetMode="External" Id="rId876" /><Relationship Type="http://schemas.openxmlformats.org/officeDocument/2006/relationships/hyperlink" Target="https://lrflideres.com.br/wp-content/plugins/download-attachments/includes/download.php?id=3751" TargetMode="External" Id="rId877" /><Relationship Type="http://schemas.openxmlformats.org/officeDocument/2006/relationships/hyperlink" Target="https://lrflideres.com.br/wp-content/plugins/download-attachments/includes/download.php?id=3751" TargetMode="External" Id="rId878" /><Relationship Type="http://schemas.openxmlformats.org/officeDocument/2006/relationships/hyperlink" Target="https://lrflideres.com.br/wp-content/plugins/download-attachments/includes/download.php?id=3751" TargetMode="External" Id="rId879" /><Relationship Type="http://schemas.openxmlformats.org/officeDocument/2006/relationships/hyperlink" Target="https://lrflideres.com.br/wp-content/plugins/download-attachments/includes/download.php?id=3751" TargetMode="External" Id="rId880" /><Relationship Type="http://schemas.openxmlformats.org/officeDocument/2006/relationships/hyperlink" Target="https://lrflideres.com.br/wp-content/plugins/download-attachments/includes/download.php?id=3751" TargetMode="External" Id="rId881" /><Relationship Type="http://schemas.openxmlformats.org/officeDocument/2006/relationships/hyperlink" Target="https://lrflideres.com.br/wp-content/plugins/download-attachments/includes/download.php?id=3751" TargetMode="External" Id="rId882" /><Relationship Type="http://schemas.openxmlformats.org/officeDocument/2006/relationships/hyperlink" Target="https://lrflideres.com.br/wp-content/plugins/download-attachments/includes/download.php?id=3751" TargetMode="External" Id="rId883" /><Relationship Type="http://schemas.openxmlformats.org/officeDocument/2006/relationships/hyperlink" Target="https://recuperacaojudicial.squarespace.com/s/RJJCMagalhesEdital2alistapublicadomaio2021.pdf" TargetMode="External" Id="rId884" /><Relationship Type="http://schemas.openxmlformats.org/officeDocument/2006/relationships/hyperlink" Target="https://recuperacaojudicial.squarespace.com/s/RJJCMagalhesEdital2alistapublicadomaio2021.pdf" TargetMode="External" Id="rId885" /><Relationship Type="http://schemas.openxmlformats.org/officeDocument/2006/relationships/hyperlink" Target="https://recuperacaojudicial.squarespace.com/s/RJJCMagalhesEdital2alistapublicadomaio2021.pdf" TargetMode="External" Id="rId886" /><Relationship Type="http://schemas.openxmlformats.org/officeDocument/2006/relationships/hyperlink" Target="https://recuperacaojudicial.squarespace.com/s/RJJCMagalhesEdital2alistapublicadomaio2021.pdf" TargetMode="External" Id="rId887" /><Relationship Type="http://schemas.openxmlformats.org/officeDocument/2006/relationships/hyperlink" Target="https://recuperacaojudicial.squarespace.com/s/RJJCMagalhesEdital2alistapublicadomaio2021.pdf" TargetMode="External" Id="rId888" /><Relationship Type="http://schemas.openxmlformats.org/officeDocument/2006/relationships/hyperlink" Target="https://recuperacaojudicial.squarespace.com/s/RJJCMagalhesEdital2alistapublicadomaio2021.pdf" TargetMode="External" Id="rId889" /><Relationship Type="http://schemas.openxmlformats.org/officeDocument/2006/relationships/hyperlink" Target="https://recuperacaojudicial.squarespace.com/s/RJJCMagalhesEdital2alistapublicadomaio2021.pdf" TargetMode="External" Id="rId890" /><Relationship Type="http://schemas.openxmlformats.org/officeDocument/2006/relationships/hyperlink" Target="https://recuperacaojudicial.squarespace.com/s/RJJCMagalhesEdital2alistapublicadomaio2021.pdf" TargetMode="External" Id="rId891" /><Relationship Type="http://schemas.openxmlformats.org/officeDocument/2006/relationships/hyperlink" Target="https://recuperacaojudicial.squarespace.com/s/RJJCMagalhesEdital2alistapublicadomaio2021.pdf" TargetMode="External" Id="rId892" /><Relationship Type="http://schemas.openxmlformats.org/officeDocument/2006/relationships/hyperlink" Target="https://recuperacaojudicial.squarespace.com/s/RJJCMagalhesEdital2alistapublicadomaio2021.pdf" TargetMode="External" Id="rId893" /><Relationship Type="http://schemas.openxmlformats.org/officeDocument/2006/relationships/hyperlink" Target="https://lrflideres.com.br/wp-content/plugins/download-attachments/includes/download.php?id=3615" TargetMode="External" Id="rId894" /><Relationship Type="http://schemas.openxmlformats.org/officeDocument/2006/relationships/hyperlink" Target="https://lrflideres.com.br/wp-content/plugins/download-attachments/includes/download.php?id=3615" TargetMode="External" Id="rId895" /><Relationship Type="http://schemas.openxmlformats.org/officeDocument/2006/relationships/hyperlink" Target="https://lrflideres.com.br/wp-content/plugins/download-attachments/includes/download.php?id=3615" TargetMode="External" Id="rId896" /><Relationship Type="http://schemas.openxmlformats.org/officeDocument/2006/relationships/hyperlink" Target="https://lrflideres.com.br/wp-content/plugins/download-attachments/includes/download.php?id=3615" TargetMode="External" Id="rId897" /><Relationship Type="http://schemas.openxmlformats.org/officeDocument/2006/relationships/hyperlink" Target="https://lrflideres.com.br/wp-content/plugins/download-attachments/includes/download.php?id=3615" TargetMode="External" Id="rId898" /><Relationship Type="http://schemas.openxmlformats.org/officeDocument/2006/relationships/hyperlink" Target="https://lrflideres.com.br/wp-content/plugins/download-attachments/includes/download.php?id=3615" TargetMode="External" Id="rId899" /><Relationship Type="http://schemas.openxmlformats.org/officeDocument/2006/relationships/hyperlink" Target="https://lrflideres.com.br/wp-content/plugins/download-attachments/includes/download.php?id=3615" TargetMode="External" Id="rId900" /><Relationship Type="http://schemas.openxmlformats.org/officeDocument/2006/relationships/hyperlink" Target="https://lrflideres.com.br/wp-content/plugins/download-attachments/includes/download.php?id=3615" TargetMode="External" Id="rId901" /><Relationship Type="http://schemas.openxmlformats.org/officeDocument/2006/relationships/hyperlink" Target="https://lrflideres.com.br/wp-content/plugins/download-attachments/includes/download.php?id=3615" TargetMode="External" Id="rId902" /><Relationship Type="http://schemas.openxmlformats.org/officeDocument/2006/relationships/hyperlink" Target="https://lrflideres.com.br/wp-content/plugins/download-attachments/includes/download.php?id=3615" TargetMode="External" Id="rId903" /><Relationship Type="http://schemas.openxmlformats.org/officeDocument/2006/relationships/hyperlink" Target="https://lrflideres.com.br/wp-content/plugins/download-attachments/includes/download.php?id=3615" TargetMode="External" Id="rId904" /><Relationship Type="http://schemas.openxmlformats.org/officeDocument/2006/relationships/hyperlink" Target="https://lrflideres.com.br/wp-content/plugins/download-attachments/includes/download.php?id=3615" TargetMode="External" Id="rId905" /><Relationship Type="http://schemas.openxmlformats.org/officeDocument/2006/relationships/hyperlink" Target="https://lrflideres.com.br/wp-content/plugins/download-attachments/includes/download.php?id=3615" TargetMode="External" Id="rId906" /><Relationship Type="http://schemas.openxmlformats.org/officeDocument/2006/relationships/hyperlink" Target="https://lrflideres.com.br/wp-content/plugins/download-attachments/includes/download.php?id=3615" TargetMode="External" Id="rId907" /><Relationship Type="http://schemas.openxmlformats.org/officeDocument/2006/relationships/hyperlink" Target="https://lrflideres.com.br/wp-content/plugins/download-attachments/includes/download.php?id=3615" TargetMode="External" Id="rId908" /><Relationship Type="http://schemas.openxmlformats.org/officeDocument/2006/relationships/hyperlink" Target="https://lrflideres.com.br/wp-content/plugins/download-attachments/includes/download.php?id=3615" TargetMode="External" Id="rId909" /><Relationship Type="http://schemas.openxmlformats.org/officeDocument/2006/relationships/hyperlink" Target="https://lrflideres.com.br/wp-content/plugins/download-attachments/includes/download.php?id=3615" TargetMode="External" Id="rId910" /><Relationship Type="http://schemas.openxmlformats.org/officeDocument/2006/relationships/hyperlink" Target="https://lrflideres.com.br/wp-content/plugins/download-attachments/includes/download.php?id=3615" TargetMode="External" Id="rId911" /><Relationship Type="http://schemas.openxmlformats.org/officeDocument/2006/relationships/hyperlink" Target="https://lrflideres.com.br/wp-content/plugins/download-attachments/includes/download.php?id=3615" TargetMode="External" Id="rId912" /><Relationship Type="http://schemas.openxmlformats.org/officeDocument/2006/relationships/hyperlink" Target="https://lrflideres.com.br/wp-content/plugins/download-attachments/includes/download.php?id=3615" TargetMode="External" Id="rId913" /><Relationship Type="http://schemas.openxmlformats.org/officeDocument/2006/relationships/hyperlink" Target="https://lrflideres.com.br/wp-content/plugins/download-attachments/includes/download.php?id=3615" TargetMode="External" Id="rId914" /><Relationship Type="http://schemas.openxmlformats.org/officeDocument/2006/relationships/hyperlink" Target="https://lrflideres.com.br/wp-content/plugins/download-attachments/includes/download.php?id=3615" TargetMode="External" Id="rId915" /><Relationship Type="http://schemas.openxmlformats.org/officeDocument/2006/relationships/hyperlink" Target="https://lrflideres.com.br/wp-content/plugins/download-attachments/includes/download.php?id=3615" TargetMode="External" Id="rId916" /><Relationship Type="http://schemas.openxmlformats.org/officeDocument/2006/relationships/hyperlink" Target="https://lrflideres.com.br/wp-content/plugins/download-attachments/includes/download.php?id=3615" TargetMode="External" Id="rId917" /><Relationship Type="http://schemas.openxmlformats.org/officeDocument/2006/relationships/hyperlink" Target="https://lrflideres.com.br/wp-content/plugins/download-attachments/includes/download.php?id=3615" TargetMode="External" Id="rId918" /><Relationship Type="http://schemas.openxmlformats.org/officeDocument/2006/relationships/hyperlink" Target="https://lrflideres.com.br/wp-content/plugins/download-attachments/includes/download.php?id=3615" TargetMode="External" Id="rId919" /><Relationship Type="http://schemas.openxmlformats.org/officeDocument/2006/relationships/hyperlink" Target="https://lrflideres.com.br/wp-content/plugins/download-attachments/includes/download.php?id=3615" TargetMode="External" Id="rId920" /><Relationship Type="http://schemas.openxmlformats.org/officeDocument/2006/relationships/hyperlink" Target="https://lrflideres.com.br/wp-content/plugins/download-attachments/includes/download.php?id=3615" TargetMode="External" Id="rId921" /><Relationship Type="http://schemas.openxmlformats.org/officeDocument/2006/relationships/hyperlink" Target="https://lrflideres.com.br/wp-content/plugins/download-attachments/includes/download.php?id=3615" TargetMode="External" Id="rId922" /><Relationship Type="http://schemas.openxmlformats.org/officeDocument/2006/relationships/hyperlink" Target="https://lrflideres.com.br/wp-content/plugins/download-attachments/includes/download.php?id=3615" TargetMode="External" Id="rId923" /><Relationship Type="http://schemas.openxmlformats.org/officeDocument/2006/relationships/hyperlink" Target="https://lrflideres.com.br/wp-content/plugins/download-attachments/includes/download.php?id=3615" TargetMode="External" Id="rId924" /><Relationship Type="http://schemas.openxmlformats.org/officeDocument/2006/relationships/hyperlink" Target="https://lrflideres.com.br/wp-content/plugins/download-attachments/includes/download.php?id=3615" TargetMode="External" Id="rId925" /><Relationship Type="http://schemas.openxmlformats.org/officeDocument/2006/relationships/hyperlink" Target="https://lrflideres.com.br/wp-content/plugins/download-attachments/includes/download.php?id=3615" TargetMode="External" Id="rId926" /><Relationship Type="http://schemas.openxmlformats.org/officeDocument/2006/relationships/hyperlink" Target="https://lrflideres.com.br/wp-content/plugins/download-attachments/includes/download.php?id=3615" TargetMode="External" Id="rId927" /><Relationship Type="http://schemas.openxmlformats.org/officeDocument/2006/relationships/hyperlink" Target="https://lrflideres.com.br/wp-content/plugins/download-attachments/includes/download.php?id=3615" TargetMode="External" Id="rId928" /><Relationship Type="http://schemas.openxmlformats.org/officeDocument/2006/relationships/hyperlink" Target="https://lrflideres.com.br/wp-content/plugins/download-attachments/includes/download.php?id=3615" TargetMode="External" Id="rId929" /><Relationship Type="http://schemas.openxmlformats.org/officeDocument/2006/relationships/hyperlink" Target="https://lrflideres.com.br/wp-content/plugins/download-attachments/includes/download.php?id=3615" TargetMode="External" Id="rId930" /><Relationship Type="http://schemas.openxmlformats.org/officeDocument/2006/relationships/hyperlink" Target="https://lrflideres.com.br/wp-content/plugins/download-attachments/includes/download.php?id=3615" TargetMode="External" Id="rId931" /><Relationship Type="http://schemas.openxmlformats.org/officeDocument/2006/relationships/hyperlink" Target="https://lrflideres.com.br/wp-content/plugins/download-attachments/includes/download.php?id=3615" TargetMode="External" Id="rId932" /><Relationship Type="http://schemas.openxmlformats.org/officeDocument/2006/relationships/hyperlink" Target="https://lrflideres.com.br/wp-content/plugins/download-attachments/includes/download.php?id=3615" TargetMode="External" Id="rId933" /><Relationship Type="http://schemas.openxmlformats.org/officeDocument/2006/relationships/hyperlink" Target="https://lrflideres.com.br/wp-content/plugins/download-attachments/includes/download.php?id=3615" TargetMode="External" Id="rId934" /><Relationship Type="http://schemas.openxmlformats.org/officeDocument/2006/relationships/hyperlink" Target="https://lrflideres.com.br/wp-content/plugins/download-attachments/includes/download.php?id=3615" TargetMode="External" Id="rId935" /><Relationship Type="http://schemas.openxmlformats.org/officeDocument/2006/relationships/hyperlink" Target="https://lrflideres.com.br/wp-content/plugins/download-attachments/includes/download.php?id=3615" TargetMode="External" Id="rId936" /><Relationship Type="http://schemas.openxmlformats.org/officeDocument/2006/relationships/hyperlink" Target="https://lrflideres.com.br/wp-content/plugins/download-attachments/includes/download.php?id=3615" TargetMode="External" Id="rId937" /><Relationship Type="http://schemas.openxmlformats.org/officeDocument/2006/relationships/hyperlink" Target="https://lrflideres.com.br/wp-content/plugins/download-attachments/includes/download.php?id=3615" TargetMode="External" Id="rId938" /><Relationship Type="http://schemas.openxmlformats.org/officeDocument/2006/relationships/hyperlink" Target="https://lrflideres.com.br/wp-content/plugins/download-attachments/includes/download.php?id=3615" TargetMode="External" Id="rId939" /><Relationship Type="http://schemas.openxmlformats.org/officeDocument/2006/relationships/hyperlink" Target="https://lrflideres.com.br/wp-content/plugins/download-attachments/includes/download.php?id=3615" TargetMode="External" Id="rId940" /><Relationship Type="http://schemas.openxmlformats.org/officeDocument/2006/relationships/hyperlink" Target="https://lrflideres.com.br/wp-content/plugins/download-attachments/includes/download.php?id=3615" TargetMode="External" Id="rId941" /><Relationship Type="http://schemas.openxmlformats.org/officeDocument/2006/relationships/hyperlink" Target="https://lrflideres.com.br/wp-content/plugins/download-attachments/includes/download.php?id=3615" TargetMode="External" Id="rId942" /><Relationship Type="http://schemas.openxmlformats.org/officeDocument/2006/relationships/hyperlink" Target="https://lrflideres.com.br/wp-content/plugins/download-attachments/includes/download.php?id=3615" TargetMode="External" Id="rId943" /><Relationship Type="http://schemas.openxmlformats.org/officeDocument/2006/relationships/hyperlink" Target="https://lrflideres.com.br/wp-content/plugins/download-attachments/includes/download.php?id=3615" TargetMode="External" Id="rId944" /><Relationship Type="http://schemas.openxmlformats.org/officeDocument/2006/relationships/hyperlink" Target="https://lrflideres.com.br/wp-content/plugins/download-attachments/includes/download.php?id=3615" TargetMode="External" Id="rId945" /><Relationship Type="http://schemas.openxmlformats.org/officeDocument/2006/relationships/hyperlink" Target="https://lrflideres.com.br/wp-content/plugins/download-attachments/includes/download.php?id=3615" TargetMode="External" Id="rId946" /><Relationship Type="http://schemas.openxmlformats.org/officeDocument/2006/relationships/hyperlink" Target="https://lrflideres.com.br/wp-content/plugins/download-attachments/includes/download.php?id=3615" TargetMode="External" Id="rId947" /><Relationship Type="http://schemas.openxmlformats.org/officeDocument/2006/relationships/hyperlink" Target="https://lrflideres.com.br/wp-content/plugins/download-attachments/includes/download.php?id=3615" TargetMode="External" Id="rId948" /><Relationship Type="http://schemas.openxmlformats.org/officeDocument/2006/relationships/hyperlink" Target="https://lrflideres.com.br/wp-content/plugins/download-attachments/includes/download.php?id=3615" TargetMode="External" Id="rId949" /><Relationship Type="http://schemas.openxmlformats.org/officeDocument/2006/relationships/hyperlink" Target="https://lrflideres.com.br/wp-content/plugins/download-attachments/includes/download.php?id=3615" TargetMode="External" Id="rId950" /><Relationship Type="http://schemas.openxmlformats.org/officeDocument/2006/relationships/hyperlink" Target="https://lrflideres.com.br/wp-content/plugins/download-attachments/includes/download.php?id=3615" TargetMode="External" Id="rId951" /><Relationship Type="http://schemas.openxmlformats.org/officeDocument/2006/relationships/hyperlink" Target="https://lrflideres.com.br/wp-content/plugins/download-attachments/includes/download.php?id=3615" TargetMode="External" Id="rId952" /><Relationship Type="http://schemas.openxmlformats.org/officeDocument/2006/relationships/hyperlink" Target="https://scalzilliaj.com.br/sgc/download.php?file=files/processo_documento/processo_documento13183320052026_1_.pdf&amp;nome=10 - QGC Provis&#243;rio - atualizado at&#233; Maio de 2026" TargetMode="External" Id="rId953" /><Relationship Type="http://schemas.openxmlformats.org/officeDocument/2006/relationships/hyperlink" Target="https://administradorajudicialgs.com.br/wp-content/uploads/2023/08/edital-relacao-de-credores-megasan.pdf" TargetMode="External" Id="rId954" /><Relationship Type="http://schemas.openxmlformats.org/officeDocument/2006/relationships/hyperlink" Target="https://administradorajudicialgs.com.br/wp-content/uploads/2023/08/edital-relacao-de-credores-megasan.pdf" TargetMode="External" Id="rId955" /><Relationship Type="http://schemas.openxmlformats.org/officeDocument/2006/relationships/hyperlink" Target="https://administradorajudicialgs.com.br/wp-content/uploads/2023/08/edital-relacao-de-credores-megasan.pdf" TargetMode="External" Id="rId956" /><Relationship Type="http://schemas.openxmlformats.org/officeDocument/2006/relationships/hyperlink" Target="https://administradorajudicialgs.com.br/wp-content/uploads/2023/08/edital-relacao-de-credores-megasan.pdf" TargetMode="External" Id="rId957" /><Relationship Type="http://schemas.openxmlformats.org/officeDocument/2006/relationships/hyperlink" Target="https://administradorajudicialgs.com.br/wp-content/uploads/2023/08/edital-relacao-de-credores-megasan.pdf" TargetMode="External" Id="rId958" /><Relationship Type="http://schemas.openxmlformats.org/officeDocument/2006/relationships/hyperlink" Target="https://administradorajudicialgs.com.br/wp-content/uploads/2023/08/edital-relacao-de-credores-megasan.pdf" TargetMode="External" Id="rId959" /><Relationship Type="http://schemas.openxmlformats.org/officeDocument/2006/relationships/hyperlink" Target="https://administradorajudicialgs.com.br/wp-content/uploads/2023/08/edital-relacao-de-credores-megasan.pdf" TargetMode="External" Id="rId960" /><Relationship Type="http://schemas.openxmlformats.org/officeDocument/2006/relationships/hyperlink" Target="https://administradorajudicialgs.com.br/wp-content/uploads/2023/08/edital-relacao-de-credores-megasan.pdf" TargetMode="External" Id="rId961" /><Relationship Type="http://schemas.openxmlformats.org/officeDocument/2006/relationships/hyperlink" Target="https://cataliseaj.com.br/sgc/download.php?file=files/processo_documento/processo_documento15263203102024_1_.pdf&amp;nome=7. 2&#186; MODIFICATIVO DO PLANO DE RECUPERA&#199;&#195;O JUDICIAL" TargetMode="External" Id="rId962" /><Relationship Type="http://schemas.openxmlformats.org/officeDocument/2006/relationships/hyperlink" Target="https://cataliseaj.com.br/sgc/download.php?file=files/processo_documento/processo_documento15263203102024_1_.pdf&amp;nome=7. 2&#186; MODIFICATIVO DO PLANO DE RECUPERA&#199;&#195;O JUDICIAL" TargetMode="External" Id="rId963" /><Relationship Type="http://schemas.openxmlformats.org/officeDocument/2006/relationships/hyperlink" Target="https://lrflideres.com.br/wp-content/plugins/download-attachments/includes/download.php?id=3743" TargetMode="External" Id="rId964" /><Relationship Type="http://schemas.openxmlformats.org/officeDocument/2006/relationships/hyperlink" Target="https://lrflideres.com.br/wp-content/plugins/download-attachments/includes/download.php?id=3743" TargetMode="External" Id="rId965" /><Relationship Type="http://schemas.openxmlformats.org/officeDocument/2006/relationships/hyperlink" Target="https://lrflideres.com.br/wp-content/plugins/download-attachments/includes/download.php?id=3743" TargetMode="External" Id="rId966"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967"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968"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969"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970" /><Relationship Type="http://schemas.openxmlformats.org/officeDocument/2006/relationships/hyperlink" Target="https://lrflideres.com.br/wp-content/plugins/download-attachments/includes/download.php?id=6026" TargetMode="External" Id="rId971" /><Relationship Type="http://schemas.openxmlformats.org/officeDocument/2006/relationships/hyperlink" Target="https://lrflideres.com.br/wp-content/plugins/download-attachments/includes/download.php?id=6026" TargetMode="External" Id="rId972" /><Relationship Type="http://schemas.openxmlformats.org/officeDocument/2006/relationships/hyperlink" Target="https://lrflideres.com.br/wp-content/plugins/download-attachments/includes/download.php?id=6026" TargetMode="External" Id="rId973" /><Relationship Type="http://schemas.openxmlformats.org/officeDocument/2006/relationships/hyperlink" Target="https://lrflideres.com.br/wp-content/plugins/download-attachments/includes/download.php?id=6026" TargetMode="External" Id="rId974" /><Relationship Type="http://schemas.openxmlformats.org/officeDocument/2006/relationships/hyperlink" Target="https://lrflideres.com.br/wp-content/plugins/download-attachments/includes/download.php?id=6026" TargetMode="External" Id="rId975" /><Relationship Type="http://schemas.openxmlformats.org/officeDocument/2006/relationships/hyperlink" Target="https://lrflideres.com.br/wp-content/plugins/download-attachments/includes/download.php?id=6026" TargetMode="External" Id="rId976" /><Relationship Type="http://schemas.openxmlformats.org/officeDocument/2006/relationships/hyperlink" Target="https://lrflideres.com.br/wp-content/plugins/download-attachments/includes/download.php?id=6026" TargetMode="External" Id="rId977" /><Relationship Type="http://schemas.openxmlformats.org/officeDocument/2006/relationships/hyperlink" Target="https://lrflideres.com.br/wp-content/plugins/download-attachments/includes/download.php?id=6026" TargetMode="External" Id="rId978" /><Relationship Type="http://schemas.openxmlformats.org/officeDocument/2006/relationships/hyperlink" Target="https://lrflideres.com.br/wp-content/plugins/download-attachments/includes/download.php?id=6026" TargetMode="External" Id="rId979" /><Relationship Type="http://schemas.openxmlformats.org/officeDocument/2006/relationships/hyperlink" Target="https://lrflideres.com.br/wp-content/plugins/download-attachments/includes/download.php?id=6026" TargetMode="External" Id="rId980" /><Relationship Type="http://schemas.openxmlformats.org/officeDocument/2006/relationships/hyperlink" Target="https://lrflideres.com.br/wp-content/plugins/download-attachments/includes/download.php?id=4023" TargetMode="External" Id="rId981" /><Relationship Type="http://schemas.openxmlformats.org/officeDocument/2006/relationships/hyperlink" Target="https://lrflideres.com.br/wp-content/plugins/download-attachments/includes/download.php?id=4023" TargetMode="External" Id="rId982" /><Relationship Type="http://schemas.openxmlformats.org/officeDocument/2006/relationships/hyperlink" Target="https://lrflideres.com.br/wp-content/plugins/download-attachments/includes/download.php?id=4023" TargetMode="External" Id="rId983" /><Relationship Type="http://schemas.openxmlformats.org/officeDocument/2006/relationships/hyperlink" Target="https://lrflideres.com.br/wp-content/plugins/download-attachments/includes/download.php?id=4023" TargetMode="External" Id="rId984" /><Relationship Type="http://schemas.openxmlformats.org/officeDocument/2006/relationships/hyperlink" Target="https://lrflideres.com.br/wp-content/plugins/download-attachments/includes/download.php?id=4023" TargetMode="External" Id="rId985" /><Relationship Type="http://schemas.openxmlformats.org/officeDocument/2006/relationships/hyperlink" Target="https://lrflideres.com.br/wp-content/plugins/download-attachments/includes/download.php?id=4023" TargetMode="External" Id="rId986" /><Relationship Type="http://schemas.openxmlformats.org/officeDocument/2006/relationships/hyperlink" Target="https://lrflideres.com.br/wp-content/plugins/download-attachments/includes/download.php?id=4023" TargetMode="External" Id="rId987" /><Relationship Type="http://schemas.openxmlformats.org/officeDocument/2006/relationships/hyperlink" Target="https://lrflideres.com.br/wp-content/plugins/download-attachments/includes/download.php?id=4023" TargetMode="External" Id="rId988" /><Relationship Type="http://schemas.openxmlformats.org/officeDocument/2006/relationships/hyperlink" Target="https://lrflideres.com.br/wp-content/plugins/download-attachments/includes/download.php?id=4856" TargetMode="External" Id="rId989" /><Relationship Type="http://schemas.openxmlformats.org/officeDocument/2006/relationships/hyperlink" Target="https://lrflideres.com.br/wp-content/plugins/download-attachments/includes/download.php?id=4856" TargetMode="External" Id="rId990" /><Relationship Type="http://schemas.openxmlformats.org/officeDocument/2006/relationships/hyperlink" Target="https://lrflideres.com.br/wp-content/plugins/download-attachments/includes/download.php?id=4856" TargetMode="External" Id="rId991" /><Relationship Type="http://schemas.openxmlformats.org/officeDocument/2006/relationships/hyperlink" Target="https://lrflideres.com.br/wp-content/plugins/download-attachments/includes/download.php?id=4856" TargetMode="External" Id="rId992" /><Relationship Type="http://schemas.openxmlformats.org/officeDocument/2006/relationships/hyperlink" Target="https://lrflideres.com.br/wp-content/plugins/download-attachments/includes/download.php?id=4856" TargetMode="External" Id="rId993" /><Relationship Type="http://schemas.openxmlformats.org/officeDocument/2006/relationships/hyperlink" Target="https://lrflideres.com.br/wp-content/plugins/download-attachments/includes/download.php?id=4856" TargetMode="External" Id="rId994" /><Relationship Type="http://schemas.openxmlformats.org/officeDocument/2006/relationships/hyperlink" Target="https://lrflideres.com.br/wp-content/plugins/download-attachments/includes/download.php?id=4856" TargetMode="External" Id="rId995" /><Relationship Type="http://schemas.openxmlformats.org/officeDocument/2006/relationships/hyperlink" Target="https://lrflideres.com.br/wp-content/plugins/download-attachments/includes/download.php?id=4856" TargetMode="External" Id="rId996" /><Relationship Type="http://schemas.openxmlformats.org/officeDocument/2006/relationships/hyperlink" Target="https://lrflideres.com.br/wp-content/plugins/download-attachments/includes/download.php?id=4856" TargetMode="External" Id="rId997" /><Relationship Type="http://schemas.openxmlformats.org/officeDocument/2006/relationships/hyperlink" Target="https://lrflideres.com.br/wp-content/plugins/download-attachments/includes/download.php?id=4856" TargetMode="External" Id="rId998" /><Relationship Type="http://schemas.openxmlformats.org/officeDocument/2006/relationships/hyperlink" Target="https://lrflideres.com.br/wp-content/plugins/download-attachments/includes/download.php?id=4856" TargetMode="External" Id="rId999" /><Relationship Type="http://schemas.openxmlformats.org/officeDocument/2006/relationships/hyperlink" Target="https://lrflideres.com.br/wp-content/plugins/download-attachments/includes/download.php?id=4856" TargetMode="External" Id="rId1000" /><Relationship Type="http://schemas.openxmlformats.org/officeDocument/2006/relationships/hyperlink" Target="https://lrflideres.com.br/wp-content/plugins/download-attachments/includes/download.php?id=4856" TargetMode="External" Id="rId1001" /><Relationship Type="http://schemas.openxmlformats.org/officeDocument/2006/relationships/hyperlink" Target="https://lrflideres.com.br/wp-content/plugins/download-attachments/includes/download.php?id=4856" TargetMode="External" Id="rId1002" /><Relationship Type="http://schemas.openxmlformats.org/officeDocument/2006/relationships/hyperlink" Target="https://lrflideres.com.br/wp-content/plugins/download-attachments/includes/download.php?id=4856" TargetMode="External" Id="rId1003" /><Relationship Type="http://schemas.openxmlformats.org/officeDocument/2006/relationships/hyperlink" Target="https://lrflideres.com.br/wp-content/plugins/download-attachments/includes/download.php?id=4856" TargetMode="External" Id="rId1004" /><Relationship Type="http://schemas.openxmlformats.org/officeDocument/2006/relationships/hyperlink" Target="https://lrflideres.com.br/wp-content/plugins/download-attachments/includes/download.php?id=4856" TargetMode="External" Id="rId1005" /><Relationship Type="http://schemas.openxmlformats.org/officeDocument/2006/relationships/hyperlink" Target="https://lrflideres.com.br/wp-content/plugins/download-attachments/includes/download.php?id=4856" TargetMode="External" Id="rId1006" /><Relationship Type="http://schemas.openxmlformats.org/officeDocument/2006/relationships/hyperlink" Target="https://lrflideres.com.br/wp-content/plugins/download-attachments/includes/download.php?id=4856" TargetMode="External" Id="rId1007" /><Relationship Type="http://schemas.openxmlformats.org/officeDocument/2006/relationships/hyperlink" Target="https://lrflideres.com.br/wp-content/plugins/download-attachments/includes/download.php?id=4856" TargetMode="External" Id="rId1008" /><Relationship Type="http://schemas.openxmlformats.org/officeDocument/2006/relationships/hyperlink" Target="https://lrflideres.com.br/wp-content/plugins/download-attachments/includes/download.php?id=4856" TargetMode="External" Id="rId1009" /><Relationship Type="http://schemas.openxmlformats.org/officeDocument/2006/relationships/hyperlink" Target="https://lrflideres.com.br/wp-content/plugins/download-attachments/includes/download.php?id=4856" TargetMode="External" Id="rId1010" /><Relationship Type="http://schemas.openxmlformats.org/officeDocument/2006/relationships/hyperlink" Target="https://lrflideres.com.br/wp-content/plugins/download-attachments/includes/download.php?id=4856" TargetMode="External" Id="rId1011" /><Relationship Type="http://schemas.openxmlformats.org/officeDocument/2006/relationships/hyperlink" Target="https://lrflideres.com.br/wp-content/plugins/download-attachments/includes/download.php?id=4856" TargetMode="External" Id="rId1012" /><Relationship Type="http://schemas.openxmlformats.org/officeDocument/2006/relationships/hyperlink" Target="https://lrflideres.com.br/wp-content/plugins/download-attachments/includes/download.php?id=4856" TargetMode="External" Id="rId1013" /><Relationship Type="http://schemas.openxmlformats.org/officeDocument/2006/relationships/hyperlink" Target="https://lrflideres.com.br/wp-content/plugins/download-attachments/includes/download.php?id=4856" TargetMode="External" Id="rId1014" /><Relationship Type="http://schemas.openxmlformats.org/officeDocument/2006/relationships/hyperlink" Target="https://lrflideres.com.br/wp-content/plugins/download-attachments/includes/download.php?id=4856" TargetMode="External" Id="rId1015" /><Relationship Type="http://schemas.openxmlformats.org/officeDocument/2006/relationships/hyperlink" Target="https://lrflideres.com.br/wp-content/plugins/download-attachments/includes/download.php?id=4856" TargetMode="External" Id="rId1016" /><Relationship Type="http://schemas.openxmlformats.org/officeDocument/2006/relationships/hyperlink" Target="https://lrflideres.com.br/wp-content/plugins/download-attachments/includes/download.php?id=4856" TargetMode="External" Id="rId1017" /><Relationship Type="http://schemas.openxmlformats.org/officeDocument/2006/relationships/hyperlink" Target="https://lrflideres.com.br/wp-content/plugins/download-attachments/includes/download.php?id=4856" TargetMode="External" Id="rId1018" /><Relationship Type="http://schemas.openxmlformats.org/officeDocument/2006/relationships/hyperlink" Target="https://lrflideres.com.br/wp-content/plugins/download-attachments/includes/download.php?id=4856" TargetMode="External" Id="rId1019" /><Relationship Type="http://schemas.openxmlformats.org/officeDocument/2006/relationships/hyperlink" Target="https://lrflideres.com.br/wp-content/plugins/download-attachments/includes/download.php?id=4856" TargetMode="External" Id="rId1020" /><Relationship Type="http://schemas.openxmlformats.org/officeDocument/2006/relationships/hyperlink" Target="https://lrflideres.com.br/wp-content/plugins/download-attachments/includes/download.php?id=4856" TargetMode="External" Id="rId1021" /><Relationship Type="http://schemas.openxmlformats.org/officeDocument/2006/relationships/hyperlink" Target="https://lrflideres.com.br/wp-content/plugins/download-attachments/includes/download.php?id=4856" TargetMode="External" Id="rId1022" /><Relationship Type="http://schemas.openxmlformats.org/officeDocument/2006/relationships/hyperlink" Target="https://lrflideres.com.br/wp-content/plugins/download-attachments/includes/download.php?id=4856" TargetMode="External" Id="rId1023" /><Relationship Type="http://schemas.openxmlformats.org/officeDocument/2006/relationships/hyperlink" Target="https://lrflideres.com.br/wp-content/plugins/download-attachments/includes/download.php?id=4856" TargetMode="External" Id="rId1024" /><Relationship Type="http://schemas.openxmlformats.org/officeDocument/2006/relationships/hyperlink" Target="https://lrflideres.com.br/wp-content/plugins/download-attachments/includes/download.php?id=4856" TargetMode="External" Id="rId1025" /><Relationship Type="http://schemas.openxmlformats.org/officeDocument/2006/relationships/hyperlink" Target="https://lrflideres.com.br/wp-content/plugins/download-attachments/includes/download.php?id=4856" TargetMode="External" Id="rId1026" /><Relationship Type="http://schemas.openxmlformats.org/officeDocument/2006/relationships/hyperlink" Target="https://lrflideres.com.br/wp-content/plugins/download-attachments/includes/download.php?id=4856" TargetMode="External" Id="rId1027" /><Relationship Type="http://schemas.openxmlformats.org/officeDocument/2006/relationships/hyperlink" Target="https://lrflideres.com.br/wp-content/plugins/download-attachments/includes/download.php?id=4856" TargetMode="External" Id="rId1028" /><Relationship Type="http://schemas.openxmlformats.org/officeDocument/2006/relationships/hyperlink" Target="https://lrflideres.com.br/wp-content/plugins/download-attachments/includes/download.php?id=4856" TargetMode="External" Id="rId1029" /><Relationship Type="http://schemas.openxmlformats.org/officeDocument/2006/relationships/hyperlink" Target="https://lrflideres.com.br/wp-content/plugins/download-attachments/includes/download.php?id=4856" TargetMode="External" Id="rId1030" /><Relationship Type="http://schemas.openxmlformats.org/officeDocument/2006/relationships/hyperlink" Target="https://lrflideres.com.br/wp-content/plugins/download-attachments/includes/download.php?id=4856" TargetMode="External" Id="rId1031" /><Relationship Type="http://schemas.openxmlformats.org/officeDocument/2006/relationships/hyperlink" Target="https://lrflideres.com.br/wp-content/plugins/download-attachments/includes/download.php?id=4856" TargetMode="External" Id="rId1032" /><Relationship Type="http://schemas.openxmlformats.org/officeDocument/2006/relationships/hyperlink" Target="https://lrflideres.com.br/wp-content/plugins/download-attachments/includes/download.php?id=4856" TargetMode="External" Id="rId1033" /><Relationship Type="http://schemas.openxmlformats.org/officeDocument/2006/relationships/hyperlink" Target="https://lrflideres.com.br/wp-content/plugins/download-attachments/includes/download.php?id=4856" TargetMode="External" Id="rId1034" /><Relationship Type="http://schemas.openxmlformats.org/officeDocument/2006/relationships/hyperlink" Target="https://lrflideres.com.br/wp-content/plugins/download-attachments/includes/download.php?id=4856" TargetMode="External" Id="rId1035" /><Relationship Type="http://schemas.openxmlformats.org/officeDocument/2006/relationships/hyperlink" Target="https://lrflideres.com.br/wp-content/plugins/download-attachments/includes/download.php?id=4856" TargetMode="External" Id="rId1036" /><Relationship Type="http://schemas.openxmlformats.org/officeDocument/2006/relationships/hyperlink" Target="https://lrflideres.com.br/wp-content/plugins/download-attachments/includes/download.php?id=4856" TargetMode="External" Id="rId1037" /><Relationship Type="http://schemas.openxmlformats.org/officeDocument/2006/relationships/hyperlink" Target="https://lrflideres.com.br/wp-content/plugins/download-attachments/includes/download.php?id=4856" TargetMode="External" Id="rId1038" /><Relationship Type="http://schemas.openxmlformats.org/officeDocument/2006/relationships/hyperlink" Target="https://lrflideres.com.br/wp-content/plugins/download-attachments/includes/download.php?id=4856" TargetMode="External" Id="rId1039" /><Relationship Type="http://schemas.openxmlformats.org/officeDocument/2006/relationships/hyperlink" Target="https://lrflideres.com.br/wp-content/plugins/download-attachments/includes/download.php?id=4856" TargetMode="External" Id="rId1040" /><Relationship Type="http://schemas.openxmlformats.org/officeDocument/2006/relationships/hyperlink" Target="https://realbrasil.com.br/wp-content/uploads/2017/07/QGC-AJ.pdf" TargetMode="External" Id="rId1041" /><Relationship Type="http://schemas.openxmlformats.org/officeDocument/2006/relationships/hyperlink" Target="https://realbrasil.com.br/wp-content/uploads/2017/07/QGC-AJ.pdf" TargetMode="External" Id="rId1042" /><Relationship Type="http://schemas.openxmlformats.org/officeDocument/2006/relationships/hyperlink" Target="https://gatekeeperaj.com.br/wp-content/uploads/2026/06/BS-Relacao-de-Credores-RJ-para-Falencia.pdf" TargetMode="External" Id="rId1043" /><Relationship Type="http://schemas.openxmlformats.org/officeDocument/2006/relationships/hyperlink" Target="https://gatekeeperaj.com.br/wp-content/uploads/2026/06/BS-Relacao-de-Credores-RJ-para-Falencia.pdf" TargetMode="External" Id="rId1044" /><Relationship Type="http://schemas.openxmlformats.org/officeDocument/2006/relationships/hyperlink" Target="https://gatekeeperaj.com.br/wp-content/uploads/2026/06/BS-Relacao-de-Credores-RJ-para-Falencia.pdf" TargetMode="External" Id="rId1045" /><Relationship Type="http://schemas.openxmlformats.org/officeDocument/2006/relationships/hyperlink" Target="https://gatekeeperaj.com.br/wp-content/uploads/2026/06/BS-Relacao-de-Credores-RJ-para-Falencia.pdf" TargetMode="External" Id="rId1046" /><Relationship Type="http://schemas.openxmlformats.org/officeDocument/2006/relationships/hyperlink" Target="https://gatekeeperaj.com.br/wp-content/uploads/2026/06/BS-Relacao-de-Credores-RJ-para-Falencia.pdf" TargetMode="External" Id="rId1047" /><Relationship Type="http://schemas.openxmlformats.org/officeDocument/2006/relationships/hyperlink" Target="https://gatekeeperaj.com.br/wp-content/uploads/2026/06/BS-Relacao-de-Credores-RJ-para-Falencia.pdf" TargetMode="External" Id="rId1048" /><Relationship Type="http://schemas.openxmlformats.org/officeDocument/2006/relationships/hyperlink" Target="https://gatekeeperaj.com.br/wp-content/uploads/2026/06/BS-Relacao-de-Credores-RJ-para-Falencia.pdf" TargetMode="External" Id="rId1049" /><Relationship Type="http://schemas.openxmlformats.org/officeDocument/2006/relationships/hyperlink" Target="https://gatekeeperaj.com.br/wp-content/uploads/2026/06/BS-Relacao-de-Credores-RJ-para-Falencia.pdf" TargetMode="External" Id="rId1050" /><Relationship Type="http://schemas.openxmlformats.org/officeDocument/2006/relationships/hyperlink" Target="https://gatekeeperaj.com.br/wp-content/uploads/2026/06/BS-Relacao-de-Credores-RJ-para-Falencia.pdf" TargetMode="External" Id="rId1051" /><Relationship Type="http://schemas.openxmlformats.org/officeDocument/2006/relationships/hyperlink" Target="https://gatekeeperaj.com.br/wp-content/uploads/2026/06/BS-Relacao-de-Credores-RJ-para-Falencia.pdf" TargetMode="External" Id="rId1052" /><Relationship Type="http://schemas.openxmlformats.org/officeDocument/2006/relationships/hyperlink" Target="https://www.cb2d.com.br/portal/_uploads/24b4d427-81ae-408d-8b0f-b7ab974117be.pdf" TargetMode="External" Id="rId1053" /><Relationship Type="http://schemas.openxmlformats.org/officeDocument/2006/relationships/hyperlink" Target="https://www.cb2d.com.br/portal/_uploads/24b4d427-81ae-408d-8b0f-b7ab974117be.pdf" TargetMode="External" Id="rId1054" /><Relationship Type="http://schemas.openxmlformats.org/officeDocument/2006/relationships/hyperlink" Target="https://ajruiz.com.br/sites/default/files/public/arquivos-processos/2024-04/relacao_de_credores_recuperanda_1.pdf" TargetMode="External" Id="rId1055" /><Relationship Type="http://schemas.openxmlformats.org/officeDocument/2006/relationships/hyperlink" Target="https://ajruiz.com.br/sites/default/files/public/arquivos-processos/2024-04/relacao_de_credores_recuperanda_1.pdf" TargetMode="External" Id="rId1056" /><Relationship Type="http://schemas.openxmlformats.org/officeDocument/2006/relationships/hyperlink" Target="https://recuperasolucoes.com/wp-content/plugins/download-attachments/includes/download.php?id=1653" TargetMode="External" Id="rId1057" /><Relationship Type="http://schemas.openxmlformats.org/officeDocument/2006/relationships/hyperlink" Target="https://recuperasolucoes.com/wp-content/plugins/download-attachments/includes/download.php?id=1653" TargetMode="External" Id="rId1058" /><Relationship Type="http://schemas.openxmlformats.org/officeDocument/2006/relationships/hyperlink" Target="https://recuperasolucoes.com/wp-content/plugins/download-attachments/includes/download.php?id=1653" TargetMode="External" Id="rId1059" /><Relationship Type="http://schemas.openxmlformats.org/officeDocument/2006/relationships/hyperlink" Target="https://recuperasolucoes.com/wp-content/plugins/download-attachments/includes/download.php?id=1653" TargetMode="External" Id="rId1060" /><Relationship Type="http://schemas.openxmlformats.org/officeDocument/2006/relationships/hyperlink" Target="https://recuperasolucoes.com/wp-content/plugins/download-attachments/includes/download.php?id=1653" TargetMode="External" Id="rId1061" /><Relationship Type="http://schemas.openxmlformats.org/officeDocument/2006/relationships/hyperlink" Target="https://recuperasolucoes.com/wp-content/plugins/download-attachments/includes/download.php?id=1653" TargetMode="External" Id="rId1062" /><Relationship Type="http://schemas.openxmlformats.org/officeDocument/2006/relationships/hyperlink" Target="https://recuperasolucoes.com/wp-content/plugins/download-attachments/includes/download.php?id=1653" TargetMode="External" Id="rId1063" /><Relationship Type="http://schemas.openxmlformats.org/officeDocument/2006/relationships/hyperlink" Target="https://recuperasolucoes.com/wp-content/plugins/download-attachments/includes/download.php?id=1653" TargetMode="External" Id="rId1064" /><Relationship Type="http://schemas.openxmlformats.org/officeDocument/2006/relationships/hyperlink" Target="https://recuperasolucoes.com/wp-content/plugins/download-attachments/includes/download.php?id=1653" TargetMode="External" Id="rId1065" /><Relationship Type="http://schemas.openxmlformats.org/officeDocument/2006/relationships/hyperlink" Target="https://recuperasolucoes.com/wp-content/plugins/download-attachments/includes/download.php?id=1653" TargetMode="External" Id="rId1066" /><Relationship Type="http://schemas.openxmlformats.org/officeDocument/2006/relationships/hyperlink" Target="https://recuperasolucoes.com/wp-content/plugins/download-attachments/includes/download.php?id=1653" TargetMode="External" Id="rId1067" /><Relationship Type="http://schemas.openxmlformats.org/officeDocument/2006/relationships/hyperlink" Target="https://recuperasolucoes.com/wp-content/plugins/download-attachments/includes/download.php?id=1653" TargetMode="External" Id="rId1068" /><Relationship Type="http://schemas.openxmlformats.org/officeDocument/2006/relationships/hyperlink" Target="https://recuperasolucoes.com/wp-content/plugins/download-attachments/includes/download.php?id=1653" TargetMode="External" Id="rId1069" /><Relationship Type="http://schemas.openxmlformats.org/officeDocument/2006/relationships/hyperlink" Target="https://recuperasolucoes.com/wp-content/plugins/download-attachments/includes/download.php?id=1653" TargetMode="External" Id="rId1070" /><Relationship Type="http://schemas.openxmlformats.org/officeDocument/2006/relationships/hyperlink" Target="https://recuperasolucoes.com/wp-content/plugins/download-attachments/includes/download.php?id=1653" TargetMode="External" Id="rId1071" /><Relationship Type="http://schemas.openxmlformats.org/officeDocument/2006/relationships/hyperlink" Target="https://recuperasolucoes.com/wp-content/plugins/download-attachments/includes/download.php?id=1653" TargetMode="External" Id="rId1072" /><Relationship Type="http://schemas.openxmlformats.org/officeDocument/2006/relationships/hyperlink" Target="https://recuperasolucoes.com/wp-content/plugins/download-attachments/includes/download.php?id=1653" TargetMode="External" Id="rId1073" /><Relationship Type="http://schemas.openxmlformats.org/officeDocument/2006/relationships/hyperlink" Target="https://recuperasolucoes.com/wp-content/plugins/download-attachments/includes/download.php?id=1653" TargetMode="External" Id="rId1074" /><Relationship Type="http://schemas.openxmlformats.org/officeDocument/2006/relationships/hyperlink" Target="https://recuperasolucoes.com/wp-content/plugins/download-attachments/includes/download.php?id=1653" TargetMode="External" Id="rId1075" /><Relationship Type="http://schemas.openxmlformats.org/officeDocument/2006/relationships/hyperlink" Target="https://recuperasolucoes.com/wp-content/plugins/download-attachments/includes/download.php?id=1653" TargetMode="External" Id="rId1076" /><Relationship Type="http://schemas.openxmlformats.org/officeDocument/2006/relationships/hyperlink" Target="https://recuperasolucoes.com/wp-content/plugins/download-attachments/includes/download.php?id=1653" TargetMode="External" Id="rId1077" /><Relationship Type="http://schemas.openxmlformats.org/officeDocument/2006/relationships/hyperlink" Target="https://recuperasolucoes.com/wp-content/plugins/download-attachments/includes/download.php?id=1653" TargetMode="External" Id="rId1078" /><Relationship Type="http://schemas.openxmlformats.org/officeDocument/2006/relationships/hyperlink" Target="https://recuperasolucoes.com/wp-content/plugins/download-attachments/includes/download.php?id=1653" TargetMode="External" Id="rId1079" /><Relationship Type="http://schemas.openxmlformats.org/officeDocument/2006/relationships/hyperlink" Target="https://recuperasolucoes.com/wp-content/plugins/download-attachments/includes/download.php?id=1653" TargetMode="External" Id="rId1080" /><Relationship Type="http://schemas.openxmlformats.org/officeDocument/2006/relationships/hyperlink" Target="https://recuperasolucoes.com/wp-content/plugins/download-attachments/includes/download.php?id=1653" TargetMode="External" Id="rId1081" /><Relationship Type="http://schemas.openxmlformats.org/officeDocument/2006/relationships/hyperlink" Target="https://recuperasolucoes.com/wp-content/plugins/download-attachments/includes/download.php?id=1653" TargetMode="External" Id="rId1082" /></Relationships>
</file>

<file path=xl/worksheets/_rels/sheet6.xml.rels><Relationships xmlns="http://schemas.openxmlformats.org/package/2006/relationships"><Relationship Type="http://schemas.openxmlformats.org/officeDocument/2006/relationships/hyperlink" Target="https://recuperacaojudicial.squarespace.com/s/Falencia-Usina-Catende-Lista-de-rateio-dos-creditos-trabalhistas-rateio-2021.pdf" TargetMode="External" Id="rId1" /><Relationship Type="http://schemas.openxmlformats.org/officeDocument/2006/relationships/hyperlink" Target="https://diligence.adm.br/wp-content/plugins/download-attachments/includes/download.php?id=6265" TargetMode="External" Id="rId2" /><Relationship Type="http://schemas.openxmlformats.org/officeDocument/2006/relationships/hyperlink" Target="https://administradorajudicialgs.com.br/wp-content/uploads/2025/09/relacao-de-credores-forest-lages.pdf" TargetMode="External" Id="rId3" /><Relationship Type="http://schemas.openxmlformats.org/officeDocument/2006/relationships/hyperlink" Target="https://administradorajudicialgs.com.br/wp-content/uploads/2025/09/relacao-de-credores-forest-mairipora.pdf" TargetMode="External" Id="rId4" /><Relationship Type="http://schemas.openxmlformats.org/officeDocument/2006/relationships/hyperlink" Target="https://administradorajudicialgs.com.br/wp-content/uploads/2025/09/relacao-de-credores-onze-1.pdf" TargetMode="External" Id="rId5" /><Relationship Type="http://schemas.openxmlformats.org/officeDocument/2006/relationships/hyperlink" Target="https://administradorajudicialgs.com.br/wp-content/uploads/2025/09/relacao-de-credores-onze-2.pdf" TargetMode="External" Id="rId6" /><Relationship Type="http://schemas.openxmlformats.org/officeDocument/2006/relationships/hyperlink" Target="https://recuperacaojudicial.squarespace.com/s/RJ-B1-Lista-de-Credores-1-tm3r.pdf" TargetMode="External" Id="rId7" /><Relationship Type="http://schemas.openxmlformats.org/officeDocument/2006/relationships/hyperlink" Target="https://administradorajudicialgs.com.br/wp-content/uploads/2023/08/relacao-de-credores-1.pdf" TargetMode="External" Id="rId8" /><Relationship Type="http://schemas.openxmlformats.org/officeDocument/2006/relationships/hyperlink" Target="https://diligence.adm.br/wp-content/plugins/download-attachments/includes/download.php?id=6234" TargetMode="External" Id="rId9" /><Relationship Type="http://schemas.openxmlformats.org/officeDocument/2006/relationships/hyperlink" Target="https://diligence.adm.br/wp-content/plugins/download-attachments/includes/download.php?id=6293" TargetMode="External" Id="rId10" /><Relationship Type="http://schemas.openxmlformats.org/officeDocument/2006/relationships/hyperlink" Target="https://recuperacaojudicial.squarespace.com/s/RJ-Credimoveis-Protocolo-2-lista-e-anexos-janeiro-2021.pdf" TargetMode="External" Id="rId11" /><Relationship Type="http://schemas.openxmlformats.org/officeDocument/2006/relationships/hyperlink" Target="https://diligence.adm.br/wp-content/plugins/download-attachments/includes/download.php?id=4545" TargetMode="External" Id="rId12" /><Relationship Type="http://schemas.openxmlformats.org/officeDocument/2006/relationships/hyperlink" Target="https://vivanteaj.com.br/wp-content/uploads/2024/11/31.07.2014-Lista-Credores-Laginha-1.pdf" TargetMode="External" Id="rId13" /><Relationship Type="http://schemas.openxmlformats.org/officeDocument/2006/relationships/hyperlink" Target="https://vivanteaj.com.br/wp-content/uploads/2024/11/1a-Lista-de-credores-Ondunorte-e-outras.pdf" TargetMode="External" Id="rId14" /><Relationship Type="http://schemas.openxmlformats.org/officeDocument/2006/relationships/hyperlink" Target="https://vtladm.com.br/wp-content/uploads/2026/01/16-&#8211;-Segunda-Relacao-de-Credores-&#8211;-Ellite-Consultoria.pdf" TargetMode="External" Id="rId15" /><Relationship Type="http://schemas.openxmlformats.org/officeDocument/2006/relationships/hyperlink" Target="https://vtladm.com.br/wp-content/uploads/2026/01/09_Segundo_Edital_Credores_Meqso_Distribuicao.pdf" TargetMode="External" Id="rId16" /><Relationship Type="http://schemas.openxmlformats.org/officeDocument/2006/relationships/hyperlink" Target="https://vtladm.com.br/wp-content/uploads/2025/07/07_Plano_Recuperacao_Judicial_Meqso_Distribuicao.pdf" TargetMode="External" Id="rId17" /><Relationship Type="http://schemas.openxmlformats.org/officeDocument/2006/relationships/hyperlink" Target="https://vtladm.com.br/wp-content/uploads/2025/07/12-&#8211;-Aditivo-ao-Plano-de-Recuperacao-Judicial-&#8211;-Meqso-Distribuicao-S.A.-e-outros.pdf" TargetMode="External" Id="rId18" /><Relationship Type="http://schemas.openxmlformats.org/officeDocument/2006/relationships/hyperlink" Target="https://realbrasil.com.br/wp-content/uploads/2024/07/6.LISTA-DE-CREDORES-RECUPERANDA.pdf" TargetMode="External" Id="rId19" /><Relationship Type="http://schemas.openxmlformats.org/officeDocument/2006/relationships/hyperlink" Target="https://credibilita.com.br/wp-content/uploads/2024/02/17.-Lista-de-Credores-Art.-7o-&#167;2o-da-LFRE-Analises.pdf" TargetMode="External" Id="rId20" /><Relationship Type="http://schemas.openxmlformats.org/officeDocument/2006/relationships/hyperlink" Target="https://rlg-aj.com.br/wp-content/uploads/2026/07/credores-1.pdf" TargetMode="External" Id="rId21" /><Relationship Type="http://schemas.openxmlformats.org/officeDocument/2006/relationships/hyperlink" Target="https://rlg-aj.com.br/wp-content/uploads/2023/05/Relacao-de-Credores-apresentada-pela-Recuperanda-Lojas-Aldo.pdf" TargetMode="External" Id="rId22" /><Relationship Type="http://schemas.openxmlformats.org/officeDocument/2006/relationships/hyperlink" Target="https://violet-wolf-754008.hostingersite.com/wp-content/uploads/recuperacoes-judiciais/GLC-Transportes/2-ec.pdf" TargetMode="External" Id="rId23" /><Relationship Type="http://schemas.openxmlformats.org/officeDocument/2006/relationships/hyperlink" Target="https://inova-aj.com.br/wp-content/uploads/2017/06/Rela&#231;&#227;o-de-Credores-Grupo-RCFA-Art.-7&#186;-&#167;2&#186;-LRE.pdf" TargetMode="External" Id="rId24" /><Relationship Type="http://schemas.openxmlformats.org/officeDocument/2006/relationships/hyperlink" Target="https://rlg-aj.com.br/wp-content/uploads/2023/07/2.-Primeira-Lista-de-Credores-art.-105-II-LREF-Grupo-Mobra.pdf" TargetMode="External" Id="rId25" /><Relationship Type="http://schemas.openxmlformats.org/officeDocument/2006/relationships/hyperlink" Target="https://rlg-aj.com.br/wp-content/uploads/2023/05/Plano-de-Recuperacao-Judicial-Lojas-Aldo-1.pdf" TargetMode="External" Id="rId26" /><Relationship Type="http://schemas.openxmlformats.org/officeDocument/2006/relationships/hyperlink" Target="https://gatekeeperaj.com.br/wp-content/uploads/2024/06/relacao-de-credores-rj-grupo-GTP-1.pdf" TargetMode="External" Id="rId27" /><Relationship Type="http://schemas.openxmlformats.org/officeDocument/2006/relationships/hyperlink" Target="https://www.cb2d.com.br/portal/_uploads/142c5ab6-fa69-400f-bcae-006f7a2c700d.pdf" TargetMode="External" Id="rId28" /><Relationship Type="http://schemas.openxmlformats.org/officeDocument/2006/relationships/hyperlink" Target="https://gatekeeperaj.com.br/wp-content/uploads/2026/06/EDITAL-HEL-2.pdf" TargetMode="External" Id="rId29" /><Relationship Type="http://schemas.openxmlformats.org/officeDocument/2006/relationships/hyperlink" Target="https://ajruiz.com.br/sites/default/files/public/arquivos-processos/2024-11/Rela%C3%A7%C3%A3o%20de%20Credores.pdf" TargetMode="External" Id="rId30" /><Relationship Type="http://schemas.openxmlformats.org/officeDocument/2006/relationships/hyperlink" Target="https://ajruiz.com.br/sites/default/files/public/arquivos-processos/2025-04/1%20-%20Rela%C3%A7%C3%A3o%20de%20Credores%20Recuperanda%20Atualizada.pdf" TargetMode="External" Id="rId31" /><Relationship Type="http://schemas.openxmlformats.org/officeDocument/2006/relationships/hyperlink" Target="https://ajruiz.com.br/sites/default/files/public/arquivos-processos/2025-05/Rela%C3%A7%C3%A3o%20de%20Credores%20Abrangidos.pdf" TargetMode="External" Id="rId32" /><Relationship Type="http://schemas.openxmlformats.org/officeDocument/2006/relationships/hyperlink" Target="https://www.cb2d.com.br/portal/_uploads/ae4bdb83-7fb2-437e-bdc0-c44bd7f108e8.pdf" TargetMode="External" Id="rId33" /><Relationship Type="http://schemas.openxmlformats.org/officeDocument/2006/relationships/hyperlink" Target="https://ajruiz.com.br/sites/default/files/public/arquivos-processos/2023-09/relacao-de-credores-analitica-art.-51-iii-da-lre-concreserv-concreto-sa.pdf" TargetMode="External" Id="rId34" /><Relationship Type="http://schemas.openxmlformats.org/officeDocument/2006/relationships/hyperlink" Target="https://credibilita.com.br/wp-content/uploads/2023/08/0046Sentencarecup.judicial.pdf" TargetMode="External" Id="rId35" /><Relationship Type="http://schemas.openxmlformats.org/officeDocument/2006/relationships/hyperlink" Target="https://lrflideres.com.br/wp-content/uploads/2021/12/10.-EDITAL-PUBLICACAO-2a-RELACAO-DE-CREDORES-MASSA-FALIDA-.pdf" TargetMode="External" Id="rId36" /><Relationship Type="http://schemas.openxmlformats.org/officeDocument/2006/relationships/hyperlink" Target="https://recuperacaojudicial.servi-san.com.br/assets/Documentos/Processuais/PROC-10.pdf" TargetMode="External" Id="rId37" /><Relationship Type="http://schemas.openxmlformats.org/officeDocument/2006/relationships/hyperlink" Target="https://valorizejudicial.nyc3.digitaloceanspaces.com/storage/webdisco/2026/03/13/outros/aedd4d14a7ffb14d13a831b802de9527-valorizeadmjudicial-com-br.pdf" TargetMode="External" Id="rId38" /><Relationship Type="http://schemas.openxmlformats.org/officeDocument/2006/relationships/hyperlink" Target="https://cataliseaj.com.br/sgc/download.php?file=files/processo_documento/processo_documento17374910062024_1_.pdf&amp;nome=15. EDITAL DE INTIMA&#199;&#195;O DE CREDORES" TargetMode="External" Id="rId39" /><Relationship Type="http://schemas.openxmlformats.org/officeDocument/2006/relationships/hyperlink" Target="https://cataliseaj.com.br/sgc/download.php?file=files/processo_documento/processo_documento16442912072024_1_.pdf&amp;nome=4. SENTEN&#199;A DE FAL&#202;NCIA" TargetMode="External" Id="rId40" /><Relationship Type="http://schemas.openxmlformats.org/officeDocument/2006/relationships/hyperlink" Target="https://cataliseaj.com.br/sgc/download.php?file=files/processo_documento/processo_documento17281910062024_1_.pdf&amp;nome=01. SENTENCA DE FAL&#202;NCIA" TargetMode="External" Id="rId41" /><Relationship Type="http://schemas.openxmlformats.org/officeDocument/2006/relationships/hyperlink" Target="https://scalzilliaj.com.br/sgc/download.php?file=files/processo_documento/processo_documento10583008052026_1_.pdf&amp;nome= 14. Edital de intima&#231;&#227;o aos credores acerca da decis&#227;o que concede a Recupera&#231;&#227;o Judicial" TargetMode="External" Id="rId42" /><Relationship Type="http://schemas.openxmlformats.org/officeDocument/2006/relationships/hyperlink" Target="https://lrflideres.com.br/wp-content/plugins/download-attachments/includes/download.php?id=6626" TargetMode="External" Id="rId43" /><Relationship Type="http://schemas.openxmlformats.org/officeDocument/2006/relationships/hyperlink" Target="https://scalzilliaj.com.br/sgc/download.php?file=files/processo_documento/processo_documento15355005082024_1_.pdf&amp;nome=10 - Peti&#231;&#227;o de juntada da segunda lista de credores" TargetMode="External" Id="rId44" /><Relationship Type="http://schemas.openxmlformats.org/officeDocument/2006/relationships/hyperlink" Target="https://cataliseaj.com.br/sgc/download.php?file=files/processo_documento/processo_documento20261313052025_1_.pdf&amp;nome=2. SENTEN&#199;A DA FAL&#202;NCIA" TargetMode="External" Id="rId45" /><Relationship Type="http://schemas.openxmlformats.org/officeDocument/2006/relationships/hyperlink" Target="https://cataliseaj.com.br/sgc/download.php?file=files/processo_documento/processo_documento16350711062024_1_.pdf&amp;nome=01. SENTEN&#199;A DE FAL&#202;NCIA" TargetMode="External" Id="rId46" /><Relationship Type="http://schemas.openxmlformats.org/officeDocument/2006/relationships/hyperlink" Target="https://cataliseaj.com.br/sgc/download.php?file=files/processo_documento/processo_documento15264403102024_1_.pdf&amp;nome=8. SENTEN&#199;A - CONVOLA&#199;&#195;O EM FAL&#202;NCIA" TargetMode="External" Id="rId47" /><Relationship Type="http://schemas.openxmlformats.org/officeDocument/2006/relationships/hyperlink" Target="https://scalzilliaj.com.br/sgc/download.php?file=files/processo_documento/processo_documento10261218082026_1_.pdf&amp;nome=15 - Juntada de Rela&#231;&#227;o de Credores" TargetMode="External" Id="rId48" /><Relationship Type="http://schemas.openxmlformats.org/officeDocument/2006/relationships/hyperlink" Target="https://cataliseaj.com.br/sgc/download.php?file=files/processo_documento/processo_documento16234227032026_1_.pdf&amp;nome=3. SENTEN&#199;A DE DECRETA&#199;&#195;O DA FAL&#202;NCIA" TargetMode="External" Id="rId49" /><Relationship Type="http://schemas.openxmlformats.org/officeDocument/2006/relationships/hyperlink" Target="https://cataliseaj.com.br/sgc/download.php?file=files/processo_documento/processo_documento17300211062024_1_.pdf&amp;nome=2. SENTEN&#199;A - FAL&#202;NCIA" TargetMode="External" Id="rId50" /><Relationship Type="http://schemas.openxmlformats.org/officeDocument/2006/relationships/hyperlink" Target="https://lrflideres.com.br/wp-content/plugins/download-attachments/includes/download.php?id=5895" TargetMode="External" Id="rId51" /><Relationship Type="http://schemas.openxmlformats.org/officeDocument/2006/relationships/hyperlink" Target="https://lrflideres.com.br/wp-content/plugins/download-attachments/includes/download.php?id=6523" TargetMode="External" Id="rId52" /><Relationship Type="http://schemas.openxmlformats.org/officeDocument/2006/relationships/hyperlink" Target="https://lrflideres.com.br/wp-content/plugins/download-attachments/includes/download.php?id=6906" TargetMode="External" Id="rId53" /><Relationship Type="http://schemas.openxmlformats.org/officeDocument/2006/relationships/hyperlink" Target="https://bugarimecoelho.com.br/ws/media-library/f58abdf5cb8bd04908b8550b9adb1197/05---peticao-relacao-de-credores-aj.pdf" TargetMode="External" Id="rId54" /><Relationship Type="http://schemas.openxmlformats.org/officeDocument/2006/relationships/hyperlink" Target="https://bugarimecoelho.com.br/ws/media-library/c4a21ad39a8b39bfa1df5c51e435f0c2/24---sentenca-de-aprovacao-do-plano.pdf" TargetMode="External" Id="rId55" /><Relationship Type="http://schemas.openxmlformats.org/officeDocument/2006/relationships/hyperlink" Target="https://bugarimecoelho.com.br/ws/media-library/701b0028089140739327b7f3bdcbd487/33---edital-acg.pdf" TargetMode="External" Id="rId56" /><Relationship Type="http://schemas.openxmlformats.org/officeDocument/2006/relationships/hyperlink" Target="https://vtladm.com.br/wp-content/uploads/2025/08/12_Segunda_Edital_Credores_Distribuidora_Frutas_Rumo_Novo.pdf" TargetMode="External" Id="rId57" /><Relationship Type="http://schemas.openxmlformats.org/officeDocument/2006/relationships/hyperlink" Target="https://vtladm.com.br/wp-content/uploads/2024/04/07-EDITAL-DE-CONVOCACAO-DE-CREDORES.pdf" TargetMode="External" Id="rId58" /><Relationship Type="http://schemas.openxmlformats.org/officeDocument/2006/relationships/hyperlink" Target="https://vtladm.com.br/wp-content/uploads/2024/04/10-&#8211;-Segundo-Edital-de-Credores-Artigo-7-paragrafo-2-da-Lei-11.101-&#8211;-Frigorifico-Alfa-e-Ctx.pdf" TargetMode="External" Id="rId59" /><Relationship Type="http://schemas.openxmlformats.org/officeDocument/2006/relationships/hyperlink" Target="https://vtladm.com.br/wp-content/uploads/2025/07/06-&#8211;-Primeiro-Edital-de-Convocacao-de-Credores-&#8211;-artigo-52-&#8211;-Meqso-Distribuicao-S.A.-e-outros-1.pdf" TargetMode="External" Id="rId60" /><Relationship Type="http://schemas.openxmlformats.org/officeDocument/2006/relationships/hyperlink" Target="https://marquesadmjudicial.com.br/sgc/download.php?file=files/processo_documento/processo_documento16123907032024_1_.pdf&amp;nome=Rela&#231;&#227;o Nominal de Credores da AJ Retificada" TargetMode="External" Id="rId61" /><Relationship Type="http://schemas.openxmlformats.org/officeDocument/2006/relationships/hyperlink" Target="https://vtladm.com.br/wp-content/uploads/2024/02/09-&#8211;-Segundo-Edital-de-Credores-Artigo-7-paragrafo-2-da-Lei-11.101&#8211;-WWS-Services-e-Worldwide.pdf" TargetMode="External" Id="rId62" /><Relationship Type="http://schemas.openxmlformats.org/officeDocument/2006/relationships/hyperlink" Target="https://marquesadmjudicial.com.br/sgc/download.php?file=files/processo_documento/processo_documento20010827022025_1_.pdf&amp;nome= Manifesta&#231;&#227;o da AJ - Apresenta&#231;&#227;o da rela&#231;&#227;o nominal de credores" TargetMode="External" Id="rId63" /><Relationship Type="http://schemas.openxmlformats.org/officeDocument/2006/relationships/hyperlink" Target="https://vtladm.com.br/wp-content/uploads/2025/08/13-&#8211;-Edital-Aviso-de-Apresentacao-do-Plano-de-Recuperacao-&#8211;-Distribuidora-de-Frutas-Rumo-Novo-Ltda.-EPP-e-outros.pdf" TargetMode="External" Id="rId64" /><Relationship Type="http://schemas.openxmlformats.org/officeDocument/2006/relationships/hyperlink" Target="https://vtladm.com.br/wp-content/uploads/2025/08/14-&#8211;-Sentenca-&#8211;-Distribuidora-de-Frutas-Rumo-Novo-Ltda.-EPP-e-outros.pdf" TargetMode="External" Id="rId65" /><Relationship Type="http://schemas.openxmlformats.org/officeDocument/2006/relationships/hyperlink" Target="https://vtladm.com.br/wp-content/uploads/2026/01/05-Sentenca-Indeferimento-do-Pedido-de-Recuperacao-Judicial-Ellite-Consultoria-E-Assessoria-Ltda.pdf" TargetMode="External" Id="rId66" /><Relationship Type="http://schemas.openxmlformats.org/officeDocument/2006/relationships/hyperlink" Target="https://vtladm.com.br/wp-content/uploads/2025/07/10-&#8211;-Edital-de-Aviso-de-Apresentacao-do-Plano-de-Recuperacao-&#8211;-Meqso-Distribuicao-S.A.-e-outros.pdf" TargetMode="External" Id="rId67" /><Relationship Type="http://schemas.openxmlformats.org/officeDocument/2006/relationships/hyperlink" Target="https://vtladm.com.br/wp-content/uploads/2024/02/11-&#8211;-Edital-do-Plano-de-RecuperacaoJudicial-&#8211;-Artigos-53-paragrafo-unico-e-55-ambos-da-Lei-11.101-&#8211;-WWS-Services-e-Worldwide.pdf" TargetMode="External" Id="rId68" /><Relationship Type="http://schemas.openxmlformats.org/officeDocument/2006/relationships/hyperlink" Target="https://vtladm.com.br/wp-content/uploads/2024/07/02-&#8211;-Sentenca-&#8211;-Declaracao-de-Falencia-&#8211;-Massa-Falida-de-Xadi-Servicos-de-Odontologia-Ltda.pdf" TargetMode="External" Id="rId69" /><Relationship Type="http://schemas.openxmlformats.org/officeDocument/2006/relationships/hyperlink" Target="https://realbrasil.com.br/wp-content/uploads/2025/07/LISTA-DE-CREDORES-DO-AJ_NELSON-GAREY_Parte1.pdf" TargetMode="External" Id="rId70" /><Relationship Type="http://schemas.openxmlformats.org/officeDocument/2006/relationships/hyperlink" Target="https://credibilita.com.br/wp-content/uploads/2025/02/Edital-de-aviso-aos-credores-sobre-recebimento-do-Plano-de-Recuperacao-Judicial-em-11.07.2025.pdf" TargetMode="External" Id="rId71" /><Relationship Type="http://schemas.openxmlformats.org/officeDocument/2006/relationships/hyperlink" Target="https://credibilita.com.br/wp-content/uploads/2023/08/21256-Peticao-AJ-Prazo-10d-para-Estimar-Data-de-Finalizacao-Lista-de-Credores-06.03.17.pdf" TargetMode="External" Id="rId72" /><Relationship Type="http://schemas.openxmlformats.org/officeDocument/2006/relationships/hyperlink" Target="https://credibilita.com.br/wp-content/uploads/2023/08/21345-Decisao-As-Recuperandas-Apresentarem-Docs-ao-AJ-em-48h-AJ-Apresentar-Estimativa-Lista-Credores-07.03.18.pdf" TargetMode="External" Id="rId73" /><Relationship Type="http://schemas.openxmlformats.org/officeDocument/2006/relationships/hyperlink" Target="https://credibilita.com.br/wp-content/uploads/2024/02/Manifestacao-desta-Administradora-Judicial-requerendo-a-juntada-da-lista-de-credores-retificada-1.pdf" TargetMode="External" Id="rId74" /><Relationship Type="http://schemas.openxmlformats.org/officeDocument/2006/relationships/hyperlink" Target="https://credibilita.com.br/wp-content/uploads/2026/03/07.04.2026-Manifestacao-desta-Administradora-Judicial-informando-sobre-inconsistencias-na-lista-de-credores-requerendo-a-retificacao-e-posteriormente-nova-publicacao-do-edital-do-art.-52-mov.-63.pdf" TargetMode="External" Id="rId75" /><Relationship Type="http://schemas.openxmlformats.org/officeDocument/2006/relationships/hyperlink" Target="https://inova-aj.com.br/wp-content/uploads/2021/02/Publicacao-Edital-Aviso-aos-Credores-PRJ-Diario-Comercial.pdf" TargetMode="External" Id="rId76" /><Relationship Type="http://schemas.openxmlformats.org/officeDocument/2006/relationships/hyperlink" Target="https://inova-aj.com.br/wp-content/uploads/2020/09/EDITAL-DJE-VALOR-ECONOMICO-AVISO-AOS-CREDORES-SINOPEC.pdf" TargetMode="External" Id="rId77" /><Relationship Type="http://schemas.openxmlformats.org/officeDocument/2006/relationships/hyperlink" Target="https://inova-aj.com.br/wp-content/uploads/2018/08/Rela&#231;&#227;o-de-Credores-Grupo-CMDR-Art.-7&#186;-&#167;2&#186;-LRE.pdf" TargetMode="External" Id="rId78" /><Relationship Type="http://schemas.openxmlformats.org/officeDocument/2006/relationships/hyperlink" Target="https://violet-wolf-754008.hostingersite.com/wp-content/uploads/recuperacoes-judiciais/wow/certidao-de-publica&#231;&#227;o-primeiro-edital-wow.pdf" TargetMode="External" Id="rId79" /><Relationship Type="http://schemas.openxmlformats.org/officeDocument/2006/relationships/hyperlink" Target="https://inova-aj.com.br/wp-content/uploads/2025/04/Edital-2-Relacao-de-Credores-7.11.2023.pdf" TargetMode="External" Id="rId80" /><Relationship Type="http://schemas.openxmlformats.org/officeDocument/2006/relationships/hyperlink" Target="https://inova-aj.com.br/wp-content/uploads/2022/11/Decisao-de-homologacao-do-QGC.pdf" TargetMode="External" Id="rId81" /><Relationship Type="http://schemas.openxmlformats.org/officeDocument/2006/relationships/hyperlink" Target="https://gatekeeperaj.com.br/wp-content/uploads/2024/03/Edital-art.-99-Decretacao-da-Falencia-e-Relacao-de-Credores.pdf" TargetMode="External" Id="rId82" /><Relationship Type="http://schemas.openxmlformats.org/officeDocument/2006/relationships/hyperlink" Target="https://gatekeeperaj.com.br/wp-content/uploads/2024/07/edital-114-A-Actech.pdf" TargetMode="External" Id="rId83" /><Relationship Type="http://schemas.openxmlformats.org/officeDocument/2006/relationships/hyperlink" Target="https://rlg-aj.com.br/wp-content/uploads/2023/05/Edital-de-Aviso-de-Entrega-do-Plano-de-Recuperacao-Judicial-Lojas-Aldo.pdf" TargetMode="External" Id="rId84" /><Relationship Type="http://schemas.openxmlformats.org/officeDocument/2006/relationships/hyperlink" Target="https://gatekeeperaj.com.br/wp-content/uploads/2023/11/Edital-114-A.pdf" TargetMode="External" Id="rId85" /><Relationship Type="http://schemas.openxmlformats.org/officeDocument/2006/relationships/hyperlink" Target="https://gatekeeperaj.com.br/wp-content/uploads/2024/10/doc_145483966.pdf" TargetMode="External" Id="rId86" /><Relationship Type="http://schemas.openxmlformats.org/officeDocument/2006/relationships/hyperlink" Target="https://www.cb2d.com.br/portal/_uploads/cfbcb4a6-4827-4700-8db3-ba18796712ea.pdf" TargetMode="External" Id="rId87" /><Relationship Type="http://schemas.openxmlformats.org/officeDocument/2006/relationships/hyperlink" Target="https://www.cb2d.com.br/portal/_uploads/0cb6c3c1-a363-4612-84ff-c61f8f45843a.pdf" TargetMode="External" Id="rId88" /><Relationship Type="http://schemas.openxmlformats.org/officeDocument/2006/relationships/hyperlink" Target="https://gatekeeperaj.com.br/wp-content/uploads/2024/09/edital-de-intimacao-de-credores-HEL.pdf" TargetMode="External" Id="rId89" /><Relationship Type="http://schemas.openxmlformats.org/officeDocument/2006/relationships/hyperlink" Target="https://www.cb2d.com.br/portal/_uploads/5baca229-685d-4132-a0bd-8a942bb9fcab.pdf" TargetMode="External" Id="rId90" /><Relationship Type="http://schemas.openxmlformats.org/officeDocument/2006/relationships/hyperlink" Target="https://www.cb2d.com.br/portal/_uploads/a167a628-8cff-4118-80ee-d9ddf46cdd43.pdf" TargetMode="External" Id="rId91" /><Relationship Type="http://schemas.openxmlformats.org/officeDocument/2006/relationships/hyperlink" Target="https://acfb.com.br/wp-content/uploads/2024/06/doc_227775006.pdf" TargetMode="External" Id="rId92" /><Relationship Type="http://schemas.openxmlformats.org/officeDocument/2006/relationships/hyperlink" Target="https://acfb.com.br/wp-content/uploads/2021/07/1097437-54.2019.8.26.0100-3.pdf" TargetMode="External" Id="rId93" /><Relationship Type="http://schemas.openxmlformats.org/officeDocument/2006/relationships/hyperlink" Target="https://acfb.com.br/wp-content/uploads/2024/02/doc_118040002.pdf" TargetMode="External" Id="rId94" /><Relationship Type="http://schemas.openxmlformats.org/officeDocument/2006/relationships/hyperlink" Target="https://www.cb2d.com.br/portal/_uploads/fefa4943-71a9-4084-ab8e-9898245e0a98.pdf" TargetMode="External" Id="rId95" /><Relationship Type="http://schemas.openxmlformats.org/officeDocument/2006/relationships/hyperlink" Target="https://ativosajce.com.br/admin/download.php?file=files/processo_documento/processo_documento18042606052026_1_.pdf&amp;nome=Edital de Credores - art. 7&#186;, &#167;2&#186; da Lei 11.101/05 - 30/04/2026" TargetMode="External" Id="rId96" /><Relationship Type="http://schemas.openxmlformats.org/officeDocument/2006/relationships/hyperlink" Target="https://ajruiz.com.br/sites/default/files/public/arquivos-processos/2024-05/240515_dje_edital_relacao_de_credores_aj.pdf" TargetMode="External" Id="rId97" /><Relationship Type="http://schemas.openxmlformats.org/officeDocument/2006/relationships/hyperlink" Target="https://ativosajce.com.br/admin/download.php?file=files/processo_documento/processo_documento12142130012026_1_.pdf&amp;nome=Edital de credores - art. 7&#186;, &#167;2&#186; da Lei 11.101/05 - 29/01/2026" TargetMode="External" Id="rId98" /><Relationship Type="http://schemas.openxmlformats.org/officeDocument/2006/relationships/hyperlink" Target="https://ativosajce.com.br/admin/download.php?file=files/processo_documento/processo_documento17433803122025_1_.pdf&amp;nome=Edital de Aviso aos Credores - art. 53 da Lei 11.101/05 - 04/12/2025" TargetMode="External" Id="rId99" /><Relationship Type="http://schemas.openxmlformats.org/officeDocument/2006/relationships/hyperlink" Target="https://ativosajce.com.br/admin/download.php?file=files/processo_documento/processo_documento17141924022026_1_.pdf&amp;nome= Edital de Credores - art. 52, &#167;1&#186; da Lei 11.101/05 - 25/02/2026" TargetMode="External" Id="rId100" /><Relationship Type="http://schemas.openxmlformats.org/officeDocument/2006/relationships/hyperlink" Target="https://ativosajce.com.br/admin/download.php?file=files/processo_documento/processo_documento16193320012026_1_.pdf&amp;nome=Edital de Credores - art. 164, &#167; 2&#186; da Lei 11.101/2005 - 19/12/2025" TargetMode="External" Id="rId101" /><Relationship Type="http://schemas.openxmlformats.org/officeDocument/2006/relationships/hyperlink" Target="https://ativosajce.com.br/admin/download.php?file=files/processo_documento/processo_documento14213313082025_1_.pdf&amp;nome=Edital de Aviso aos Credores - art. 53 da Lei 11.101/05 - 14/08/2025" TargetMode="External" Id="rId102" /><Relationship Type="http://schemas.openxmlformats.org/officeDocument/2006/relationships/hyperlink" Target="https://bbsadvogados.com.br/wp-content/uploads/2024/10/Grupo-Buturi-sentenca-falencia.pdf" TargetMode="External" Id="rId103" /><Relationship Type="http://schemas.openxmlformats.org/officeDocument/2006/relationships/hyperlink" Target="https://ativosajce.com.br/admin/download.php?file=files/processo_documento/processo_documento14154113082025_1_.pdf&amp;nome=Edital de Credores - art. 7&#186;, &#167;2&#186; da Lei 11.101/05 - 14/08/2025" TargetMode="External" Id="rId104" /><Relationship Type="http://schemas.openxmlformats.org/officeDocument/2006/relationships/hyperlink" Target="https://bbsadvogados.com.br/wp-content/uploads/2026/03/Sentenca-de-decretacao-de-Falencia.pdf" TargetMode="External" Id="rId105" /><Relationship Type="http://schemas.openxmlformats.org/officeDocument/2006/relationships/hyperlink" Target="https://bbsadvogados.com.br/wp-content/uploads/2025/09/edital-contendo-a-integra-do-encerramento-da-falencia-Visao-Assessoria-Contabil-Ltda-Me.pdf" TargetMode="External" Id="rId106" /><Relationship Type="http://schemas.openxmlformats.org/officeDocument/2006/relationships/hyperlink" Target="https://ativosajce.com.br/admin/download.php?file=files/processo_documento/processo_documento17420203122025_1_.pdf&amp;nome=Edital de Aviso aos Credores - art. 53 da Lei 11.101/05 - 04/12/2025" TargetMode="External" Id="rId107" /><Relationship Type="http://schemas.openxmlformats.org/officeDocument/2006/relationships/hyperlink" Target="https://ativosajce.com.br/admin/download.php?file=files/processo_documento/processo_documento15240822082025_1_.pdf&amp;nome=Edital de Credores - Art. 7&#186;, &#167; 2&#186;, da Lei 11.101/2005 - 06/08/2025" TargetMode="External" Id="rId108" /><Relationship Type="http://schemas.openxmlformats.org/officeDocument/2006/relationships/hyperlink" Target="https://ativosajce.com.br/admin/download.php?file=files/processo_documento/processo_documento10292519032025_1_.pdf&amp;nome=Edital de Aviso aos Credores - Art. 53 da Lei 11.101/05 - 20/03/2025" TargetMode="External" Id="rId109" /><Relationship Type="http://schemas.openxmlformats.org/officeDocument/2006/relationships/hyperlink" Target="https://ativosajce.com.br/admin/download.php?file=files/processo_documento/processo_documento17192927022023_1_.pdf&amp;nome=Edital de Credores - Art. 52, &#167; 1&#186;, da Lei 11.101/2005 - Consolidado - 13/02/2023" TargetMode="External" Id="rId110" /><Relationship Type="http://schemas.openxmlformats.org/officeDocument/2006/relationships/hyperlink" Target="https://ativosajce.com.br/admin/download.php?file=files/processo_documento/processo_documento13555628102024_1_.pdf&amp;nome=Edital de Credores - Art. 7&#186; &#167; 2&#186;, da Lei n&#186; 11.101/2005 - 26/09/2024" TargetMode="External" Id="rId111" /><Relationship Type="http://schemas.openxmlformats.org/officeDocument/2006/relationships/hyperlink" Target="https://recuperacaojudicial.squarespace.com/s/Edital-de-Intimaco-dos-credores.pdf" TargetMode="External" Id="rId112" /><Relationship Type="http://schemas.openxmlformats.org/officeDocument/2006/relationships/hyperlink" Target="https://cataliseaj.com.br/sgc/download.php?file=files/processo_documento/processo_documento16343404102024_1_.pdf&amp;nome=08. SENTEN&#199;A DE FAL&#202;NCIA" TargetMode="External" Id="rId113" /><Relationship Type="http://schemas.openxmlformats.org/officeDocument/2006/relationships/hyperlink" Target="https://administradorajudicialgs.com.br/wp-content/uploads/2023/08/doc-02-relacao-de-credores.pdf" TargetMode="External" Id="rId114" /><Relationship Type="http://schemas.openxmlformats.org/officeDocument/2006/relationships/hyperlink" Target="https://vtladm.com.br/wp-content/uploads/2025/07/07-&#8211;-Primeiro-Edital-de-Convocacao-de-Credores-&#8211;-artigo-52-&#8211;Distribuidora-de-Frutas-Rumo-Novo-Ltda.-EPP-e-outros-1.pdf" TargetMode="External" Id="rId115" /><Relationship Type="http://schemas.openxmlformats.org/officeDocument/2006/relationships/hyperlink" Target="https://credibilita.com.br/wp-content/uploads/2026/06/RetificarListadeCredoressign8ba3.pdf" TargetMode="External" Id="rId116" /><Relationship Type="http://schemas.openxmlformats.org/officeDocument/2006/relationships/hyperlink" Target="https://violet-wolf-754008.hostingersite.com/wp-content/uploads/recuperacoes-judiciais/Fernandes-Engenharia/1o-Edital-de-Credores.pdf" TargetMode="External" Id="rId117" /><Relationship Type="http://schemas.openxmlformats.org/officeDocument/2006/relationships/hyperlink" Target="https://inova-aj.com.br/wp-content/uploads/2018/04/Rela&#231;&#227;o-de-Credores-Grupo-CMDR-Art.-52-&#167;1&#186;-LRE-2-1.pdf" TargetMode="External" Id="rId118" /><Relationship Type="http://schemas.openxmlformats.org/officeDocument/2006/relationships/hyperlink" Target="https://violet-wolf-754008.hostingersite.com/wp-content/uploads/2022/10/Primeiro-Edital-de-Credores-&#8211;-DJE-&#8211;-Resumida.pdf" TargetMode="External" Id="rId119" /><Relationship Type="http://schemas.openxmlformats.org/officeDocument/2006/relationships/hyperlink" Target="https://gatekeeperaj.com.br/wp-content/uploads/2024/03/Edital-decretacao-falencia-e-convocacao-credores-publicado-em-31.10.2022.pdf" TargetMode="External" Id="rId120" /><Relationship Type="http://schemas.openxmlformats.org/officeDocument/2006/relationships/hyperlink" Target="https://ativosajce.com.br/admin/download.php?file=files/processo_documento/processo_documento17302902022026_1_.pdf&amp;nome=Edital de Credores - art. 52, &#167;1&#186; da Lei 11.101/05 - 03/02/2026" TargetMode="External" Id="rId121" /><Relationship Type="http://schemas.openxmlformats.org/officeDocument/2006/relationships/hyperlink" Target="https://ajruiz.com.br/sites/default/files/public/arquivos-processos/2023-09/edital-de-convocacao-de-credores-art.-52-1-da-lei-11.101-2005-dje-04.07.2018-alianca-metalurgica-min.pdf" TargetMode="External" Id="rId122" /><Relationship Type="http://schemas.openxmlformats.org/officeDocument/2006/relationships/hyperlink" Target="https://ativosajce.com.br/admin/download.php?file=files/processo_documento/processo_documento12465516052025_1_.pdf&amp;nome=Edital de Credores - Art. 52, &#167; 1&#186;, da Lei 11.101/2005 - 15/05/2025" TargetMode="External" Id="rId123" /><Relationship Type="http://schemas.openxmlformats.org/officeDocument/2006/relationships/hyperlink" Target="https://ativosajce.com.br/admin/download.php?file=files/processo_documento/processo_documento13255616052025_1_.pdf&amp;nome=  Edital de Credores - Art. 52, &#167;1&#186;, da Lei 11.101/2005 - 19/05/2025" TargetMode="External" Id="rId124" /><Relationship Type="http://schemas.openxmlformats.org/officeDocument/2006/relationships/hyperlink" Target="https://ativosajce.com.br/admin/download.php?file=files/processo_documento/processo_documento17194304042025_1_.pdf&amp;nome=Edital de Credores - Art. 52, &#167; 1&#186;, da Lei 11.101/2005 - 07/04/2025" TargetMode="External" Id="rId125" /><Relationship Type="http://schemas.openxmlformats.org/officeDocument/2006/relationships/hyperlink" Target="https://bugarimecoelho.com.br/ws/media-library/db4453eda52b4343849ac2b4099aefbf/06---documentos---plano-de-recuperacao.pdf" TargetMode="External" Id="rId126" /><Relationship Type="http://schemas.openxmlformats.org/officeDocument/2006/relationships/hyperlink" Target="https://marquesadmjudicial.com.br/sgc/download.php?file=files/processo_documento/processo_documento11440007032024_1_.pdf&amp;nome=Decis&#227;o de homologa&#231;&#227;o do QGC - art. 18 da Lei 11.101_200" TargetMode="External" Id="rId127" /><Relationship Type="http://schemas.openxmlformats.org/officeDocument/2006/relationships/hyperlink" Target="https://vtladm.com.br/wp-content/uploads/2024/07/04-&#8211;-Decisao-&#8211;-Quadro-Geral-de-Credores-Provisorio-e-Ativos-&#8211;-Massa-Falida-de-Francismar-Comercio-Importacao-e-Exportacao-Ltda.-e-outros.pdf" TargetMode="External" Id="rId128" /><Relationship Type="http://schemas.openxmlformats.org/officeDocument/2006/relationships/hyperlink" Target="https://vtladm.com.br/wp-content/uploads/2024/04/16-Homologacao-Definitiva-&#8211;-Frigorifico-Alfa-e-Ctx.pdf" TargetMode="External" Id="rId129" /><Relationship Type="http://schemas.openxmlformats.org/officeDocument/2006/relationships/hyperlink" Target="https://vtladm.com.br/wp-content/uploads/2025/07/17-&#8211;-Sentenca-de-Homologacao-&#8211;-Meqso-Distribuicao-S.A.-e-outros.pdf" TargetMode="External" Id="rId130" /><Relationship Type="http://schemas.openxmlformats.org/officeDocument/2006/relationships/hyperlink" Target="https://inova-aj.com.br/wp-content/uploads/2020/10/Edital-Aviso-aos-Credores-homologacao-PRJ-DJE-TJRJ.pdf" TargetMode="External" Id="rId131" /><Relationship Type="http://schemas.openxmlformats.org/officeDocument/2006/relationships/hyperlink" Target="https://rlg-aj.com.br/wp-content/uploads/2024/05/11.-Homologacao-do-Plano-de-Recuperacao-Judicial.pdf" TargetMode="External" Id="rId132" /><Relationship Type="http://schemas.openxmlformats.org/officeDocument/2006/relationships/hyperlink" Target="https://ajruiz.com.br/sites/default/files/public/arquivos-processos/2025-08/9._edital_convocacao_de_credores_two_square.pdf" TargetMode="External" Id="rId133" /><Relationship Type="http://schemas.openxmlformats.org/officeDocument/2006/relationships/hyperlink" Target="https://ajruiz.com.br/sites/default/files/public/arquivos-processos/2025-11/doc.05_edital_convocacao_de_credores.pdf" TargetMode="External" Id="rId134" /><Relationship Type="http://schemas.openxmlformats.org/officeDocument/2006/relationships/hyperlink" Target="https://bugarimecoelho.com.br/ws/media-library/7b5c21dcd2364d13a7efa4904660542a/15.3-edital-plano-de-recuperacao-de-credores.pdf" TargetMode="External" Id="rId135" /><Relationship Type="http://schemas.openxmlformats.org/officeDocument/2006/relationships/hyperlink" Target="https://bugarimecoelho.com.br/ws/media-library/9b759f421b9443558eb06927567c47f0/9.-edital-plano-de-recuperacao-1.pdf" TargetMode="External" Id="rId136" /><Relationship Type="http://schemas.openxmlformats.org/officeDocument/2006/relationships/hyperlink" Target="https://stenius.com.br/wp-content/uploads/2026/04/5-Plano-de-RJ-mov.142.pdf" TargetMode="External" Id="rId137" /><Relationship Type="http://schemas.openxmlformats.org/officeDocument/2006/relationships/hyperlink" Target="https://inova-aj.com.br/wp-content/uploads/2022/06/EDITAL-AVISO-AOS-CREDOREs.pdf" TargetMode="External" Id="rId138" /><Relationship Type="http://schemas.openxmlformats.org/officeDocument/2006/relationships/hyperlink" Target="https://rlg-aj.com.br/wp-content/uploads/2025/11/7.-Plano-de-Recuperacao-Judicial.pdf" TargetMode="External" Id="rId139" /><Relationship Type="http://schemas.openxmlformats.org/officeDocument/2006/relationships/hyperlink" Target="https://rlg-aj.com.br/wp-content/uploads/2023/05/Aditivo-PRJ.pdf" TargetMode="External" Id="rId140" /><Relationship Type="http://schemas.openxmlformats.org/officeDocument/2006/relationships/hyperlink" Target="https://rlg-aj.com.br/wp-content/uploads/2023/08/1&#186;-Aditamento-PRJ-Instituto-CAV.pdf" TargetMode="External" Id="rId141" /><Relationship Type="http://schemas.openxmlformats.org/officeDocument/2006/relationships/hyperlink" Target="https://rlg-aj.com.br/wp-content/uploads/2023/08/2&#186;-Aditamento-PRJ-Instituto-CAV.pdf" TargetMode="External" Id="rId142" /><Relationship Type="http://schemas.openxmlformats.org/officeDocument/2006/relationships/hyperlink" Target="https://rlg-aj.com.br/wp-content/uploads/2023/08/Edital-de-Aviso-de-Entrega-do-Plano-de-Recuperacao-Judicial-Instituto-CAV.pdf" TargetMode="External" Id="rId143" /><Relationship Type="http://schemas.openxmlformats.org/officeDocument/2006/relationships/hyperlink" Target="https://brasiltrustee.com.br/wp-content/uploads/falencias/gran/Gran-Industria-Certidao-de-publicacao-do-edital-de-encerramento-da-falencia.pdf" TargetMode="External" Id="rId144" /><Relationship Type="http://schemas.openxmlformats.org/officeDocument/2006/relationships/hyperlink" Target="https://gatekeeperaj.com.br/wp-content/uploads/2025/03/BULLGUER-EDITAL-DE-CONVOCACAO-DE-CREDORES-PARA-APRESENTACAO-DE-DADOSBANCARIOS-DIRETAMENTE-AS-RECUPERANDAS.pdf" TargetMode="External" Id="rId145" /><Relationship Type="http://schemas.openxmlformats.org/officeDocument/2006/relationships/hyperlink" Target="https://cataliseaj.com.br/sgc/download.php?file=files/processo_documento/processo_documento17362410062024_1_.pdf&amp;nome=11. DESPACHO HOMOLOGANDO O QUADRO-GERAL DE CREDORES" TargetMode="External" Id="rId146" /><Relationship Type="http://schemas.openxmlformats.org/officeDocument/2006/relationships/hyperlink" Target="https://cataliseaj.com.br/sgc/download.php?file=files/processo_documento/processo_documento13473310062024_1_.pdf&amp;nome=2. SENTEN&#199;A" TargetMode="External" Id="rId147" /><Relationship Type="http://schemas.openxmlformats.org/officeDocument/2006/relationships/hyperlink" Target="https://cataliseaj.com.br/sgc/download.php?file=files/processo_documento/processo_documento14165810062024_1_.pdf&amp;nome=3. SENTEN&#199;A DECRETANDO FAL&#202;NCIA" TargetMode="External" Id="rId148" /><Relationship Type="http://schemas.openxmlformats.org/officeDocument/2006/relationships/hyperlink" Target="https://cataliseaj.com.br/sgc/download.php?file=files/processo_documento/processo_documento17325610062024_1_.pdf&amp;nome=3. SENTEN&#199;A DECRETANDO FAL&#202;NCIA" TargetMode="External" Id="rId149" /><Relationship Type="http://schemas.openxmlformats.org/officeDocument/2006/relationships/hyperlink" Target="https://scalzilliaj.com.br/sgc/download.php?file=files/processo_documento/processo_documento14115504112025_1_.pdf&amp;nome=22 - Edital QGC Provis&#243;rio" TargetMode="External" Id="rId150" /><Relationship Type="http://schemas.openxmlformats.org/officeDocument/2006/relationships/hyperlink" Target="https://bugarimecoelho.com.br/ws/media-library/39649a27a0fa4879bffa0f86f6a86ce2/30---edital-03o-aditivo-relacao-de-credores-2024.pdf" TargetMode="External" Id="rId151" /><Relationship Type="http://schemas.openxmlformats.org/officeDocument/2006/relationships/hyperlink" Target="https://marquesadmjudicial.com.br/sgc/download.php?file=files/processo_documento/processo_documento15072807032024_1_.pdf&amp;nome=Anexo V- Quadro Geral de Credores" TargetMode="External" Id="rId152" /><Relationship Type="http://schemas.openxmlformats.org/officeDocument/2006/relationships/hyperlink" Target="https://marquesadmjudicial.com.br/sgc/download.php?file=files/processo_documento/processo_documento11175107032024_1_.pdf&amp;nome=Quadro Geral de Credores-Sint&#233;tico" TargetMode="External" Id="rId153" /><Relationship Type="http://schemas.openxmlformats.org/officeDocument/2006/relationships/hyperlink" Target="https://marquesadmjudicial.com.br/sgc/download.php?file=files/processo_documento/processo_documento14485421032025_1_.pdf&amp;nome=Rela&#231;&#227;o Nominal de Credores" TargetMode="External" Id="rId154" /><Relationship Type="http://schemas.openxmlformats.org/officeDocument/2006/relationships/hyperlink" Target="https://realbrasil.com.br/wp-content/uploads/2018/08/EDITAL_LISTA_QGC_AJ_16.04.2018.pdf" TargetMode="External" Id="rId155" /><Relationship Type="http://schemas.openxmlformats.org/officeDocument/2006/relationships/hyperlink" Target="https://stenius.com.br/wp-content/uploads/2024/06/mod-divergencia-credito-pessoa-fisica.pdf" TargetMode="External" Id="rId156" /><Relationship Type="http://schemas.openxmlformats.org/officeDocument/2006/relationships/hyperlink" Target="https://stenius.com.br/wp-content/uploads/2024/06/mod-divergencia-credito-pessoa-juridica.pdf" TargetMode="External" Id="rId157" /><Relationship Type="http://schemas.openxmlformats.org/officeDocument/2006/relationships/hyperlink" Target="https://inova-aj.com.br/wp-content/uploads/2021/08/Reciclyn-Edital-homologacao-QGC.xlsx.pdf" TargetMode="External" Id="rId158" /><Relationship Type="http://schemas.openxmlformats.org/officeDocument/2006/relationships/hyperlink" Target="https://inova-aj.com.br/wp-content/uploads/2021/11/Aviso-aos-Credores-QGC.pdf" TargetMode="External" Id="rId159" /><Relationship Type="http://schemas.openxmlformats.org/officeDocument/2006/relationships/hyperlink" Target="https://violet-wolf-754008.hostingersite.com/wp-content/uploads/recuperacoes-judiciais/Flexmix/2-edital-flexmim.pdf" TargetMode="External" Id="rId160" /><Relationship Type="http://schemas.openxmlformats.org/officeDocument/2006/relationships/hyperlink" Target="https://violet-wolf-754008.hostingersite.com/wp-content/uploads/2023/04/Segundo-Edital-de-Credores-DJE-Versao-Resumida-1.pdf" TargetMode="External" Id="rId161" /><Relationship Type="http://schemas.openxmlformats.org/officeDocument/2006/relationships/hyperlink" Target="https://gatekeeperaj.com.br/wp-content/uploads/2025/04/Actech-Edital.pdf" TargetMode="External" Id="rId162" /><Relationship Type="http://schemas.openxmlformats.org/officeDocument/2006/relationships/hyperlink" Target="https://www.cb2d.com.br/portal/_uploads/b0e0a4df-2197-458f-a189-34730b944fe8.pdf" TargetMode="External" Id="rId163" /><Relationship Type="http://schemas.openxmlformats.org/officeDocument/2006/relationships/hyperlink" Target="https://www.cb2d.com.br/portal/_uploads/145fde83-1f78-4142-9ef8-af71ed24142f.pdf" TargetMode="External" Id="rId164" /><Relationship Type="http://schemas.openxmlformats.org/officeDocument/2006/relationships/hyperlink" Target="https://www.cb2d.com.br/portal/_uploads/8eb3ddfa-3436-45c1-a4f6-5a248d2a53f8.pdf" TargetMode="External" Id="rId165" /><Relationship Type="http://schemas.openxmlformats.org/officeDocument/2006/relationships/hyperlink" Target="https://ajruiz.com.br/sites/default/files/public/arquivos-processos/2026-09/qgc_concreserv.pdf" TargetMode="External" Id="rId166" /><Relationship Type="http://schemas.openxmlformats.org/officeDocument/2006/relationships/hyperlink" Target="https://ativosajce.com.br/admin/download.php?file=files/processo_documento/processo_documento11442511082026_1_.pdf&amp;nome=Decis&#227;o de Homologa&#231;&#227;o do Quadro Geral de Credores - Art. 18 da Lei n&#176; 11.101/2005 - 10/08/2026" TargetMode="External" Id="rId167" /><Relationship Type="http://schemas.openxmlformats.org/officeDocument/2006/relationships/hyperlink" Target="https://ativosajce.com.br/admin/download.php?file=files/processo_documento/processo_documento17011809052025_1_.pdf&amp;nome=Rela&#231;&#227;o de Credores - art. 52, &#167;1&#186; da Lei 11.101/05 - 08/05/2025" TargetMode="External" Id="rId168" /><Relationship Type="http://schemas.openxmlformats.org/officeDocument/2006/relationships/hyperlink" Target="https://recuperacaojudicial.squarespace.com/s/Edital-1-lista-publicado.pdf" TargetMode="External" Id="rId169" /><Relationship Type="http://schemas.openxmlformats.org/officeDocument/2006/relationships/hyperlink" Target="https://scalzilliaj.com.br/sgc/download.php?file=files/processo_documento/processo_documento14411302062025_1_.pdf&amp;nome=12 - Edital de chamamento aos credores" TargetMode="External" Id="rId170" /><Relationship Type="http://schemas.openxmlformats.org/officeDocument/2006/relationships/hyperlink" Target="https://recuperacaojudicial.squarespace.com/s/Edital2lista.pdf" TargetMode="External" Id="rId171" /><Relationship Type="http://schemas.openxmlformats.org/officeDocument/2006/relationships/hyperlink" Target="https://administradorajudicialgs.com.br/wp-content/uploads/2025/09/relacao-de-credores-forest-espirito-santo.pdf" TargetMode="External" Id="rId172" /><Relationship Type="http://schemas.openxmlformats.org/officeDocument/2006/relationships/hyperlink" Target="https://recuperacaojudicial.squarespace.com/s/RJ-JC-Magalhes-Edital-1a-lista-publicado-dezembro-2020.pdf" TargetMode="External" Id="rId173" /><Relationship Type="http://schemas.openxmlformats.org/officeDocument/2006/relationships/hyperlink" Target="https://administradorajudicialgs.com.br/wp-content/uploads/2025/09/relacao-de-credores-greenpar.pdf" TargetMode="External" Id="rId174" /><Relationship Type="http://schemas.openxmlformats.org/officeDocument/2006/relationships/hyperlink" Target="https://recuperacaojudicial.squarespace.com/s/10847-Despacho-publicacao-edital-do-aditivo.pdf" TargetMode="External" Id="rId175" /><Relationship Type="http://schemas.openxmlformats.org/officeDocument/2006/relationships/hyperlink" Target="https://recuperacaojudicial.squarespace.com/s/Edital-de-intimaco-Montec.pdf" TargetMode="External" Id="rId176" /><Relationship Type="http://schemas.openxmlformats.org/officeDocument/2006/relationships/hyperlink" Target="https://scalzilliaj.com.br/sgc/download.php?file=files/processo_documento/processo_documento15224007012022_1_.pdf&amp;nome=07 - Edital do art. 7&#186;, &#167;2&#186; (segunda lista de credores) e do art. 53 da Lei 11.101/2005 (recebimento do plano)" TargetMode="External" Id="rId177" /><Relationship Type="http://schemas.openxmlformats.org/officeDocument/2006/relationships/hyperlink" Target="https://scalzilliaj.com.br/sgc/download.php?file=files/processo_documento/processo_documento16114620072026_1_.pdf&amp;nome=17 - Edital de aviso aos credores acerca do aditivo ao PRJ" TargetMode="External" Id="rId178" /><Relationship Type="http://schemas.openxmlformats.org/officeDocument/2006/relationships/hyperlink" Target="https://recuperacaojudicial.squarespace.com/s/Edital2listapublicadonoprocesso.pdf" TargetMode="External" Id="rId179" /><Relationship Type="http://schemas.openxmlformats.org/officeDocument/2006/relationships/hyperlink" Target="https://scalzilliaj.com.br/sgc/download.php?file=files/processo_documento/processo_documento17122807072026_1_.pdf&amp;nome=04. Lista de credores apresentada pela Recuperanda" TargetMode="External" Id="rId180" /><Relationship Type="http://schemas.openxmlformats.org/officeDocument/2006/relationships/hyperlink" Target="https://scalzilliaj.com.br/sgc/download.php?file=files/processo_documento/processo_documento16524820102025_1_.pdf&amp;nome=4. Lista de Credores" TargetMode="External" Id="rId181" /><Relationship Type="http://schemas.openxmlformats.org/officeDocument/2006/relationships/hyperlink" Target="https://cataliseaj.com.br/sgc/download.php?file=files/processo_documento/processo_documento16015218052026_1_.pdf&amp;nome=2. Senten&#231;a de Decreta&#231;&#227;o de Fal&#234;ncia" TargetMode="External" Id="rId182" /><Relationship Type="http://schemas.openxmlformats.org/officeDocument/2006/relationships/hyperlink" Target="https://administradorajudicialgs.com.br/wp-content/uploads/2023/08/doc-05-edital-publicacao-da-decisao-de-processamento-e-relacao-credores-2.pdf" TargetMode="External" Id="rId183" /><Relationship Type="http://schemas.openxmlformats.org/officeDocument/2006/relationships/hyperlink" Target="https://administradorajudicialgs.com.br/wp-content/uploads/2023/08/doc-02-relacao-de-credores-rolu.pdf" TargetMode="External" Id="rId184" /><Relationship Type="http://schemas.openxmlformats.org/officeDocument/2006/relationships/hyperlink" Target="https://scalzilliaj.com.br/sgc/download.php?file=files/processo_documento/processo_documento12225110092024_1_.pdf&amp;nome=10 - Edital de aviso de apresenta&#231;&#227;o do Plano  - art. 53, &#167; &#250;nico, da Lei 11.101/2005." TargetMode="External" Id="rId185" /><Relationship Type="http://schemas.openxmlformats.org/officeDocument/2006/relationships/hyperlink" Target="https://bugarimecoelho.com.br/ws/media-library/529864d937d1e84f83cd79dfc3818cc0/42---05o-aditivo-qgc.1.pdf" TargetMode="External" Id="rId186" /><Relationship Type="http://schemas.openxmlformats.org/officeDocument/2006/relationships/hyperlink" Target="https://bugarimecoelho.com.br/ws/media-library/cef5327057ca72630d638b3990d56748/49---06o-aditivo-qgc.1.pdf" TargetMode="External" Id="rId187" /><Relationship Type="http://schemas.openxmlformats.org/officeDocument/2006/relationships/hyperlink" Target="https://bugarimecoelho.com.br/ws/media-library/0c29765738a16e16582196f612c123da/26---01o-aditivo-ao-qgc.1.pdf" TargetMode="External" Id="rId188" /><Relationship Type="http://schemas.openxmlformats.org/officeDocument/2006/relationships/hyperlink" Target="https://bugarimecoelho.com.br/ws/media-library/bfbc17fbdefe9dc65d5906722c786f0a/40---01o-aditivo-ao-plano-de-recuperacao-judicial.pdf" TargetMode="External" Id="rId189" /><Relationship Type="http://schemas.openxmlformats.org/officeDocument/2006/relationships/hyperlink" Target="https://bugarimecoelho.com.br/ws/media-library/841bcbba9d4de7c0c353039710b890d8/42---02deg-aditivo-ao-plano-de-recuperacao-judicial-13-22.pdf" TargetMode="External" Id="rId190" /><Relationship Type="http://schemas.openxmlformats.org/officeDocument/2006/relationships/hyperlink" Target="https://bugarimecoelho.com.br/ws/media-library/955480f67a493215d5fef2c3147ffdea/45---03deg-aditivo-ao-plano-de-recuperacao-judicial.pdf" TargetMode="External" Id="rId191" /><Relationship Type="http://schemas.openxmlformats.org/officeDocument/2006/relationships/hyperlink" Target="https://bugarimecoelho.com.br/ws/media-library/9ad2df0a19eb3365e6333816a0a7d63a/16---apelacao-da-sentenca-de-extincao.pdf" TargetMode="External" Id="rId192" /><Relationship Type="http://schemas.openxmlformats.org/officeDocument/2006/relationships/hyperlink" Target="https://vivanteaj.com.br/wp-content/uploads/2024/11/Aditivo-ao-PRJ-Grupo-Metalloys.pdf" TargetMode="External" Id="rId193" /><Relationship Type="http://schemas.openxmlformats.org/officeDocument/2006/relationships/hyperlink" Target="https://vivanteaj.com.br/wp-content/uploads/2024/11/Sentenca-de-decretacao-da-falencia-2.pdf" TargetMode="External" Id="rId194" /><Relationship Type="http://schemas.openxmlformats.org/officeDocument/2006/relationships/hyperlink" Target="https://marquesadmjudicial.com.br/sgc/download.php?file=files/processo_documento/processo_documento16175907032024_1_.pdf&amp;nome=Anexo V - Lista de Credores" TargetMode="External" Id="rId195" /><Relationship Type="http://schemas.openxmlformats.org/officeDocument/2006/relationships/hyperlink" Target="https://vtladm.com.br/wp-content/uploads/2026/01/07-Sentenca-Embargos-de-Declaracao-Ellite-Consultoria-E-Assessoria-Ltda.pdf" TargetMode="External" Id="rId196" /><Relationship Type="http://schemas.openxmlformats.org/officeDocument/2006/relationships/hyperlink" Target="https://marquesadmjudicial.com.br/sgc/download.php?file=files/processo_documento/processo_documento15471501122025_1_.pdf&amp;nome=Rela&#231;&#227;o Inicial De Credores" TargetMode="External" Id="rId197" /><Relationship Type="http://schemas.openxmlformats.org/officeDocument/2006/relationships/hyperlink" Target="https://vtladm.com.br/wp-content/uploads/2024/09/DOC-07.pdf" TargetMode="External" Id="rId198" /><Relationship Type="http://schemas.openxmlformats.org/officeDocument/2006/relationships/hyperlink" Target="https://realbrasil.com.br/wp-content/uploads/2025/07/3.EDITAL-PROCESSAMENTO-DA-RJ-E-LISTA-DE-CREDORES.pdf" TargetMode="External" Id="rId199" /><Relationship Type="http://schemas.openxmlformats.org/officeDocument/2006/relationships/hyperlink" Target="https://ricardobiancardi.com.br/wp-content/uploads/2025/01/Edital-locacao-e-venda-de-bens-pub.-27.01.25.pdf" TargetMode="External" Id="rId200" /><Relationship Type="http://schemas.openxmlformats.org/officeDocument/2006/relationships/hyperlink" Target="https://realbrasil.com.br/wp-content/uploads/2025/07/LISTA-DE-CREDORES-DO-AJ_NELSON-GAREY_Parte3.pdf" TargetMode="External" Id="rId201" /><Relationship Type="http://schemas.openxmlformats.org/officeDocument/2006/relationships/hyperlink" Target="https://realbrasil.com.br/wp-content/uploads/2025/07/LISTA-DE-CREDORES-DO-AJ_NELSON-GAREY_Parte4.pdf" TargetMode="External" Id="rId202" /><Relationship Type="http://schemas.openxmlformats.org/officeDocument/2006/relationships/hyperlink" Target="https://realbrasil.com.br/wp-content/uploads/2025/07/LISTA-DE-CREDORES-DO-AJ_NELSON-GAREY_Parte5.pdf" TargetMode="External" Id="rId203" /><Relationship Type="http://schemas.openxmlformats.org/officeDocument/2006/relationships/hyperlink" Target="https://realbrasil.com.br/wp-content/uploads/2025/07/LISTA-DE-CREDORES-DO-AJ_NELSON-GAREY_Parte6.pdf" TargetMode="External" Id="rId204" /><Relationship Type="http://schemas.openxmlformats.org/officeDocument/2006/relationships/hyperlink" Target="https://realbrasil.com.br/wp-content/uploads/2025/07/LISTA-DE-CREDORES-DO-AJ_NELSON-GAREY_Parte7.pdf" TargetMode="External" Id="rId205" /><Relationship Type="http://schemas.openxmlformats.org/officeDocument/2006/relationships/hyperlink" Target="https://realbrasil.com.br/wp-content/uploads/2025/07/LISTA-DE-CREDORES-DO-AJ_NELSON-GAREY_Parte8.pdf" TargetMode="External" Id="rId206" /><Relationship Type="http://schemas.openxmlformats.org/officeDocument/2006/relationships/hyperlink" Target="https://realbrasil.com.br/wp-content/uploads/2025/07/LISTA-DE-CREDORES-DO-AJ_NELSON-GAREY_Parte9.pdf" TargetMode="External" Id="rId207" /><Relationship Type="http://schemas.openxmlformats.org/officeDocument/2006/relationships/hyperlink" Target="https://stenius.com.br/wp-content/uploads/2026/06/Edital-2-relacao-de-credores-Grupo-Silva-e-Dias.pdf" TargetMode="External" Id="rId208" /><Relationship Type="http://schemas.openxmlformats.org/officeDocument/2006/relationships/hyperlink" Target="https://stenius.com.br/wp-content/uploads/2026/03/PLANORJ-UNIBRAS.pdf" TargetMode="External" Id="rId209" /><Relationship Type="http://schemas.openxmlformats.org/officeDocument/2006/relationships/hyperlink" Target="https://mpbadmjudicial.com.br/sgc/download.php?file=files/processo_documento/processo_documento14493710022025_1_.pdf&amp;nome=Documentos importantes (editais, plano, rela&#231;&#227;o de credores etc.)" TargetMode="External" Id="rId210" /><Relationship Type="http://schemas.openxmlformats.org/officeDocument/2006/relationships/hyperlink" Target="https://mpbadmjudicial.com.br/sgc/download.php?file=files/processo_documento/processo_documento14333021012025_1_.pdf&amp;nome=Aditivo ao PRJ 2 - apresentado em 21-01-2025" TargetMode="External" Id="rId211" /><Relationship Type="http://schemas.openxmlformats.org/officeDocument/2006/relationships/hyperlink" Target="https://mpbadmjudicial.com.br/sgc/download.php?file=files/processo_documento/processo_documento14331021012025_1_.pdf&amp;nome=Aditivo ao PRJ - apresentado em 17-01-2025" TargetMode="External" Id="rId212" /><Relationship Type="http://schemas.openxmlformats.org/officeDocument/2006/relationships/hyperlink" Target="https://realbrasil.com.br/wp-content/uploads/2017/10/2_RELA&#199;&#195;O-DE-CREDORES-A&#199;OCIC.pdf" TargetMode="External" Id="rId213" /><Relationship Type="http://schemas.openxmlformats.org/officeDocument/2006/relationships/hyperlink" Target="https://stenius.com.br/wp-content/uploads/2026/06/edital_publicadorecuperacao.pdf" TargetMode="External" Id="rId214" /><Relationship Type="http://schemas.openxmlformats.org/officeDocument/2006/relationships/hyperlink" Target="https://realbrasil.com.br/wp-content/uploads/2017/04/Rela&#231;&#227;o-Nominal-de-Credores-modelo.pdf" TargetMode="External" Id="rId215" /><Relationship Type="http://schemas.openxmlformats.org/officeDocument/2006/relationships/hyperlink" Target="https://credibilita.com.br/wp-content/uploads/2023/08/27.-Lista-de-credores-em-17.05.2024.pdf" TargetMode="External" Id="rId216" /><Relationship Type="http://schemas.openxmlformats.org/officeDocument/2006/relationships/hyperlink" Target="https://violet-wolf-754008.hostingersite.com/wp-content/uploads/recuperacoes-judiciais/agropecuaria-tuiuti/04-Certid&#227;o-de-Publica&#231;&#227;o-do-Primeiro-Edital.pdf" TargetMode="External" Id="rId217" /><Relationship Type="http://schemas.openxmlformats.org/officeDocument/2006/relationships/hyperlink" Target="https://violet-wolf-754008.hostingersite.com/wp-content/uploads/recuperacoes-judiciais/agropecuaria-tuiuti/06-Certid&#227;o-de-Publica&#231;&#227;o-Segundo-Edital-e-Aviso-do-Plano.pdf" TargetMode="External" Id="rId218" /><Relationship Type="http://schemas.openxmlformats.org/officeDocument/2006/relationships/hyperlink" Target="https://credibilita.com.br/wp-content/uploads/2026/07/1.ListadeCredores.pdf" TargetMode="External" Id="rId219" /><Relationship Type="http://schemas.openxmlformats.org/officeDocument/2006/relationships/hyperlink" Target="https://violet-wolf-754008.hostingersite.com/wp-content/uploads/recuperacoes-judiciais/andorinha/Primeiro-Edital.pdf" TargetMode="External" Id="rId220" /><Relationship Type="http://schemas.openxmlformats.org/officeDocument/2006/relationships/hyperlink" Target="https://violet-wolf-754008.hostingersite.com/wp-content/uploads/recuperacoes-judiciais/andorinha/7-Certid&#227;o-de-Publica&#231;&#227;o-do-Segundo-Edital.pdf" TargetMode="External" Id="rId221" /><Relationship Type="http://schemas.openxmlformats.org/officeDocument/2006/relationships/hyperlink" Target="https://violet-wolf-754008.hostingersite.com/wp-content/uploads/recuperacoes-judiciais/arch-test/05-Certida&#771;o-de-Publicac&#807;a&#771;o-do-Primeiro-Edital.pdf" TargetMode="External" Id="rId222" /><Relationship Type="http://schemas.openxmlformats.org/officeDocument/2006/relationships/hyperlink" Target="https://inova-aj.com.br/wp-content/uploads/2018/08/Rela&#231;&#227;o-de-Credores-Reciclyn-Artigo-7&#186;-&#167;2&#186;-da-Le-11.101.pdf" TargetMode="External" Id="rId223" /><Relationship Type="http://schemas.openxmlformats.org/officeDocument/2006/relationships/hyperlink" Target="https://violet-wolf-754008.hostingersite.com/wp-content/uploads/recuperacoes-judiciais/arch-test/07-Certida&#771;o-de-Publicac&#807;a&#771;o-do-Segundo-Edital-e-Aviso-do-plano-apresentado.pdf" TargetMode="External" Id="rId224" /><Relationship Type="http://schemas.openxmlformats.org/officeDocument/2006/relationships/hyperlink" Target="https://violet-wolf-754008.hostingersite.com/wp-content/uploads/2023/06/Primeiro-Edita-de-Credores.pdf" TargetMode="External" Id="rId225" /><Relationship Type="http://schemas.openxmlformats.org/officeDocument/2006/relationships/hyperlink" Target="https://credibilita.com.br/wp-content/uploads/2023/12/31.-Edital-de-aviso-aos-credores-em-22.11.2023.pdf" TargetMode="External" Id="rId226" /><Relationship Type="http://schemas.openxmlformats.org/officeDocument/2006/relationships/hyperlink" Target="https://violet-wolf-754008.hostingersite.com/wp-content/uploads/recuperacoes-judiciais/Citro_Sudeste/1o-edital-de-credores.pdf" TargetMode="External" Id="rId227" /><Relationship Type="http://schemas.openxmlformats.org/officeDocument/2006/relationships/hyperlink" Target="https://credibilita.com.br/wp-content/uploads/2025/02/17.-Plano-de-Recuperacao-Judicial-25.04.2025.pdf" TargetMode="External" Id="rId228" /><Relationship Type="http://schemas.openxmlformats.org/officeDocument/2006/relationships/hyperlink" Target="https://credibilita.com.br/wp-content/uploads/2025/02/21.-Plano-de-Recuperacao-Judicial-apresentado-em-22.05.2025.pdf" TargetMode="External" Id="rId229" /><Relationship Type="http://schemas.openxmlformats.org/officeDocument/2006/relationships/hyperlink" Target="https://violet-wolf-754008.hostingersite.com/wp-content/uploads/recuperacoes-judiciais/covolan/Primeiro-edital-de-credores-disponibilizado-em-DJE.pdf" TargetMode="External" Id="rId230" /><Relationship Type="http://schemas.openxmlformats.org/officeDocument/2006/relationships/hyperlink" Target="https://violet-wolf-754008.hostingersite.com/wp-content/uploads/recuperacoes-judiciais/covolan/2o-EDITAL-DE-CREDORES.pdf" TargetMode="External" Id="rId231" /><Relationship Type="http://schemas.openxmlformats.org/officeDocument/2006/relationships/hyperlink" Target="https://violet-wolf-754008.hostingersite.com/wp-content/uploads/recuperacoes-judiciais/DeltaCitrus/1&#186;-edital.pdf" TargetMode="External" Id="rId232" /><Relationship Type="http://schemas.openxmlformats.org/officeDocument/2006/relationships/hyperlink" Target="https://violet-wolf-754008.hostingersite.com/wp-content/uploads/recuperacoes-judiciais/DeltaCitrus/2&#186;-edital.pdf" TargetMode="External" Id="rId233" /><Relationship Type="http://schemas.openxmlformats.org/officeDocument/2006/relationships/hyperlink" Target="https://inova-aj.com.br/wp-content/uploads/2020/02/Minuta-Edital-de-concoca&#231;&#227;o.pdf" TargetMode="External" Id="rId234" /><Relationship Type="http://schemas.openxmlformats.org/officeDocument/2006/relationships/hyperlink" Target="https://inova-aj.com.br/wp-content/uploads/2018/09/CMDR-Edital-Rela&#231;&#227;o-de-credores-e-PRJ-14_09_2018.pdf" TargetMode="External" Id="rId235" /><Relationship Type="http://schemas.openxmlformats.org/officeDocument/2006/relationships/hyperlink" Target="https://violet-wolf-754008.hostingersite.com/wp-content/uploads/recuperacoes-judiciais/Grupo-bem/1&#186;-EDITAL-DE-CREDORES-GRUPO-BEM-DJE.pdf" TargetMode="External" Id="rId236" /><Relationship Type="http://schemas.openxmlformats.org/officeDocument/2006/relationships/hyperlink" Target="https://inova-aj.com.br/wp-content/uploads/2018/08/Edital-publica&#231;&#227;o-aviso-aos-credores-Enget&#233;cnica-Zadar.pdf" TargetMode="External" Id="rId237" /><Relationship Type="http://schemas.openxmlformats.org/officeDocument/2006/relationships/hyperlink" Target="https://rlg-aj.com.br/wp-content/uploads/2023/08/13.-Rela&#231;&#227;o-de-Credores-do-art.-7&#186;-&#167;2&#176;-da-Lei-n.&#186;-11.101-de-2005-Instituto-CAV.pdf" TargetMode="External" Id="rId238" /><Relationship Type="http://schemas.openxmlformats.org/officeDocument/2006/relationships/hyperlink" Target="https://rlg-aj.com.br/wp-content/uploads/2024/02/2.-Relacao-de-Credores-Starkfest.pdf" TargetMode="External" Id="rId239" /><Relationship Type="http://schemas.openxmlformats.org/officeDocument/2006/relationships/hyperlink" Target="https://rlg-aj.com.br/wp-content/uploads/2024/02/Relacao-Nominal-de-Credores-fornecida-pela-falida-DF-Confeccoes-Ltda.pdf" TargetMode="External" Id="rId240" /><Relationship Type="http://schemas.openxmlformats.org/officeDocument/2006/relationships/hyperlink" Target="https://inova-aj.com.br/wp-content/uploads/2024/12/Desenvolvimento-Edital-Credores-Aptos-a-Votar.pdf" TargetMode="External" Id="rId241" /><Relationship Type="http://schemas.openxmlformats.org/officeDocument/2006/relationships/hyperlink" Target="https://www.cb2d.com.br/portal/_uploads/a21555fe-5c45-4492-9274-8c42f1885f64.pdf" TargetMode="External" Id="rId242" /><Relationship Type="http://schemas.openxmlformats.org/officeDocument/2006/relationships/hyperlink" Target="https://gatekeeperaj.com.br/wp-content/uploads/2026/02/Edital-de-convocacao-dos-credores-para-fins-do-art.-149-&#167;2o-da-Lei-no-11.101-2005.pdf" TargetMode="External" Id="rId243" /><Relationship Type="http://schemas.openxmlformats.org/officeDocument/2006/relationships/hyperlink" Target="https://www.cb2d.com.br/portal/_uploads/36a1a557-678b-4995-96e8-7a606e840f06.pdf" TargetMode="External" Id="rId244" /><Relationship Type="http://schemas.openxmlformats.org/officeDocument/2006/relationships/hyperlink" Target="https://gatekeeperaj.com.br/wp-content/uploads/2026/08/RATEIO-BK.pdf" TargetMode="External" Id="rId245" /><Relationship Type="http://schemas.openxmlformats.org/officeDocument/2006/relationships/hyperlink" Target="https://www.cb2d.com.br/portal/_uploads/e02317cd-013e-484d-8754-d1fc8a81ecd3.pdf" TargetMode="External" Id="rId246" /><Relationship Type="http://schemas.openxmlformats.org/officeDocument/2006/relationships/hyperlink" Target="https://credibilita.com.br/wp-content/uploads/2023/08/01b-lista.pdf" TargetMode="External" Id="rId247" /><Relationship Type="http://schemas.openxmlformats.org/officeDocument/2006/relationships/hyperlink" Target="https://www.cb2d.com.br/portal/_uploads/837bd67a-82e8-4181-a78a-d23e37562748.pdf" TargetMode="External" Id="rId248" /><Relationship Type="http://schemas.openxmlformats.org/officeDocument/2006/relationships/hyperlink" Target="https://www.cb2d.com.br/portal/_uploads/e1ef4e10-1427-49d0-81df-39a774e466dd.pdf" TargetMode="External" Id="rId249" /><Relationship Type="http://schemas.openxmlformats.org/officeDocument/2006/relationships/hyperlink" Target="https://www.cb2d.com.br/portal/_uploads/aac3045a-5751-4958-89e6-d51c296e1edd.pdf" TargetMode="External" Id="rId250" /><Relationship Type="http://schemas.openxmlformats.org/officeDocument/2006/relationships/hyperlink" Target="https://ajruiz.com.br/sites/default/files/public/arquivos-processos/2026-05/relacao_de_credores_recuperanda.pdf" TargetMode="External" Id="rId251" /><Relationship Type="http://schemas.openxmlformats.org/officeDocument/2006/relationships/hyperlink" Target="https://ativosajce.com.br/admin/download.php?file=files/processo_documento/processo_documento13564628082026_1_.pdf&amp;nome=Rela&#231;&#227;o de Credores - 16/12/2025" TargetMode="External" Id="rId252" /><Relationship Type="http://schemas.openxmlformats.org/officeDocument/2006/relationships/hyperlink" Target="https://www.cb2d.com.br/portal/_uploads/4d59218d-c3f4-499e-831e-175cd4a6092b.pdf" TargetMode="External" Id="rId253" /><Relationship Type="http://schemas.openxmlformats.org/officeDocument/2006/relationships/hyperlink" Target="https://www.cb2d.com.br/portal/_uploads/56a24c98-521c-41d8-bc4f-2f90eeea2621.pdf" TargetMode="External" Id="rId254" /><Relationship Type="http://schemas.openxmlformats.org/officeDocument/2006/relationships/hyperlink" Target="https://ativosajce.com.br/admin/download.php?file=files/processo_documento/processo_documento20254225072025_1_.pdf&amp;nome=Rela&#231;&#227;o de Credores - art. 52, &#167;1&#186; da Lei 11.101/05 - 04/06/2025" TargetMode="External" Id="rId255" /><Relationship Type="http://schemas.openxmlformats.org/officeDocument/2006/relationships/hyperlink" Target="https://ajruiz.com.br/sites/default/files/public/arquivos-processos/2023-10/relacao_de_credores_sintetica_art._51_iii_da_lre.pdf" TargetMode="External" Id="rId256" /><Relationship Type="http://schemas.openxmlformats.org/officeDocument/2006/relationships/hyperlink" Target="https://ajruiz.com.br/sites/default/files/public/arquivos-processos/2023-09/edital-de-convocacao-de-credores-art.-52-a7-1o-da-lre-brassuco-industria-de-produtos-alimenticios-min.pdf" TargetMode="External" Id="rId257" /><Relationship Type="http://schemas.openxmlformats.org/officeDocument/2006/relationships/hyperlink" Target="https://ativosajce.com.br/admin/download.php?file=files/processo_documento/processo_documento21511013072022_1_.pdf&amp;nome= Edital de Credores - Art. 53,  lei 11.101/2005 - 03/11/2020" TargetMode="External" Id="rId258" /><Relationship Type="http://schemas.openxmlformats.org/officeDocument/2006/relationships/hyperlink" Target="https://ativosajce.com.br/admin/download.php?file=files/processo_documento/processo_documento11215203062025_1_.pdf&amp;nome=Edital de Credores - Art. 52, &#167;1&#186;, da Lei 11.101/2005 - 23/05/2025" TargetMode="External" Id="rId259" /><Relationship Type="http://schemas.openxmlformats.org/officeDocument/2006/relationships/hyperlink" Target="https://ajruiz.com.br/sites/default/files/public/arquivos-processos/2026-06/edital_convocacao_credores_apresentacao_prj_art._53_par._unico_e_art._55.pdf" TargetMode="External" Id="rId260" /><Relationship Type="http://schemas.openxmlformats.org/officeDocument/2006/relationships/hyperlink" Target="https://bbsadvogados.com.br/wp-content/uploads/2026/03/Sentenca-de-decretacao-de-Falencia-1-1.pdf" TargetMode="External" Id="rId261" /><Relationship Type="http://schemas.openxmlformats.org/officeDocument/2006/relationships/hyperlink" Target="https://ativosajce.com.br/admin/download.php?file=files/processo_documento/processo_documento12060425072025_1_.pdf&amp;nome=Edital de Aviso aos Credores - Art. 53 da Lei 11.101/05 - 28/07/2025" TargetMode="External" Id="rId262" /><Relationship Type="http://schemas.openxmlformats.org/officeDocument/2006/relationships/hyperlink" Target="https://ativosajce.com.br/admin/download.php?file=files/processo_documento/processo_documento12051125072025_1_.pdf&amp;nome=Edital de Rela&#231;&#227;o de Credores - Art. 7&#186;, &#167; 2&#186; - 28/07/2025" TargetMode="External" Id="rId263" /><Relationship Type="http://schemas.openxmlformats.org/officeDocument/2006/relationships/hyperlink" Target="https://ajruiz.com.br/sites/default/files/public/arquivos-processos/2023-11/5_relacao_nominal_de_credores_individualizada.pdf" TargetMode="External" Id="rId264" /><Relationship Type="http://schemas.openxmlformats.org/officeDocument/2006/relationships/hyperlink" Target="https://ativosajce.com.br/admin/download.php?file=files/processo_documento/processo_documento17183527022023_1_.pdf&amp;nome=Rela&#231;&#227;o de Credores Consolidada Retificada - 23/01/2023" TargetMode="External" Id="rId265" /><Relationship Type="http://schemas.openxmlformats.org/officeDocument/2006/relationships/hyperlink" Target="https://vtladm.com.br/wp-content/uploads/2024/02/17-&#8211;-Sentenca-de-Homologacao-&#8211;-WWS-Services-e-Worldwide.pdf" TargetMode="External" Id="rId266" /><Relationship Type="http://schemas.openxmlformats.org/officeDocument/2006/relationships/hyperlink" Target="https://scalzilliaj.com.br/sgc/download.php?file=files/processo_documento/processo_documento17400412062026_1_.pdf&amp;nome=06. Rela&#231;&#227;o de credores do art. 7, &#167; 2" TargetMode="External" Id="rId267" /><Relationship Type="http://schemas.openxmlformats.org/officeDocument/2006/relationships/hyperlink" Target="https://administradorajudicialgs.com.br/wp-content/uploads/2023/08/relacao-de-credores-recuperanda.pdf" TargetMode="External" Id="rId268" /><Relationship Type="http://schemas.openxmlformats.org/officeDocument/2006/relationships/hyperlink" Target="https://scalzilliaj.com.br/sgc/download.php?file=files/processo_documento/processo_documento11070607012022_1_.pdf&amp;nome=05 - Plano de recupera&#231;&#227;o judicial" TargetMode="External" Id="rId269" /><Relationship Type="http://schemas.openxmlformats.org/officeDocument/2006/relationships/hyperlink" Target="https://administradorajudicialgs.com.br/wp-content/uploads/2023/08/relacao-de-credores-recuperanda-2.pdf" TargetMode="External" Id="rId270" /><Relationship Type="http://schemas.openxmlformats.org/officeDocument/2006/relationships/hyperlink" Target="https://administradorajudicialgs.com.br/wp-content/uploads/2023/08/relacao-de-credores-adm-jud-1.pdf" TargetMode="External" Id="rId271" /><Relationship Type="http://schemas.openxmlformats.org/officeDocument/2006/relationships/hyperlink" Target="https://administradorajudicialgs.com.br/wp-content/uploads/2023/08/relacao-de-credores-da-recuperanda-1.pdf" TargetMode="External" Id="rId272" /><Relationship Type="http://schemas.openxmlformats.org/officeDocument/2006/relationships/hyperlink" Target="https://scalzilliaj.com.br/sgc/download.php?file=files/processo_documento/processo_documento11260207012022_1_.pdf&amp;nome=09 - Modificativo do plano de recupera&#231;&#227;o judicial" TargetMode="External" Id="rId273" /><Relationship Type="http://schemas.openxmlformats.org/officeDocument/2006/relationships/hyperlink" Target="https://diligence.adm.br/wp-content/plugins/download-attachments/includes/download.php?id=5613" TargetMode="External" Id="rId274" /><Relationship Type="http://schemas.openxmlformats.org/officeDocument/2006/relationships/hyperlink" Target="https://administradorajudicialgs.com.br/wp-content/uploads/2024/12/4-relacao-de-credores-recuperanda.pdf" TargetMode="External" Id="rId275" /><Relationship Type="http://schemas.openxmlformats.org/officeDocument/2006/relationships/hyperlink" Target="https://administradorajudicialgs.com.br/wp-content/uploads/2024/12/5-relacao-de-credores-adm-jud.pdf" TargetMode="External" Id="rId276" /><Relationship Type="http://schemas.openxmlformats.org/officeDocument/2006/relationships/hyperlink" Target="https://vivanteaj.com.br/wp-content/uploads/2025/02/1a-lista-de-credores-MFC.pdf" TargetMode="External" Id="rId277" /><Relationship Type="http://schemas.openxmlformats.org/officeDocument/2006/relationships/hyperlink" Target="https://vivanteaj.com.br/wp-content/uploads/2024/11/20.08.2013-Sentenca-Decretacao-da-Falencia-Laginha-1.pdf" TargetMode="External" Id="rId278" /><Relationship Type="http://schemas.openxmlformats.org/officeDocument/2006/relationships/hyperlink" Target="https://vivanteaj.com.br/wp-content/uploads/2026/07/Sentenca-que-encerrou-a-Falencia.pdf" TargetMode="External" Id="rId279" /><Relationship Type="http://schemas.openxmlformats.org/officeDocument/2006/relationships/hyperlink" Target="https://vivanteaj.com.br/wp-content/uploads/2024/11/Sentenca-que-encerrou-a-falencia-da-Agenda.pdf" TargetMode="External" Id="rId280" /><Relationship Type="http://schemas.openxmlformats.org/officeDocument/2006/relationships/hyperlink" Target="https://vivanteaj.com.br/wp-content/uploads/2026/07/Edital-do-art.-114-A.pdf" TargetMode="External" Id="rId281" /><Relationship Type="http://schemas.openxmlformats.org/officeDocument/2006/relationships/hyperlink" Target="https://vtladm.com.br/wp-content/uploads/2025/05/02-Relacao-de-Credores-Agile-Equipamentos-Odontologicos-Ltda.pdf" TargetMode="External" Id="rId282" /><Relationship Type="http://schemas.openxmlformats.org/officeDocument/2006/relationships/hyperlink" Target="https://vtladm.com.br/wp-content/uploads/2024/07/08-&#8211;-Manifestacao-do-Sindico-&#8211;-Quadro-Geral-de-Credores-e-Ativos-&#8211;-Massa-Falida-de-Francismar-Comercio-Importacao-e-Exportacao-Ltda.-e-outros.pdf" TargetMode="External" Id="rId283" /><Relationship Type="http://schemas.openxmlformats.org/officeDocument/2006/relationships/hyperlink" Target="https://marquesadmjudicial.com.br/sgc/download.php?file=files/processo_documento/processo_documento10482924062024_1_.pdf&amp;nome=2&#186; Edital - Rela&#231;&#227;o de credores do AJ e PRJ" TargetMode="External" Id="rId284" /><Relationship Type="http://schemas.openxmlformats.org/officeDocument/2006/relationships/hyperlink" Target="https://vtladm.com.br/wp-content/uploads/2024/04/13-1o-Modificativo-ao-Plano-de-Recuperacao-Judicial-&#8211;-Frigorifico-Alfa-e-Ctx.pdf" TargetMode="External" Id="rId285" /><Relationship Type="http://schemas.openxmlformats.org/officeDocument/2006/relationships/hyperlink" Target="https://vtladm.com.br/wp-content/uploads/2024/02/16-Aditivo-ao-Plano-de-Recuperacao-Judicial-WWS-Services-e-Worldwide.pdf" TargetMode="External" Id="rId286" /><Relationship Type="http://schemas.openxmlformats.org/officeDocument/2006/relationships/hyperlink" Target="https://vtladm.com.br/wp-content/uploads/2025/06/02-&#8211;-Sentenca-&#8211;-Declaracao-de-Insolvencia-Civil-&#8211;-Massa-Insolvente-de-Ambrosino-de-Serpa-Coutinho.pdf" TargetMode="External" Id="rId287" /><Relationship Type="http://schemas.openxmlformats.org/officeDocument/2006/relationships/hyperlink" Target="https://vtladm.com.br/wp-content/uploads/2024/11/04-Edital-de-Intimacao-de-Possiveis-Interessados-e-Credores-Sobre-a-Adocao-do-Rito-da-Insolvencia-Frustrada-&#8211;-Massa-Insolvente-de-Augusto-Cesar-Zuqui-Lisboa.pdf" TargetMode="External" Id="rId288" /><Relationship Type="http://schemas.openxmlformats.org/officeDocument/2006/relationships/hyperlink" Target="https://realbrasil.com.br/wp-content/uploads/2025/07/LISTA-DE-CREDORES-DO-AJ_NELSON-GAREY_Parte2.pdf" TargetMode="External" Id="rId289" /><Relationship Type="http://schemas.openxmlformats.org/officeDocument/2006/relationships/hyperlink" Target="https://stenius.com.br/wp-content/uploads/2026/07/1&#176;-Edital-relacao-de-credores.pdf" TargetMode="External" Id="rId290" /><Relationship Type="http://schemas.openxmlformats.org/officeDocument/2006/relationships/hyperlink" Target="https://mpbadmjudicial.com.br/sgc/download.php?file=files/processo_documento/processo_documento10184213062025_1_.pdf&amp;nome=Anexo ao Plano - Credores e condi&#231;&#245;es de pagamento" TargetMode="External" Id="rId291" /><Relationship Type="http://schemas.openxmlformats.org/officeDocument/2006/relationships/hyperlink" Target="https://mpbadmjudicial.com.br/sgc/download.php?file=files/processo_documento/processo_documento11562523022026_1_.pdf&amp;nome=EDITAL de deferimento - publicado no Di&#225;rio Oficial MT 29172 em 12/02/2026" TargetMode="External" Id="rId292" /><Relationship Type="http://schemas.openxmlformats.org/officeDocument/2006/relationships/hyperlink" Target="https://realbrasil.com.br/wp-content/uploads/2017/06/Rela&#231;&#227;o-Nominal-de-Credores-Imperatriz.pdf" TargetMode="External" Id="rId293" /><Relationship Type="http://schemas.openxmlformats.org/officeDocument/2006/relationships/hyperlink" Target="https://realbrasil.com.br/wp-content/uploads/2017/05/2_Rela&#231;&#227;o-de-Credores-Recuperanda-amig&#227;o.pdf" TargetMode="External" Id="rId294" /><Relationship Type="http://schemas.openxmlformats.org/officeDocument/2006/relationships/hyperlink" Target="https://violet-wolf-754008.hostingersite.com/wp-content/uploads/recuperacoes-judiciais/aroplan/07-Certid&#227;o-de-Publica&#231;&#227;o-do-Segundo-Edital.pdf" TargetMode="External" Id="rId295" /><Relationship Type="http://schemas.openxmlformats.org/officeDocument/2006/relationships/hyperlink" Target="https://violet-wolf-754008.hostingersite.com/wp-content/uploads/recuperacoes-judiciais/eit/05-Certida&#771;o-de-Publicac&#807;a&#771;o-do-Primeiro-Edital.pdf" TargetMode="External" Id="rId296" /><Relationship Type="http://schemas.openxmlformats.org/officeDocument/2006/relationships/hyperlink" Target="https://violet-wolf-754008.hostingersite.com/wp-content/uploads/recuperacoes-judiciais/GLC-Transportes/1-Edital-de-Credores-disponibilizado-14.09.pdf" TargetMode="External" Id="rId297" /><Relationship Type="http://schemas.openxmlformats.org/officeDocument/2006/relationships/hyperlink" Target="https://violet-wolf-754008.hostingersite.com/wp-content/uploads/recuperacoes-judiciais/Gra&#250;na/04-primeiro-edital.pdf" TargetMode="External" Id="rId298" /><Relationship Type="http://schemas.openxmlformats.org/officeDocument/2006/relationships/hyperlink" Target="https://rlg-aj.com.br/wp-content/uploads/2026/03/Lista-de-Credores-Vezignazzi_rotated-1.pdf" TargetMode="External" Id="rId299" /><Relationship Type="http://schemas.openxmlformats.org/officeDocument/2006/relationships/hyperlink" Target="https://rlg-aj.com.br/wp-content/uploads/2024/12/04.-Relacao-de-credores.pdf" TargetMode="External" Id="rId300" /><Relationship Type="http://schemas.openxmlformats.org/officeDocument/2006/relationships/hyperlink" Target="https://rlg-aj.com.br/wp-content/uploads/2026/05/Segunda-Lista-de-Credores-Artigo-7.-Paragrafo-2.-da-LRF-Contemporanea-ok.pdf" TargetMode="External" Id="rId301" /><Relationship Type="http://schemas.openxmlformats.org/officeDocument/2006/relationships/hyperlink" Target="https://rlg-aj.com.br/wp-content/uploads/2024/07/Quadro-Geral-de-Credores-Eletro-Motores.pdf" TargetMode="External" Id="rId302" /><Relationship Type="http://schemas.openxmlformats.org/officeDocument/2006/relationships/hyperlink" Target="https://rlg-aj.com.br/wp-content/uploads/2023/07/5.-Publica&#231;&#227;o-da-1&#170;-Lista-de-Credores-Edital-do-art.-99-&#167;-1&#186;-LREF-Grupo-Mobra.pdf" TargetMode="External" Id="rId303" /><Relationship Type="http://schemas.openxmlformats.org/officeDocument/2006/relationships/hyperlink" Target="https://inova-aj.com.br/wp-content/uploads/2019/10/QGC-002.pdf" TargetMode="External" Id="rId304" /><Relationship Type="http://schemas.openxmlformats.org/officeDocument/2006/relationships/hyperlink" Target="https://www.cb2d.com.br/portal/_uploads/09a5913a-6446-44a7-8296-df2a86427fbb.pdf" TargetMode="External" Id="rId305" /><Relationship Type="http://schemas.openxmlformats.org/officeDocument/2006/relationships/hyperlink" Target="https://www.cb2d.com.br/portal/_uploads/77d9cfa9-ea92-4dd0-95bd-537ce50c3e2d.pdf" TargetMode="External" Id="rId306" /><Relationship Type="http://schemas.openxmlformats.org/officeDocument/2006/relationships/hyperlink" Target="https://www.cb2d.com.br/portal/_uploads/24027e69-7aea-4141-923e-845b7cdbe642.pdf" TargetMode="External" Id="rId307" /><Relationship Type="http://schemas.openxmlformats.org/officeDocument/2006/relationships/hyperlink" Target="https://acfb.com.br/wp-content/uploads/2018/05/Plano-de-Recupera&#231;&#227;o-Judicial-1.pdf" TargetMode="External" Id="rId308" /><Relationship Type="http://schemas.openxmlformats.org/officeDocument/2006/relationships/hyperlink" Target="https://www.cb2d.com.br/portal/_uploads/6ea0819c-b8a3-4f0d-87e8-7199bd9f4ea4.pdf" TargetMode="External" Id="rId309" /><Relationship Type="http://schemas.openxmlformats.org/officeDocument/2006/relationships/hyperlink" Target="https://ativosajce.com.br/admin/download.php?file=files/processo_documento/processo_documento18472823092025_1_.pdf&amp;nome=Edital de Credores - art. 52, &#167;1&#186; da Lei 11.101/05 - 23/09/2025" TargetMode="External" Id="rId310" /><Relationship Type="http://schemas.openxmlformats.org/officeDocument/2006/relationships/hyperlink" Target="https://ajruiz.com.br/sites/default/files/public/arquivos-processos/2023-09/relacao-de-credores-administradora-judicial-casa-de-aprendizagens.pdf" TargetMode="External" Id="rId311" /><Relationship Type="http://schemas.openxmlformats.org/officeDocument/2006/relationships/hyperlink" Target="https://bbsadvogados.com.br/wp-content/uploads/2025/10/Edital-contendo-a-relacao-de-credores-apresentada-pelo-falido-&#167;1o-do-art.-99-da-LRF.pdf" TargetMode="External" Id="rId312" /><Relationship Type="http://schemas.openxmlformats.org/officeDocument/2006/relationships/hyperlink" Target="https://ajruiz.com.br/sites/default/files/public/arquivos-processos/2023-10/2_relacao_de_credores_analitica_art._51_iii_da_lre.pdf" TargetMode="External" Id="rId313" /><Relationship Type="http://schemas.openxmlformats.org/officeDocument/2006/relationships/hyperlink" Target="https://ajruiz.com.br/sites/default/files/public/arquivos-processos/2023-10/5_relacao_de_credores_aj_art._7o_parag._2o_da_lre.pdf" TargetMode="External" Id="rId314" /><Relationship Type="http://schemas.openxmlformats.org/officeDocument/2006/relationships/hyperlink" Target="https://ajruiz.com.br/sites/default/files/public/arquivos-processos/2023-10/edital_de_convocacao_de_credores_art._52_parag._1o_da_lre.pdf" TargetMode="External" Id="rId315" /><Relationship Type="http://schemas.openxmlformats.org/officeDocument/2006/relationships/hyperlink" Target="https://bbsadvogados.com.br/wp-content/uploads/2025/10/Sentenca-Falencia.pdf" TargetMode="External" Id="rId316" /><Relationship Type="http://schemas.openxmlformats.org/officeDocument/2006/relationships/hyperlink" Target="https://ativosajce.com.br/admin/download.php?file=files/processo_documento/processo_documento14375313072022_1_.pdf&amp;nome=Rela&#231;&#227;o de Credores da Cautelar - 12/04/2022" TargetMode="External" Id="rId317" /><Relationship Type="http://schemas.openxmlformats.org/officeDocument/2006/relationships/hyperlink" Target="https://diligence.adm.br/wp-content/plugins/download-attachments/includes/download.php?id=4294" TargetMode="External" Id="rId318" /><Relationship Type="http://schemas.openxmlformats.org/officeDocument/2006/relationships/hyperlink" Target="https://www.karenrosa.adv.br/storage/files/2022/07/2fa637b57a05-relacao-credores-aj.pdf" TargetMode="External" Id="rId319" /><Relationship Type="http://schemas.openxmlformats.org/officeDocument/2006/relationships/hyperlink" Target="https://diligence.adm.br/wp-content/plugins/download-attachments/includes/download.php?id=6199" TargetMode="External" Id="rId320" /><Relationship Type="http://schemas.openxmlformats.org/officeDocument/2006/relationships/hyperlink" Target="https://cataliseaj.com.br/sgc/download.php?file=files/processo_documento/processo_documento17184410062024_1_.pdf&amp;nome=2. LISTA DE CREDORES" TargetMode="External" Id="rId321" /><Relationship Type="http://schemas.openxmlformats.org/officeDocument/2006/relationships/hyperlink" Target="https://cataliseaj.com.br/sgc/download.php?file=files/processo_documento/processo_documento17211210062024_1_.pdf&amp;nome=7. COMPLEMENTA&#199;&#195;O DA LISTA DE CREDORES" TargetMode="External" Id="rId322" /><Relationship Type="http://schemas.openxmlformats.org/officeDocument/2006/relationships/hyperlink" Target="https://cataliseaj.com.br/sgc/download.php?file=files/processo_documento/processo_documento17401510062024_1_.pdf&amp;nome= 2. LISTA DE CREDORES" TargetMode="External" Id="rId323" /><Relationship Type="http://schemas.openxmlformats.org/officeDocument/2006/relationships/hyperlink" Target="https://cataliseaj.com.br/sgc/download.php?file=files/processo_documento/processo_documento09493210032026_1_.pdf&amp;nome=10. QUADRO GERAL DE CREDORES HOMOLOGADO" TargetMode="External" Id="rId324" /><Relationship Type="http://schemas.openxmlformats.org/officeDocument/2006/relationships/hyperlink" Target="https://scalzilliaj.com.br/sgc/download.php?file=files/processo_documento/processo_documento16205111122023_1_.pdf&amp;nome=06 - Edital do art. 7&#186;, &#167;2&#186; e 53 da Lei 11.101/2005 (segunda lista de credores e recebimento do plano)" TargetMode="External" Id="rId325" /><Relationship Type="http://schemas.openxmlformats.org/officeDocument/2006/relationships/hyperlink" Target="https://cataliseaj.com.br/sgc/download.php?file=files/processo_documento/processo_documento17195710062024_1_.pdf&amp;nome=5. SENTEN&#199;A" TargetMode="External" Id="rId326" /><Relationship Type="http://schemas.openxmlformats.org/officeDocument/2006/relationships/hyperlink" Target="https://cataliseaj.com.br/sgc/download.php?file=files/processo_documento/processo_documento21493230042025_1_.pdf&amp;nome=SENTEN&#199;A - DECRETA&#199;&#195;O DE FAL&#202;NCIA" TargetMode="External" Id="rId327" /><Relationship Type="http://schemas.openxmlformats.org/officeDocument/2006/relationships/hyperlink" Target="https://cataliseaj.com.br/sgc/download.php?file=files/processo_documento/processo_documento14574726022026_1_.pdf&amp;nome=8. SENTEN&#199;A DE DECRETA&#199;&#195;O DA FAL&#202;NCIA" TargetMode="External" Id="rId328" /><Relationship Type="http://schemas.openxmlformats.org/officeDocument/2006/relationships/hyperlink" Target="https://cataliseaj.com.br/sgc/download.php?file=files/processo_documento/processo_documento17423610062024_1_.pdf&amp;nome= 8. PLANO DE RECUPERA&#199;&#195;O JUDICIAL GRAINTEK" TargetMode="External" Id="rId329" /><Relationship Type="http://schemas.openxmlformats.org/officeDocument/2006/relationships/hyperlink" Target="https://cataliseaj.com.br/sgc/download.php?file=files/processo_documento/processo_documento17433310062024_1_.pdf&amp;nome=10. PLANO DE RJ REORGANIZADO" TargetMode="External" Id="rId330" /><Relationship Type="http://schemas.openxmlformats.org/officeDocument/2006/relationships/hyperlink" Target="https://administradorajudicialgs.com.br/wp-content/uploads/2023/08/relacao-de-credores-recuperanda-1.pdf" TargetMode="External" Id="rId331" /><Relationship Type="http://schemas.openxmlformats.org/officeDocument/2006/relationships/hyperlink" Target="https://recuperacaojudicial.squarespace.com/s/RJ-Ceramica-Porto-Rico-1-lista-de-credores.pdf" TargetMode="External" Id="rId332" /><Relationship Type="http://schemas.openxmlformats.org/officeDocument/2006/relationships/hyperlink" Target="https://cataliseaj.com.br/sgc/download.php?file=files/processo_documento/processo_documento13544512052026_1_.pdf&amp;nome=2. Senten&#231;a de Decreta&#231;&#227;o da Fal&#234;ncia" TargetMode="External" Id="rId333" /><Relationship Type="http://schemas.openxmlformats.org/officeDocument/2006/relationships/hyperlink" Target="https://scalzilliaj.com.br/sgc/download.php?file=files/processo_documento/falencia_documento11075308072022_1_.pdf&amp;nome=04 - Edital do art. 18 da Lei 11.101/2005 (quadro geral de credores)" TargetMode="External" Id="rId334" /><Relationship Type="http://schemas.openxmlformats.org/officeDocument/2006/relationships/hyperlink" Target="https://scalzilliaj.com.br/sgc/download.php?file=files/processo_documento/falencia_documento11081308072022_1_.pdf&amp;nome=05 - Edital do art. 18 da Lei 11.101/2005 (quadro geral de credores) - atualizado at&#233; 2004" TargetMode="External" Id="rId335" /><Relationship Type="http://schemas.openxmlformats.org/officeDocument/2006/relationships/hyperlink" Target="https://cataliseaj.com.br/sgc/download.php?file=files/processo_documento/processo_documento11035221112025_1_.pdf&amp;nome=02. SENTEN&#199;A DA FAL&#202;NCIA" TargetMode="External" Id="rId336" /><Relationship Type="http://schemas.openxmlformats.org/officeDocument/2006/relationships/hyperlink" Target="https://cataliseaj.com.br/sgc/download.php?file=files/processo_documento/processo_documento16293004102024_1_.pdf&amp;nome=1. SENTEN&#199;A" TargetMode="External" Id="rId337" /><Relationship Type="http://schemas.openxmlformats.org/officeDocument/2006/relationships/hyperlink" Target="https://administradorajudicialgs.com.br/wp-content/uploads/2023/08/doc-04-editalpublicacao-da-decisao-de-processamento-e-relacao-de-credores.pdf" TargetMode="External" Id="rId338" /><Relationship Type="http://schemas.openxmlformats.org/officeDocument/2006/relationships/hyperlink" Target="https://lrflideres.com.br/wp-content/plugins/download-attachments/includes/download.php?id=6027" TargetMode="External" Id="rId339" /><Relationship Type="http://schemas.openxmlformats.org/officeDocument/2006/relationships/hyperlink" Target="https://diligence.adm.br/wp-content/plugins/download-attachments/includes/download.php?id=6284" TargetMode="External" Id="rId340" /><Relationship Type="http://schemas.openxmlformats.org/officeDocument/2006/relationships/hyperlink" Target="https://bugarimecoelho.com.br/ws/media-library/3abd0f61bee74e12a13024632a2994ec/5.1-edital---relacao-de-credores-1.pdf" TargetMode="External" Id="rId341" /><Relationship Type="http://schemas.openxmlformats.org/officeDocument/2006/relationships/hyperlink" Target="https://lrflideres.com.br/wp-content/plugins/download-attachments/includes/download.php?id=6273" TargetMode="External" Id="rId342" /><Relationship Type="http://schemas.openxmlformats.org/officeDocument/2006/relationships/hyperlink" Target="https://bugarimecoelho.com.br/ws/media-library/8f7dbe28cfa44738bc17a4b8e8e8a759/12.-edital-relacao-de-credores-aj.pdf" TargetMode="External" Id="rId343"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344" /><Relationship Type="http://schemas.openxmlformats.org/officeDocument/2006/relationships/hyperlink" Target="https://marquesadmjudicial.com.br/sgc/download.php?file=files/processo_documento/processo_documento16092407032024_1_.pdf&amp;nome=Rela&#231;&#227;o Nominal de Credores da AJ - art. 7&#186;, &#167;2&#186;" TargetMode="External" Id="rId34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346" /><Relationship Type="http://schemas.openxmlformats.org/officeDocument/2006/relationships/hyperlink" Target="https://marquesadmjudicial.com.br/sgc/download.php?file=files/processo_documento/processo_documento10384806112025_1_.pdf&amp;nome=Rela&#231;&#227;o Nominal de Credores da AJ-Sint&#233;tica" TargetMode="External" Id="rId347" /><Relationship Type="http://schemas.openxmlformats.org/officeDocument/2006/relationships/hyperlink" Target="https://marquesadmjudicial.com.br/sgc/download.php?file=files/processo_documento/processo_documento19270817122025_1_.pdf&amp;nome=Rela&#231;&#227;o Nominal de Credores AJ" TargetMode="External" Id="rId348" /><Relationship Type="http://schemas.openxmlformats.org/officeDocument/2006/relationships/hyperlink" Target="https://inova-aj.com.br/wp-content/uploads/2026/08/1a-Relacao-de-Credores-Real.pdf" TargetMode="External" Id="rId349" /><Relationship Type="http://schemas.openxmlformats.org/officeDocument/2006/relationships/hyperlink" Target="https://inova-aj.com.br/wp-content/uploads/2026/08/2a-Relacao-de-Credores-Real.pdf" TargetMode="External" Id="rId350" /><Relationship Type="http://schemas.openxmlformats.org/officeDocument/2006/relationships/hyperlink" Target="https://rlg-aj.com.br/wp-content/uploads/2025/02/Segunda-Lista-de-Credores-Retificada-Contemporanea.pdf" TargetMode="External" Id="rId351" /><Relationship Type="http://schemas.openxmlformats.org/officeDocument/2006/relationships/hyperlink" Target="https://inova-aj.com.br/wp-content/uploads/2020/04/Relac&#807;a&#771;o-de-Credores-Grupo-Miguel-Couto-Art.-7&#186;&#167;2&#186;-LRE.pdf" TargetMode="External" Id="rId352" /><Relationship Type="http://schemas.openxmlformats.org/officeDocument/2006/relationships/hyperlink" Target="https://inova-aj.com.br/wp-content/uploads/2020/02/Relacao-de-Credores.pdf" TargetMode="External" Id="rId353" /><Relationship Type="http://schemas.openxmlformats.org/officeDocument/2006/relationships/hyperlink" Target="https://inova-aj.com.br/wp-content/uploads/2018/11/Rela&#231;&#227;o-de-Credores-Grupo-CFF-Art.-7&#186;-&#167;2&#186;-LRE-RETIFICADA.pdf" TargetMode="External" Id="rId354" /><Relationship Type="http://schemas.openxmlformats.org/officeDocument/2006/relationships/hyperlink" Target="https://rlg-aj.com.br/wp-content/uploads/2026/02/2a-Lista-de-Credores-Relacao-Completa-Artigo-7o-Paragrafo-2-da-Lei-11.101-de-2005-Madefus.pdf" TargetMode="External" Id="rId355" /><Relationship Type="http://schemas.openxmlformats.org/officeDocument/2006/relationships/hyperlink" Target="https://inova-aj.com.br/wp-content/uploads/2020/01/Rela&#231;&#227;o-de-Credores-Falida-Art.-99-PU-LRE.pdf" TargetMode="External" Id="rId356" /><Relationship Type="http://schemas.openxmlformats.org/officeDocument/2006/relationships/hyperlink" Target="https://gatekeeperaj.com.br/wp-content/uploads/2025/01/Relacao-de-Credores-Art.7-2.pdf" TargetMode="External" Id="rId357" /><Relationship Type="http://schemas.openxmlformats.org/officeDocument/2006/relationships/hyperlink" Target="https://ajruiz.com.br/sites/default/files/public/arquivos-processos/2023-09/relacao-de-credores-aj_art.-7o-da-lre-brassuco-industria-de-produtos-alimenticios-min-1.pdf" TargetMode="External" Id="rId358" /><Relationship Type="http://schemas.openxmlformats.org/officeDocument/2006/relationships/hyperlink" Target="https://bbsadvogados.com.br/wp-content/uploads/2026/03/Relacao-de-Credores-da-Administradora-Judicial-&#167;2o-do-art.-7-da-LRF-1.pdf" TargetMode="External" Id="rId359" /><Relationship Type="http://schemas.openxmlformats.org/officeDocument/2006/relationships/hyperlink" Target="https://recuperasolucoes.com/wp-content/plugins/download-attachments/includes/download.php?id=1492" TargetMode="External" Id="rId360" /><Relationship Type="http://schemas.openxmlformats.org/officeDocument/2006/relationships/hyperlink" Target="http://bernardobicalho.com.br/login/app/documents/Rela%C3%A7%C3%A3o%20de%20Credores/6.%20RVC-%20Nutricium%20-%20simplificada.pdf" TargetMode="External" Id="rId361" /><Relationship Type="http://schemas.openxmlformats.org/officeDocument/2006/relationships/hyperlink" Target="http://recuperacaojudicial.squarespace.com/s/LISTA-DE-CREDORES-CONSOLIDADA-ATE-04102024.pdf" TargetMode="External" Id="rId362" /><Relationship Type="http://schemas.openxmlformats.org/officeDocument/2006/relationships/hyperlink" Target="https://lrflideres.com.br/wp-content/plugins/download-attachments/includes/download.php?id=5828" TargetMode="External" Id="rId363" /><Relationship Type="http://schemas.openxmlformats.org/officeDocument/2006/relationships/hyperlink" Target="https://lrflideres.com.br/wp-content/plugins/download-attachments/includes/download.php?id=6879" TargetMode="External" Id="rId364" /><Relationship Type="http://schemas.openxmlformats.org/officeDocument/2006/relationships/hyperlink" Target="https://lrflideres.com.br/wp-content/uploads/2022/08/4.-EDITAL-2a-LISTA-DE-CREDORES.pdf" TargetMode="External" Id="rId365" /><Relationship Type="http://schemas.openxmlformats.org/officeDocument/2006/relationships/hyperlink" Target="https://lrflideres.com.br/wp-content/uploads/2023/01/4.-EDITAL-2a-LISTA-DE-CREDORES-1.pdf" TargetMode="External" Id="rId366" /><Relationship Type="http://schemas.openxmlformats.org/officeDocument/2006/relationships/hyperlink" Target="https://lrflideres.com.br/wp-content/uploads/2023/12/3.1-PROTOCOLO-DA-2a-LISTA-DE-CREDORES.pdf" TargetMode="External" Id="rId367" /><Relationship Type="http://schemas.openxmlformats.org/officeDocument/2006/relationships/hyperlink" Target="https://recuperacaojudicial.squarespace.com/s/LISTA-DE-CREDORES-CONSOLIDADA-EM-11072025_6419.pdf" TargetMode="External" Id="rId368" /><Relationship Type="http://schemas.openxmlformats.org/officeDocument/2006/relationships/hyperlink" Target="https://lrflideres.com.br/wp-content/plugins/download-attachments/includes/download.php?id=7179" TargetMode="External" Id="rId369" /><Relationship Type="http://schemas.openxmlformats.org/officeDocument/2006/relationships/hyperlink" Target="https://lrflideres.com.br/wp-content/plugins/download-attachments/includes/download.php?id=7180" TargetMode="External" Id="rId370" /><Relationship Type="http://schemas.openxmlformats.org/officeDocument/2006/relationships/hyperlink" Target="https://lrflideres.com.br/wp-content/plugins/download-attachments/includes/download.php?id=3556" TargetMode="External" Id="rId371" /><Relationship Type="http://schemas.openxmlformats.org/officeDocument/2006/relationships/hyperlink" Target="https://recuperacaojudicial.squarespace.com/s/4-RJCTREditalda2ListadeCredoresnovembro2019.pdf" TargetMode="External" Id="rId372" /><Relationship Type="http://schemas.openxmlformats.org/officeDocument/2006/relationships/hyperlink" Target="https://lrflideres.com.br/wp-content/plugins/download-attachments/includes/download.php?id=6104" TargetMode="External" Id="rId373" /><Relationship Type="http://schemas.openxmlformats.org/officeDocument/2006/relationships/hyperlink" Target="https://inova-aj.com.br/wp-content/uploads/2018/08/Rela&#231;&#227;o-de-Credores-CFF-Art.-52-&#167;1&#186;-LRE.pdf" TargetMode="External" Id="rId374" /><Relationship Type="http://schemas.openxmlformats.org/officeDocument/2006/relationships/hyperlink" Target="https://rlg-aj.com.br/wp-content/uploads/2026/02/Rela____o_de_Credores.pdf" TargetMode="External" Id="rId375" /><Relationship Type="http://schemas.openxmlformats.org/officeDocument/2006/relationships/hyperlink" Target="https://recuperasolucoes.com/wp-content/plugins/download-attachments/includes/download.php?id=1597" TargetMode="External" Id="rId376" /><Relationship Type="http://schemas.openxmlformats.org/officeDocument/2006/relationships/hyperlink" Target="https://recuperasolucoes.com/wp-content/plugins/download-attachments/includes/download.php?id=1363" TargetMode="External" Id="rId377" /><Relationship Type="http://schemas.openxmlformats.org/officeDocument/2006/relationships/hyperlink" Target="https://diligence.adm.br/wp-content/uploads/2025/06/Edital-1a-Lista-de-Credores.pdf" TargetMode="External" Id="rId378" /><Relationship Type="http://schemas.openxmlformats.org/officeDocument/2006/relationships/hyperlink" Target="https://diligence.adm.br/wp-content/plugins/download-attachments/includes/download.php?id=6205" TargetMode="External" Id="rId379" /><Relationship Type="http://schemas.openxmlformats.org/officeDocument/2006/relationships/hyperlink" Target="https://scalzilliaj.com.br/sgc/download.php?file=files/processo_documento/processo_documento09514021082025_1_.pdf&amp;nome=04 - Rela&#231;&#227;o de credores das Recuperandas" TargetMode="External" Id="rId380" /><Relationship Type="http://schemas.openxmlformats.org/officeDocument/2006/relationships/hyperlink" Target="https://recuperacaojudicial.squarespace.com/s/RJ-Nautico-Edital-de-1-Lista-republicado-abril-2023.pdf" TargetMode="External" Id="rId381" /><Relationship Type="http://schemas.openxmlformats.org/officeDocument/2006/relationships/hyperlink" Target="https://vivanteaj.com.br/wp-content/uploads/2024/11/plano-mettaloys.pdf" TargetMode="External" Id="rId382" /><Relationship Type="http://schemas.openxmlformats.org/officeDocument/2006/relationships/hyperlink" Target="https://recuperacaojudicial.squarespace.com/s/RJ-Credimoveis-Publicaco-Edital-art-52-1-1-Lista-de-Credores.pdf" TargetMode="External" Id="rId383" /><Relationship Type="http://schemas.openxmlformats.org/officeDocument/2006/relationships/hyperlink" Target="https://recuperacaojudicial.squarespace.com/s/RJ-Credimoveis-QGC-01082025.pdf" TargetMode="External" Id="rId384" /><Relationship Type="http://schemas.openxmlformats.org/officeDocument/2006/relationships/hyperlink" Target="https://bugarimecoelho.com.br/ws/media-library/6dc4bc2c988846629882c8d3713c7921/34.-edital-04o-aditivo-relacao-de-credores-2024.pdf" TargetMode="External" Id="rId385" /><Relationship Type="http://schemas.openxmlformats.org/officeDocument/2006/relationships/hyperlink" Target="https://inova-aj.com.br/wp-content/uploads/2022/06/QGC-Engetecnica-e-Construtora-Zadar-Homologado.pdf" TargetMode="External" Id="rId386" /><Relationship Type="http://schemas.openxmlformats.org/officeDocument/2006/relationships/hyperlink" Target="https://gatekeeperaj.com.br/wp-content/uploads/2026/08/QGC-AGOSTO-07.08.2026-1.pdf" TargetMode="External" Id="rId387" /><Relationship Type="http://schemas.openxmlformats.org/officeDocument/2006/relationships/hyperlink" Target="https://gatekeeperaj.com.br/wp-content/uploads/2026/03/BRA2_merged.pdf" TargetMode="External" Id="rId388" /><Relationship Type="http://schemas.openxmlformats.org/officeDocument/2006/relationships/hyperlink" Target="https://gatekeeperaj.com.br/wp-content/uploads/2026/06/QGC-BERTINI-16.06.2026.pdf" TargetMode="External" Id="rId389" /><Relationship Type="http://schemas.openxmlformats.org/officeDocument/2006/relationships/hyperlink" Target="https://gatekeeperaj.com.br/wp-content/uploads/2025/08/Relacao-de-Credores-do-art.-7o-&#167;2o-da-Lei-no-11.101-2005.pdf" TargetMode="External" Id="rId390" /><Relationship Type="http://schemas.openxmlformats.org/officeDocument/2006/relationships/hyperlink" Target="https://gatekeeperaj.com.br/wp-content/uploads/2025/03/Seno-Filhos-QGC-1.pdf" TargetMode="External" Id="rId391" /><Relationship Type="http://schemas.openxmlformats.org/officeDocument/2006/relationships/hyperlink" Target="https://ajruiz.com.br/sites/default/files/public/arquivos-processos/2025-10/brassuco_quadro_geral_de_credores_provisorio_mo.pdf" TargetMode="External" Id="rId392" /><Relationship Type="http://schemas.openxmlformats.org/officeDocument/2006/relationships/hyperlink" Target="https://inova-aj.com.br/wp-content/uploads/2021/08/Reciclyn-Quadro-Geral-de-Credores.xlsx.pdf" TargetMode="External" Id="rId393" /><Relationship Type="http://schemas.openxmlformats.org/officeDocument/2006/relationships/hyperlink" Target="https://vivanteaj.com.br/wp-content/uploads/2024/11/Primeira-relacao-de-credores-da-Falencia-Multidia.pdf" TargetMode="External" Id="rId394" /><Relationship Type="http://schemas.openxmlformats.org/officeDocument/2006/relationships/hyperlink" Target="https://ajruiz.com.br/sites/default/files/public/arquivos-processos/2024-04/relacao_de_credores_recuperanda_1.pdf" TargetMode="External" Id="rId395" /><Relationship Type="http://schemas.openxmlformats.org/officeDocument/2006/relationships/hyperlink" Target="https://recuperacaojudicial.squarespace.com/s/RJ-Clube-Nautico-Lista-de-Credores-Consolidada-em-10122025.pdf" TargetMode="External" Id="rId396" /><Relationship Type="http://schemas.openxmlformats.org/officeDocument/2006/relationships/hyperlink" Target="https://administradorajudicialgs.com.br/wp-content/uploads/2023/08/advogados-sgrott-relacao-credores-aj-trabalhista.pdf" TargetMode="External" Id="rId397" /><Relationship Type="http://schemas.openxmlformats.org/officeDocument/2006/relationships/hyperlink" Target="https://administradorajudicialgs.com.br/wp-content/uploads/2023/08/advogados-sgrott-doc-22-relacao-de-credores-do-administrador-judicial-classe-iii-05-02-14.pdf" TargetMode="External" Id="rId398" /><Relationship Type="http://schemas.openxmlformats.org/officeDocument/2006/relationships/hyperlink" Target="https://administradorajudicialgs.com.br/wp-content/uploads/2023/08/advogados-sgrott-relacao-credores-aj-garantia-real.pdf" TargetMode="External" Id="rId399" /><Relationship Type="http://schemas.openxmlformats.org/officeDocument/2006/relationships/hyperlink" Target="https://bugarimecoelho.com.br/ws/media-library/acb4bec624ec4fc7b485528b26bad747/3.-relacao-credores-1.pdf" TargetMode="External" Id="rId400" /><Relationship Type="http://schemas.openxmlformats.org/officeDocument/2006/relationships/hyperlink" Target="https://administradorajudicialgs.com.br/wp-content/uploads/2024/06/relacao-de-credores.pdf" TargetMode="External" Id="rId401" /><Relationship Type="http://schemas.openxmlformats.org/officeDocument/2006/relationships/hyperlink" Target="https://bugarimecoelho.com.br/ws/media-library/2764952506de59f305f9610dc83d6dbe/43---05o-aditivo-qgc.2.pdf" TargetMode="External" Id="rId402" /><Relationship Type="http://schemas.openxmlformats.org/officeDocument/2006/relationships/hyperlink" Target="https://bugarimecoelho.com.br/ws/media-library/b1fffc6d065f5fc1f6df17b6fb5b8f89/50---06o-aditivo-qgc.2.pdf" TargetMode="External" Id="rId403" /><Relationship Type="http://schemas.openxmlformats.org/officeDocument/2006/relationships/hyperlink" Target="https://bugarimecoelho.com.br/ws/media-library/fe15ea79292d4e3cb7ce97d21dd1f6cc/10.-relacao-de-credores-aj.pdf" TargetMode="External" Id="rId404" /><Relationship Type="http://schemas.openxmlformats.org/officeDocument/2006/relationships/hyperlink" Target="https://bugarimecoelho.com.br/ws/media-library/23a62c69fad196160f743ef6fa48b4f1/27---01o-aditivo-a-qgc.2.pdf" TargetMode="External" Id="rId405" /><Relationship Type="http://schemas.openxmlformats.org/officeDocument/2006/relationships/hyperlink" Target="https://bugarimecoelho.com.br/ws/media-library/fcc045082b2058d33121dc5c3776994e/06---relacao-de-credores-veneza.pdf" TargetMode="External" Id="rId406" /><Relationship Type="http://schemas.openxmlformats.org/officeDocument/2006/relationships/hyperlink" Target="https://vivanteaj.com.br/wp-content/uploads/2024/11/1a-lista-de-credores-JA-Santos.pdf" TargetMode="External" Id="rId407" /><Relationship Type="http://schemas.openxmlformats.org/officeDocument/2006/relationships/hyperlink" Target="https://bugarimecoelho.com.br/ws/media-library/71722120c8b4f03400841fd0bc4312f7/42---02deg-aditivo-ao-plano-de-recuperacao-judicial-1-12.pdf" TargetMode="External" Id="rId408" /><Relationship Type="http://schemas.openxmlformats.org/officeDocument/2006/relationships/hyperlink" Target="https://bugarimecoelho.com.br/ws/media-library/b6b7ea42b9fa2afe30bc728fe00cd5c6/07---edital-do-processamento-da-recuperacao-judicial.pdf" TargetMode="External" Id="rId409" /><Relationship Type="http://schemas.openxmlformats.org/officeDocument/2006/relationships/hyperlink" Target="https://marquesadmjudicial.com.br/sgc/download.php?file=files/processo_documento/processo_documento16122407032024_1_.pdf&amp;nome=Rela&#231;&#227;o Nominal de Credores da AJ Retificada - Classe I" TargetMode="External" Id="rId410" /><Relationship Type="http://schemas.openxmlformats.org/officeDocument/2006/relationships/hyperlink" Target="https://marquesadmjudicial.com.br/sgc/download.php?file=files/processo_documento/processo_documento09342616012025_1_.pdf&amp;nome=Rela&#231;&#227;o de Credores Recuperandas Classe III - Quirograf&#225;rio" TargetMode="External" Id="rId411" /><Relationship Type="http://schemas.openxmlformats.org/officeDocument/2006/relationships/hyperlink" Target="https://vtladm.com.br/wp-content/uploads/2024/02/07-&#8211;-Plano-de-Recuperacao-Judicial-&#8211;-WWS-Services-e-Worldwide.pdf" TargetMode="External" Id="rId412" /><Relationship Type="http://schemas.openxmlformats.org/officeDocument/2006/relationships/hyperlink" Target="https://vtladm.com.br/wp-content/uploads/2024/02/10-&#8211;-Plano-de-Recuperacao-Judicial-&#8211;-WWS-Services-e-Worldwide.pdf" TargetMode="External" Id="rId413" /><Relationship Type="http://schemas.openxmlformats.org/officeDocument/2006/relationships/hyperlink" Target="https://realbrasil.com.br/wp-content/uploads/2018/06/2_LISTA-DE-CREDORES-DA-RECUPERANDA_ROQUE.pdf" TargetMode="External" Id="rId414" /><Relationship Type="http://schemas.openxmlformats.org/officeDocument/2006/relationships/hyperlink" Target="https://credibilita.com.br/wp-content/uploads/2025/02/6.-Lista-de-credores-05.12.2024.pdf" TargetMode="External" Id="rId415" /><Relationship Type="http://schemas.openxmlformats.org/officeDocument/2006/relationships/hyperlink" Target="https://inova-aj.com.br/wp-content/uploads/2021/02/CIMENTO-TUPI-Nova-relacao-de-credores-Fls.-822.pdf" TargetMode="External" Id="rId416" /><Relationship Type="http://schemas.openxmlformats.org/officeDocument/2006/relationships/hyperlink" Target="https://inova-aj.com.br/wp-content/uploads/2025/01/Grupo-Widmen-Primeira-Relacao-de-Credores.pdf" TargetMode="External" Id="rId417" /><Relationship Type="http://schemas.openxmlformats.org/officeDocument/2006/relationships/hyperlink" Target="https://inova-aj.com.br/wp-content/uploads/2019/11/Rela&#231;&#227;o-de-Credores-Grupo-Avora-Cosm&#233;ticos-Art.-52&#167;1&#186;-LRE.pdf" TargetMode="External" Id="rId418" /><Relationship Type="http://schemas.openxmlformats.org/officeDocument/2006/relationships/hyperlink" Target="https://violet-wolf-754008.hostingersite.com/wp-content/uploads/2022/10/Primeiro-Edital-de-Credores-Integral-com-creditos.pdf" TargetMode="External" Id="rId419" /><Relationship Type="http://schemas.openxmlformats.org/officeDocument/2006/relationships/hyperlink" Target="https://ajruiz.com.br/sites/default/files/public/arquivos-processos/2024-06/relacao_de_credores_aj_alto_uruguai.pdf" TargetMode="External" Id="rId420" /><Relationship Type="http://schemas.openxmlformats.org/officeDocument/2006/relationships/hyperlink" Target="https://ajruiz.com.br/sites/default/files/public/arquivos-processos/2026-06/alto_uruguai_qgc_junho.2026.pdf" TargetMode="External" Id="rId421" /><Relationship Type="http://schemas.openxmlformats.org/officeDocument/2006/relationships/hyperlink" Target="https://ajruiz.com.br/sites/default/files/public/arquivos-processos/2023-11/4_relacao_de_credores_analitica_art._51_iii_da_lre.pdf" TargetMode="External" Id="rId422" /><Relationship Type="http://schemas.openxmlformats.org/officeDocument/2006/relationships/hyperlink" Target="https://lrflideres.com.br/wp-content/plugins/download-attachments/includes/download.php?id=4999" TargetMode="External" Id="rId423" /><Relationship Type="http://schemas.openxmlformats.org/officeDocument/2006/relationships/hyperlink" Target="https://lrflideres.com.br/wp-content/plugins/download-attachments/includes/download.php?id=5000" TargetMode="External" Id="rId424" /><Relationship Type="http://schemas.openxmlformats.org/officeDocument/2006/relationships/hyperlink" Target="https://lrflideres.com.br/wp-content/plugins/download-attachments/includes/download.php?id=5001" TargetMode="External" Id="rId425" /><Relationship Type="http://schemas.openxmlformats.org/officeDocument/2006/relationships/hyperlink" Target="https://diligence.adm.br/wp-content/plugins/download-attachments/includes/download.php?id=6255" TargetMode="External" Id="rId426" /><Relationship Type="http://schemas.openxmlformats.org/officeDocument/2006/relationships/hyperlink" Target="https://lrflideres.com.br/wp-content/plugins/download-attachments/includes/download.php?id=3683" TargetMode="External" Id="rId427" /><Relationship Type="http://schemas.openxmlformats.org/officeDocument/2006/relationships/hyperlink" Target="https://lrflideres.com.br/wp-content/plugins/download-attachments/includes/download.php?id=7266" TargetMode="External" Id="rId428" /><Relationship Type="http://schemas.openxmlformats.org/officeDocument/2006/relationships/hyperlink" Target="https://diligence.adm.br/wp-content/plugins/download-attachments/includes/download.php?id=6245" TargetMode="External" Id="rId429" /><Relationship Type="http://schemas.openxmlformats.org/officeDocument/2006/relationships/hyperlink" Target="https://scalzilliaj.com.br/sgc/download.php?file=files/processo_documento/falencia_documento11134908072022_1_.pdf&amp;nome=05 - Edital do art. 7&#186;, &#167;2&#186; da Lei 11.101/2005 (segunda lista de credores)" TargetMode="External" Id="rId430" /><Relationship Type="http://schemas.openxmlformats.org/officeDocument/2006/relationships/hyperlink" Target="https://scalzilliaj.com.br/sgc/download.php?file=files/processo_documento/processo_documento15521717062026_1_.pdf&amp;nome=07 - Segunda Lista de Credores" TargetMode="External" Id="rId431" /><Relationship Type="http://schemas.openxmlformats.org/officeDocument/2006/relationships/hyperlink" Target="https://administradorajudicialgs.com.br/wp-content/uploads/2023/07/doc-07-relacao-de-credores-do-administrador-judicial.pdf" TargetMode="External" Id="rId432" /><Relationship Type="http://schemas.openxmlformats.org/officeDocument/2006/relationships/hyperlink" Target="https://bugarimecoelho.com.br/ws/media-library/9dd3a0ca6a154326944a0ffe0980e0ac/4.-retificacao-da-relacao-de-credores-1.pdf" TargetMode="External" Id="rId433" /><Relationship Type="http://schemas.openxmlformats.org/officeDocument/2006/relationships/hyperlink" Target="https://bugarimecoelho.com.br/ws/media-library/5baa1c5c93e64fcbabcdb61e722bd8d0/5.-relacao-de-credores---manifestacoes-administrativas.pdf" TargetMode="External" Id="rId434" /><Relationship Type="http://schemas.openxmlformats.org/officeDocument/2006/relationships/hyperlink" Target="https://administradorajudicialgs.com.br/wp-content/uploads/2024/10/relacao-de-credores-e-verificacao-de-credito-2025.pdf" TargetMode="External" Id="rId435" /><Relationship Type="http://schemas.openxmlformats.org/officeDocument/2006/relationships/hyperlink" Target="https://vivanteaj.com.br/wp-content/uploads/2024/11/Sentenca-Prest.-Contas-Vivante.pdf" TargetMode="External" Id="rId436" /><Relationship Type="http://schemas.openxmlformats.org/officeDocument/2006/relationships/hyperlink" Target="https://vivanteaj.com.br/wp-content/uploads/2024/11/Contrato-Arrendamento-Copervales-Homologado.pdf" TargetMode="External" Id="rId437" /><Relationship Type="http://schemas.openxmlformats.org/officeDocument/2006/relationships/hyperlink" Target="https://vivanteaj.com.br/wp-content/uploads/2024/11/Contrato-Arrendamento-Utinga-Homologado.pdf" TargetMode="External" Id="rId438" /><Relationship Type="http://schemas.openxmlformats.org/officeDocument/2006/relationships/hyperlink" Target="https://vivanteaj.com.br/wp-content/uploads/2024/12/Modificativo-ao-PRJ-Grupo-Procenge.pdf" TargetMode="External" Id="rId439" /><Relationship Type="http://schemas.openxmlformats.org/officeDocument/2006/relationships/hyperlink" Target="https://vivanteaj.com.br/wp-content/uploads/2026/07/Sentenca-que-decretou-a-falencia-da-Ert-2.pdf" TargetMode="External" Id="rId440" /><Relationship Type="http://schemas.openxmlformats.org/officeDocument/2006/relationships/hyperlink" Target="https://vtladm.com.br/wp-content/uploads/2025/05/06_Primeiro_Edital_Convocacao_Credores_Agile_Equipamentos_Odontologicos.pdf" TargetMode="External" Id="rId441" /><Relationship Type="http://schemas.openxmlformats.org/officeDocument/2006/relationships/hyperlink" Target="https://marquesadmjudicial.com.br/sgc/download.php?file=files/processo_documento/processo_documento11431807032024_1_.pdf&amp;nome=Rela&#231;&#227;o nominal de credores retificada" TargetMode="External" Id="rId442" /><Relationship Type="http://schemas.openxmlformats.org/officeDocument/2006/relationships/hyperlink" Target="https://marquesadmjudicial.com.br/sgc/download.php?file=files/processo_documento/processo_documento11241027032026_1_.pdf&amp;nome=2&#176; Edital - Rela&#231;&#227;o de Credores AJ e PRJ" TargetMode="External" Id="rId443" /><Relationship Type="http://schemas.openxmlformats.org/officeDocument/2006/relationships/hyperlink" Target="https://vtladm.com.br/wp-content/uploads/2024/07/07_Edital_Publicacao_Segunda_Relacao_Credores_Insolvencia_Civil_Ambrosino_Serpa_Coutinho.pdf" TargetMode="External" Id="rId444" /><Relationship Type="http://schemas.openxmlformats.org/officeDocument/2006/relationships/hyperlink" Target="https://vtladm.com.br/wp-content/uploads/2024/11/03-Edital-Decretacao-de-Falencia-e-Convocacao-de-Credores-Massa-Falida-de-Blue-Sol-Energia-Solar-Ltda-e-Outros.pdf" TargetMode="External" Id="rId445" /><Relationship Type="http://schemas.openxmlformats.org/officeDocument/2006/relationships/hyperlink" Target="https://vtladm.com.br/wp-content/uploads/2024/09/05-&#8211;-Segunda-Lista-de-Credores-&#8211;-Massa-Falida-de-Blue-Sol-Energia-Solar-Ltda-e-Outros.pdf" TargetMode="External" Id="rId446" /><Relationship Type="http://schemas.openxmlformats.org/officeDocument/2006/relationships/hyperlink" Target="https://marquesadmjudicial.com.br/sgc/download.php?file=files/processo_documento/processo_documento18581929042026_1_.pdf&amp;nome=3&#186; Edital - Rela&#231;&#227;o de Credores e PRJ" TargetMode="External" Id="rId447" /><Relationship Type="http://schemas.openxmlformats.org/officeDocument/2006/relationships/hyperlink" Target="https://marquesadmjudicial.com.br/sgc/download.php?file=files/processo_documento/processo_documento16444407032024_1_.pdf&amp;nome=2&#176; Edital - Rela&#231;&#227;o de Credores AJ e Recebimento do PRJ" TargetMode="External" Id="rId448"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449" /><Relationship Type="http://schemas.openxmlformats.org/officeDocument/2006/relationships/hyperlink" Target="https://marquesadmjudicial.com.br/sgc/download.php?file=files/processo_documento/processo_documento16013521112024_1_.pdf&amp;nome=4&#186; Edital - Art. 7&#186;, &#167; 2&#186; - Aviso de Apresenta&#231;&#227;o da Rela&#231;&#227;o de Credores" TargetMode="External" Id="rId450" /><Relationship Type="http://schemas.openxmlformats.org/officeDocument/2006/relationships/hyperlink" Target="https://vtladm.com.br/wp-content/uploads/2025/08/09_Plano_Recuperacao_Judicial_Distribuidora_Frutas_Rumo_Novo.pdf" TargetMode="External" Id="rId451"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452" /><Relationship Type="http://schemas.openxmlformats.org/officeDocument/2006/relationships/hyperlink" Target="https://marquesadmjudicial.com.br/sgc/download.php?file=files/processo_documento/processo_documento09284811112025_1_.pdf&amp;nome=2&#186; Edital - PRJ  e Rela&#231;&#227;o Nominal de Credores art. 7&#186;, &#167; 2&#186;, DA LEI 11.101_2005" TargetMode="External" Id="rId453" /><Relationship Type="http://schemas.openxmlformats.org/officeDocument/2006/relationships/hyperlink" Target="https://vtladm.com.br/wp-content/uploads/2026/01/17-&#8211;-Plano-de-Recuperacao-Judicial-&#8211;-Ellite-Consultoria-E-Assessoria-Ltda.pdf" TargetMode="External" Id="rId454" /><Relationship Type="http://schemas.openxmlformats.org/officeDocument/2006/relationships/hyperlink" Target="https://marquesadmjudicial.com.br/sgc/download.php?file=files/processo_documento/processo_documento09362812012026_1_.pdf&amp;nome=3&#176; Edital - Intima&#231;&#227;o de Credores e Terceiros Interessados" TargetMode="External" Id="rId455" /><Relationship Type="http://schemas.openxmlformats.org/officeDocument/2006/relationships/hyperlink" Target="https://marquesadmjudicial.com.br/sgc/download.php?file=files/processo_documento/processo_documento10074612042024_1_.pdf&amp;nome=2&#186; Edital-Rela&#231;&#227;o de Credores AJ e PRJ" TargetMode="External" Id="rId456" /><Relationship Type="http://schemas.openxmlformats.org/officeDocument/2006/relationships/hyperlink" Target="https://marquesadmjudicial.com.br/sgc/download.php?file=files/processo_documento/processo_documento09444722082025_1_.pdf&amp;nome=2&#176; Edital - Rela&#231;&#227;o de Credores AJ e PRJ" TargetMode="External" Id="rId457" /><Relationship Type="http://schemas.openxmlformats.org/officeDocument/2006/relationships/hyperlink" Target="https://marquesadmjudicial.com.br/sgc/download.php?file=files/processo_documento/processo_documento14474608032024_1_.pdf&amp;nome=3&#186; Edital-Rela&#231;&#227;o de Credores AJ e PRJ" TargetMode="External" Id="rId458" /><Relationship Type="http://schemas.openxmlformats.org/officeDocument/2006/relationships/hyperlink" Target="https://marquesadmjudicial.com.br/sgc/download.php?file=files/processo_documento/processo_documento09364127032025_1_.pdf&amp;nome=3&#186; Edital - Rela&#231;&#227;o de Credores AJ e PRJ" TargetMode="External" Id="rId459" /><Relationship Type="http://schemas.openxmlformats.org/officeDocument/2006/relationships/hyperlink" Target="https://marquesadmjudicial.com.br/sgc/download.php?file=files/processo_documento/processo_documento15291029012026_1_.pdf&amp;nome=3&#176; Edital de Intima&#231;&#227;o de Credores e Terceiros Interessados" TargetMode="External" Id="rId460" /><Relationship Type="http://schemas.openxmlformats.org/officeDocument/2006/relationships/hyperlink" Target="https://vtladm.com.br/wp-content/uploads/2026/04/03-&#8211;-Sentenca&#8211;-Massa-Insolvente-de-Marcelo-Gomes-de-Figueiredo-Mesquita.pdf" TargetMode="External" Id="rId461" /><Relationship Type="http://schemas.openxmlformats.org/officeDocument/2006/relationships/hyperlink" Target="https://vtladm.com.br/wp-content/uploads/2024/11/02-&#8211;-Sentenca-&#8211;-Declaracao-de-Insolvencia-Civil-&#8211;-Massa-Insolvente-de-Augusto-Cesar-Zuqui-Lisboa.pdf" TargetMode="External" Id="rId462" /><Relationship Type="http://schemas.openxmlformats.org/officeDocument/2006/relationships/hyperlink" Target="https://realbrasil.com.br/wp-content/uploads/2024/05/6.EDITAL-PROCESSAMENTO-DA-RJ-E-LISTA-DE-CREDORES_22.03.2024.pdf" TargetMode="External" Id="rId463" /><Relationship Type="http://schemas.openxmlformats.org/officeDocument/2006/relationships/hyperlink" Target="https://ricardobiancardi.com.br/wp-content/uploads/2025/01/Edital-Credores-prazo_-10-dias-pub.-07.04.25.pdf" TargetMode="External" Id="rId464" /><Relationship Type="http://schemas.openxmlformats.org/officeDocument/2006/relationships/hyperlink" Target="https://stenius.com.br/wp-content/uploads/2026/07/1&#176;-EDITAL-RELACAO-DE-CREDORES-GRUPO-ALMEIDA.pdf" TargetMode="External" Id="rId465" /><Relationship Type="http://schemas.openxmlformats.org/officeDocument/2006/relationships/hyperlink" Target="https://realbrasil.com.br/wp-content/uploads/2022/09/LISTA-DE-CREDORES-DO-AJ_retificada.pdf" TargetMode="External" Id="rId466" /><Relationship Type="http://schemas.openxmlformats.org/officeDocument/2006/relationships/hyperlink" Target="https://realbrasil.com.br/wp-content/uploads/2025/09/3.QUADRO-GERAL-DE-CREDORES-RETIFICADO_RATEIO.pdf" TargetMode="External" Id="rId467" /><Relationship Type="http://schemas.openxmlformats.org/officeDocument/2006/relationships/hyperlink" Target="https://mpbadmjudicial.com.br/sgc/download.php?file=files/processo_documento/processo_documento10181913062025_1_.pdf&amp;nome=Plano de Recupera&#231;&#227;o Judicial" TargetMode="External" Id="rId468" /><Relationship Type="http://schemas.openxmlformats.org/officeDocument/2006/relationships/hyperlink" Target="https://realbrasil.com.br/wp-content/uploads/2018/07/EDITAL-QGC_AJ_03.07.2018.pdf" TargetMode="External" Id="rId469" /><Relationship Type="http://schemas.openxmlformats.org/officeDocument/2006/relationships/hyperlink" Target="https://stenius.com.br/wp-content/uploads/2026/08/1&#176;-EDITAL-GRUPO-TENDAS.pdf" TargetMode="External" Id="rId470" /><Relationship Type="http://schemas.openxmlformats.org/officeDocument/2006/relationships/hyperlink" Target="https://stenius.com.br/wp-content/uploads/2026/03/EDITAL-1-UNIBRAS.pdf" TargetMode="External" Id="rId471" /><Relationship Type="http://schemas.openxmlformats.org/officeDocument/2006/relationships/hyperlink" Target="https://stenius.com.br/wp-content/uploads/2026/06/EDITAL-GRUPO-FAEL.pdf" TargetMode="External" Id="rId472" /><Relationship Type="http://schemas.openxmlformats.org/officeDocument/2006/relationships/hyperlink" Target="https://violet-wolf-754008.hostingersite.com/wp-content/uploads/recuperacoes-judiciais/Alcateia-Engenharia-de-Sistema-LTDA/Primeiro-edital-de-credores.pdf" TargetMode="External" Id="rId473" /><Relationship Type="http://schemas.openxmlformats.org/officeDocument/2006/relationships/hyperlink" Target="https://credibilita.com.br/wp-content/uploads/2026/06/Expedicao-Edital-Credores-16.06.2026.pdf" TargetMode="External" Id="rId474" /><Relationship Type="http://schemas.openxmlformats.org/officeDocument/2006/relationships/hyperlink" Target="https://credibilita.com.br/wp-content/uploads/2026/03/08.05.2026-Lista-de-Credores-reapresentada-pela-Recuperanda-mov.-152.pdf" TargetMode="External" Id="rId475" /><Relationship Type="http://schemas.openxmlformats.org/officeDocument/2006/relationships/hyperlink" Target="https://inova-aj.com.br/wp-content/uploads/2025/04/Edital-de-Intimacao-Primeira-Relacao-de-Credores-e-Decisao-de-Deferimento.pdf" TargetMode="External" Id="rId476" /><Relationship Type="http://schemas.openxmlformats.org/officeDocument/2006/relationships/hyperlink" Target="https://credibilita.com.br/wp-content/uploads/2026/03/05.08.2026-Manifestacao-da-Administradora-Judicial-que-apresenta-a-Lista-de-Credores-prevista-no-art.-7o-&#167;-2o-da-LREF-ev.-200.pdf" TargetMode="External" Id="rId477" /><Relationship Type="http://schemas.openxmlformats.org/officeDocument/2006/relationships/hyperlink" Target="https://credibilita.com.br/wp-content/uploads/2026/03/06.08.2026-Edital-do-art.-7o-&#167;-2o-da-Lei-no-11.1012005-Relacao-de-Credores-apresentada-pela-Administradora-Judicial-ev.-203.pdf" TargetMode="External" Id="rId478" /><Relationship Type="http://schemas.openxmlformats.org/officeDocument/2006/relationships/hyperlink" Target="https://inova-aj.com.br/wp-content/uploads/2024/06/Officilab-Edital-Conjunto-Segunda-Relacao-de-Credores-e-REcebimento-do-PRJ-art.-7o-&#167;-2o-e-art.-53-pu.pdf" TargetMode="External" Id="rId479" /><Relationship Type="http://schemas.openxmlformats.org/officeDocument/2006/relationships/hyperlink" Target="https://credibilita.com.br/wp-content/uploads/2025/02/38.-Modificativo-do-Plano-de-Recuperacao-Judicial.pdf" TargetMode="External" Id="rId480" /><Relationship Type="http://schemas.openxmlformats.org/officeDocument/2006/relationships/hyperlink" Target="https://inova-aj.com.br/wp-content/uploads/2024/10/Real-Edital-Relacao-de-Credores-Art.-7o-&#167;-2o-Lei-no-11.101.pdf" TargetMode="External" Id="rId481" /><Relationship Type="http://schemas.openxmlformats.org/officeDocument/2006/relationships/hyperlink" Target="https://credibilita.com.br/wp-content/uploads/2023/12/Sentenca-concedendo-a-recuperacao-judicial.pdf" TargetMode="External" Id="rId482" /><Relationship Type="http://schemas.openxmlformats.org/officeDocument/2006/relationships/hyperlink" Target="https://rlg-aj.com.br/wp-content/uploads/2025/02/Edital-Artigo-52.-Par&#225;grafo-1.-Contemporanea.pdf" TargetMode="External" Id="rId483" /><Relationship Type="http://schemas.openxmlformats.org/officeDocument/2006/relationships/hyperlink" Target="https://inova-aj.com.br/wp-content/uploads/2024/09/Doc.-02-2&#176;-Relacao-de-Credores.pdf" TargetMode="External" Id="rId484" /><Relationship Type="http://schemas.openxmlformats.org/officeDocument/2006/relationships/hyperlink" Target="https://inova-aj.com.br/wp-content/uploads/2024/05/Real-Primeira-Relacao-de-Credores-1.pdf" TargetMode="External" Id="rId485" /><Relationship Type="http://schemas.openxmlformats.org/officeDocument/2006/relationships/hyperlink" Target="https://rlg-aj.com.br/wp-content/uploads/2024/05/Rela&#231;&#227;o-de-Credores-elaborada-nos-termos-do-art.-7&#186;-da-LREF-Diomar.pdf" TargetMode="External" Id="rId486" /><Relationship Type="http://schemas.openxmlformats.org/officeDocument/2006/relationships/hyperlink" Target="https://violet-wolf-754008.hostingersite.com/wp-content/uploads/recuperacoes-judiciais/enges-engenharia/05-Certida&#771;o-de-Publicac&#807;a&#771;o-do-Primeiro-Edital.pdf" TargetMode="External" Id="rId487" /><Relationship Type="http://schemas.openxmlformats.org/officeDocument/2006/relationships/hyperlink" Target="https://violet-wolf-754008.hostingersite.com/wp-content/uploads/recuperacoes-judiciais/enges-engenharia/Segundo-edital-Enges.pdf" TargetMode="External" Id="rId488" /><Relationship Type="http://schemas.openxmlformats.org/officeDocument/2006/relationships/hyperlink" Target="https://rlg-aj.com.br/wp-content/uploads/2023/05/Relacao-de-Credores-do-art.-7o-&#167;2o-da-Lei-n.o-11.101-de-2005-Lojas-Aldo.pdf" TargetMode="External" Id="rId489" /><Relationship Type="http://schemas.openxmlformats.org/officeDocument/2006/relationships/hyperlink" Target="https://rlg-aj.com.br/wp-content/uploads/2026/03/20260306-EDT-Publicacao-Artigo-52.-Paragrafo-1.-Grupo-Vezignazzi.pdf" TargetMode="External" Id="rId490" /><Relationship Type="http://schemas.openxmlformats.org/officeDocument/2006/relationships/hyperlink" Target="https://violet-wolf-754008.hostingersite.com/wp-content/uploads/recuperacoes-judiciais/Pires-do-rio/Pires-do-Rio-1&#186;-EDITAL-PUBLICADO-DJE-20.03.2019.pdf" TargetMode="External" Id="rId491" /><Relationship Type="http://schemas.openxmlformats.org/officeDocument/2006/relationships/hyperlink" Target="https://rlg-aj.com.br/wp-content/uploads/2026/04/20260529-EDT-Publicacao-Artigo-99.-Paragrafo-1.-Supermercado-Faxinal.pdf" TargetMode="External" Id="rId492" /><Relationship Type="http://schemas.openxmlformats.org/officeDocument/2006/relationships/hyperlink" Target="https://gatekeeperaj.com.br/wp-content/uploads/2024/03/Relacao-de-Credores-Actech.pdf" TargetMode="External" Id="rId493" /><Relationship Type="http://schemas.openxmlformats.org/officeDocument/2006/relationships/hyperlink" Target="https://rlg-aj.com.br/wp-content/uploads/2023/05/Relacao-Nominal-dos-Credores-Lista-do-Artigo-99.-Paragrafo-1.-Criart-1.pdf" TargetMode="External" Id="rId494" /><Relationship Type="http://schemas.openxmlformats.org/officeDocument/2006/relationships/hyperlink" Target="https://rlg-aj.com.br/wp-content/uploads/2023/05/Relacao-Nominal-dos-Credores-Lista-do-Artigo-99.-Paragrafo-1.-M-Manenti.pdf" TargetMode="External" Id="rId495" /><Relationship Type="http://schemas.openxmlformats.org/officeDocument/2006/relationships/hyperlink" Target="https://gatekeeperaj.com.br/wp-content/uploads/2023/06/Relacao-de-credores-do-art.-7o-&#167;1o.pdf" TargetMode="External" Id="rId496" /><Relationship Type="http://schemas.openxmlformats.org/officeDocument/2006/relationships/hyperlink" Target="https://rlg-aj.com.br/wp-content/uploads/2025/02/20260522-Sentenca-de-Convolacao-da-RJ-em-Falencia-e-Nomeacao-RLG-Contemporanea.pdf" TargetMode="External" Id="rId497" /><Relationship Type="http://schemas.openxmlformats.org/officeDocument/2006/relationships/hyperlink" Target="https://gatekeeperaj.com.br/wp-content/uploads/2025/10/EDITAL-CONV-BERTINIS.pdf" TargetMode="External" Id="rId498" /><Relationship Type="http://schemas.openxmlformats.org/officeDocument/2006/relationships/hyperlink" Target="https://www.cb2d.com.br/portal/_uploads/4270e808-8367-4c04-a7ae-240724b24512.pdf" TargetMode="External" Id="rId499" /><Relationship Type="http://schemas.openxmlformats.org/officeDocument/2006/relationships/hyperlink" Target="https://www.cb2d.com.br/portal/_uploads/1c7e1d44-d3a6-4299-ac49-46095f702fbc.pdf" TargetMode="External" Id="rId500" /><Relationship Type="http://schemas.openxmlformats.org/officeDocument/2006/relationships/hyperlink" Target="https://www.cb2d.com.br/portal/_uploads/87b1f001-428b-4c8a-ae00-e84bf634a781.pdf" TargetMode="External" Id="rId501" /><Relationship Type="http://schemas.openxmlformats.org/officeDocument/2006/relationships/hyperlink" Target="https://www.cb2d.com.br/portal/_uploads/3e197128-9049-4520-aa9e-46bc6d4ac183.pdf" TargetMode="External" Id="rId502" /><Relationship Type="http://schemas.openxmlformats.org/officeDocument/2006/relationships/hyperlink" Target="https://www.cb2d.com.br/portal/_uploads/7583870e-fc67-4040-836a-b98e144302de.pdf" TargetMode="External" Id="rId503" /><Relationship Type="http://schemas.openxmlformats.org/officeDocument/2006/relationships/hyperlink" Target="https://gatekeeperaj.com.br/wp-content/uploads/2026/05/EDITAL-FERREIRA-M.pdf" TargetMode="External" Id="rId504" /><Relationship Type="http://schemas.openxmlformats.org/officeDocument/2006/relationships/hyperlink" Target="https://gatekeeperaj.com.br/wp-content/uploads/2024/08/Edital-de-Convocacao-dos-Credores-arts.-99-&#167;-1o-e-114-A-da-LREF-DJE.pdf" TargetMode="External" Id="rId505" /><Relationship Type="http://schemas.openxmlformats.org/officeDocument/2006/relationships/hyperlink" Target="https://www.cb2d.com.br/portal/_uploads/e189ed86-dfda-4772-9ffe-b88d34154346.pdf" TargetMode="External" Id="rId506" /><Relationship Type="http://schemas.openxmlformats.org/officeDocument/2006/relationships/hyperlink" Target="https://gatekeeperaj.com.br/wp-content/uploads/2023/06/Edital-art.-7o-&#167;2o.pdf" TargetMode="External" Id="rId507" /><Relationship Type="http://schemas.openxmlformats.org/officeDocument/2006/relationships/hyperlink" Target="https://gatekeeperaj.com.br/wp-content/uploads/2023/06/Edital-114-A-DJE.pdf" TargetMode="External" Id="rId508" /><Relationship Type="http://schemas.openxmlformats.org/officeDocument/2006/relationships/hyperlink" Target="https://gatekeeperaj.com.br/wp-content/uploads/2023/07/2a-Lista-de-credores-LR-1.pdf" TargetMode="External" Id="rId509" /><Relationship Type="http://schemas.openxmlformats.org/officeDocument/2006/relationships/hyperlink" Target="https://www.cb2d.com.br/portal/_uploads/aedf9fd0-469c-4191-8ab8-e63f110c649f.pdf" TargetMode="External" Id="rId510" /><Relationship Type="http://schemas.openxmlformats.org/officeDocument/2006/relationships/hyperlink" Target="https://www.cb2d.com.br/portal/_uploads/76c4de9c-0dff-4099-91ee-111393fb03d1.pdf" TargetMode="External" Id="rId511" /><Relationship Type="http://schemas.openxmlformats.org/officeDocument/2006/relationships/hyperlink" Target="https://www.cb2d.com.br/portal/_uploads/9559d972-5420-47f8-bce3-9248a8e190d7.pdf" TargetMode="External" Id="rId512" /><Relationship Type="http://schemas.openxmlformats.org/officeDocument/2006/relationships/hyperlink" Target="https://gatekeeperaj.com.br/wp-content/uploads/2026/07/EDITAL-JOMAR.pdf" TargetMode="External" Id="rId513" /><Relationship Type="http://schemas.openxmlformats.org/officeDocument/2006/relationships/hyperlink" Target="https://www.cb2d.com.br/portal/_uploads/9dc61875-5c65-45ad-a767-9e4157da8726.pdf" TargetMode="External" Id="rId514" /><Relationship Type="http://schemas.openxmlformats.org/officeDocument/2006/relationships/hyperlink" Target="https://gatekeeperaj.com.br/wp-content/uploads/2025/05/Edital-LCR.pdf" TargetMode="External" Id="rId515" /><Relationship Type="http://schemas.openxmlformats.org/officeDocument/2006/relationships/hyperlink" Target="https://www.cb2d.com.br/portal/_uploads/ac46e7cb-c1f9-4057-933a-2261d8e8deb8.pdf" TargetMode="External" Id="rId516" /><Relationship Type="http://schemas.openxmlformats.org/officeDocument/2006/relationships/hyperlink" Target="https://www.cb2d.com.br/portal/_uploads/1d9879cf-e70a-4c82-b3da-453d43886c71.pdf" TargetMode="External" Id="rId517" /><Relationship Type="http://schemas.openxmlformats.org/officeDocument/2006/relationships/hyperlink" Target="https://acfb.com.br/wp-content/uploads/2024/06/doc_227774999.pdf" TargetMode="External" Id="rId518" /><Relationship Type="http://schemas.openxmlformats.org/officeDocument/2006/relationships/hyperlink" Target="https://acfb.com.br/wp-content/uploads/2018/05/2&#186;-Edital.pdf" TargetMode="External" Id="rId519" /><Relationship Type="http://schemas.openxmlformats.org/officeDocument/2006/relationships/hyperlink" Target="https://www.cb2d.com.br/portal/_uploads/90d84dbb-ba11-4915-b65d-98d831bb93b8.pdf" TargetMode="External" Id="rId520" /><Relationship Type="http://schemas.openxmlformats.org/officeDocument/2006/relationships/hyperlink" Target="https://www.cb2d.com.br/portal/_uploads/3901124d-5e78-40f5-837a-ea11d6c69527.pdf" TargetMode="External" Id="rId521" /><Relationship Type="http://schemas.openxmlformats.org/officeDocument/2006/relationships/hyperlink" Target="https://www.cb2d.com.br/portal/_uploads/7ee8d870-ccd2-48c0-8956-becd6b724157.pdf" TargetMode="External" Id="rId522" /><Relationship Type="http://schemas.openxmlformats.org/officeDocument/2006/relationships/hyperlink" Target="https://www.cb2d.com.br/portal/_uploads/e133a69c-5147-417c-ab51-b070cf2d3b7b.pdf" TargetMode="External" Id="rId523" /><Relationship Type="http://schemas.openxmlformats.org/officeDocument/2006/relationships/hyperlink" Target="https://ajruiz.com.br/sites/default/files/public/arquivos-processos/2023-09/edital-de-relacao-de-credores-art.-7o-2o-e-aviso-sobre-o-plano-de-recuperacao-judicial-art.-53-unico-alianca-metalurgica-min.pdf" TargetMode="External" Id="rId524" /><Relationship Type="http://schemas.openxmlformats.org/officeDocument/2006/relationships/hyperlink" Target="https://www.cb2d.com.br/portal/_uploads/fd3aa07f-855c-40df-874d-61b0f89db243.pdf" TargetMode="External" Id="rId525" /><Relationship Type="http://schemas.openxmlformats.org/officeDocument/2006/relationships/hyperlink" Target="https://www.cb2d.com.br/portal/_uploads/a3da370c-3727-4054-9268-00da3aa71d6d.pdf" TargetMode="External" Id="rId526" /><Relationship Type="http://schemas.openxmlformats.org/officeDocument/2006/relationships/hyperlink" Target="https://www.cb2d.com.br/portal/_uploads/eafda02f-72b5-49f5-bd0c-ad02f7723768.pdf" TargetMode="External" Id="rId527" /><Relationship Type="http://schemas.openxmlformats.org/officeDocument/2006/relationships/hyperlink" Target="https://www.cb2d.com.br/portal/_uploads/867ebd54-fc9f-47f7-8b58-825945811fbd.pdf" TargetMode="External" Id="rId528" /><Relationship Type="http://schemas.openxmlformats.org/officeDocument/2006/relationships/hyperlink" Target="https://www.cb2d.com.br/portal/_uploads/c2aee309-cce2-46d6-9f0e-add8ba102ee1.pdf" TargetMode="External" Id="rId529" /><Relationship Type="http://schemas.openxmlformats.org/officeDocument/2006/relationships/hyperlink" Target="https://www.cb2d.com.br/portal/_uploads/5ebdbda8-8c54-44f0-a808-f797478607ed.pdf" TargetMode="External" Id="rId530" /><Relationship Type="http://schemas.openxmlformats.org/officeDocument/2006/relationships/hyperlink" Target="https://www.cb2d.com.br/portal/_uploads/49be2fec-2b78-48b0-966c-8d8f0b9d8220.pdf" TargetMode="External" Id="rId531" /><Relationship Type="http://schemas.openxmlformats.org/officeDocument/2006/relationships/hyperlink" Target="https://recuperasolucoes.com/wp-content/plugins/download-attachments/includes/download.php?id=1602" TargetMode="External" Id="rId532" /><Relationship Type="http://schemas.openxmlformats.org/officeDocument/2006/relationships/hyperlink" Target="https://www.cb2d.com.br/portal/_uploads/3d6194a9-0d18-41a2-81df-1e270464997f.pdf" TargetMode="External" Id="rId533" /><Relationship Type="http://schemas.openxmlformats.org/officeDocument/2006/relationships/hyperlink" Target="https://ajruiz.com.br/sites/default/files/public/arquivos-processos/2026-01/safrasul_relacao_de_credores_recuperanda.pdf" TargetMode="External" Id="rId534" /><Relationship Type="http://schemas.openxmlformats.org/officeDocument/2006/relationships/hyperlink" Target="https://bbsadvogados.com.br/wp-content/uploads/2025/09/EDITAL-DE-PUBLICACAO-DA-RELACAO-DE-CREDORES-&#167;-2.o-DO-ART.-7.o-da-LRF-BUTURI.pdf" TargetMode="External" Id="rId535" /><Relationship Type="http://schemas.openxmlformats.org/officeDocument/2006/relationships/hyperlink" Target="https://bbsadvogados.com.br/wp-content/uploads/2025/03/Delicatessen-__-310073064683-eproc-__-edital-contendo-a-decisao-que-decretou-a-falencia-e-a-relacao-de-credores-apresentada-pelo-Falido-art.-7o1o-LRF.pdf" TargetMode="External" Id="rId536" /><Relationship Type="http://schemas.openxmlformats.org/officeDocument/2006/relationships/hyperlink" Target="https://ativosajce.com.br/admin/download.php?file=files/processo_documento/processo_documento13352804122023_1_.pdf&amp;nome=Edital de Credores - Art. 7&#186; &#167; 2&#186;, da Lei n&#186; 11.101/2005 - 13/11/2020" TargetMode="External" Id="rId537" /><Relationship Type="http://schemas.openxmlformats.org/officeDocument/2006/relationships/hyperlink" Target="https://bbsadvogados.com.br/wp-content/uploads/2025/04/Equipseg-Edital-Relacao-de-Credores-da-Administradora-Judicial-art.-7o2o-da-LRF.pdf" TargetMode="External" Id="rId538" /><Relationship Type="http://schemas.openxmlformats.org/officeDocument/2006/relationships/hyperlink" Target="https://ativosajce.com.br/admin/download.php?file=files/processo_documento/processo_documento11482307012026_1_.pdf&amp;nome=Rela&#231;&#227;o de Credores - Arts. 22, I,&#8216;e&#8217; c.c. 7&#186;, &#167; 2&#186;, da Lei n&#186; 11.101/2005 - 28/10/2020" TargetMode="External" Id="rId539" /><Relationship Type="http://schemas.openxmlformats.org/officeDocument/2006/relationships/hyperlink" Target="https://bbsadvogados.com.br/wp-content/uploads/2025/09/EDITAL-DE-PUBLICACAO-DA-RELACAO-DE-CREDORES-&#167;-2.o-DO-ART.-7.o-DA-LEI-n.o-11.101-equipseg.pdf" TargetMode="External" Id="rId540" /><Relationship Type="http://schemas.openxmlformats.org/officeDocument/2006/relationships/hyperlink" Target="https://ativosajce.com.br/admin/download.php?file=files/processo_documento/processo_documento18382011062025_1_.pdf&amp;nome=Edital de Credores - Art. 52, &#167; 1&#186;, lei 11.101/2005 - 27/08/2020" TargetMode="External" Id="rId541" /><Relationship Type="http://schemas.openxmlformats.org/officeDocument/2006/relationships/hyperlink" Target="https://bbsadvogados.com.br/wp-content/uploads/2026/03/Edital-contendo-a-relacao-de-credores-apresentada-pelo-Falido-&#167;1o-do-art.-99-da-LRF.pdf" TargetMode="External" Id="rId542" /><Relationship Type="http://schemas.openxmlformats.org/officeDocument/2006/relationships/hyperlink" Target="https://ativosajce.com.br/admin/download.php?file=files/processo_documento/processo_documento18430011062025_1_.pdf&amp;nome=Rela&#231;&#227;o de Credores - Art. 52&#186; &#167; 1&#186;, da Lei n&#186; 11.101/2005 - 13/08/2020" TargetMode="External" Id="rId543" /><Relationship Type="http://schemas.openxmlformats.org/officeDocument/2006/relationships/hyperlink" Target="https://bbsadvogados.com.br/wp-content/uploads/2025/09/Edital-Relacao-de-Credores-da-Administradora-Judicial-art.-7o2o-da-LRF.-Visao-14-02-2025.pdf" TargetMode="External" Id="rId544" /><Relationship Type="http://schemas.openxmlformats.org/officeDocument/2006/relationships/hyperlink" Target="https://bbsadvogados.com.br/wp-content/uploads/2026/04/Sentenca-de-decretacao-de-Falencia.pdf" TargetMode="External" Id="rId545" /><Relationship Type="http://schemas.openxmlformats.org/officeDocument/2006/relationships/hyperlink" Target="https://ajruiz.com.br/sites/default/files/public/arquivos-processos/2023-11/4_relacao_de_credores_aj_art._7o_parag_2o_da_lre.pdf" TargetMode="External" Id="rId546" /><Relationship Type="http://schemas.openxmlformats.org/officeDocument/2006/relationships/hyperlink" Target="https://ajruiz.com.br/sites/default/files/public/arquivos-processos/2023-11/4_edital_de_convocacao_de_credores_art._52_parag_1o_da_lre.pdf" TargetMode="External" Id="rId547" /><Relationship Type="http://schemas.openxmlformats.org/officeDocument/2006/relationships/hyperlink" Target="https://ajruiz.com.br/sites/default/files/public/arquivos-processos/2025-09/relacao_de_credores_recuperanda_art._52_parag._1o_ii_da_lre.pdf" TargetMode="External" Id="rId548" /><Relationship Type="http://schemas.openxmlformats.org/officeDocument/2006/relationships/hyperlink" Target="https://recuperasolucoes.com/wp-content/plugins/download-attachments/includes/download.php?id=1352" TargetMode="External" Id="rId549" /><Relationship Type="http://schemas.openxmlformats.org/officeDocument/2006/relationships/hyperlink" Target="https://ativosajce.com.br/admin/download.php?file=files/processo_documento/processo_documento14092531012025_1_.pdf&amp;nome=Edital de Credores - Art. 52, &#167;1&#186;, da Lei 11.101/2005" TargetMode="External" Id="rId550" /><Relationship Type="http://schemas.openxmlformats.org/officeDocument/2006/relationships/hyperlink" Target="https://ajbrajalveiga.com.br/processos/download/grupo-galo/4%20-%20Edital.pdf" TargetMode="External" Id="rId551" /><Relationship Type="http://schemas.openxmlformats.org/officeDocument/2006/relationships/hyperlink" Target="https://assistjud.com.br/wp-content/uploads/elementor/forms/65098c80a5824.pdf" TargetMode="External" Id="rId552" /><Relationship Type="http://schemas.openxmlformats.org/officeDocument/2006/relationships/hyperlink" Target="https://recuperacaojudicial.squarespace.com/s/FL-Algodoeira-Edital-1-relaco-de-credores-da-Falencia-j7wf.pdf" TargetMode="External" Id="rId553" /><Relationship Type="http://schemas.openxmlformats.org/officeDocument/2006/relationships/hyperlink" Target="https://recuperacaojudicial.squarespace.com/s/FL-Frontiers-Publicacao-no-DJe-do-Edital-com-a-1-lista.pdf" TargetMode="External" Id="rId554" /><Relationship Type="http://schemas.openxmlformats.org/officeDocument/2006/relationships/hyperlink" Target="https://s.cholet.com.br/gallery/pagina-recuperacao-judicial/30-peticao-adm.jud.sobres-depascho.1351.pdf" TargetMode="External" Id="rId555" /><Relationship Type="http://schemas.openxmlformats.org/officeDocument/2006/relationships/hyperlink" Target="https://www.tjdft.jus.br/institucional/administracao-superior/corregedoria/comunicados-falencias/decretacao-de-falencia/sentenca-com-forca-de-oficio-0729900-93-2025-8-07-0016.pdf/@@download/file/Senten%C3%A7a%20com%20for%C3%A7a%20de%20Of%C3%ADcio%200729900-93.2025.8.07.0016.pdf" TargetMode="External" Id="rId556" /><Relationship Type="http://schemas.openxmlformats.org/officeDocument/2006/relationships/hyperlink" Target="https://www.vcpericia.com.br/wp-content/uploads/2022/09/Edital-de-aviso-aos-credores-lista-do-AJ-Negocial.pdf" TargetMode="External" Id="rId557" /><Relationship Type="http://schemas.openxmlformats.org/officeDocument/2006/relationships/hyperlink" Target="https://www.vcpericia.com.br/wp-content/uploads/2023/02/Edital-de-aviso-aos-credores-sobre-Plano-e-Lista-do-AJ.pdf" TargetMode="External" Id="rId558" /><Relationship Type="http://schemas.openxmlformats.org/officeDocument/2006/relationships/hyperlink" Target="https://www.vcpericia.com.br/wp-content/uploads/2025/02/Edital-do-art.-52-%C2%A7-1%C2%B0-LRF.pdf" TargetMode="External" Id="rId559" /><Relationship Type="http://schemas.openxmlformats.org/officeDocument/2006/relationships/hyperlink" Target="https://diligence.adm.br/wp-content/plugins/download-attachments/includes/download.php?id=4854" TargetMode="External" Id="rId560" /><Relationship Type="http://schemas.openxmlformats.org/officeDocument/2006/relationships/hyperlink" Target="https://diligence.adm.br/wp-content/plugins/download-attachments/includes/download.php?id=6231" TargetMode="External" Id="rId561" /><Relationship Type="http://schemas.openxmlformats.org/officeDocument/2006/relationships/hyperlink" Target="https://cataliseaj.com.br/sgc/download.php?file=files/processo_documento/processo_documento17372810062024_1_.pdf&amp;nome=14. EDITAL DE DADOS BANC&#193;RIOS - CREDORES TRABALHISTAS" TargetMode="External" Id="rId562" /><Relationship Type="http://schemas.openxmlformats.org/officeDocument/2006/relationships/hyperlink" Target="https://diligence.adm.br/wp-content/plugins/download-attachments/includes/download.php?id=4926" TargetMode="External" Id="rId563" /><Relationship Type="http://schemas.openxmlformats.org/officeDocument/2006/relationships/hyperlink" Target="https://diligence.adm.br/wp-content/plugins/download-attachments/includes/download.php?id=4927" TargetMode="External" Id="rId564" /><Relationship Type="http://schemas.openxmlformats.org/officeDocument/2006/relationships/hyperlink" Target="https://diligence.adm.br/wp-content/plugins/download-attachments/includes/download.php?id=4123" TargetMode="External" Id="rId565" /><Relationship Type="http://schemas.openxmlformats.org/officeDocument/2006/relationships/hyperlink" Target="https://scalzilliaj.com.br/sgc/download.php?file=files/processo_documento/processo_documento11121007012022_1_.pdf&amp;nome=07 - Edital do art. 7&#186;, &#167;2&#186; da Lei 11.101/2005 (segunda lista de credores)" TargetMode="External" Id="rId566" /><Relationship Type="http://schemas.openxmlformats.org/officeDocument/2006/relationships/hyperlink" Target="https://diligence.adm.br/wp-content/uploads/2024/06/Credores-Classe-IV.pdf" TargetMode="External" Id="rId567" /><Relationship Type="http://schemas.openxmlformats.org/officeDocument/2006/relationships/hyperlink" Target="https://cataliseaj.com.br/sgc/download.php?file=files/processo_documento/processo_documento14352224102025_1_.pdf&amp;nome=14. EDITAL DE INTIMA&#199;&#195;O DOS CREDORES - ART. 66 &#167;1&#186;." TargetMode="External" Id="rId568" /><Relationship Type="http://schemas.openxmlformats.org/officeDocument/2006/relationships/hyperlink" Target="https://diligence.adm.br/wp-content/plugins/download-attachments/includes/download.php?id=4598" TargetMode="External" Id="rId569" /><Relationship Type="http://schemas.openxmlformats.org/officeDocument/2006/relationships/hyperlink" Target="https://scalzilliaj.com.br/sgc/download.php?file=files/processo_documento/processo_documento15084716032023_1_.pdf&amp;nome=13 - Lista de credores apresentada pela administra&#231;&#227;o judicial" TargetMode="External" Id="rId57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71" /><Relationship Type="http://schemas.openxmlformats.org/officeDocument/2006/relationships/hyperlink" Target="https://diligence.adm.br/wp-content/plugins/download-attachments/includes/download.php?id=4599" TargetMode="External" Id="rId572" /><Relationship Type="http://schemas.openxmlformats.org/officeDocument/2006/relationships/hyperlink" Target="https://scalzilliaj.com.br/sgc/download.php?file=files/processo_documento/processo_documento17263022112024_1_.pdf&amp;nome=11 - Edital do art. 7&#186;,  &#167;2&#186; da Lei 11.101/2005 (Rela&#231;&#227;o de Credores da Administra&#231;&#227;o Judicial)" TargetMode="External" Id="rId573" /><Relationship Type="http://schemas.openxmlformats.org/officeDocument/2006/relationships/hyperlink" Target="https://diligence.adm.br/wp-content/plugins/download-attachments/includes/download.php?id=4601" TargetMode="External" Id="rId574"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575" /><Relationship Type="http://schemas.openxmlformats.org/officeDocument/2006/relationships/hyperlink" Target="https://cataliseaj.com.br/sgc/download.php?file=files/processo_documento/processo_documento16363801072026_1_.pdf&amp;nome=14. SENTEN&#199;A FAL&#202;NCIA" TargetMode="External" Id="rId576" /><Relationship Type="http://schemas.openxmlformats.org/officeDocument/2006/relationships/hyperlink" Target="https://scalzilliaj.com.br/sgc/download.php?file=files/processo_documento/processo_documento15542620022025_1_.pdf&amp;nome=11 - Rela&#231;&#227;o de credores - art. 7&#186;, &#167;2&#186;, da LREF" TargetMode="External" Id="rId577" /><Relationship Type="http://schemas.openxmlformats.org/officeDocument/2006/relationships/hyperlink" Target="https://cataliseaj.com.br/sgc/download.php?file=files/processo_documento/processo_documento14454313122024_1_.pdf&amp;nome=2. SENTEN&#199;A - DECRETA&#199;&#195;O DA FAL&#202;NCIA" TargetMode="External" Id="rId578" /><Relationship Type="http://schemas.openxmlformats.org/officeDocument/2006/relationships/hyperlink" Target="https://diligence.adm.br/wp-content/plugins/download-attachments/includes/download.php?id=4579" TargetMode="External" Id="rId579" /><Relationship Type="http://schemas.openxmlformats.org/officeDocument/2006/relationships/hyperlink" Target="https://lrflideres.com.br/wp-content/plugins/download-attachments/includes/download.php?id=3557" TargetMode="External" Id="rId580" /><Relationship Type="http://schemas.openxmlformats.org/officeDocument/2006/relationships/hyperlink" Target="https://recuperacaojudicial.squarespace.com/s/Edital2alista.pdf" TargetMode="External" Id="rId581" /><Relationship Type="http://schemas.openxmlformats.org/officeDocument/2006/relationships/hyperlink" Target="https://recuperacaojudicial.squarespace.com/s/RJ-Grupo-Arnon-de-Melo-Lista-de-Credores-Consolidada-abril-2022.pdf" TargetMode="External" Id="rId582" /><Relationship Type="http://schemas.openxmlformats.org/officeDocument/2006/relationships/hyperlink" Target="https://diligence.adm.br/wp-content/plugins/download-attachments/includes/download.php?id=4914" TargetMode="External" Id="rId583" /><Relationship Type="http://schemas.openxmlformats.org/officeDocument/2006/relationships/hyperlink" Target="https://scalzilliaj.com.br/sgc/download.php?file=files/processo_documento/processo_documento14231707012022_1_.pdf&amp;nome=07 - Edital do art. 7&#186;, &#167;2&#186; da Lei 11.101/2005 (segunda lista de credores)" TargetMode="External" Id="rId584" /><Relationship Type="http://schemas.openxmlformats.org/officeDocument/2006/relationships/hyperlink" Target="https://administradorajudicialgs.com.br/wp-content/uploads/2025/09/relacao-de-credores-forest-sa.pdf" TargetMode="External" Id="rId585" /><Relationship Type="http://schemas.openxmlformats.org/officeDocument/2006/relationships/hyperlink" Target="https://scalzilliaj.com.br/sgc/download.php?file=files/processo_documento/processo_documento15475207012022_1_.pdf&amp;nome=08 - Edital do art. 7&#186;, &#167;2&#186; da Lei 11.101/2005 (segunda lista de credores)" TargetMode="External" Id="rId586" /><Relationship Type="http://schemas.openxmlformats.org/officeDocument/2006/relationships/hyperlink" Target="https://recuperacaojudicial.squarespace.com/s/EDITAL-COM-A-2-LISTA-DE-CREDORES-E-INFORMANDO-A-APRESENTACO-DO-PRJ_1532.pdf" TargetMode="External" Id="rId587" /><Relationship Type="http://schemas.openxmlformats.org/officeDocument/2006/relationships/hyperlink" Target="https://scalzilliaj.com.br/sgc/download.php?file=files/processo_documento/processo_documento09425010012022_1_.pdf&amp;nome=07 - Edital do art. 7&#186;, &#167;2&#186; (segunda lista de credores) e do art. 53 da Lei 11.101/2005 (recebimento do plano)" TargetMode="External" Id="rId588" /><Relationship Type="http://schemas.openxmlformats.org/officeDocument/2006/relationships/hyperlink" Target="https://recuperacaojudicial.squarespace.com/s/RJ-Montec-Edital-2-Lista-DJe.pdf" TargetMode="External" Id="rId589" /><Relationship Type="http://schemas.openxmlformats.org/officeDocument/2006/relationships/hyperlink" Target="https://lrflideres.com.br/wp-content/plugins/download-attachments/includes/download.php?id=3615" TargetMode="External" Id="rId590" /><Relationship Type="http://schemas.openxmlformats.org/officeDocument/2006/relationships/hyperlink" Target="https://scalzilliaj.com.br/sgc/download.php?file=files/processo_documento/processo_documento16263107012022_1_.pdf&amp;nome=10 - Edital do art. 7&#186;, &#167;2&#186; da Lei 11.101/2005 (segunda lista de credores)" TargetMode="External" Id="rId591" /><Relationship Type="http://schemas.openxmlformats.org/officeDocument/2006/relationships/hyperlink" Target="https://scalzilliaj.com.br/sgc/download.php?file=files/processo_documento/processo_documento12004810012022_1_.pdf&amp;nome=08 - Edital do art. 7&#186;, &#167;2&#186; da Lei 11.101/2005 (segunda lista de credores)" TargetMode="External" Id="rId592" /><Relationship Type="http://schemas.openxmlformats.org/officeDocument/2006/relationships/hyperlink" Target="https://lrflideres.com.br/wp-content/plugins/download-attachments/includes/download.php?id=5834" TargetMode="External" Id="rId59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94" /><Relationship Type="http://schemas.openxmlformats.org/officeDocument/2006/relationships/hyperlink" Target="https://administradorajudicialgs.com.br/wp-content/uploads/2023/08/edital-relacao-de-credores.pdf" TargetMode="External" Id="rId595" /><Relationship Type="http://schemas.openxmlformats.org/officeDocument/2006/relationships/hyperlink" Target="https://administradorajudicialgs.com.br/wp-content/uploads/2023/08/doc-02-edital-de-publicacao-credores.pdf" TargetMode="External" Id="rId596"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597"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598" /><Relationship Type="http://schemas.openxmlformats.org/officeDocument/2006/relationships/hyperlink" Target="https://recuperacaojudicial.squarespace.com/s/Edital2ListaeApresentacoPRJnoDO22112012.pdf" TargetMode="External" Id="rId599" /><Relationship Type="http://schemas.openxmlformats.org/officeDocument/2006/relationships/hyperlink" Target="https://recuperacaojudicial.squarespace.com/s/RJ-CMC-Edital-da-1-Lista-de-Credores-julho-2021.pdf" TargetMode="External" Id="rId600" /><Relationship Type="http://schemas.openxmlformats.org/officeDocument/2006/relationships/hyperlink" Target="https://administradorajudicialgs.com.br/wp-content/uploads/2023/08/doc-05-publicacao-relacao-credores-22-04-16.pdf" TargetMode="External" Id="rId601" /><Relationship Type="http://schemas.openxmlformats.org/officeDocument/2006/relationships/hyperlink" Target="https://administradorajudicialgs.com.br/wp-content/uploads/2023/08/doc-04-publicacao-da-decisao-e-da-relacao-de-credores-11-12-15.pdf" TargetMode="External" Id="rId602" /><Relationship Type="http://schemas.openxmlformats.org/officeDocument/2006/relationships/hyperlink" Target="https://www.vcpericia.com.br/wp-content/uploads/2024/07/DJ_2022.01.10_Edital-venda-Grupo-Sao-Fernando.pdf" TargetMode="External" Id="rId603" /><Relationship Type="http://schemas.openxmlformats.org/officeDocument/2006/relationships/hyperlink" Target="https://administradorajudicialgs.com.br/wp-content/uploads/2023/07/doc-08-publicacao-do-recebimento-do-plano-e-da-relacao-de-credores-do-administrador-23-06-14.pdf" TargetMode="External" Id="rId604" /><Relationship Type="http://schemas.openxmlformats.org/officeDocument/2006/relationships/hyperlink" Target="https://administradorajudicialgs.com.br/wp-content/uploads/2024/10/edital-falencia-e-relacao-de-credores.pdf" TargetMode="External" Id="rId605" /><Relationship Type="http://schemas.openxmlformats.org/officeDocument/2006/relationships/hyperlink" Target="https://bugarimecoelho.com.br/ws/media-library/6bcbc667cb054f0197873f522bb076de/02---edital-do-processamento.pdf" TargetMode="External" Id="rId606" /><Relationship Type="http://schemas.openxmlformats.org/officeDocument/2006/relationships/hyperlink" Target="https://bugarimecoelho.com.br/ws/media-library/2b30262273a9470bbddc334b564f1a0e/1.-processamento-da-recuperacao.pdf" TargetMode="External" Id="rId607" /><Relationship Type="http://schemas.openxmlformats.org/officeDocument/2006/relationships/hyperlink" Target="https://marquesadmjudicial.com.br/sgc/download.php?file=files/processo_documento/processo_documento16040221112024_1_.pdf&amp;nome=1&#186; Edital - Art.52, &#167; 1&#186; - Intima&#231;&#227;o de Credores e Terceiros - Deferimento de Processamento" TargetMode="External" Id="rId608" /><Relationship Type="http://schemas.openxmlformats.org/officeDocument/2006/relationships/hyperlink" Target="https://marquesadmjudicial.com.br/sgc/download.php?file=files/processo_documento/processo_documento16353121112024_1_.pdf&amp;nome=1&#186; Edital - Art.52, &#167; 1&#186; - Intima&#231;&#227;o de Credores e Terceiros - Deferimento de Processamento - Retifica&#231;&#227;o" TargetMode="External" Id="rId609" /><Relationship Type="http://schemas.openxmlformats.org/officeDocument/2006/relationships/hyperlink" Target="https://marquesadmjudicial.com.br/sgc/download.php?file=files/processo_documento/processo_documento16335821112024_1_.pdf&amp;nome=2&#186; Edital - Art.52, &#167; 1&#186; - Intima&#231;&#227;o de Credores e Terceiros - Deferimento de Processamento" TargetMode="External" Id="rId610" /><Relationship Type="http://schemas.openxmlformats.org/officeDocument/2006/relationships/hyperlink" Target="https://realbrasil.com.br/wp-content/uploads/2024/07/7.EDITAL-LISTA-DE-CREDORES-RECUPERANDA_03.07.2024.pdf" TargetMode="External" Id="rId611" /><Relationship Type="http://schemas.openxmlformats.org/officeDocument/2006/relationships/hyperlink" Target="https://ricardobiancardi.com.br/wp-content/uploads/2024/12/Edital-1-relacao-de-credores-pub.-02.12.24-.pdf" TargetMode="External" Id="rId612" /><Relationship Type="http://schemas.openxmlformats.org/officeDocument/2006/relationships/hyperlink" Target="https://realbrasil.com.br/wp-content/uploads/2020/10/5.EDITAL-PUBLICADO-LISTA-DE-CREDORES-RECUPERANDA.pdf" TargetMode="External" Id="rId613" /><Relationship Type="http://schemas.openxmlformats.org/officeDocument/2006/relationships/hyperlink" Target="https://stenius.com.br/wp-content/uploads/2026/07/EDITAL-1-RELACAO-DE-CREDORES-GRUPO-GE.pdf" TargetMode="External" Id="rId614" /><Relationship Type="http://schemas.openxmlformats.org/officeDocument/2006/relationships/hyperlink" Target="https://realbrasil.com.br/wp-content/uploads/2018/07/EDITAL-LISTA-DA-RECUPERANDA_18.07.2018.pdf" TargetMode="External" Id="rId615" /><Relationship Type="http://schemas.openxmlformats.org/officeDocument/2006/relationships/hyperlink" Target="https://stenius.com.br/wp-content/uploads/2026/06/EDITAL-GRUPO-3E.pdf" TargetMode="External" Id="rId616" /><Relationship Type="http://schemas.openxmlformats.org/officeDocument/2006/relationships/hyperlink" Target="https://stenius.com.br/wp-content/uploads/2026/03/Publicacao-Edital-Margil.pdf" TargetMode="External" Id="rId617" /><Relationship Type="http://schemas.openxmlformats.org/officeDocument/2006/relationships/hyperlink" Target="https://stenius.com.br/wp-content/uploads/2026/06/1o-EDITAL-A-S-DIAS-NETO-PRODUTOR-RURAL-1.pdf" TargetMode="External" Id="rId618" /><Relationship Type="http://schemas.openxmlformats.org/officeDocument/2006/relationships/hyperlink" Target="https://stenius.com.br/wp-content/uploads/2026/04/11-1o-Edital-mov.418.pdf" TargetMode="External" Id="rId619" /><Relationship Type="http://schemas.openxmlformats.org/officeDocument/2006/relationships/hyperlink" Target="https://realbrasil.com.br/wp-content/uploads/2017/05/Rela&#231;&#227;o-de-Credores_-Mastter-1.pdf" TargetMode="External" Id="rId620" /><Relationship Type="http://schemas.openxmlformats.org/officeDocument/2006/relationships/hyperlink" Target="https://realbrasil.com.br/wp-content/uploads/2017/01/2-Lista-de-Credores-da-Recuperanda-Comafer.pdf" TargetMode="External" Id="rId621" /><Relationship Type="http://schemas.openxmlformats.org/officeDocument/2006/relationships/hyperlink" Target="https://credibilita.com.br/wp-content/uploads/2026/06/2026.06.02-Manifestacao-das-Recuperandas-emendando-a-peticao-inicial-e-apresentando-o-Quadro-Geral-de-Credores.pdf" TargetMode="External" Id="rId622" /><Relationship Type="http://schemas.openxmlformats.org/officeDocument/2006/relationships/hyperlink" Target="https://inova-aj.com.br/wp-content/uploads/2018/02/Rela&#231;&#227;o-de-Credores-RECICLYN-Art.-52-&#167;1&#186;-LRE.pdf" TargetMode="External" Id="rId623" /><Relationship Type="http://schemas.openxmlformats.org/officeDocument/2006/relationships/hyperlink" Target="https://credibilita.com.br/wp-content/uploads/2026/03/Expedicao-Edital-Relacao-de-Credores-08.04.2026.pdf" TargetMode="External" Id="rId624" /><Relationship Type="http://schemas.openxmlformats.org/officeDocument/2006/relationships/hyperlink" Target="https://violet-wolf-754008.hostingersite.com/wp-content/uploads/recuperacoes-judiciais/Ebramec/Embrac-1&#186;-Edital-de-Credores.pdf" TargetMode="External" Id="rId625" /><Relationship Type="http://schemas.openxmlformats.org/officeDocument/2006/relationships/hyperlink" Target="https://violet-wolf-754008.hostingersite.com/wp-content/uploads/2024/06/1o-Edital-de-Credores.pdf" TargetMode="External" Id="rId626" /><Relationship Type="http://schemas.openxmlformats.org/officeDocument/2006/relationships/hyperlink" Target="https://violet-wolf-754008.hostingersite.com/wp-content/uploads/recuperacoes-judiciais/Flexmix/1036296-61.2019.8.26.0576-1&#186;-edital.pdf" TargetMode="External" Id="rId627" /><Relationship Type="http://schemas.openxmlformats.org/officeDocument/2006/relationships/hyperlink" Target="https://violet-wolf-754008.hostingersite.com/wp-content/uploads/recuperacoes-judiciais/Grupo-Hoken/1o-Edital-de-Credores-Grupo-Hoken.pdf" TargetMode="External" Id="rId628" /><Relationship Type="http://schemas.openxmlformats.org/officeDocument/2006/relationships/hyperlink" Target="https://ajruiz.com.br/sites/default/files/public/arquivos-processos/2023-11/4_edital_de_convocacao_de_credores_art._52_parag_1o_da_lei_11.101.2005_dje_11.07.2018.pdf" TargetMode="External" Id="rId629" /><Relationship Type="http://schemas.openxmlformats.org/officeDocument/2006/relationships/hyperlink" Target="https://bbsadvogados.com.br/wp-content/uploads/2024/11/Delicatesse-Relacao-de-credores-da-recuperanda-Delicatesse-e-Mr.-Struderia.pdf" TargetMode="External" Id="rId630" /><Relationship Type="http://schemas.openxmlformats.org/officeDocument/2006/relationships/hyperlink" Target="https://lrflideres.com.br/wp-content/plugins/download-attachments/includes/download.php?id=6471" TargetMode="External" Id="rId631" /><Relationship Type="http://schemas.openxmlformats.org/officeDocument/2006/relationships/hyperlink" Target="https://lrflideres.com.br/wp-content/uploads/2021/09/2.1-PUBLICAC%CC%A7A%CC%83O-DO-DEFERIMENTO-5.pdf" TargetMode="External" Id="rId632" /><Relationship Type="http://schemas.openxmlformats.org/officeDocument/2006/relationships/hyperlink" Target="https://lrflideres.com.br/wp-content/uploads/2022/03/3.-EDITAL-1a-LISTA-DE-CREDORES.pdf" TargetMode="External" Id="rId633" /><Relationship Type="http://schemas.openxmlformats.org/officeDocument/2006/relationships/hyperlink" Target="https://lrflideres.com.br/wp-content/uploads/2025/08/2.-DEFERIMENTO-1.pdf" TargetMode="External" Id="rId634" /><Relationship Type="http://schemas.openxmlformats.org/officeDocument/2006/relationships/hyperlink" Target="https://stenius.com.br/wp-content/uploads/2024/01/Decisao-deferimento-RJ-AXE-CAPITAL.pdf" TargetMode="External" Id="rId635" /><Relationship Type="http://schemas.openxmlformats.org/officeDocument/2006/relationships/hyperlink" Target="https://www.cb2d.com.br/portal/\_uploads/5ff0becc-e17b-4904-bcdd-bb9bdae748bd.pdf" TargetMode="External" Id="rId636" /><Relationship Type="http://schemas.openxmlformats.org/officeDocument/2006/relationships/hyperlink" Target="https://recuperacaojudicial.squarespace.com/s/RJ-Auto-Posto-Edital-1a-lista-de-credores.pdf" TargetMode="External" Id="rId637" /><Relationship Type="http://schemas.openxmlformats.org/officeDocument/2006/relationships/hyperlink" Target="https://diligence.adm.br/wp-content/plugins/download-attachments/includes/download.php?id=4594" TargetMode="External" Id="rId638" /><Relationship Type="http://schemas.openxmlformats.org/officeDocument/2006/relationships/hyperlink" Target="https://cataliseaj.com.br/sgc/download.php?file=files/processo_documento/processo_documento14551004102024_1_.pdf&amp;nome=2. RELA&#199;&#195;O DE CREDORES - RECUPERANDAS" TargetMode="External" Id="rId639" /><Relationship Type="http://schemas.openxmlformats.org/officeDocument/2006/relationships/hyperlink" Target="https://cataliseaj.com.br/sgc/download.php?file=files/processo_documento/processo_documento15092204102024_1_.pdf&amp;nome=02. RELA&#199;&#195;O DE CREDORES" TargetMode="External" Id="rId640" /><Relationship Type="http://schemas.openxmlformats.org/officeDocument/2006/relationships/hyperlink" Target="https://lrflideres.com.br/wp-content/plugins/download-attachments/includes/download.php?id=3555" TargetMode="External" Id="rId641" /><Relationship Type="http://schemas.openxmlformats.org/officeDocument/2006/relationships/hyperlink" Target="https://diligence.adm.br/wp-content/plugins/download-attachments/includes/download.php?id=4712" TargetMode="External" Id="rId642" /><Relationship Type="http://schemas.openxmlformats.org/officeDocument/2006/relationships/hyperlink" Target="https://recuperacaojudicial.squarespace.com/s/RJ-PISEBEM-EDITAL-COM-A-1-LISTA-DE-CREDORES-1.pdf" TargetMode="External" Id="rId643" /><Relationship Type="http://schemas.openxmlformats.org/officeDocument/2006/relationships/hyperlink" Target="https://recuperacaojudicial.squarespace.com/s/RJ-Montec-Edital-1-Lista-DJe.pdf" TargetMode="External" Id="rId644" /><Relationship Type="http://schemas.openxmlformats.org/officeDocument/2006/relationships/hyperlink" Target="https://diligence.adm.br/wp-content/plugins/download-attachments/includes/download.php?id=4086" TargetMode="External" Id="rId645" /><Relationship Type="http://schemas.openxmlformats.org/officeDocument/2006/relationships/hyperlink" Target="https://administradorajudicialgs.com.br/wp-content/uploads/2023/11/edital-relacao-de-credores-recuperanda.pdf" TargetMode="External" Id="rId646" /><Relationship Type="http://schemas.openxmlformats.org/officeDocument/2006/relationships/hyperlink" Target="https://diligence.adm.br/wp-content/plugins/download-attachments/includes/download.php?id=4091" TargetMode="External" Id="rId647" /><Relationship Type="http://schemas.openxmlformats.org/officeDocument/2006/relationships/hyperlink" Target="https://administradorajudicialgs.com.br/wp-content/uploads/2023/08/edital-relacao-de-credores-megasan.pdf" TargetMode="External" Id="rId648" /><Relationship Type="http://schemas.openxmlformats.org/officeDocument/2006/relationships/hyperlink" Target="https://recuperacaojudicial.squarespace.com/s/Publicaco-do-Edital.pdf" TargetMode="External" Id="rId649" /><Relationship Type="http://schemas.openxmlformats.org/officeDocument/2006/relationships/hyperlink" Target="https://recuperacaojudicial.squarespace.com/s/EDITAL-COM-A-1-LISTA-DE-CREDORES_3094.pdf" TargetMode="External" Id="rId650" /><Relationship Type="http://schemas.openxmlformats.org/officeDocument/2006/relationships/hyperlink" Target="https://scalzilliaj.com.br/sgc/download.php?file=files/processo_documento/processo_documento15593902082022_1_.pdf&amp;nome=08 - Rela&#231;&#227;o de credores apresentada pela recuperanda" TargetMode="External" Id="rId651" /><Relationship Type="http://schemas.openxmlformats.org/officeDocument/2006/relationships/hyperlink" Target="https://diligence.adm.br/wp-content/plugins/download-attachments/includes/download.php?id=5637" TargetMode="External" Id="rId652" /><Relationship Type="http://schemas.openxmlformats.org/officeDocument/2006/relationships/hyperlink" Target="https://scalzilliaj.com.br/sgc/download.php?file=files/processo_documento/processo_documento11023922082024_1_.pdf&amp;nome=09 - Plano de recupera&#231;&#227;o judicial" TargetMode="External" Id="rId653" /><Relationship Type="http://schemas.openxmlformats.org/officeDocument/2006/relationships/hyperlink" Target="https://vtladm.com.br/wp-content/uploads/2024/04/15-Homologacao-Do-Plano-De-Recuperacao-Judicial-Frigorifico-Alfa-e-Ctx.pdf" TargetMode="External" Id="rId654" /><Relationship Type="http://schemas.openxmlformats.org/officeDocument/2006/relationships/hyperlink" Target="https://ricardobiancardi.com.br/wp-content/uploads/2026/01/Edital-Intimacao-concessao-da-RJ-HSM-pub.-29.06.26-.pdf" TargetMode="External" Id="rId655" /><Relationship Type="http://schemas.openxmlformats.org/officeDocument/2006/relationships/hyperlink" Target="https://realbrasil.com.br/wp-content/uploads/2018/08/1.LISTA_DE_CREDORES_PARAGON_OFFSHORE_DO_BRASIL_LTDA.pdf" TargetMode="External" Id="rId656" /><Relationship Type="http://schemas.openxmlformats.org/officeDocument/2006/relationships/hyperlink" Target="https://rlg-aj.com.br/wp-content/uploads/2023/05/16.-Sentenca-homologatoria-do-Plano-de-Recuperacao-Judicial.pdf" TargetMode="External" Id="rId657" /><Relationship Type="http://schemas.openxmlformats.org/officeDocument/2006/relationships/hyperlink" Target="https://ajruiz.com.br/sites/default/files/public/arquivos-processos/2026-06/edital_convocacao_de_credores_tecmesul.pdf" TargetMode="External" Id="rId658" /><Relationship Type="http://schemas.openxmlformats.org/officeDocument/2006/relationships/hyperlink" Target="https://administradorajudicialgs.com.br/wp-content/uploads/2024/12/relacao-de-credores-da-falida.pdf" TargetMode="External" Id="rId659" /><Relationship Type="http://schemas.openxmlformats.org/officeDocument/2006/relationships/hyperlink" Target="https://bugarimecoelho.com.br/ws/media-library/392cdc7b5c3a452b9252bb0e7627fa63/08---plano-de-recuperacao-judicial.pdf" TargetMode="External" Id="rId660" /><Relationship Type="http://schemas.openxmlformats.org/officeDocument/2006/relationships/hyperlink" Target="https://bugarimecoelho.com.br/ws/media-library/9875146249984188852cdf88ef3deb6f/4-plano-de-recuperacao-2.pdf" TargetMode="External" Id="rId661" /><Relationship Type="http://schemas.openxmlformats.org/officeDocument/2006/relationships/hyperlink" Target="https://vivanteaj.com.br/wp-content/uploads/2025/02/PRJ-AGRO-SAFRA.pdf" TargetMode="External" Id="rId662" /><Relationship Type="http://schemas.openxmlformats.org/officeDocument/2006/relationships/hyperlink" Target="https://vtladm.com.br/wp-content/uploads/2025/05/07_Plano_Recuperacao_Judicial_Agile_Equipamentos_Odontologicos.pdf" TargetMode="External" Id="rId663" /><Relationship Type="http://schemas.openxmlformats.org/officeDocument/2006/relationships/hyperlink" Target="https://stenius.com.br/wp-content/uploads/2026/04/9-Plano-de-RJ-mov.275.pdf" TargetMode="External" Id="rId664" /><Relationship Type="http://schemas.openxmlformats.org/officeDocument/2006/relationships/hyperlink" Target="https://realbrasil.com.br/wp-content/uploads/2017/06/EDITAL_19.06.2017_AJ.pdf" TargetMode="External" Id="rId665" /><Relationship Type="http://schemas.openxmlformats.org/officeDocument/2006/relationships/hyperlink" Target="https://rlg-aj.com.br/wp-content/uploads/2025/02/Plano-de-Recuperacao-Judicial-Contemporanea.pdf" TargetMode="External" Id="rId666" /><Relationship Type="http://schemas.openxmlformats.org/officeDocument/2006/relationships/hyperlink" Target="https://rlg-aj.com.br/wp-content/uploads/2026/02/20260519-Aditivo-ao-Plano-de-Recuperacao-Judicial-Madefus.pdf" TargetMode="External" Id="rId667" /><Relationship Type="http://schemas.openxmlformats.org/officeDocument/2006/relationships/hyperlink" Target="https://rlg-aj.com.br/wp-content/uploads/2025/03/15.-Primeiro-Aditivo-ao-Plano-de-Recuperacao-Judicial.pdf" TargetMode="External" Id="rId668" /><Relationship Type="http://schemas.openxmlformats.org/officeDocument/2006/relationships/hyperlink" Target="https://cataliseaj.com.br/sgc/download.php?file=files/processo_documento/processo_documento15255603102024_1_.pdf&amp;nome=5. PLANO DE RECUPERA&#199;&#195;O JUDICIAL" TargetMode="External" Id="rId669" /><Relationship Type="http://schemas.openxmlformats.org/officeDocument/2006/relationships/hyperlink" Target="https://cataliseaj.com.br/sgc/download.php?file=files/processo_documento/processo_documento15260703102024_1_.pdf&amp;nome=6. MODIFICATIVO DO PLANO DE RECUPERA&#199;&#195;O JUDICIAL" TargetMode="External" Id="rId670" /><Relationship Type="http://schemas.openxmlformats.org/officeDocument/2006/relationships/hyperlink" Target="https://cataliseaj.com.br/sgc/download.php?file=files/processo_documento/processo_documento15284003102024_1_.pdf&amp;nome=18. 3&#186; MODIFICATIVO DO PLANO DE RECUPERA&#199;&#195;O JUDICIAL" TargetMode="External" Id="rId671" /><Relationship Type="http://schemas.openxmlformats.org/officeDocument/2006/relationships/hyperlink" Target="https://cataliseaj.com.br/sgc/download.php?file=files/processo_documento/processo_documento15291703102024_1_.pdf&amp;nome=21. 4&#186; MODIFICATIVO AO PLANO DE RECUPERA&#199;&#195;O JUDICIAL" TargetMode="External" Id="rId672" /><Relationship Type="http://schemas.openxmlformats.org/officeDocument/2006/relationships/hyperlink" Target="https://cataliseaj.com.br/sgc/download.php?file=files/processo_documento/processo_documento10282322042025_1_.pdf&amp;nome=13. SEGUNDO MODIFICATIVO PRJ" TargetMode="External" Id="rId673" /><Relationship Type="http://schemas.openxmlformats.org/officeDocument/2006/relationships/hyperlink" Target="https://scalzilliaj.com.br/sgc/download.php?file=files/processo_documento/falencia_documento11171208072022_1_.pdf&amp;nome=10 - Edital do art. 18 da Lei 11.101/2005 (quadro geral de credores)" TargetMode="External" Id="rId674" /><Relationship Type="http://schemas.openxmlformats.org/officeDocument/2006/relationships/hyperlink" Target="https://scalzilliaj.com.br/sgc/download.php?file=files/processo_documento/processo_documento15570910062026_1_.pdf&amp;nome=04. Quadro Geral de Credores provis&#243;rio (29.04.2026)" TargetMode="External" Id="rId675" /><Relationship Type="http://schemas.openxmlformats.org/officeDocument/2006/relationships/hyperlink" Target="https://diligence.adm.br/wp-content/uploads/2024/05/Relacao-de-Credores-Classe-I-1.pdf" TargetMode="External" Id="rId676" /><Relationship Type="http://schemas.openxmlformats.org/officeDocument/2006/relationships/hyperlink" Target="https://diligence.adm.br/wp-content/uploads/2024/05/Relacao-de-Credores-Classe-III-1.pdf" TargetMode="External" Id="rId677" /><Relationship Type="http://schemas.openxmlformats.org/officeDocument/2006/relationships/hyperlink" Target="https://administradorajudicialgs.com.br/wp-content/uploads/2023/08/doc-05-edital-de-publicacao-relacao-de-credores-24-06-16.pdf" TargetMode="External" Id="rId678" /><Relationship Type="http://schemas.openxmlformats.org/officeDocument/2006/relationships/hyperlink" Target="https://diligence.adm.br/wp-content/uploads/2024/05/Relacao-de-Credores-Classe-IV-1.pdf" TargetMode="External" Id="rId679" /><Relationship Type="http://schemas.openxmlformats.org/officeDocument/2006/relationships/hyperlink" Target="https://administradorajudicialgs.com.br/wp-content/uploads/2024/06/edital-relacao-de-credores.pdf" TargetMode="External" Id="rId680" /><Relationship Type="http://schemas.openxmlformats.org/officeDocument/2006/relationships/hyperlink" Target="https://vivanteaj.com.br/wp-content/uploads/2023/06/2o-Aditivo-ao-Plano-de-Recuperacao-Judicial.pdf" TargetMode="External" Id="rId681" /><Relationship Type="http://schemas.openxmlformats.org/officeDocument/2006/relationships/hyperlink" Target="https://vtladm.com.br/wp-content/uploads/2026/01/14-Primeiro-Edital-de-Credores-Ellite-Consultoria-E-Assessoria-Ltda.pdf" TargetMode="External" Id="rId682" /><Relationship Type="http://schemas.openxmlformats.org/officeDocument/2006/relationships/hyperlink" Target="https://marquesadmjudicial.com.br/sgc/download.php?file=files/processo_documento/processo_documento14374912112024_1_.pdf&amp;nome=Decis&#227;o-Homologa&#231;&#227;o QGC e Encerramento da RJ" TargetMode="External" Id="rId683" /><Relationship Type="http://schemas.openxmlformats.org/officeDocument/2006/relationships/hyperlink" Target="https://marquesadmjudicial.com.br/sgc/download.php?file=files/processo_documento/processo_documento14370712112024_1_.pdf&amp;nome=Edital Homologa&#231;&#227;o QGC-Art. 18, par&#225;grafo &#250;nico, Lei 11.101_2005" TargetMode="External" Id="rId684" /><Relationship Type="http://schemas.openxmlformats.org/officeDocument/2006/relationships/hyperlink" Target="https://marquesadmjudicial.com.br/sgc/download.php?file=files/processo_documento/processo_documento14014312022025_1_.pdf&amp;nome=Edital - Homologa&#231;&#227;o do Quadro Geral de Credores" TargetMode="External" Id="rId685" /><Relationship Type="http://schemas.openxmlformats.org/officeDocument/2006/relationships/hyperlink" Target="https://vtladm.com.br/wp-content/uploads/2024/07/03-&#8211;-Manifestacao-do-Sindico-&#8211;-Sintese-do-Processo-e-Quadro-Geral-de-Credores-&#8211;-Massa-Falida-de-Francismar-Comercio-Importacao-e-Exportacao-Ltda.-e-outros.pdf" TargetMode="External" Id="rId686" /><Relationship Type="http://schemas.openxmlformats.org/officeDocument/2006/relationships/hyperlink" Target="https://vtladm.com.br/wp-content/uploads/2024/07/07-&#8211;-Manifestacao-do-Sindico-&#8211;-Quadro-Geral-de-Credores-e-Ativos-&#8211;-Massa-Falida-de-Francismar-Comercio-Importacao-e-Exportacao-Ltda.-e-outros.pdf" TargetMode="External" Id="rId687" /><Relationship Type="http://schemas.openxmlformats.org/officeDocument/2006/relationships/hyperlink" Target="https://vtladm.com.br/wp-content/uploads/2024/07/09-&#8211;-Edital-do-Quadro-Geral-de-Credores-&#8211;-Massa-Falida-de-Francismar-Comercio-Importacao-e-Exportacao-Ltda.-e-outros.pdf" TargetMode="External" Id="rId688" /><Relationship Type="http://schemas.openxmlformats.org/officeDocument/2006/relationships/hyperlink" Target="https://vtladm.com.br/wp-content/uploads/2024/07/09-&#8211;-Arrecadacao-e-Quadro-Geral-de-Credores-&#8211;-Massa-Falida-de-Xadi-Servicos-de-Odontologia-Ltda-1.pdf" TargetMode="External" Id="rId689" /><Relationship Type="http://schemas.openxmlformats.org/officeDocument/2006/relationships/hyperlink" Target="https://realbrasil.com.br/wp-content/uploads/2024/10/5.-LISTA-DE-CREDORES-RECUPERANDAS.pdf" TargetMode="External" Id="rId690" /><Relationship Type="http://schemas.openxmlformats.org/officeDocument/2006/relationships/hyperlink" Target="https://realbrasil.com.br/wp-content/uploads/2024/05/11.-LISTA-DE-CREDORES-DO-AJ_QGC-.pdf" TargetMode="External" Id="rId691" /><Relationship Type="http://schemas.openxmlformats.org/officeDocument/2006/relationships/hyperlink" Target="https://ricardobiancardi.com.br/wp-content/uploads/2025/04/Analise-PRJ.pdf" TargetMode="External" Id="rId692" /><Relationship Type="http://schemas.openxmlformats.org/officeDocument/2006/relationships/hyperlink" Target="https://realbrasil.com.br/wp-content/uploads/2025/07/10.NOVO-QGC_RETIFICADO-DO-AJ.pdf" TargetMode="External" Id="rId693" /><Relationship Type="http://schemas.openxmlformats.org/officeDocument/2006/relationships/hyperlink" Target="https://realbrasil.com.br/wp-content/uploads/2018/12/EDITAL-QGC-DO-AJ_17.12.2018.pdf" TargetMode="External" Id="rId694" /><Relationship Type="http://schemas.openxmlformats.org/officeDocument/2006/relationships/hyperlink" Target="https://realbrasil.com.br/wp-content/uploads/2018/08/EDITAL-QGC_LISTA-DE-CREDORES-DO-AJ_A&#199;OCIC.pdf" TargetMode="External" Id="rId695" /><Relationship Type="http://schemas.openxmlformats.org/officeDocument/2006/relationships/hyperlink" Target="https://realbrasil.com.br/wp-content/uploads/2017/07/QGC-Imperatriz.pdf" TargetMode="External" Id="rId696" /><Relationship Type="http://schemas.openxmlformats.org/officeDocument/2006/relationships/hyperlink" Target="https://realbrasil.com.br/wp-content/uploads/2017/05/10-Edital_Lista-de-Credores-do-AJ-Comafer.pdf" TargetMode="External" Id="rId697" /><Relationship Type="http://schemas.openxmlformats.org/officeDocument/2006/relationships/hyperlink" Target="https://violet-wolf-754008.hostingersite.com/wp-content/uploads/recuperacoes-judiciais/Alcateia-Engenharia-de-Sistema-LTDA/Segundo-Edital-de-Credores.pdf" TargetMode="External" Id="rId698" /><Relationship Type="http://schemas.openxmlformats.org/officeDocument/2006/relationships/hyperlink" Target="https://violet-wolf-754008.hostingersite.com/wp-content/uploads/recuperacoes-judiciais/Alcateia-Engenharia-de-Sistema-LTDA/Segundo-Edital-de-Credores-Disponibilizado-em-DJE.pdf" TargetMode="External" Id="rId699" /><Relationship Type="http://schemas.openxmlformats.org/officeDocument/2006/relationships/hyperlink" Target="https://credibilita.com.br/wp-content/uploads/2026/03/08.01.2026-Quadro-Geral-de-Credores-apresentado-pela-Recuperanda-ev.-1-OUT6.pdf" TargetMode="External" Id="rId700" /><Relationship Type="http://schemas.openxmlformats.org/officeDocument/2006/relationships/hyperlink" Target="https://violet-wolf-754008.hostingersite.com/wp-content/uploads/recuperacoes-judiciais/becap/05-Certida&#771;o-de-Publicac&#807;a&#771;o-do-Primeiro-Edital.pdf" TargetMode="External" Id="rId701" /><Relationship Type="http://schemas.openxmlformats.org/officeDocument/2006/relationships/hyperlink" Target="https://violet-wolf-754008.hostingersite.com/wp-content/uploads/recuperacoes-judiciais/becap/CERTID&#195;O-DE-PUBLICA&#199;&#195;O.pdf" TargetMode="External" Id="rId702" /><Relationship Type="http://schemas.openxmlformats.org/officeDocument/2006/relationships/hyperlink" Target="https://rlg-aj.com.br/wp-content/uploads/2025/02/lista-de-credores-Contemporanea.pdf" TargetMode="External" Id="rId703" /><Relationship Type="http://schemas.openxmlformats.org/officeDocument/2006/relationships/hyperlink" Target="https://violet-wolf-754008.hostingersite.com/wp-content/uploads/recuperacoes-judiciais/eit/2&#186;-Edital-de-credores.pdf" TargetMode="External" Id="rId704" /><Relationship Type="http://schemas.openxmlformats.org/officeDocument/2006/relationships/hyperlink" Target="https://violet-wolf-754008.hostingersite.com/wp-content/uploads/recuperacoes-judiciais/Ebramec/2o-Edital-de-Credores.pdf" TargetMode="External" Id="rId705" /><Relationship Type="http://schemas.openxmlformats.org/officeDocument/2006/relationships/hyperlink" Target="https://violet-wolf-754008.hostingersite.com/wp-content/uploads/recuperacoes-judiciais/Grupo-bem/2&#186;-Edital-Grupo-Bem.pdf" TargetMode="External" Id="rId706" /><Relationship Type="http://schemas.openxmlformats.org/officeDocument/2006/relationships/hyperlink" Target="https://violet-wolf-754008.hostingersite.com/wp-content/uploads/recuperacoes-judiciais/ever-ton/1&#186;-edital.pdf" TargetMode="External" Id="rId707" /><Relationship Type="http://schemas.openxmlformats.org/officeDocument/2006/relationships/hyperlink" Target="https://violet-wolf-754008.hostingersite.com/wp-content/uploads/recuperacoes-judiciais/Grupo-Hoken/2o-Edital-Grupo-Hoken.pdf" TargetMode="External" Id="rId708" /><Relationship Type="http://schemas.openxmlformats.org/officeDocument/2006/relationships/hyperlink" Target="https://violet-wolf-754008.hostingersite.com/wp-content/uploads/recuperacoes-judiciais/campo-belo/Primeiro-Edital-de-Credores-DJE.pdf" TargetMode="External" Id="rId709" /><Relationship Type="http://schemas.openxmlformats.org/officeDocument/2006/relationships/hyperlink" Target="https://violet-wolf-754008.hostingersite.com/wp-content/uploads/recuperacoes-judiciais/Pires-do-rio/DJE-2&#186;-Edital-Pires-do-Rio.pdf" TargetMode="External" Id="rId710" /><Relationship Type="http://schemas.openxmlformats.org/officeDocument/2006/relationships/hyperlink" Target="https://violet-wolf-754008.hostingersite.com/wp-content/uploads/recuperacoes-judiciais/wow/Publica&#231;&#227;o-2&#186;-Edital-Wow.pdf" TargetMode="External" Id="rId711" /><Relationship Type="http://schemas.openxmlformats.org/officeDocument/2006/relationships/hyperlink" Target="https://inova-aj.com.br/wp-content/uploads/2025/03/document.pdf" TargetMode="External" Id="rId712" /><Relationship Type="http://schemas.openxmlformats.org/officeDocument/2006/relationships/hyperlink" Target="https://inova-aj.com.br/wp-content/uploads/2020/02/Quadro-Geral-de-Credores-2.pdf" TargetMode="External" Id="rId713" /><Relationship Type="http://schemas.openxmlformats.org/officeDocument/2006/relationships/hyperlink" Target="https://gatekeeperaj.com.br/wp-content/uploads/2023/07/QGC-BRM-BUGGY.pdf" TargetMode="External" Id="rId714" /><Relationship Type="http://schemas.openxmlformats.org/officeDocument/2006/relationships/hyperlink" Target="https://gatekeeperaj.com.br/wp-content/uploads/2026/06/SEGUNDA-RELACAO-AIRSHIELD.pdf" TargetMode="External" Id="rId715" /><Relationship Type="http://schemas.openxmlformats.org/officeDocument/2006/relationships/hyperlink" Target="https://rlg-aj.com.br/wp-content/uploads/2024/01/Quadro-Geral-de-Credores-Refrigerantes-Polo-Sul.pdf" TargetMode="External" Id="rId716" /><Relationship Type="http://schemas.openxmlformats.org/officeDocument/2006/relationships/hyperlink" Target="https://inova-aj.com.br/wp-content/uploads/2024/04/Atlantis-Edital-2o-Rateio.pdf" TargetMode="External" Id="rId717" /><Relationship Type="http://schemas.openxmlformats.org/officeDocument/2006/relationships/hyperlink" Target="https://inova-aj.com.br/wp-content/uploads/2024/04/Atlantis-Edital-Informacoes-dos-Credores.pdf" TargetMode="External" Id="rId718" /><Relationship Type="http://schemas.openxmlformats.org/officeDocument/2006/relationships/hyperlink" Target="https://gatekeeperaj.com.br/wp-content/uploads/2026/01/Segunda-Relacao.pdf" TargetMode="External" Id="rId719" /><Relationship Type="http://schemas.openxmlformats.org/officeDocument/2006/relationships/hyperlink" Target="https://rlg-aj.com.br/wp-content/uploads/2024/05/8.-Primeiro-Modificativo-ao-Plano-de-Recuperacao-Judicial-Diomar.pdf" TargetMode="External" Id="rId720" /><Relationship Type="http://schemas.openxmlformats.org/officeDocument/2006/relationships/hyperlink" Target="https://gatekeeperaj.com.br/wp-content/uploads/2026/06/RELACAO-CREDORES.pdf" TargetMode="External" Id="rId721" /><Relationship Type="http://schemas.openxmlformats.org/officeDocument/2006/relationships/hyperlink" Target="https://gatekeeperaj.com.br/wp-content/uploads/2025/06/1114604-79.2022.8.26.0100-1.pdf" TargetMode="External" Id="rId722" /><Relationship Type="http://schemas.openxmlformats.org/officeDocument/2006/relationships/hyperlink" Target="https://gatekeeperaj.com.br/wp-content/uploads/2026/08/QGC-GEMEOS-25.08.2026.pdf" TargetMode="External" Id="rId723" /><Relationship Type="http://schemas.openxmlformats.org/officeDocument/2006/relationships/hyperlink" Target="https://gatekeeperaj.com.br/wp-content/uploads/2025/10/Relacao-de-credores-GTP.pdf" TargetMode="External" Id="rId724" /><Relationship Type="http://schemas.openxmlformats.org/officeDocument/2006/relationships/hyperlink" Target="https://gatekeeperaj.com.br/wp-content/uploads/2026/08/QGC-GRUPO-GTP-03.08.2026-1.pdf" TargetMode="External" Id="rId725" /><Relationship Type="http://schemas.openxmlformats.org/officeDocument/2006/relationships/hyperlink" Target="https://gatekeeperaj.com.br/wp-content/uploads/2026/07/QGC-ATUALIZADO-JULHO-28.07.2026.pdf" TargetMode="External" Id="rId726" /><Relationship Type="http://schemas.openxmlformats.org/officeDocument/2006/relationships/hyperlink" Target="https://www.cb2d.com.br/portal/_uploads/55a2cd74-2225-4cd8-b989-4bc73f210c3b.pdf" TargetMode="External" Id="rId727" /><Relationship Type="http://schemas.openxmlformats.org/officeDocument/2006/relationships/hyperlink" Target="https://gatekeeperaj.com.br/wp-content/uploads/2024/11/2a-Relacao-HEL.pdf" TargetMode="External" Id="rId728" /><Relationship Type="http://schemas.openxmlformats.org/officeDocument/2006/relationships/hyperlink" Target="https://gatekeeperaj.com.br/wp-content/uploads/2026/07/QGC-HEL-29.07.2026-1.pdf" TargetMode="External" Id="rId729" /><Relationship Type="http://schemas.openxmlformats.org/officeDocument/2006/relationships/hyperlink" Target="https://gatekeeperaj.com.br/wp-content/uploads/2026/08/QGC-BK.pdf" TargetMode="External" Id="rId730" /><Relationship Type="http://schemas.openxmlformats.org/officeDocument/2006/relationships/hyperlink" Target="https://gatekeeperaj.com.br/wp-content/uploads/2026/06/SEGUNDA-RELACAO-JOMAR.pdf" TargetMode="External" Id="rId731" /><Relationship Type="http://schemas.openxmlformats.org/officeDocument/2006/relationships/hyperlink" Target="https://gatekeeperaj.com.br/wp-content/uploads/2025/09/QGC-LCR.pdf" TargetMode="External" Id="rId732" /><Relationship Type="http://schemas.openxmlformats.org/officeDocument/2006/relationships/hyperlink" Target="https://www.cb2d.com.br/portal/_uploads/6a02f0c7-4ce5-4205-be9c-0899f9bb46c8.pdf" TargetMode="External" Id="rId733" /><Relationship Type="http://schemas.openxmlformats.org/officeDocument/2006/relationships/hyperlink" Target="https://gatekeeperaj.com.br/wp-content/uploads/2025/05/Rel-credores-Max-Ferros.pdf" TargetMode="External" Id="rId734" /><Relationship Type="http://schemas.openxmlformats.org/officeDocument/2006/relationships/hyperlink" Target="https://www.cb2d.com.br/portal/_uploads/aa7ae5e4-8341-4054-b947-72597948fa26.pdf" TargetMode="External" Id="rId735" /><Relationship Type="http://schemas.openxmlformats.org/officeDocument/2006/relationships/hyperlink" Target="https://www.cb2d.com.br/portal/_uploads/56a3cbd8-5360-4ae5-ae3a-7b92dbced0b0.pdf" TargetMode="External" Id="rId736" /><Relationship Type="http://schemas.openxmlformats.org/officeDocument/2006/relationships/hyperlink" Target="https://www.cb2d.com.br/portal/_uploads/e0a53569-6b65-453b-a2bf-022814516271.pdf" TargetMode="External" Id="rId737" /><Relationship Type="http://schemas.openxmlformats.org/officeDocument/2006/relationships/hyperlink" Target="https://acfb.com.br/wp-content/uploads/2018/05/1&#186;-Edital.pdf" TargetMode="External" Id="rId738" /><Relationship Type="http://schemas.openxmlformats.org/officeDocument/2006/relationships/hyperlink" Target="https://www.cb2d.com.br/portal/_uploads/59660091-12d0-46cb-8da2-8e05b3a56a86.pdf" TargetMode="External" Id="rId739" /><Relationship Type="http://schemas.openxmlformats.org/officeDocument/2006/relationships/hyperlink" Target="https://ajruiz.com.br/sites/default/files/public/arquivos-processos/2023-12/2._relacao_de_credores.pdf" TargetMode="External" Id="rId740" /><Relationship Type="http://schemas.openxmlformats.org/officeDocument/2006/relationships/hyperlink" Target="https://ativosajce.com.br/admin/download.php?file=files/processo_documento/processo_documento18363702062025_1_.pdf&amp;nome=Edital de Rela&#231;&#227;o de Credores - Art. 7&#186;, &#167; 2&#186; - 24/04/2025" TargetMode="External" Id="rId741" /><Relationship Type="http://schemas.openxmlformats.org/officeDocument/2006/relationships/hyperlink" Target="https://ativosajce.com.br/admin/download.php?file=files/processo_documento/processo_documento16304230012025_1_.pdf&amp;nome=Edital QGC - 09/12/2024" TargetMode="External" Id="rId742" /><Relationship Type="http://schemas.openxmlformats.org/officeDocument/2006/relationships/hyperlink" Target="https://ativosajce.com.br/admin/download.php?file=files/processo_documento/processo_documento17021122082022_1_.pdf&amp;nome=Edital de Credores - Art. 52, &#167; 1&#186;, da Lei 11.101/2005 - 22/08/2022" TargetMode="External" Id="rId743" /><Relationship Type="http://schemas.openxmlformats.org/officeDocument/2006/relationships/hyperlink" Target="https://3fmodas.madgav.com.br/wp-content/uploads/2025/05/Quadro-Geral-de-Credores.pdf" TargetMode="External" Id="rId744" /><Relationship Type="http://schemas.openxmlformats.org/officeDocument/2006/relationships/hyperlink" Target="https://administradorajudicialgs.com.br/wp-content/uploads/2023/08/edital-quadro-geral-de-credores.pdf" TargetMode="External" Id="rId745" /><Relationship Type="http://schemas.openxmlformats.org/officeDocument/2006/relationships/hyperlink" Target="https://diligence.adm.br/wp-content/uploads/2024/05/Apresentacao-do-edital-QGC.pdf" TargetMode="External" Id="rId746" /><Relationship Type="http://schemas.openxmlformats.org/officeDocument/2006/relationships/hyperlink" Target="https://rlg-aj.com.br/wp-content/uploads/2025/02/Publicacao-do-Edital-da-Segunda-Lista-de-Credores-e-Aviso-de-Recebimento-do-Plano-de-Recuperacao-Judicial-Contemporanea.pdf" TargetMode="External" Id="rId747" /><Relationship Type="http://schemas.openxmlformats.org/officeDocument/2006/relationships/hyperlink" Target="https://vtladm.com.br/wp-content/uploads/2024/07/10-%E2%80%93-Edital-%E2%80%93-Quadro-Geral-de-Credores-%E2%80%93-Massa-Falida-de-Xadi-Servicos-de-Odontologia-Ltda.pdf" TargetMode="External" Id="rId748" /><Relationship Type="http://schemas.openxmlformats.org/officeDocument/2006/relationships/hyperlink" Target="https://www.bugarimecoelho.com.br/ws/media-library/8a4db3196289447e90c0a3273a5a6258/29.-edital-03o-aditivo-qgc.pdf" TargetMode="External" Id="rId749" /><Relationship Type="http://schemas.openxmlformats.org/officeDocument/2006/relationships/hyperlink" Target="https://cataliseaj.com.br/sgc/download.php?file=files/processo_documento/processo_documento13563210062024_1_.pdf&amp;nome=8. QUADRO GERAL DE CREDORES" TargetMode="External" Id="rId750" /><Relationship Type="http://schemas.openxmlformats.org/officeDocument/2006/relationships/hyperlink" Target="https://cataliseaj.com.br/sgc/download.php?file=files/processo_documento/processo_documento15542610062024_1_.pdf&amp;nome=12. HOMOLOGADO QUADRO GERAL DE CREDORES" TargetMode="External" Id="rId751" /><Relationship Type="http://schemas.openxmlformats.org/officeDocument/2006/relationships/hyperlink" Target="https://cataliseaj.com.br/sgc/download.php?file=files/processo_documento/processo_documento17360510062024_1_.pdf&amp;nome=10. LISTA QUADRO-GERAL DE CREDORES" TargetMode="External" Id="rId752" /><Relationship Type="http://schemas.openxmlformats.org/officeDocument/2006/relationships/hyperlink" Target="https://cataliseaj.com.br/sgc/download.php?file=files/processo_documento/processo_documento17364510062024_1_.pdf&amp;nome=12. EDITAL QUADRO-GERAL DE CREDORES" TargetMode="External" Id="rId753" /><Relationship Type="http://schemas.openxmlformats.org/officeDocument/2006/relationships/hyperlink" Target="https://diligence.adm.br/wp-content/plugins/download-attachments/includes/download.php?id=4121" TargetMode="External" Id="rId754" /><Relationship Type="http://schemas.openxmlformats.org/officeDocument/2006/relationships/hyperlink" Target="https://recuperacaojudicial.squarespace.com/s/Fal-Usina-Catende-Edital-da-1-Lista-marco-2012.pdf" TargetMode="External" Id="rId755" /><Relationship Type="http://schemas.openxmlformats.org/officeDocument/2006/relationships/hyperlink" Target="https://cataliseaj.com.br/sgc/download.php?file=files/processo_documento/processo_documento16031312062024_1_.pdf&amp;nome=14. RELA&#199;&#195;O DE CREDORES INDIVIDUALIZADA" TargetMode="External" Id="rId756" /><Relationship Type="http://schemas.openxmlformats.org/officeDocument/2006/relationships/hyperlink" Target="https://scalzilliaj.com.br/sgc/download.php?file=files/processo_documento/processo_documento14011402072025_1_.pdf&amp;nome=04 - Rela&#231;&#227;o de credores do art. 7, &#167;2&#186;, da LREF" TargetMode="External" Id="rId757" /><Relationship Type="http://schemas.openxmlformats.org/officeDocument/2006/relationships/hyperlink" Target="https://scalzilliaj.com.br/sgc/download.php?file=files/processo_documento/processo_documento14070402072025_1_.pdf&amp;nome=06 - Rela&#231;&#227;o de credores do art. 18, da LREF" TargetMode="External" Id="rId758" /><Relationship Type="http://schemas.openxmlformats.org/officeDocument/2006/relationships/hyperlink" Target="https://cataliseaj.com.br/sgc/download.php?file=files/processo_documento/processo_documento14081810062024_1_.pdf&amp;nome=18. SENTEN&#199;A - ENCERRAMENTO DA FAL&#202;NCIA" TargetMode="External" Id="rId759" /><Relationship Type="http://schemas.openxmlformats.org/officeDocument/2006/relationships/hyperlink" Target="https://cataliseaj.com.br/sgc/download.php?file=files/processo_documento/processo_documento11070313032026_1_.pdf&amp;nome=2. SENTEN&#199;A  FAL&#202;NCIA" TargetMode="External" Id="rId760"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761" /><Relationship Type="http://schemas.openxmlformats.org/officeDocument/2006/relationships/hyperlink" Target="https://scalzilliaj.com.br/sgc/download.php?file=files/processo_documento/processo_documento18311426082026_1_.pdf&amp;nome=03 - Rela&#231;&#227;o de credores (Edital do art. 52, &#167;1&#186;)" TargetMode="External" Id="rId762" /><Relationship Type="http://schemas.openxmlformats.org/officeDocument/2006/relationships/hyperlink" Target="https://lrflideres.com.br/wp-content/plugins/download-attachments/includes/download.php?id=3751" TargetMode="External" Id="rId763" /><Relationship Type="http://schemas.openxmlformats.org/officeDocument/2006/relationships/hyperlink" Target="https://scalzilliaj.com.br/sgc/download.php?file=files/processo_documento/processo_documento13180420072022_1_.pdf&amp;nome=13 - QGC provis&#243;rio" TargetMode="External" Id="rId764" /><Relationship Type="http://schemas.openxmlformats.org/officeDocument/2006/relationships/hyperlink" Target="https://diligence.adm.br/wp-content/uploads/2024/04/Relacao-de-Credores-Classe-I-Atualizada-Outubro-25-1.pdf" TargetMode="External" Id="rId765" /><Relationship Type="http://schemas.openxmlformats.org/officeDocument/2006/relationships/hyperlink" Target="https://cataliseaj.com.br/sgc/download.php?file=files/processo_documento/processo_documento09035011062024_1_.pdf&amp;nome=14. 2&#186; PLANO MODIFICATIVO" TargetMode="External" Id="rId766" /><Relationship Type="http://schemas.openxmlformats.org/officeDocument/2006/relationships/hyperlink" Target="https://scalzilliaj.com.br/sgc/download.php?file=files/processo_documento/processo_documento18432315122023_1_.pdf&amp;nome=15 - Edital do art. 18 da Lei 11.101/2005 (quadro geral de credores)" TargetMode="External" Id="rId767" /><Relationship Type="http://schemas.openxmlformats.org/officeDocument/2006/relationships/hyperlink" Target="https://diligence.adm.br/wp-content/uploads/2024/04/Relacao-de-Credores-Classe-III-Atualizada-Outubro-25-1.pdf" TargetMode="External" Id="rId768" /><Relationship Type="http://schemas.openxmlformats.org/officeDocument/2006/relationships/hyperlink" Target="https://cataliseaj.com.br/sgc/download.php?file=files/processo_documento/processo_documento09045611062024_1_.pdf&amp;nome=15. 3&#186; PLANO MODIFICATIVO" TargetMode="External" Id="rId769" /><Relationship Type="http://schemas.openxmlformats.org/officeDocument/2006/relationships/hyperlink" Target="https://scalzilliaj.com.br/sgc/download.php?file=files/processo_documento/processo_documento11564713012025_1_.pdf&amp;nome=17 - Edital de retifica&#231;&#227;o do Quadro Geral de Credores (referente apenas &#224; Classe I)" TargetMode="External" Id="rId770" /><Relationship Type="http://schemas.openxmlformats.org/officeDocument/2006/relationships/hyperlink" Target="https://diligence.adm.br/wp-content/uploads/2024/04/Relacao-de-Credores-Classe-IV-Atualizada-Outubro-25-1.pdf" TargetMode="External" Id="rId771" /><Relationship Type="http://schemas.openxmlformats.org/officeDocument/2006/relationships/hyperlink" Target="https://cataliseaj.com.br/sgc/download.php?file=files/processo_documento/processo_documento11351511062024_1_.pdf&amp;nome=  22. SENTEN&#199;A CONVOLA&#199;&#195;O DA RJ EM FAL&#202;NCIA CONTINUADA" TargetMode="External" Id="rId772" /><Relationship Type="http://schemas.openxmlformats.org/officeDocument/2006/relationships/hyperlink" Target="https://scalzilliaj.com.br/sgc/download.php?file=files/processo_documento/processo_documento13183320052026_1_.pdf&amp;nome=10 - QGC Provis&#243;rio - atualizado at&#233; Maio de 2026" TargetMode="External" Id="rId773" /><Relationship Type="http://schemas.openxmlformats.org/officeDocument/2006/relationships/hyperlink" Target="https://scalzilliaj.com.br/sgc/download.php?file=files/processo_documento/processo_documento15242107012022_1_.pdf&amp;nome=10 - Edital do art. 18 da Lei 11.101/2005 (quadro geral de credores)" TargetMode="External" Id="rId774" /><Relationship Type="http://schemas.openxmlformats.org/officeDocument/2006/relationships/hyperlink" Target="https://cataliseaj.com.br/sgc/download.php?file=files/processo_documento/processo_documento15263203102024_1_.pdf&amp;nome=7. 2&#186; MODIFICATIVO DO PLANO DE RECUPERA&#199;&#195;O JUDICIAL" TargetMode="External" Id="rId775" /><Relationship Type="http://schemas.openxmlformats.org/officeDocument/2006/relationships/hyperlink" Target="https://administradorajudicialgs.com.br/wp-content/uploads/2023/08/edital-decisao-de-processamento-e-relacao-de-credores-art-7-e-52.pdf" TargetMode="External" Id="rId776" /><Relationship Type="http://schemas.openxmlformats.org/officeDocument/2006/relationships/hyperlink" Target="https://scalzilliaj.com.br/sgc/download.php?file=files/processo_documento/processo_documento11471404022026_1_.pdf&amp;nome=07 - Quadro Geral de Credores e chamamento para indica&#231;&#227;o de dados banc&#225;rios" TargetMode="External" Id="rId777" /><Relationship Type="http://schemas.openxmlformats.org/officeDocument/2006/relationships/hyperlink" Target="https://scalzilliaj.com.br/sgc/download.php?file=files/processo_documento/processo_documento11070417062026_1_.pdf&amp;nome=04 - Quadro Geral de Credores" TargetMode="External" Id="rId778" /><Relationship Type="http://schemas.openxmlformats.org/officeDocument/2006/relationships/hyperlink" Target="https://credibilita.com.br/wp-content/uploads/2025/09/Relacao-Credores-29.04.2026.pdf" TargetMode="External" Id="rId779" /><Relationship Type="http://schemas.openxmlformats.org/officeDocument/2006/relationships/hyperlink" Target="https://recuperacaojudicial.squarespace.com/s/0011283-8020238172001-1736865367684-401832-pub-edital-152739742.pdf" TargetMode="External" Id="rId780" /><Relationship Type="http://schemas.openxmlformats.org/officeDocument/2006/relationships/hyperlink" Target="https://administradorajudicialgs.com.br/wp-content/uploads/2023/08/doc-02-relacao-de-credores-1.pdf" TargetMode="External" Id="rId781" /><Relationship Type="http://schemas.openxmlformats.org/officeDocument/2006/relationships/hyperlink" Target="https://administradorajudicialgs.com.br/wp-content/uploads/2023/08/doc-02-relacao-de-credores-2.pdf" TargetMode="External" Id="rId782" /><Relationship Type="http://schemas.openxmlformats.org/officeDocument/2006/relationships/hyperlink" Target="https://lrflideres.com.br/wp-content/plugins/download-attachments/includes/download.php?id=3977" TargetMode="External" Id="rId783" /><Relationship Type="http://schemas.openxmlformats.org/officeDocument/2006/relationships/hyperlink" Target="https://diligence.adm.br/wp-content/plugins/download-attachments/includes/download.php?id=4538" TargetMode="External" Id="rId784" /><Relationship Type="http://schemas.openxmlformats.org/officeDocument/2006/relationships/hyperlink" Target="https://diligence.adm.br/wp-content/plugins/download-attachments/includes/download.php?id=4554" TargetMode="External" Id="rId785" /><Relationship Type="http://schemas.openxmlformats.org/officeDocument/2006/relationships/hyperlink" Target="https://administradorajudicialgs.com.br/wp-content/uploads/2024/10/relacao-de-credores-da-recuperanda.pdf" TargetMode="External" Id="rId786" /><Relationship Type="http://schemas.openxmlformats.org/officeDocument/2006/relationships/hyperlink" Target="https://administradorajudicialgs.com.br/wp-content/uploads/2023/08/relacao-de-credores-da-recuperanda-2.pdf" TargetMode="External" Id="rId787" /><Relationship Type="http://schemas.openxmlformats.org/officeDocument/2006/relationships/hyperlink" Target="https://administradorajudicialgs.com.br/wp-content/uploads/2023/08/albertina-relacao-de-credores.pdf" TargetMode="External" Id="rId788" /><Relationship Type="http://schemas.openxmlformats.org/officeDocument/2006/relationships/hyperlink" Target="https://administradorajudicialgs.com.br/wp-content/uploads/2023/08/roberto-relacao-credores.pdf" TargetMode="External" Id="rId789" /><Relationship Type="http://schemas.openxmlformats.org/officeDocument/2006/relationships/hyperlink" Target="https://lrflideres.com.br/wp-content/plugins/download-attachments/includes/download.php?id=6018" TargetMode="External" Id="rId790" /><Relationship Type="http://schemas.openxmlformats.org/officeDocument/2006/relationships/hyperlink" Target="https://vivanteaj.com.br/wp-content/uploads/2024/11/11.06.2024-QGC-Laginha-1.pdf" TargetMode="External" Id="rId791" /><Relationship Type="http://schemas.openxmlformats.org/officeDocument/2006/relationships/hyperlink" Target="https://vivanteaj.com.br/wp-content/uploads/2025/02/2a-lista-de-credores-Agro-Safra-e-outros.pdf" TargetMode="External" Id="rId792" /><Relationship Type="http://schemas.openxmlformats.org/officeDocument/2006/relationships/hyperlink" Target="https://vivanteaj.com.br/wp-content/uploads/2024/11/1a-lista-de-credores-metalloys.pdf" TargetMode="External" Id="rId793" /><Relationship Type="http://schemas.openxmlformats.org/officeDocument/2006/relationships/hyperlink" Target="https://vivanteaj.com.br/wp-content/uploads/2025/02/2a-lista-de-credores-MFC-Industria.pdf" TargetMode="External" Id="rId794" /><Relationship Type="http://schemas.openxmlformats.org/officeDocument/2006/relationships/hyperlink" Target="https://vivanteaj.com.br/wp-content/uploads/2024/11/2a-lista-de-credores-JA-Santos.pdf" TargetMode="External" Id="rId795" /><Relationship Type="http://schemas.openxmlformats.org/officeDocument/2006/relationships/hyperlink" Target="https://bugarimecoelho.com.br/ws/media-library/38bfb264f2d01233d1cc8db0ec27f7b2/15---sentenca-de-extincao-da-recuperacao.pdf" TargetMode="External" Id="rId796" /><Relationship Type="http://schemas.openxmlformats.org/officeDocument/2006/relationships/hyperlink" Target="https://bugarimecoelho.com.br/ws/media-library/6c628fe11ba9764cefa3c40adaef0fb6/57---edital-de-extincao-da-rj.pdf" TargetMode="External" Id="rId797" /><Relationship Type="http://schemas.openxmlformats.org/officeDocument/2006/relationships/hyperlink" Target="https://vivanteaj.com.br/wp-content/uploads/2024/11/plano-de-recuperacao.pdf" TargetMode="External" Id="rId798" /><Relationship Type="http://schemas.openxmlformats.org/officeDocument/2006/relationships/hyperlink" Target="https://vivanteaj.com.br/wp-content/uploads/2024/11/1-aditivo-prj.pdf" TargetMode="External" Id="rId799" /><Relationship Type="http://schemas.openxmlformats.org/officeDocument/2006/relationships/hyperlink" Target="https://vivanteaj.com.br/wp-content/uploads/2024/11/2-aitivo-prj.pdf" TargetMode="External" Id="rId800" /><Relationship Type="http://schemas.openxmlformats.org/officeDocument/2006/relationships/hyperlink" Target="https://vivanteaj.com.br/wp-content/uploads/2024/11/Analise-do-PRJ-ONDUNORTE.pdf" TargetMode="External" Id="rId801" /><Relationship Type="http://schemas.openxmlformats.org/officeDocument/2006/relationships/hyperlink" Target="https://vivanteaj.com.br/wp-content/uploads/2024/11/Plano-de-Recuperacao-Judicial-.pdf" TargetMode="External" Id="rId802" /><Relationship Type="http://schemas.openxmlformats.org/officeDocument/2006/relationships/hyperlink" Target="https://vivanteaj.com.br/wp-content/uploads/2024/11/Sentenca-de-decretacao-da-flaencia.pdf" TargetMode="External" Id="rId803" /><Relationship Type="http://schemas.openxmlformats.org/officeDocument/2006/relationships/hyperlink" Target="https://vivanteaj.com.br/wp-content/uploads/2023/06/Plano-de-Recuperacao-Judicial.pdf" TargetMode="External" Id="rId804" /><Relationship Type="http://schemas.openxmlformats.org/officeDocument/2006/relationships/hyperlink" Target="https://vivanteaj.com.br/wp-content/uploads/2023/06/1o-Aditivo-ao-Plano-de-Recuperacao-Judicial.pdf" TargetMode="External" Id="rId805" /><Relationship Type="http://schemas.openxmlformats.org/officeDocument/2006/relationships/hyperlink" Target="https://vivanteaj.com.br/wp-content/uploads/2023/06/3o-Aditivo-ao-Plano-de-Recuperacao-Judicial.pdf" TargetMode="External" Id="rId806" /><Relationship Type="http://schemas.openxmlformats.org/officeDocument/2006/relationships/hyperlink" Target="https://vtladm.com.br/wp-content/uploads/2025/08/02-&#8211;-Primeira-Relacao-de-Credores-&#8211;-Distribuidora-de-Frutas-Rumo-Novo-Ltda.-EPP-e-outros.pdf" TargetMode="External" Id="rId807" /><Relationship Type="http://schemas.openxmlformats.org/officeDocument/2006/relationships/hyperlink" Target="https://vtladm.com.br/wp-content/uploads/2026/01/02-Relacao-de-Credores-Ellite-Consultoria-E-Assessoria-Ltda.pdf" TargetMode="External" Id="rId808" /><Relationship Type="http://schemas.openxmlformats.org/officeDocument/2006/relationships/hyperlink" Target="https://vtladm.com.br/wp-content/uploads/2024/04/02.-Relacao-de-Credores.pdf" TargetMode="External" Id="rId809" /><Relationship Type="http://schemas.openxmlformats.org/officeDocument/2006/relationships/hyperlink" Target="https://vtladm.com.br/wp-content/uploads/2026/06/02-&#8211;-Relacao-de-Credores-&#8211;-NAIR-AKICO-KAWAKAMI-MORIOKA-E-OUTROS.pdf" TargetMode="External" Id="rId810" /><Relationship Type="http://schemas.openxmlformats.org/officeDocument/2006/relationships/hyperlink" Target="https://vtladm.com.br/wp-content/uploads/2024/02/02-&#8211;-Relacao-de-Credores-&#8211;-WWS-Services-e-Worldwide.pdf" TargetMode="External" Id="rId811" /><Relationship Type="http://schemas.openxmlformats.org/officeDocument/2006/relationships/hyperlink" Target="https://marquesadmjudicial.com.br/sgc/download.php?file=files/processo_documento/processo_documento16115007032024_1_.pdf&amp;nome=Rela&#231;&#227;o Nominal de Credores da AJ Retificada - Classe IV" TargetMode="External" Id="rId812" /><Relationship Type="http://schemas.openxmlformats.org/officeDocument/2006/relationships/hyperlink" Target="https://vtladm.com.br/wp-content/uploads/2025/06/06-&#8211;-Manifestacao-do-Administrador-Judicial-&#8211;-Insolvencia-Civil-de-Ambrosino-de-Serpa-Coutinho.pdf" TargetMode="External" Id="rId813" /><Relationship Type="http://schemas.openxmlformats.org/officeDocument/2006/relationships/hyperlink" Target="https://marquesadmjudicial.com.br/sgc/download.php?file=files/processo_documento/processo_documento15422908032024_1_.pdf&amp;nome=Rela&#231;&#227;o de Credores das Recuperandas" TargetMode="External" Id="rId814" /><Relationship Type="http://schemas.openxmlformats.org/officeDocument/2006/relationships/hyperlink" Target="https://marquesadmjudicial.com.br/sgc/download.php?file=files/processo_documento/processo_documento09335916012025_1_.pdf&amp;nome=Rela&#231;&#227;o de Credores Recuperandas Classe II - Garantia Real" TargetMode="External" Id="rId815" /><Relationship Type="http://schemas.openxmlformats.org/officeDocument/2006/relationships/hyperlink" Target="https://marquesadmjudicial.com.br/sgc/download.php?file=files/processo_documento/processo_documento09415102042026_1_.pdf&amp;nome=Rela&#231;&#227;o de credores Fam&#237;lia - Classe III" TargetMode="External" Id="rId816" /><Relationship Type="http://schemas.openxmlformats.org/officeDocument/2006/relationships/hyperlink" Target="https://marquesadmjudicial.com.br/sgc/download.php?file=files/processo_documento/processo_documento09421602042026_1_.pdf&amp;nome=Rela&#231;&#227;o de credores Golden" TargetMode="External" Id="rId817" /><Relationship Type="http://schemas.openxmlformats.org/officeDocument/2006/relationships/hyperlink" Target="https://realbrasil.com.br/wp-content/uploads/2024/05/4.LISTA-DE-CREDORES-DEVEDORA.pdf" TargetMode="External" Id="rId818" /><Relationship Type="http://schemas.openxmlformats.org/officeDocument/2006/relationships/hyperlink" Target="https://realbrasil.com.br/wp-content/uploads/2025/07/7.EDITAL-QUADRO-DE-CREDORES-DO-AJ.pdf" TargetMode="External" Id="rId819" /><Relationship Type="http://schemas.openxmlformats.org/officeDocument/2006/relationships/hyperlink" Target="https://realbrasil.com.br/wp-content/uploads/2020/10/4.LISTA-DE-RECUPERANDA-CREDORES.pdf" TargetMode="External" Id="rId820" /><Relationship Type="http://schemas.openxmlformats.org/officeDocument/2006/relationships/hyperlink" Target="https://realbrasil.com.br/wp-content/uploads/2021/05/LISTA-DE-CREDORES-ALPHATEC.pdf" TargetMode="External" Id="rId821" /><Relationship Type="http://schemas.openxmlformats.org/officeDocument/2006/relationships/hyperlink" Target="https://stenius.com.br/wp-content/uploads/2026/08/Edital-2&#176;-Relacao-de-Credores-e-Aviso-de-Recebumento-do-Plano-de-Reccuperacao-Judicial-do-Grupo-3E-1.pdf" TargetMode="External" Id="rId822" /><Relationship Type="http://schemas.openxmlformats.org/officeDocument/2006/relationships/hyperlink" Target="https://realbrasil.com.br/wp-content/uploads/2019/02/LISTA-DE-CREDORES-DA-RECUPERANDA.pdf" TargetMode="External" Id="rId823" /><Relationship Type="http://schemas.openxmlformats.org/officeDocument/2006/relationships/hyperlink" Target="https://realbrasil.com.br/wp-content/uploads/2018/08/1.LISTA-DE-CREDORES-DA-FALIDA.pdf" TargetMode="External" Id="rId824" /><Relationship Type="http://schemas.openxmlformats.org/officeDocument/2006/relationships/hyperlink" Target="https://stenius.com.br/wp-content/uploads/2026/05/2-RELACAO-DE-CREDORES-MARGIL.pdf" TargetMode="External" Id="rId825" /><Relationship Type="http://schemas.openxmlformats.org/officeDocument/2006/relationships/hyperlink" Target="https://stenius.com.br/wp-content/uploads/2026/05/Edital-2-relacao-credores-Dinkoski.pdf" TargetMode="External" Id="rId826" /><Relationship Type="http://schemas.openxmlformats.org/officeDocument/2006/relationships/hyperlink" Target="https://realbrasil.com.br/wp-content/uploads/2018/08/2.LISTA_DE_CREDORES_PARAGON_OFFSHORE_DRILLING_DO_BRASIL_LTDA.pdf" TargetMode="External" Id="rId827" /><Relationship Type="http://schemas.openxmlformats.org/officeDocument/2006/relationships/hyperlink" Target="https://stenius.com.br/wp-content/uploads/2026/04/4-Plano-de-RJ-mov.57.pdf" TargetMode="External" Id="rId828" /><Relationship Type="http://schemas.openxmlformats.org/officeDocument/2006/relationships/hyperlink" Target="https://stenius.com.br/wp-content/uploads/2026/04/5-Plano-de-Recuperacao-Judicial-mov.55.pdf" TargetMode="External" Id="rId829" /><Relationship Type="http://schemas.openxmlformats.org/officeDocument/2006/relationships/hyperlink" Target="https://realbrasil.com.br/wp-content/uploads/2017/10/2_RELA&#199;&#195;O-NOMINAL-DE-CREDORES-PORPLAN.pdf" TargetMode="External" Id="rId830" /><Relationship Type="http://schemas.openxmlformats.org/officeDocument/2006/relationships/hyperlink" Target="https://stenius.com.br/wp-content/uploads/2026/04/1-edital.pdf" TargetMode="External" Id="rId831" /><Relationship Type="http://schemas.openxmlformats.org/officeDocument/2006/relationships/hyperlink" Target="https://realbrasil.com.br/wp-content/uploads/2017/05/Lista-de-Credores-radar.pdf" TargetMode="External" Id="rId832" /><Relationship Type="http://schemas.openxmlformats.org/officeDocument/2006/relationships/hyperlink" Target="https://credibilita.com.br/wp-content/uploads/2024/02/Lista-de-credores-Figueirense-Futebol-Clube.pdf" TargetMode="External" Id="rId833" /><Relationship Type="http://schemas.openxmlformats.org/officeDocument/2006/relationships/hyperlink" Target="https://credibilita.com.br/wp-content/uploads/2026/03/05.03.2026-Lista-de-Credores-apresentada-pela-Recuperanda-1.pdf" TargetMode="External" Id="rId834" /><Relationship Type="http://schemas.openxmlformats.org/officeDocument/2006/relationships/hyperlink" Target="https://inova-aj.com.br/wp-content/uploads/2026/04/Grupo-Widmen-Segunda-Relacao-de-Credores.pdf" TargetMode="External" Id="rId835" /><Relationship Type="http://schemas.openxmlformats.org/officeDocument/2006/relationships/hyperlink" Target="https://inova-aj.com.br/wp-content/uploads/2024/05/Officilab-Segunda-Relacao-de-Credores.pdf" TargetMode="External" Id="rId836" /><Relationship Type="http://schemas.openxmlformats.org/officeDocument/2006/relationships/hyperlink" Target="https://credibilita.com.br/wp-content/uploads/2024/12/02.06.2025-Relacao-de-Credores-mov.-49.2.pdf" TargetMode="External" Id="rId837" /><Relationship Type="http://schemas.openxmlformats.org/officeDocument/2006/relationships/hyperlink" Target="https://inova-aj.com.br/wp-content/uploads/2023/12/Relacao-de-Credores-Officilab-.pdf" TargetMode="External" Id="rId838" /><Relationship Type="http://schemas.openxmlformats.org/officeDocument/2006/relationships/hyperlink" Target="https://inova-aj.com.br/wp-content/uploads/2024/04/Concal-Edital-Recebimento-do-PRJ-e-2a-Relacao-de-Credores.pdf" TargetMode="External" Id="rId839" /><Relationship Type="http://schemas.openxmlformats.org/officeDocument/2006/relationships/hyperlink" Target="https://inova-aj.com.br/wp-content/uploads/2023/10/Concal-Relacao-de-Credores-0928454-54.2023.8.19.0001.pdf" TargetMode="External" Id="rId840" /><Relationship Type="http://schemas.openxmlformats.org/officeDocument/2006/relationships/hyperlink" Target="https://inova-aj.com.br/wp-content/uploads/2019/11/Rela&#231;&#227;o-de-Credores-Inclu&#237;dos-na-2&#170;-Op&#231;&#227;o-do-PRJ-1.pdf" TargetMode="External" Id="rId841" /><Relationship Type="http://schemas.openxmlformats.org/officeDocument/2006/relationships/hyperlink" Target="https://rlg-aj.com.br/wp-content/uploads/2024/02/6.-Relacao-de-Credores-Retificacao-Starkfest.pdf" TargetMode="External" Id="rId842" /><Relationship Type="http://schemas.openxmlformats.org/officeDocument/2006/relationships/hyperlink" Target="https://inova-aj.com.br/wp-content/uploads/2017/07/Rela&#231;&#227;o-de-Credores-Enget&#233;cnica-e-Zadar-Art.-7&#186;-&#167;2&#186;-LRE-Publicada...pdf" TargetMode="External" Id="rId843" /><Relationship Type="http://schemas.openxmlformats.org/officeDocument/2006/relationships/hyperlink" Target="https://rlg-aj.com.br/wp-content/uploads/2024/11/07.-Rela&#231;&#227;o-de-credores.pdf" TargetMode="External" Id="rId844" /><Relationship Type="http://schemas.openxmlformats.org/officeDocument/2006/relationships/hyperlink" Target="https://rlg-aj.com.br/wp-content/uploads/2024/11/14.-Rela&#231;&#227;o-de-credores-Retifica&#231;&#227;o-1.pdf" TargetMode="External" Id="rId845" /><Relationship Type="http://schemas.openxmlformats.org/officeDocument/2006/relationships/hyperlink" Target="https://inova-aj.com.br/wp-content/uploads/2025/02/Salutar-2a-Relacao-de-Credores.pdf" TargetMode="External" Id="rId846" /><Relationship Type="http://schemas.openxmlformats.org/officeDocument/2006/relationships/hyperlink" Target="https://inova-aj.com.br/wp-content/uploads/2025/04/2-Relacao-de-Credores-14.08.2023.pdf" TargetMode="External" Id="rId847" /><Relationship Type="http://schemas.openxmlformats.org/officeDocument/2006/relationships/hyperlink" Target="https://inova-aj.com.br/wp-content/uploads/2024/01/00141185020148190045-21.pdf" TargetMode="External" Id="rId848" /><Relationship Type="http://schemas.openxmlformats.org/officeDocument/2006/relationships/hyperlink" Target="https://gatekeeperaj.com.br/wp-content/uploads/2026/03/LISTA-DE-CREDORES-AIR-SHIELD.pdf" TargetMode="External" Id="rId849" /><Relationship Type="http://schemas.openxmlformats.org/officeDocument/2006/relationships/hyperlink" Target="https://inova-aj.com.br/wp-content/uploads/2026/08/Desenvolvimento-Engenharia-QGC-nov.24.pdf" TargetMode="External" Id="rId850" /><Relationship Type="http://schemas.openxmlformats.org/officeDocument/2006/relationships/hyperlink" Target="https://gatekeeperaj.com.br/wp-content/uploads/2025/10/RELACAO-DE-CREDORES.pdf" TargetMode="External" Id="rId851" /><Relationship Type="http://schemas.openxmlformats.org/officeDocument/2006/relationships/hyperlink" Target="https://rlg-aj.com.br/wp-content/uploads/2026/03/20260424-Plano-de-Recuperacao-Judicial-Vezignazzi.pdf" TargetMode="External" Id="rId852" /><Relationship Type="http://schemas.openxmlformats.org/officeDocument/2006/relationships/hyperlink" Target="https://gatekeeperaj.com.br/wp-content/uploads/2024/09/Relacao-de-Credores-HEL.pdf" TargetMode="External" Id="rId853" /><Relationship Type="http://schemas.openxmlformats.org/officeDocument/2006/relationships/hyperlink" Target="https://gatekeeperaj.com.br/wp-content/uploads/2025/11/Relacao-Nominal-de-Credores-Jomar.pdf" TargetMode="External" Id="rId854" /><Relationship Type="http://schemas.openxmlformats.org/officeDocument/2006/relationships/hyperlink" Target="https://www.cb2d.com.br/portal/_uploads/4e6258c2-5f73-4d10-b4f7-990f797cf08f.pdf" TargetMode="External" Id="rId855" /><Relationship Type="http://schemas.openxmlformats.org/officeDocument/2006/relationships/hyperlink" Target="https://acfb.com.br/wp-content/uploads/2026/06/Relacao_de_Credores_Pneus_-_SITE.pdf" TargetMode="External" Id="rId856" /><Relationship Type="http://schemas.openxmlformats.org/officeDocument/2006/relationships/hyperlink" Target="https://ajruiz.com.br/sites/default/files/public/arquivos-processos/2025-08/3._relacao_de_credores_two_square.pdf" TargetMode="External" Id="rId857" /><Relationship Type="http://schemas.openxmlformats.org/officeDocument/2006/relationships/hyperlink" Target="https://ajruiz.com.br/sites/default/files/public/arquivos-processos/2025-11/doc.02_relacao_de_credores_retificada.pdf" TargetMode="External" Id="rId858" /><Relationship Type="http://schemas.openxmlformats.org/officeDocument/2006/relationships/hyperlink" Target="https://ajruiz.com.br/sites/default/files/public/arquivos-processos/2026-06/relacao_de_credores.pdf" TargetMode="External" Id="rId859" /><Relationship Type="http://schemas.openxmlformats.org/officeDocument/2006/relationships/hyperlink" Target="https://ativosajce.com.br/admin/download.php?file=files/processo_documento/processo_documento18560022042026_1_.pdf&amp;nome=Rela&#231;&#227;o de Credores - art. 52, &#167;1&#186; da Lei 11.101/05 - 22/04/2026" TargetMode="External" Id="rId860"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861" /><Relationship Type="http://schemas.openxmlformats.org/officeDocument/2006/relationships/hyperlink" Target="https://ativosajce.com.br/admin/download.php?file=files/processo_documento/processo_documento14321031072026_1_.pdf&amp;nome=Rela&#231;&#227;o de credores - 27/10/2025" TargetMode="External" Id="rId862" /><Relationship Type="http://schemas.openxmlformats.org/officeDocument/2006/relationships/hyperlink" Target="https://bbsadvogados.com.br/wp-content/uploads/2025/09/Edital-contendo-a-integra-da-decisao-que-decretou-a-falencia-e-relacao-de-credores-apresentada-pelo-falido-art.-99-1-da-LRF-pablo-dotto.pdf" TargetMode="External" Id="rId863" /><Relationship Type="http://schemas.openxmlformats.org/officeDocument/2006/relationships/hyperlink" Target="https://recuperasolucoes.com/wp-content/plugins/download-attachments/includes/download.php?id=1493" TargetMode="External" Id="rId864" /><Relationship Type="http://schemas.openxmlformats.org/officeDocument/2006/relationships/hyperlink" Target="https://ativosajce.com.br/admin/download.php?file=files/processo_documento/processo_documento14083705032025_1_.pdf&amp;nome=Rela&#231;&#227;o de Credores - Art. 52&#186; &#167; 1&#186;, da Lei n&#186; 11.101/2005 - 28/01/2025" TargetMode="External" Id="rId865" /><Relationship Type="http://schemas.openxmlformats.org/officeDocument/2006/relationships/hyperlink" Target="https://bbsadvogados.com.br/wp-content/uploads/2026/03/Sentenca-de-decretacao-de-Falencia-1.pdf" TargetMode="External" Id="rId866" /><Relationship Type="http://schemas.openxmlformats.org/officeDocument/2006/relationships/hyperlink" Target="https://recuperasolucoes.com/wp-content/plugins/download-attachments/includes/download.php?id=1377" TargetMode="External" Id="rId867"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868" /><Relationship Type="http://schemas.openxmlformats.org/officeDocument/2006/relationships/hyperlink" Target="https://recuperasolucoes.com/wp-content/plugins/download-attachments/includes/download.php?id=1648" TargetMode="External" Id="rId869"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870" /><Relationship Type="http://schemas.openxmlformats.org/officeDocument/2006/relationships/hyperlink" Target="https://ajruiz.com.br/sites/default/files/public/arquivos-processos/2023-11/4_relacao_de_credores_recuperanda_art._52_parag._1o_ii_da_lre.pdf" TargetMode="External" Id="rId871" /><Relationship Type="http://schemas.openxmlformats.org/officeDocument/2006/relationships/hyperlink" Target="https://ajruiz.com.br/sites/default/files/public/arquivos-processos/2026-05/1._relacao_de_credores_empresas.pdf" TargetMode="External" Id="rId872" /><Relationship Type="http://schemas.openxmlformats.org/officeDocument/2006/relationships/hyperlink" Target="https://ajruiz.com.br/sites/default/files/public/arquivos-processos/2026-05/2._relacao_de_credores_produtores_rurais.pdf" TargetMode="External" Id="rId873" /><Relationship Type="http://schemas.openxmlformats.org/officeDocument/2006/relationships/hyperlink" Target="https://ativosajce.com.br/admin/download.php?file=files/processo_documento/processo_documento23322219122024_1_.pdf&amp;nome=Rela&#231;&#227;o de credores - art. 52, &#167;1&#186; da Lei 11.101/05 - 18/12/2024" TargetMode="External" Id="rId874" /><Relationship Type="http://schemas.openxmlformats.org/officeDocument/2006/relationships/hyperlink" Target="https://lrflideres.com.br/wp-content/plugins/download-attachments/includes/download.php?id=3469" TargetMode="External" Id="rId875" /><Relationship Type="http://schemas.openxmlformats.org/officeDocument/2006/relationships/hyperlink" Target="http://bernardobicalho.com.br/login/app/documents/Editais/Edital%20do%20Art.%2099%20%C2%A7%201%20da%20Lei%2011.101-05%20-%20Locplan.pdf" TargetMode="External" Id="rId876" /><Relationship Type="http://schemas.openxmlformats.org/officeDocument/2006/relationships/hyperlink" Target="https://diario.tjrr.jus.br/dpj/dpj-20091105.pdf" TargetMode="External" Id="rId877" /><Relationship Type="http://schemas.openxmlformats.org/officeDocument/2006/relationships/hyperlink" Target="https://diario.tjrr.jus.br/dpj/dpj-20091216.pdf" TargetMode="External" Id="rId878" /><Relationship Type="http://schemas.openxmlformats.org/officeDocument/2006/relationships/hyperlink" Target="https://lrflideres.com.br/wp-content/uploads/2021/09/LISTA-DE-CREDORES-FALENCIA.pdf" TargetMode="External" Id="rId879" /><Relationship Type="http://schemas.openxmlformats.org/officeDocument/2006/relationships/hyperlink" Target="https://lrflideres.com.br/wp-content/uploads/2026/03/6.-PLANO-DE-RECUPERACAO-JUDICIAL.pdf" TargetMode="External" Id="rId880" /><Relationship Type="http://schemas.openxmlformats.org/officeDocument/2006/relationships/hyperlink" Target="https://recuperacaojudicial.squarespace.com/s/1-LISTA-DE-CREDORES.pdf" TargetMode="External" Id="rId881" /><Relationship Type="http://schemas.openxmlformats.org/officeDocument/2006/relationships/hyperlink" Target="https://vivanteaj.com.br/wp-content/uploads/2024/01/LISTA-DE-CREDORES.pdf" TargetMode="External" Id="rId882" /><Relationship Type="http://schemas.openxmlformats.org/officeDocument/2006/relationships/hyperlink" Target="https://www.tjdft.jus.br/institucional/administracao-superior/corregedoria/comunicados-falencias/revogacao-judicial/2025-tjgo-recuperacao-judicial.pdf/@@download/file/2025%20TJGO%20Recupera%C3%A7%C3%A3o%20Judicial.pdf" TargetMode="External" Id="rId883" /><Relationship Type="http://schemas.openxmlformats.org/officeDocument/2006/relationships/hyperlink" Target="https://diligence.adm.br/wp-content/plugins/download-attachments/includes/download.php?id=4866" TargetMode="External" Id="rId884" /><Relationship Type="http://schemas.openxmlformats.org/officeDocument/2006/relationships/hyperlink" Target="https://cataliseaj.com.br/sgc/download.php?file=files/processo_documento/processo_documento13534410062024_1_.pdf&amp;nome=5. RELA&#199;&#195;O DOS CREDORES" TargetMode="External" Id="rId885" /><Relationship Type="http://schemas.openxmlformats.org/officeDocument/2006/relationships/hyperlink" Target="https://recuperacaojudicial.squarespace.com/s/Falencia-Usina-Catende-Alvara-coletivo-credores-da-5a-6a-7a-e-8a-listagem-agosto-2025.pdf" TargetMode="External" Id="rId886" /><Relationship Type="http://schemas.openxmlformats.org/officeDocument/2006/relationships/hyperlink" Target="https://cataliseaj.com.br/sgc/download.php?file=files/processo_documento/processo_documento17404010062024_1_.pdf&amp;nome=3. RELA&#199;&#195;O DE CREDORES TRABALHISTAS" TargetMode="External" Id="rId887" /><Relationship Type="http://schemas.openxmlformats.org/officeDocument/2006/relationships/hyperlink" Target="https://cataliseaj.com.br/sgc/download.php?file=files/processo_documento/processo_documento16345504102024_1_.pdf&amp;nome=06. LISTA DE CREDORES (7&#186;, &#167;2&#186;, DA LREF)" TargetMode="External" Id="rId888" /><Relationship Type="http://schemas.openxmlformats.org/officeDocument/2006/relationships/hyperlink" Target="https://diligence.adm.br/wp-content/uploads/2024/06/Credores-Classe-I.pdf" TargetMode="External" Id="rId889" /><Relationship Type="http://schemas.openxmlformats.org/officeDocument/2006/relationships/hyperlink" Target="https://recuperacaojudicial.squarespace.com/s/0034582-5419958170001-1756495166712-401832-despacho.pdf" TargetMode="External" Id="rId890" /><Relationship Type="http://schemas.openxmlformats.org/officeDocument/2006/relationships/hyperlink" Target="https://diligence.adm.br/wp-content/uploads/2024/06/Credores-Classe-III-1.pdf" TargetMode="External" Id="rId891" /><Relationship Type="http://schemas.openxmlformats.org/officeDocument/2006/relationships/hyperlink" Target="https://scalzilliaj.com.br/sgc/download.php?file=files/processo_documento/processo_documento09023407082026_1_.pdf&amp;nome=14 - QGC atualizado at&#233; agosto de 2026" TargetMode="External" Id="rId892" /><Relationship Type="http://schemas.openxmlformats.org/officeDocument/2006/relationships/hyperlink" Target="https://recuperacaojudicial.squarespace.com/s/Falencia-Usina-Catende-Certido-com-os-credores-da-5a-6a-7a-e-8a-listagem-que-no-tiveram-alvara-exped.pdf" TargetMode="External" Id="rId893" /><Relationship Type="http://schemas.openxmlformats.org/officeDocument/2006/relationships/hyperlink" Target="https://cataliseaj.com.br/sgc/download.php?file=files/processo_documento/processo_documento16023012062024_1_.pdf&amp;nome=12. LISTA DE CREDORES - ART. 7&#186;, &#167; 2&#186;, DA LREF" TargetMode="External" Id="rId894" /><Relationship Type="http://schemas.openxmlformats.org/officeDocument/2006/relationships/hyperlink" Target="https://scalzilliaj.com.br/sgc/download.php?file=files/processo_documento/processo_documento14004702072025_1_.pdf&amp;nome=03 - Rela&#231;&#227;o de credores apresentada pela Recuperanda" TargetMode="External" Id="rId895" /><Relationship Type="http://schemas.openxmlformats.org/officeDocument/2006/relationships/hyperlink" Target="https://cataliseaj.com.br/sgc/download.php?file=files/processo_documento/processo_documento17024122042025_1_.pdf&amp;nome=17. EDITAL INTIMA&#199;&#195;O DE CREDORES SOBRE O ACORDO" TargetMode="External" Id="rId896" /><Relationship Type="http://schemas.openxmlformats.org/officeDocument/2006/relationships/hyperlink" Target="https://lrflideres.com.br/wp-content/plugins/download-attachments/includes/download.php?id=5002" TargetMode="External" Id="rId897" /><Relationship Type="http://schemas.openxmlformats.org/officeDocument/2006/relationships/hyperlink" Target="https://lrflideres.com.br/wp-content/plugins/download-attachments/includes/download.php?id=7181" TargetMode="External" Id="rId898" /><Relationship Type="http://schemas.openxmlformats.org/officeDocument/2006/relationships/hyperlink" Target="https://lrflideres.com.br/wp-content/plugins/download-attachments/includes/download.php?id=7182" TargetMode="External" Id="rId899" /><Relationship Type="http://schemas.openxmlformats.org/officeDocument/2006/relationships/hyperlink" Target="https://scalzilliaj.com.br/sgc/download.php?file=files/processo_documento/processo_documento17331017092025_1_.pdf&amp;nome=09 - Rela&#231;&#227;o de credores apresentada pelo Grupo Devedor" TargetMode="External" Id="rId900" /><Relationship Type="http://schemas.openxmlformats.org/officeDocument/2006/relationships/hyperlink" Target="https://diligence.adm.br/wp-content/plugins/download-attachments/includes/download.php?id=4581" TargetMode="External" Id="rId901" /><Relationship Type="http://schemas.openxmlformats.org/officeDocument/2006/relationships/hyperlink" Target="https://diligence.adm.br/wp-content/plugins/download-attachments/includes/download.php?id=4582" TargetMode="External" Id="rId902" /><Relationship Type="http://schemas.openxmlformats.org/officeDocument/2006/relationships/hyperlink" Target="https://lrflideres.com.br/wp-content/plugins/download-attachments/includes/download.php?id=3682" TargetMode="External" Id="rId903" /><Relationship Type="http://schemas.openxmlformats.org/officeDocument/2006/relationships/hyperlink" Target="https://scalzilliaj.com.br/sgc/download.php?file=files/processo_documento/processo_documento09212913012026_1_.pdf&amp;nome=12 - Decis&#227;o: prorroga&#231;&#227;o do prazo para apresenta&#231;&#227;o da rela&#231;&#227;o de credores do art. 7&#186;, &#167;2&#186;, da Lei 11.101/2005" TargetMode="External" Id="rId904"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905" /><Relationship Type="http://schemas.openxmlformats.org/officeDocument/2006/relationships/hyperlink" Target="https://lrflideres.com.br/wp-content/plugins/download-attachments/includes/download.php?id=3684" TargetMode="External" Id="rId906" /><Relationship Type="http://schemas.openxmlformats.org/officeDocument/2006/relationships/hyperlink" Target="https://diligence.adm.br/wp-content/plugins/download-attachments/includes/download.php?id=4714" TargetMode="External" Id="rId907" /><Relationship Type="http://schemas.openxmlformats.org/officeDocument/2006/relationships/hyperlink" Target="https://diligence.adm.br/wp-content/plugins/download-attachments/includes/download.php?id=4715" TargetMode="External" Id="rId908" /><Relationship Type="http://schemas.openxmlformats.org/officeDocument/2006/relationships/hyperlink" Target="https://lrflideres.com.br/wp-content/plugins/download-attachments/includes/download.php?id=3613" TargetMode="External" Id="rId909" /><Relationship Type="http://schemas.openxmlformats.org/officeDocument/2006/relationships/hyperlink" Target="https://administradorajudicialgs.com.br/wp-content/uploads/2025/09/relacao-de-credores-forest-1.pdf" TargetMode="External" Id="rId910" /><Relationship Type="http://schemas.openxmlformats.org/officeDocument/2006/relationships/hyperlink" Target="https://scalzilliaj.com.br/sgc/download.php?file=files/processo_documento/processo_documento10525627042026_1_.pdf&amp;nome=09 - Quadro Geral de Credores Provis&#243;rio" TargetMode="External" Id="rId911" /><Relationship Type="http://schemas.openxmlformats.org/officeDocument/2006/relationships/hyperlink" Target="https://administradorajudicialgs.com.br/wp-content/uploads/2023/08/advogados-sgrott-relacao-de-credores.pdf" TargetMode="External" Id="rId912" /><Relationship Type="http://schemas.openxmlformats.org/officeDocument/2006/relationships/hyperlink" Target="https://diligence.adm.br/wp-content/plugins/download-attachments/includes/download.php?id=4104" TargetMode="External" Id="rId913" /><Relationship Type="http://schemas.openxmlformats.org/officeDocument/2006/relationships/hyperlink" Target="https://administradorajudicialgs.com.br/wp-content/uploads/2023/08/relacao-de-credores-empresa.pdf" TargetMode="External" Id="rId914" /><Relationship Type="http://schemas.openxmlformats.org/officeDocument/2006/relationships/hyperlink" Target="https://scalzilliaj.com.br/sgc/download.php?file=files/processo_documento/processo_documento12173113102022_1_.pdf&amp;nome=14 - Lista de credores apresentada pela administra&#231;&#227;o judicial" TargetMode="External" Id="rId915" /><Relationship Type="http://schemas.openxmlformats.org/officeDocument/2006/relationships/hyperlink" Target="https://cataliseaj.com.br/sgc/download.php?file=files/processo_documento/processo_documento10302022042025_1_.pdf&amp;nome=9. MODIFICATIVO PRJ" TargetMode="External" Id="rId916" /><Relationship Type="http://schemas.openxmlformats.org/officeDocument/2006/relationships/hyperlink" Target="https://diligence.adm.br/wp-content/plugins/download-attachments/includes/download.php?id=4767" TargetMode="External" Id="rId917" /><Relationship Type="http://schemas.openxmlformats.org/officeDocument/2006/relationships/hyperlink" Target="https://cataliseaj.com.br/sgc/download.php?file=files/processo_documento/processo_documento10272222042025_1_.pdf&amp;nome=15. SENTEN&#199;A DE FAL&#202;NCIA" TargetMode="External" Id="rId918" /><Relationship Type="http://schemas.openxmlformats.org/officeDocument/2006/relationships/hyperlink" Target="https://diligence.adm.br/wp-content/plugins/download-attachments/includes/download.php?id=4769" TargetMode="External" Id="rId919" /><Relationship Type="http://schemas.openxmlformats.org/officeDocument/2006/relationships/hyperlink" Target="https://scalzilliaj.com.br/sgc/download.php?file=files/processo_documento/processo_documento16380303022026_1_.pdf&amp;nome=07 - Quadro Geral de Credores" TargetMode="External" Id="rId920" /><Relationship Type="http://schemas.openxmlformats.org/officeDocument/2006/relationships/hyperlink" Target="https://lrflideres.com.br/wp-content/plugins/download-attachments/includes/download.php?id=6028" TargetMode="External" Id="rId921" /><Relationship Type="http://schemas.openxmlformats.org/officeDocument/2006/relationships/hyperlink" Target="https://scalzilliaj.com.br/sgc/download.php?file=files/processo_documento/processo_documento08191015062026_1_.pdf&amp;nome=07 - Edital intima&#231;&#227;o credores acerca do rateio" TargetMode="External" Id="rId922" /><Relationship Type="http://schemas.openxmlformats.org/officeDocument/2006/relationships/hyperlink" Target="https://recuperacaojudicial.squarespace.com/s/RJ-Clube-Nautico-Lista-de-Credores-Retificada-novembro-2023.pdf" TargetMode="External" Id="rId923" /><Relationship Type="http://schemas.openxmlformats.org/officeDocument/2006/relationships/hyperlink" Target="https://cdn.dol.com.br/img/attachmentinline/940000/6publicacao-2-edital-art-7-parag-2-da-lei-11101-20009467060.pdf?xid=3272528" TargetMode="External" Id="rId924" /><Relationship Type="http://schemas.openxmlformats.org/officeDocument/2006/relationships/hyperlink" Target="https://recuperacaojudicial.squarespace.com/s/04-RJSampaioConstrucesEditalcoma2relacodecredores.pdf" TargetMode="External" Id="rId925" /><Relationship Type="http://schemas.openxmlformats.org/officeDocument/2006/relationships/hyperlink" Target="https://recuperacaojudicial.squarespace.com/s/0705602-9620208020001-1-mlkc.pdf" TargetMode="External" Id="rId926" /><Relationship Type="http://schemas.openxmlformats.org/officeDocument/2006/relationships/hyperlink" Target="https://diligence.adm.br/wp-content/plugins/download-attachments/includes/download.php?id=6257" TargetMode="External" Id="rId927" /><Relationship Type="http://schemas.openxmlformats.org/officeDocument/2006/relationships/hyperlink" Target="https://diligence.adm.br/wp-content/plugins/download-attachments/includes/download.php?id=4122" TargetMode="External" Id="rId928"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929" /><Relationship Type="http://schemas.openxmlformats.org/officeDocument/2006/relationships/hyperlink" Target="https://recuperacaojudicial.squarespace.com/s/0700087-5120208020043-2.pdf" TargetMode="External" Id="rId930" /><Relationship Type="http://schemas.openxmlformats.org/officeDocument/2006/relationships/hyperlink" Target="https://recuperacaojudicial.squarespace.com/s/0700087-5120208020043-3-3hf4.pdf" TargetMode="External" Id="rId931" /><Relationship Type="http://schemas.openxmlformats.org/officeDocument/2006/relationships/hyperlink" Target="https://recuperacaojudicial.squarespace.com/s/RJ-CHL-Publicaco-do-Edital-com-a-2-Lista-de-Credores.pdf" TargetMode="External" Id="rId932" /><Relationship Type="http://schemas.openxmlformats.org/officeDocument/2006/relationships/hyperlink" Target="https://diligence.adm.br/wp-content/plugins/download-attachments/includes/download.php?id=6266" TargetMode="External" Id="rId933" /><Relationship Type="http://schemas.openxmlformats.org/officeDocument/2006/relationships/hyperlink" Target="https://recuperacaojudicial.squarespace.com/s/0720699-1020188020001.pdf" TargetMode="External" Id="rId934" /><Relationship Type="http://schemas.openxmlformats.org/officeDocument/2006/relationships/hyperlink" Target="https://recuperacaojudicial.squarespace.com/s/doc_40308947.pdf" TargetMode="External" Id="rId935" /><Relationship Type="http://schemas.openxmlformats.org/officeDocument/2006/relationships/hyperlink" Target="https://recuperacaojudicial.squarespace.com/s/doc_48744068-2z93.pdf" TargetMode="External" Id="rId936" /><Relationship Type="http://schemas.openxmlformats.org/officeDocument/2006/relationships/hyperlink" Target="https://recuperacaojudicial.squarespace.com/s/0700707-8720258020043.pdf" TargetMode="External" Id="rId937" /><Relationship Type="http://schemas.openxmlformats.org/officeDocument/2006/relationships/hyperlink" Target="https://lrflideres.com.br/wp-content/plugins/download-attachments/includes/download.php?id=3753" TargetMode="External" Id="rId938" /><Relationship Type="http://schemas.openxmlformats.org/officeDocument/2006/relationships/hyperlink" Target="https://recuperacaojudicial.squarespace.com/s/RJJCMagalhesEdital2alistapublicadomaio2021.pdf" TargetMode="External" Id="rId939" /><Relationship Type="http://schemas.openxmlformats.org/officeDocument/2006/relationships/hyperlink" Target="https://diligence.adm.br/wp-content/plugins/download-attachments/includes/download.php?id=4096" TargetMode="External" Id="rId940" /><Relationship Type="http://schemas.openxmlformats.org/officeDocument/2006/relationships/hyperlink" Target="https://administradorajudicialgs.com.br/wp-content/uploads/2023/08/relacao-de-credores-megasan.pdf" TargetMode="External" Id="rId941" /><Relationship Type="http://schemas.openxmlformats.org/officeDocument/2006/relationships/hyperlink" Target="https://administradorajudicialgs.com.br/wp-content/uploads/2023/08/relacao-de-credores-art-7.pdf" TargetMode="External" Id="rId942" /><Relationship Type="http://schemas.openxmlformats.org/officeDocument/2006/relationships/hyperlink" Target="https://diligence.adm.br/wp-content/plugins/download-attachments/includes/download.php?id=4095" TargetMode="External" Id="rId943" /><Relationship Type="http://schemas.openxmlformats.org/officeDocument/2006/relationships/hyperlink" Target="https://recuperacaojudicial.squarespace.com/s/Edital-da-1a-Lista-Publicado.pdf" TargetMode="External" Id="rId944" /><Relationship Type="http://schemas.openxmlformats.org/officeDocument/2006/relationships/hyperlink" Target="https://diligence.adm.br/wp-content/plugins/download-attachments/includes/download.php?id=4098" TargetMode="External" Id="rId945" /><Relationship Type="http://schemas.openxmlformats.org/officeDocument/2006/relationships/hyperlink" Target="https://administradorajudicialgs.com.br/wp-content/uploads/2023/08/advogados-sgrott-relacao-de-credores-do-administrador-judicial.pdf" TargetMode="External" Id="rId946" /><Relationship Type="http://schemas.openxmlformats.org/officeDocument/2006/relationships/hyperlink" Target="https://lrflideres.com.br/wp-content/plugins/download-attachments/includes/download.php?id=5589" TargetMode="External" Id="rId947" /><Relationship Type="http://schemas.openxmlformats.org/officeDocument/2006/relationships/hyperlink" Target="https://lrflideres.com.br/wp-content/plugins/download-attachments/includes/download.php?id=3517" TargetMode="External" Id="rId948" /><Relationship Type="http://schemas.openxmlformats.org/officeDocument/2006/relationships/hyperlink" Target="https://administradorajudicialgs.com.br/wp-content/uploads/2023/08/relacao-de-credores-adm-jud.pdf" TargetMode="External" Id="rId949" /><Relationship Type="http://schemas.openxmlformats.org/officeDocument/2006/relationships/hyperlink" Target="https://recuperacaojudicial.squarespace.com/s/2-LISTA-DE-CREDORES-p65c.pdf" TargetMode="External" Id="rId950" /><Relationship Type="http://schemas.openxmlformats.org/officeDocument/2006/relationships/hyperlink" Target="https://lrflideres.com.br/wp-content/plugins/download-attachments/includes/download.php?id=3720" TargetMode="External" Id="rId951" /><Relationship Type="http://schemas.openxmlformats.org/officeDocument/2006/relationships/hyperlink" Target="https://lrflideres.com.br/wp-content/plugins/download-attachments/includes/download.php?id=3743" TargetMode="External" Id="rId952" /><Relationship Type="http://schemas.openxmlformats.org/officeDocument/2006/relationships/hyperlink" Target="https://administradorajudicialgs.com.br/wp-content/uploads/2023/08/doc-05-edital-de-publicacao-relacao-de-credores-adm-judicial.pdf" TargetMode="External" Id="rId953" /><Relationship Type="http://schemas.openxmlformats.org/officeDocument/2006/relationships/hyperlink" Target="https://administradorajudicialgs.com.br/wp-content/uploads/2023/08/doc-09-relacao-de-credores-do-adminsitrador-judicial.pdf" TargetMode="External" Id="rId954" /><Relationship Type="http://schemas.openxmlformats.org/officeDocument/2006/relationships/hyperlink" Target="https://recuperacaojudicial.squarespace.com/s/RJ-Comercial-Mercantil-de-Cimentos-Peticao-juntada-2a-Lista-de-Credores-agosto-2021-1.pdf" TargetMode="External" Id="rId955" /><Relationship Type="http://schemas.openxmlformats.org/officeDocument/2006/relationships/hyperlink" Target="https://administradorajudicialgs.com.br/wp-content/uploads/2023/08/doc-10-edital-de-publicacao-da-relacao-de-credores-do-adm-judicial-e-plano-de-recuperacao.pdf" TargetMode="External" Id="rId956" /><Relationship Type="http://schemas.openxmlformats.org/officeDocument/2006/relationships/hyperlink" Target="https://diligence.adm.br/wp-content/plugins/download-attachments/includes/download.php?id=6256" TargetMode="External" Id="rId957" /><Relationship Type="http://schemas.openxmlformats.org/officeDocument/2006/relationships/hyperlink" Target="https://recuperacaojudicial.squarespace.com/s/5-RJCMCEditalda2ListadeCredoresnovembro2021.pdf" TargetMode="External" Id="rId958" /><Relationship Type="http://schemas.openxmlformats.org/officeDocument/2006/relationships/hyperlink" Target="https://recuperacaojudicial.squarespace.com/s/05-RJ-Nautico-1-Lista-de-Credores-marco-2023.pdf" TargetMode="External" Id="rId959" /><Relationship Type="http://schemas.openxmlformats.org/officeDocument/2006/relationships/hyperlink" Target="https://administradorajudicialgs.com.br/wp-content/uploads/2023/08/doc-07-relacao-de-credores-do-administrador-judicial.pdf" TargetMode="External" Id="rId960" /><Relationship Type="http://schemas.openxmlformats.org/officeDocument/2006/relationships/hyperlink" Target="https://administradorajudicialgs.com.br/wp-content/uploads/2023/08/doc-07-relacao-credores-do-adm-judicial.pdf" TargetMode="External" Id="rId961" /><Relationship Type="http://schemas.openxmlformats.org/officeDocument/2006/relationships/hyperlink" Target="https://diligence.adm.br/wp-content/plugins/download-attachments/includes/download.php?id=6283" TargetMode="External" Id="rId962" /><Relationship Type="http://schemas.openxmlformats.org/officeDocument/2006/relationships/hyperlink" Target="https://recuperacaojudicial.squarespace.com/s/Edital-Educacional.pdf" TargetMode="External" Id="rId963" /><Relationship Type="http://schemas.openxmlformats.org/officeDocument/2006/relationships/hyperlink" Target="https://lrflideres.com.br/wp-content/plugins/download-attachments/includes/download.php?id=3976" TargetMode="External" Id="rId964" /><Relationship Type="http://schemas.openxmlformats.org/officeDocument/2006/relationships/hyperlink" Target="https://administradorajudicialgs.com.br/wp-content/uploads/2023/08/doc-06-relacao-credores-do-administrador-judicial-10-02-2015.pdf" TargetMode="External" Id="rId965" /><Relationship Type="http://schemas.openxmlformats.org/officeDocument/2006/relationships/hyperlink" Target="https://recuperacaojudicial.squarespace.com/s/RJ-Educacional-Cordeiro-apresentaco-da-2-Lista-verso-protocolada.pdf" TargetMode="External" Id="rId966" /><Relationship Type="http://schemas.openxmlformats.org/officeDocument/2006/relationships/hyperlink" Target="https://administradorajudicialgs.com.br/wp-content/uploads/2023/08/doc-07-relacao-de-credores-do-administrador-judicial-1.pdf" TargetMode="External" Id="rId967" /><Relationship Type="http://schemas.openxmlformats.org/officeDocument/2006/relationships/hyperlink" Target="https://lrflideres.com.br/wp-content/plugins/download-attachments/includes/download.php?id=4939" TargetMode="External" Id="rId968" /><Relationship Type="http://schemas.openxmlformats.org/officeDocument/2006/relationships/hyperlink" Target="https://lrflideres.com.br/wp-content/plugins/download-attachments/includes/download.php?id=5964" TargetMode="External" Id="rId969" /><Relationship Type="http://schemas.openxmlformats.org/officeDocument/2006/relationships/hyperlink" Target="https://lrflideres.com.br/wp-content/plugins/download-attachments/includes/download.php?id=5965" TargetMode="External" Id="rId970" /><Relationship Type="http://schemas.openxmlformats.org/officeDocument/2006/relationships/hyperlink" Target="https://lrflideres.com.br/wp-content/plugins/download-attachments/includes/download.php?id=5966" TargetMode="External" Id="rId971" /><Relationship Type="http://schemas.openxmlformats.org/officeDocument/2006/relationships/hyperlink" Target="https://lrflideres.com.br/wp-content/plugins/download-attachments/includes/download.php?id=6051" TargetMode="External" Id="rId972" /><Relationship Type="http://schemas.openxmlformats.org/officeDocument/2006/relationships/hyperlink" Target="https://lrflideres.com.br/wp-content/plugins/download-attachments/includes/download.php?id=4089" TargetMode="External" Id="rId973" /><Relationship Type="http://schemas.openxmlformats.org/officeDocument/2006/relationships/hyperlink" Target="https://bugarimecoelho.com.br/ws/media-library/1e823e882f8d4b548225778a021af627/05---edital---relacao-de-credores.pdf" TargetMode="External" Id="rId974" /><Relationship Type="http://schemas.openxmlformats.org/officeDocument/2006/relationships/hyperlink" Target="https://lrflideres.com.br/wp-content/plugins/download-attachments/includes/download.php?id=6252" TargetMode="External" Id="rId975" /><Relationship Type="http://schemas.openxmlformats.org/officeDocument/2006/relationships/hyperlink" Target="https://lrflideres.com.br/wp-content/plugins/download-attachments/includes/download.php?id=4525" TargetMode="External" Id="rId976" /><Relationship Type="http://schemas.openxmlformats.org/officeDocument/2006/relationships/hyperlink" Target="https://lrflideres.com.br/wp-content/plugins/download-attachments/includes/download.php?id=4856" TargetMode="External" Id="rId977" /><Relationship Type="http://schemas.openxmlformats.org/officeDocument/2006/relationships/hyperlink" Target="https://vivanteaj.com.br/wp-content/uploads/2024/11/2o-Edital-de-credores.pdf" TargetMode="External" Id="rId978" /><Relationship Type="http://schemas.openxmlformats.org/officeDocument/2006/relationships/hyperlink" Target="https://vivanteaj.com.br/wp-content/uploads/2024/11/Apresentacao-do-2o-edital-de-credores-1.pdf" TargetMode="External" Id="rId979" /><Relationship Type="http://schemas.openxmlformats.org/officeDocument/2006/relationships/hyperlink" Target="https://vivanteaj.com.br/wp-content/uploads/2023/06/1o-Edital-de-Credores.pdf" TargetMode="External" Id="rId980" /><Relationship Type="http://schemas.openxmlformats.org/officeDocument/2006/relationships/hyperlink" Target="https://vivanteaj.com.br/wp-content/uploads/2023/06/2o-Edital-de-Credores-2.pdf" TargetMode="External" Id="rId981" /><Relationship Type="http://schemas.openxmlformats.org/officeDocument/2006/relationships/hyperlink" Target="https://vivanteaj.com.br/wp-content/uploads/2024/11/Contrato-Arrendamento-Macambira-Homologado.pdf" TargetMode="External" Id="rId982" /><Relationship Type="http://schemas.openxmlformats.org/officeDocument/2006/relationships/hyperlink" Target="https://vtladm.com.br/wp-content/uploads/2025/08/08_Manifestacao_Adm_Judicial_Habilitacoes_Divergencias_Segunda_Lista_Credores_Distribuidora_Frutas.pdf" TargetMode="External" Id="rId983" /><Relationship Type="http://schemas.openxmlformats.org/officeDocument/2006/relationships/hyperlink" Target="https://vtladm.com.br/wp-content/uploads/2025/08/11_Segunda_Lista_Credores_Distribuidora_Frutas_Rumo_Novo.pdf" TargetMode="External" Id="rId984" /><Relationship Type="http://schemas.openxmlformats.org/officeDocument/2006/relationships/hyperlink" Target="https://vtladm.com.br/wp-content/uploads/2024/02/06-Segundo-Edital-de-Credores-Wws-Services-Prestadora-de-Servicos-Ltda.pdf" TargetMode="External" Id="rId985" /><Relationship Type="http://schemas.openxmlformats.org/officeDocument/2006/relationships/hyperlink" Target="https://vtladm.com.br/wp-content/uploads/2024/02/08-&#8211;-Segunda-Relacao-de-Credores-&#8211;-WWS-Services-e-Worldwide.pdf" TargetMode="External" Id="rId986" /><Relationship Type="http://schemas.openxmlformats.org/officeDocument/2006/relationships/hyperlink" Target="https://marquesadmjudicial.com.br/sgc/download.php?file=files/processo_documento/processo_documento17295409012026_1_.pdf&amp;nome=Rela&#231;&#227;o de Credores AJ" TargetMode="External" Id="rId987" /><Relationship Type="http://schemas.openxmlformats.org/officeDocument/2006/relationships/hyperlink" Target="https://marquesadmjudicial.com.br/sgc/download.php?file=files/processo_documento/processo_documento16561007032024_1_.pdf&amp;nome=Rela&#231;&#227;o Nominal de Credores" TargetMode="External" Id="rId988" /><Relationship Type="http://schemas.openxmlformats.org/officeDocument/2006/relationships/hyperlink" Target="https://marquesadmjudicial.com.br/sgc/download.php?file=files/processo_documento/processo_documento11330206042026_1_.pdf&amp;nome=Rela&#231;&#227;o Nominal de Credores Retificada" TargetMode="External" Id="rId989" /><Relationship Type="http://schemas.openxmlformats.org/officeDocument/2006/relationships/hyperlink" Target="https://marquesadmjudicial.com.br/sgc/download.php?file=files/processo_documento/processo_documento20014127022025_1_.pdf&amp;nome=Rela&#231;&#227;o Nominal de Credores" TargetMode="External" Id="rId990" /><Relationship Type="http://schemas.openxmlformats.org/officeDocument/2006/relationships/hyperlink" Target="https://marquesadmjudicial.com.br/sgc/download.php?file=files/processo_documento/processo_documento15232121112024_1_.pdf&amp;nome=Rela&#231;&#227;o de Credores" TargetMode="External" Id="rId991" /><Relationship Type="http://schemas.openxmlformats.org/officeDocument/2006/relationships/hyperlink" Target="https://marquesadmjudicial.com.br/sgc/download.php?file=files/processo_documento/processo_documento17040729052024_1_.pdf&amp;nome=Rela&#231;&#227;o Nominal de Credores AJ-Sint&#233;tica" TargetMode="External" Id="rId992" /><Relationship Type="http://schemas.openxmlformats.org/officeDocument/2006/relationships/hyperlink" Target="https://marquesadmjudicial.com.br/sgc/download.php?file=files/processo_documento/processo_documento17043029052024_1_.pdf&amp;nome=Rela&#231;&#227;o Nominal de Credores AJ-Anal&#237;tica" TargetMode="External" Id="rId993" /><Relationship Type="http://schemas.openxmlformats.org/officeDocument/2006/relationships/hyperlink" Target="https://marquesadmjudicial.com.br/sgc/download.php?file=files/processo_documento/processo_documento10231312042024_1_.pdf&amp;nome=Rela&#231;&#227;o Nominal de Credores AJ" TargetMode="External" Id="rId994" /><Relationship Type="http://schemas.openxmlformats.org/officeDocument/2006/relationships/hyperlink" Target="https://marquesadmjudicial.com.br/sgc/download.php?file=files/processo_documento/processo_documento09453022082025_1_.pdf&amp;nome=Rela&#231;&#227;o Nominal de Credores AJ" TargetMode="External" Id="rId99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96" /><Relationship Type="http://schemas.openxmlformats.org/officeDocument/2006/relationships/hyperlink" Target="https://marquesadmjudicial.com.br/sgc/download.php?file=files/processo_documento/processo_documento15414008032024_1_.pdf&amp;nome=Rela&#231;&#227;o Nominal de Credores da AJ - art. 7&#186;, &#167;2&#186;, da Lei 11.101_2005" TargetMode="External" Id="rId997" /><Relationship Type="http://schemas.openxmlformats.org/officeDocument/2006/relationships/hyperlink" Target="https://marquesadmjudicial.com.br/sgc/download.php?file=files/processo_documento/processo_documento09354208072024_1_.pdf&amp;nome=Rela&#231;&#227;o Nominal de Credores Atualizada" TargetMode="External" Id="rId998" /><Relationship Type="http://schemas.openxmlformats.org/officeDocument/2006/relationships/hyperlink" Target="https://marquesadmjudicial.com.br/sgc/download.php?file=files/processo_documento/processo_documento09391327032025_1_.pdf&amp;nome=Rela&#231;&#227;o Nominal de Credores AJ" TargetMode="External" Id="rId999" /><Relationship Type="http://schemas.openxmlformats.org/officeDocument/2006/relationships/hyperlink" Target="https://marquesadmjudicial.com.br/sgc/download.php?file=files/processo_documento/processo_documento14104723032026_1_.pdf&amp;nome=Rela&#231;&#227;o Nominal de Credores" TargetMode="External" Id="rId1000" /><Relationship Type="http://schemas.openxmlformats.org/officeDocument/2006/relationships/hyperlink" Target="https://realbrasil.com.br/wp-content/uploads/2025/07/6.LISTA-DE-CREDORES-DO-AJ.pdf" TargetMode="External" Id="rId1001" /><Relationship Type="http://schemas.openxmlformats.org/officeDocument/2006/relationships/hyperlink" Target="https://realbrasil.com.br/wp-content/uploads/2020/11/QUADRO-DE-CREDORES-RETIFICADO.pdf" TargetMode="External" Id="rId1002" /><Relationship Type="http://schemas.openxmlformats.org/officeDocument/2006/relationships/hyperlink" Target="https://realbrasil.com.br/wp-content/uploads/2025/09/1.QUADRO-GERAL-DE-CREDORES_RETIFICADO.pdf" TargetMode="External" Id="rId1003" /><Relationship Type="http://schemas.openxmlformats.org/officeDocument/2006/relationships/hyperlink" Target="https://realbrasil.com.br/wp-content/uploads/2017/04/8-QGC-Comafer.pdf" TargetMode="External" Id="rId1004" /><Relationship Type="http://schemas.openxmlformats.org/officeDocument/2006/relationships/hyperlink" Target="https://credibilita.com.br/wp-content/uploads/2024/02/13.-Lista-de-credores-do-Art.-7o-&#167;2o-apresentada-por-esta-Administradora-Judicial-13.08.2024.pdf" TargetMode="External" Id="rId1005" /><Relationship Type="http://schemas.openxmlformats.org/officeDocument/2006/relationships/hyperlink" Target="https://credibilita.com.br/wp-content/uploads/2023/08/21-processo-figueirense-adm.j-lista-credores.pdf" TargetMode="External" Id="rId1006" /><Relationship Type="http://schemas.openxmlformats.org/officeDocument/2006/relationships/hyperlink" Target="https://credibilita.com.br/wp-content/uploads/2023/08/SCHMIDT-MOV-234-RELACAO-DE-CREDORES-ART.-52-1o-20-01-2017.pdf" TargetMode="External" Id="rId1007" /><Relationship Type="http://schemas.openxmlformats.org/officeDocument/2006/relationships/hyperlink" Target="https://inova-aj.com.br/wp-content/uploads/2024/01/Relacao-de-Credores-Art.-7o-&#167;-2o.pdf" TargetMode="External" Id="rId1008" /><Relationship Type="http://schemas.openxmlformats.org/officeDocument/2006/relationships/hyperlink" Target="https://rlg-aj.com.br/wp-content/uploads/2025/02/Segunda.pdf" TargetMode="External" Id="rId1009" /><Relationship Type="http://schemas.openxmlformats.org/officeDocument/2006/relationships/hyperlink" Target="https://rlg-aj.com.br/wp-content/uploads/2025/02/Segunda-Lista-de-Credores-Artigo-7.-Paragrafo-2.-da-LRF-Comtemporanea-1.pdf" TargetMode="External" Id="rId1010" /><Relationship Type="http://schemas.openxmlformats.org/officeDocument/2006/relationships/hyperlink" Target="https://inova-aj.com.br/wp-content/uploads/2021/02/Relacao-de-Credores-Art.-&#167;-2o-da-LRE.pdf" TargetMode="External" Id="rId1011" /><Relationship Type="http://schemas.openxmlformats.org/officeDocument/2006/relationships/hyperlink" Target="https://inova-aj.com.br/wp-content/uploads/2018/11/Relacao-de-Credores-SINOPEC-Art.-7o-&#167;2o-LRE....pdf" TargetMode="External" Id="rId1012" /><Relationship Type="http://schemas.openxmlformats.org/officeDocument/2006/relationships/hyperlink" Target="https://inova-aj.com.br/wp-content/uploads/2017/06/Edital-de-Credores-BSM-e-Tensor-Art.-7&#186;-&#167;2&#186;-LRE-17.01.2017.pdf" TargetMode="External" Id="rId1013" /><Relationship Type="http://schemas.openxmlformats.org/officeDocument/2006/relationships/hyperlink" Target="https://rlg-aj.com.br/wp-content/uploads/2026/03/Relacao.pdf" TargetMode="External" Id="rId1014" /><Relationship Type="http://schemas.openxmlformats.org/officeDocument/2006/relationships/hyperlink" Target="https://rlg-aj.com.br/wp-content/uploads/2024/02/Relacao-de-Credores-do-art.-7o-&#167;2o-da-Lei-n.o-11.101-de-2005-Starkfest-Industria-do-Vestuario-Ltda-1.pdf" TargetMode="External" Id="rId1015" /><Relationship Type="http://schemas.openxmlformats.org/officeDocument/2006/relationships/hyperlink" Target="https://rlg-aj.com.br/wp-content/uploads/2024/02/Relacao-de-Credores-do-art.-7o-&#167;2o-da-Lei-n.o-11.101-de-2005-DF-Confeccoes.pdf" TargetMode="External" Id="rId1016" /><Relationship Type="http://schemas.openxmlformats.org/officeDocument/2006/relationships/hyperlink" Target="https://rlg-aj.com.br/wp-content/uploads/2026/04/2a-Lista-de-Credores-Relacao-Completa-Art.-7o-&#167;2-Lei-11.101-de-2005-Diomar-dados.pdf" TargetMode="External" Id="rId1017" /><Relationship Type="http://schemas.openxmlformats.org/officeDocument/2006/relationships/hyperlink" Target="https://rlg-aj.com.br/wp-content/uploads/2023/07/6.-Segunda-Lista-de-Credores-art.-7&#186;-&#167;-2&#186;-LREF-Grupo-Mobra.pdf" TargetMode="External" Id="rId1018" /><Relationship Type="http://schemas.openxmlformats.org/officeDocument/2006/relationships/hyperlink" Target="https://gatekeeperaj.com.br/wp-content/uploads/2023/08/Edital-BS.pdf" TargetMode="External" Id="rId1019" /><Relationship Type="http://schemas.openxmlformats.org/officeDocument/2006/relationships/hyperlink" Target="https://www.cb2d.com.br/portal/_uploads/6de06b46-f33d-44b7-b79c-37f57704c038.pdf" TargetMode="External" Id="rId1020" /><Relationship Type="http://schemas.openxmlformats.org/officeDocument/2006/relationships/hyperlink" Target="https://gatekeeperaj.com.br/wp-content/uploads/2023/06/Relacao-de-Credores-do-art.-7o-&#167;2o.pdf" TargetMode="External" Id="rId1021" /><Relationship Type="http://schemas.openxmlformats.org/officeDocument/2006/relationships/hyperlink" Target="https://www.cb2d.com.br/portal/_uploads/6a6b36d4-b6c6-4f3a-ba96-7c77198334d8.pdf" TargetMode="External" Id="rId1022" /><Relationship Type="http://schemas.openxmlformats.org/officeDocument/2006/relationships/hyperlink" Target="https://www.cb2d.com.br/portal/_uploads/b6e6d59c-7888-40a6-867c-5330e790dcfc.pdf" TargetMode="External" Id="rId1023" /><Relationship Type="http://schemas.openxmlformats.org/officeDocument/2006/relationships/hyperlink" Target="https://gatekeeperaj.com.br/wp-content/uploads/2025/02/Relacao-de-credores-Wireless.pdf" TargetMode="External" Id="rId1024" /><Relationship Type="http://schemas.openxmlformats.org/officeDocument/2006/relationships/hyperlink" Target="https://www.cb2d.com.br/portal/_uploads/0f0e2ee5-d45e-4ef3-89f4-ee0df9ac86fc.pdf" TargetMode="External" Id="rId1025" /><Relationship Type="http://schemas.openxmlformats.org/officeDocument/2006/relationships/hyperlink" Target="https://ativosajce.com.br/admin/download.php?file=files/processo_documento/processo_documento15384617042026_1_.pdf&amp;nome=Rela&#231;&#227;o de Credores - art. 7&#186;, &#167;2&#186; da Lei 11.101/2005 - 17/04/2026" TargetMode="External" Id="rId1026" /><Relationship Type="http://schemas.openxmlformats.org/officeDocument/2006/relationships/hyperlink" Target="https://ajruiz.com.br/sites/default/files/public/arquivos-processos/2023-10/alianca_relacao_de_credores_individualizada_1.pdf" TargetMode="External" Id="rId1027" /><Relationship Type="http://schemas.openxmlformats.org/officeDocument/2006/relationships/hyperlink" Target="https://www.cb2d.com.br/portal/_uploads/50a4e9c0-8741-4295-a096-4feb0418dea9.pdf" TargetMode="External" Id="rId1028" /><Relationship Type="http://schemas.openxmlformats.org/officeDocument/2006/relationships/hyperlink" Target="https://ativosajce.com.br/admin/download.php?file=files/processo_documento/processo_documento13071716122025_1_.pdf&amp;nome=Rela&#231;&#227;o de Credores - art. 7&#186;, &#167;2&#186; da Lei 11.101/05 - 12/12/2025" TargetMode="External" Id="rId1029" /><Relationship Type="http://schemas.openxmlformats.org/officeDocument/2006/relationships/hyperlink" Target="https://www.cb2d.com.br/portal/_uploads/92edcfca-5a25-43b6-b84f-6c9835be490a.pdf" TargetMode="External" Id="rId1030" /><Relationship Type="http://schemas.openxmlformats.org/officeDocument/2006/relationships/hyperlink" Target="https://ativosajce.com.br/admin/download.php?file=files/processo_documento/processo_documento17052414082026_1_.pdf&amp;nome=Rela&#231;&#227;o de Credores - Art. 7&#186;, &#167; 2&#186; da Lei 11.101/2005 - 14/08/2026" TargetMode="External" Id="rId1031" /><Relationship Type="http://schemas.openxmlformats.org/officeDocument/2006/relationships/hyperlink" Target="https://ativosajce.com.br/admin/download.php?file=files/processo_documento/processo_documento11175828042026_1_.pdf&amp;nome=Rela&#231;&#227;o de Credores Provis&#243;ria - Art. 7&#186;, &#167;2&#186; da Lei 11.101/05 - 27/04/2026" TargetMode="External" Id="rId1032" /><Relationship Type="http://schemas.openxmlformats.org/officeDocument/2006/relationships/hyperlink" Target="https://recuperasolucoes.com/wp-content/plugins/download-attachments/includes/download.php?id=1590" TargetMode="External" Id="rId1033" /><Relationship Type="http://schemas.openxmlformats.org/officeDocument/2006/relationships/hyperlink" Target="https://ativosajce.com.br/admin/download.php?file=files/processo_documento/processo_documento16153711122025_1_.pdf&amp;nome=Rela&#231;&#227;o de Credores art. 52, &#167;1&#186;, da Lei 11.101/2005 - 13/11/2025" TargetMode="External" Id="rId1034" /><Relationship Type="http://schemas.openxmlformats.org/officeDocument/2006/relationships/hyperlink" Target="https://ativosajce.com.br/admin/download.php?file=files/processo_documento/processo_documento12044029012026_1_.pdf&amp;nome=Rela&#231;&#227;o de Credores - Art. 7&#186; &#167; 2&#186;, da Lei n&#186; 11.101/2005 - 30/07/2015" TargetMode="External" Id="rId1035" /><Relationship Type="http://schemas.openxmlformats.org/officeDocument/2006/relationships/hyperlink" Target="https://bbsadvogados.com.br/wp-content/uploads/2025/05/buturi-Edital-contendo-a-integra-da-decisao-que-decretou-a-falencia-e-relacao-de-credores-apresentada-pelo-falido-art.-99-1-da-LRF-buturi.pdf" TargetMode="External" Id="rId1036" /><Relationship Type="http://schemas.openxmlformats.org/officeDocument/2006/relationships/hyperlink" Target="https://ajruiz.com.br/sites/default/files/public/arquivos-processos/2026-08/safrasul_relacao_aj_s._total.pdf" TargetMode="External" Id="rId1037" /><Relationship Type="http://schemas.openxmlformats.org/officeDocument/2006/relationships/hyperlink" Target="https://bbsadvogados.com.br/wp-content/uploads/2025/07/Evento-342-EDITAL1-Delicatesse-Relacao-de-Credores-da-Administradora-Judicial-art.-7o-2o-LRF.pdf" TargetMode="External" Id="rId1038" /><Relationship Type="http://schemas.openxmlformats.org/officeDocument/2006/relationships/hyperlink" Target="https://ajruiz.com.br/sites/default/files/public/arquivos-processos/2023-09/relacao-de-credores-aj-art.-7o-a7-2o-da-lre-concreserv-concreto-sa.pdf" TargetMode="External" Id="rId1039" /><Relationship Type="http://schemas.openxmlformats.org/officeDocument/2006/relationships/hyperlink" Target="https://bbsadvogados.com.br/wp-content/uploads/2026/03/Edital-contendo-a-relacao-de-credores-apresentada-pelo-Falido-&#167;1o-do-art.-99-da-LRF-1.pdf" TargetMode="External" Id="rId1040" /><Relationship Type="http://schemas.openxmlformats.org/officeDocument/2006/relationships/hyperlink" Target="https://ativosajce.com.br/admin/download.php?file=files/processo_documento/processo_documento11510315072025_1_.pdf&amp;nome=Rela&#231;&#227;o de Credores - Art. 7&#186; &#167; 2&#186;, da Lei n&#186; 11.101/2005 - 14/07/2025" TargetMode="External" Id="rId1041" /><Relationship Type="http://schemas.openxmlformats.org/officeDocument/2006/relationships/hyperlink" Target="https://ativosajce.com.br/admin/download.php?file=files/processo_documento/processo_documento18120225072025_1_.pdf&amp;nome=Rela&#231;&#227;o de Credores - Art. 7&#186;, &#167; 2&#186; da Lei 11.101/2005 - 22/07/2025" TargetMode="External" Id="rId1042" /><Relationship Type="http://schemas.openxmlformats.org/officeDocument/2006/relationships/hyperlink" Target="https://ativosajce.com.br/admin/download.php?file=files/processo_documento/processo_documento10452918072025_1_.pdf&amp;nome=Rela&#231;&#227;o de Credores - Art. 7&#186;, &#167;2&#186; da Lei 11.101/05 - 17/07/2025" TargetMode="External" Id="rId1043" /><Relationship Type="http://schemas.openxmlformats.org/officeDocument/2006/relationships/hyperlink" Target="https://ajruiz.com.br/sites/default/files/public/arquivos-processos/2023-11/6_relacao_de_credores_aj_art.-7o_parag_2o_da_lre.pdf" TargetMode="External" Id="rId1044" /><Relationship Type="http://schemas.openxmlformats.org/officeDocument/2006/relationships/hyperlink" Target="https://ajruiz.com.br/sites/default/files/public/arquivos-processos/2025-11/relacao_de_credores_art._7o_ss_2o.pdf" TargetMode="External" Id="rId1045" /><Relationship Type="http://schemas.openxmlformats.org/officeDocument/2006/relationships/hyperlink" Target="https://ativosajce.com.br/admin/download.php?file=files/processo_documento/processo_documento11095927062025_1_.pdf&amp;nome=Rela&#231;&#227;o de Credores - Art. 7&#186; da Lei 11.101/2005 - 25/06/2025" TargetMode="External" Id="rId1046" /><Relationship Type="http://schemas.openxmlformats.org/officeDocument/2006/relationships/hyperlink" Target="https://ativosajce.com.br/admin/download.php?file=files/processo_documento/processo_documento12205627062025_1_.pdf&amp;nome=Rela&#231;&#227;o de Credores Retificada - Art. 7&#186;, &#167;2&#186; da Lei 11.101/05 - 04/06/2025" TargetMode="External" Id="rId1047" /><Relationship Type="http://schemas.openxmlformats.org/officeDocument/2006/relationships/hyperlink" Target="https://ajruiz.com.br/sites/default/files/public/arquivos-processos/2023-11/9_edital_relacao_de_credores_art._7o_parag._2o_da_lre_e_aviso_sobre_o_plano_de_recuperacao_judicial.pdf" TargetMode="External" Id="rId1048" /><Relationship Type="http://schemas.openxmlformats.org/officeDocument/2006/relationships/hyperlink" Target="https://ativosajce.com.br/admin/download.php?file=files/processo_documento/processo_documento12291327062025_1_.pdf&amp;nome=Rela&#231;&#227;o de Credores - Art. 7&#186;, &#167;2&#186; da Lei 11.101/05 - 04/04/2025" TargetMode="External" Id="rId1049" /><Relationship Type="http://schemas.openxmlformats.org/officeDocument/2006/relationships/hyperlink" Target="https://recuperasolucoes.com/wp-content/plugins/download-attachments/includes/download.php?id=1470" TargetMode="External" Id="rId1050" /><Relationship Type="http://schemas.openxmlformats.org/officeDocument/2006/relationships/hyperlink" Target="https://recuperasolucoes.com/wp-content/plugins/download-attachments/includes/download.php?id=1506" TargetMode="External" Id="rId1051" /><Relationship Type="http://schemas.openxmlformats.org/officeDocument/2006/relationships/hyperlink" Target="https://ativosajce.com.br/admin/download.php?file=files/processo_documento/processo_documento14530931032026_1_.pdf&amp;nome=Quadro Geral de Credores Atualizado - 23/03/2026" TargetMode="External" Id="rId1052" /><Relationship Type="http://schemas.openxmlformats.org/officeDocument/2006/relationships/hyperlink" Target="https://ativosajce.com.br/admin/download.php?file=files/processo_documento/processo_documento14350027032023_1_.pdf&amp;nome=Edital e Rela&#231;&#227;o de credores do Art. 7&#186;, &#167;2&#186; da Lei 11.101/2005 - 24/03/2023" TargetMode="External" Id="rId1053" /><Relationship Type="http://schemas.openxmlformats.org/officeDocument/2006/relationships/hyperlink" Target="https://recuperasolucoes.com/wp-content/plugins/download-attachments/includes/download.php?id=1474" TargetMode="External" Id="rId1054" /><Relationship Type="http://schemas.openxmlformats.org/officeDocument/2006/relationships/hyperlink" Target="https://csh.adv.br/wp-content/uploads/2025/03/Edital-Art.-52-1.pdf" TargetMode="External" Id="rId1055" /><Relationship Type="http://schemas.openxmlformats.org/officeDocument/2006/relationships/hyperlink" Target="https://vivanteaj.com.br/wp-content/uploads/2024/11/Edital-1.pdf" TargetMode="External" Id="rId1056" /><Relationship Type="http://schemas.openxmlformats.org/officeDocument/2006/relationships/hyperlink" Target="https://diligence.adm.br/wp-content/plugins/download-attachments/includes/download.php?id=6204" TargetMode="External" Id="rId1057" /><Relationship Type="http://schemas.openxmlformats.org/officeDocument/2006/relationships/hyperlink" Target="https://recuperacaojudicial.squarespace.com/s/Edital-1a-lista-publicado-4zf5.pdf" TargetMode="External" Id="rId1058" /><Relationship Type="http://schemas.openxmlformats.org/officeDocument/2006/relationships/hyperlink" Target="https://recuperacaojudicial.squarespace.com/s/Edital-1a-lista-publicado-tes5.pdf" TargetMode="External" Id="rId1059" /><Relationship Type="http://schemas.openxmlformats.org/officeDocument/2006/relationships/hyperlink" Target="https://recuperacaojudicial.squarespace.com/s/PUBLICACO-DO-EDITAL-COM-A-1-LISTA-DE-CREDORES_1305.pdf" TargetMode="External" Id="rId1060" /><Relationship Type="http://schemas.openxmlformats.org/officeDocument/2006/relationships/hyperlink" Target="https://recuperacaojudicial.squarespace.com/s/03-RJ-Sampaio-Construces-Edital-com-a-1-relaco-de-credores.pdf" TargetMode="External" Id="rId1061" /><Relationship Type="http://schemas.openxmlformats.org/officeDocument/2006/relationships/hyperlink" Target="https://lrflideres.com.br/wp-content/plugins/download-attachments/includes/download.php?id=5700" TargetMode="External" Id="rId1062" /><Relationship Type="http://schemas.openxmlformats.org/officeDocument/2006/relationships/hyperlink" Target="https://lrflideres.com.br/wp-content/plugins/download-attachments/includes/download.php?id=5137" TargetMode="External" Id="rId1063" /><Relationship Type="http://schemas.openxmlformats.org/officeDocument/2006/relationships/hyperlink" Target="https://recuperacaojudicial.squarespace.com/s/3-RJ-CTR-Edital-da-1-Lista-de-Credores-abril-2019.pdf" TargetMode="External" Id="rId1064" /><Relationship Type="http://schemas.openxmlformats.org/officeDocument/2006/relationships/hyperlink" Target="https://lrflideres.com.br/wp-content/plugins/download-attachments/includes/download.php?id=7418" TargetMode="External" Id="rId1065" /><Relationship Type="http://schemas.openxmlformats.org/officeDocument/2006/relationships/hyperlink" Target="https://diligence.adm.br/wp-content/plugins/download-attachments/includes/download.php?id=6281" TargetMode="External" Id="rId1066" /><Relationship Type="http://schemas.openxmlformats.org/officeDocument/2006/relationships/hyperlink" Target="https://lrflideres.com.br/wp-content/plugins/download-attachments/includes/download.php?id=3975" TargetMode="External" Id="rId1067" /><Relationship Type="http://schemas.openxmlformats.org/officeDocument/2006/relationships/hyperlink" Target="https://lrflideres.com.br/wp-content/plugins/download-attachments/includes/download.php?id=5817" TargetMode="External" Id="rId1068" /><Relationship Type="http://schemas.openxmlformats.org/officeDocument/2006/relationships/hyperlink" Target="https://diligence.adm.br/wp-content/plugins/download-attachments/includes/download.php?id=6195" TargetMode="External" Id="rId1069" /><Relationship Type="http://schemas.openxmlformats.org/officeDocument/2006/relationships/hyperlink" Target="https://lrflideres.com.br/wp-content/plugins/download-attachments/includes/download.php?id=4023" TargetMode="External" Id="rId1070" /><Relationship Type="http://schemas.openxmlformats.org/officeDocument/2006/relationships/hyperlink" Target="https://lrflideres.com.br/wp-content/plugins/download-attachments/includes/download.php?id=6054" TargetMode="External" Id="rId1071" /><Relationship Type="http://schemas.openxmlformats.org/officeDocument/2006/relationships/hyperlink" Target="https://lrflideres.com.br/wp-content/plugins/download-attachments/includes/download.php?id=7101" TargetMode="External" Id="rId1072" /><Relationship Type="http://schemas.openxmlformats.org/officeDocument/2006/relationships/hyperlink" Target="https://vivanteaj.com.br/wp-content/uploads/2023/06/1o-Edital-de-Credores-1.pdf" TargetMode="External" Id="rId1073" /><Relationship Type="http://schemas.openxmlformats.org/officeDocument/2006/relationships/hyperlink" Target="https://bugarimecoelho.com.br/ws/media-library/b0d2f331ba9545028b824c8bb0a68d7e/3.-edital-de-processamento-da-rj.pdf" TargetMode="External" Id="rId1074" /><Relationship Type="http://schemas.openxmlformats.org/officeDocument/2006/relationships/hyperlink" Target="https://vtladm.com.br/wp-content/uploads/2025/07/02-&#8211;-Primeira-Relacao-de-Credores-&#8211;-Meqso-Distribuicao-S.A.-e-outros.pdf" TargetMode="External" Id="rId1075" /><Relationship Type="http://schemas.openxmlformats.org/officeDocument/2006/relationships/hyperlink" Target="https://marquesadmjudicial.com.br/sgc/download.php?file=files/processo_documento/processo_documento11131527032026_1_.pdf&amp;nome=Rela&#231;&#227;o de credores - Recuperanda" TargetMode="External" Id="rId1076" /><Relationship Type="http://schemas.openxmlformats.org/officeDocument/2006/relationships/hyperlink" Target="https://inova-aj.com.br/wp-content/uploads/2021/02/Relacao-de-credores-Art.-52&#167;1o-LRE-Cimento-Tupi-Atualizada-01.02.2021.pdf" TargetMode="External" Id="rId1077" /><Relationship Type="http://schemas.openxmlformats.org/officeDocument/2006/relationships/hyperlink" Target="https://rlg-aj.com.br/wp-content/uploads/2025/11/2.-Relacao-de-Credores-3.pdf" TargetMode="External" Id="rId1078" /><Relationship Type="http://schemas.openxmlformats.org/officeDocument/2006/relationships/hyperlink" Target="https://inova-aj.com.br/wp-content/uploads/2020/03/Rela&#231;&#227;o-de-Credores-Art.-52-&#167;1&#186;-LRE-Grupo-Leader.pdf" TargetMode="External" Id="rId1079" /><Relationship Type="http://schemas.openxmlformats.org/officeDocument/2006/relationships/hyperlink" Target="https://rlg-aj.com.br/wp-content/uploads/2026/07/Publicacao-Edital-Artigo-52.-Paragrafo-1.-Primeira-Lista-de-Credores-Dal-Santo-1.pdf" TargetMode="External" Id="rId1080" /><Relationship Type="http://schemas.openxmlformats.org/officeDocument/2006/relationships/hyperlink" Target="https://inova-aj.com.br/wp-content/uploads/2020/02/Rela&#231;&#227;o-de-credores-Grupo-Miguel-Couto-1.pdf" TargetMode="External" Id="rId1081" /><Relationship Type="http://schemas.openxmlformats.org/officeDocument/2006/relationships/hyperlink" Target="https://inova-aj.com.br/wp-content/uploads/2018/09/Relacao-de-Credores-Sinopec-art.-52-&#167;1o-LRE-1.pdf" TargetMode="External" Id="rId1082" /><Relationship Type="http://schemas.openxmlformats.org/officeDocument/2006/relationships/hyperlink" Target="https://rlg-aj.com.br/wp-content/uploads/2024/11/edital_52_lista_credores.pdf" TargetMode="External" Id="rId1083" /><Relationship Type="http://schemas.openxmlformats.org/officeDocument/2006/relationships/hyperlink" Target="https://ativosajce.com.br/admin/download.php?file=files/processo_documento/processo_documento14170815062026_1_.pdf&amp;nome=Rela&#231;&#227;o de Credores - Art. 52&#186; &#167; 1&#186;, da Lei n&#186; 11.101/2005 - 20/05/2026" TargetMode="External" Id="rId1084" /><Relationship Type="http://schemas.openxmlformats.org/officeDocument/2006/relationships/hyperlink" Target="https://recuperasolucoes.com/wp-content/plugins/download-attachments/includes/download.php?id=1654" TargetMode="External" Id="rId1085" /><Relationship Type="http://schemas.openxmlformats.org/officeDocument/2006/relationships/hyperlink" Target="https://ajruiz.com.br/sites/default/files/public/arquivos-processos/2023-09/relacao-de-credores-sintetica-art.-51-iii-da-lre-concreserv-concreto-sa.pdf" TargetMode="External" Id="rId1086" /><Relationship Type="http://schemas.openxmlformats.org/officeDocument/2006/relationships/hyperlink" Target="https://ajruiz.com.br/sites/default/files/public/arquivos-processos/2023-10/1_edital_de_convocacao_de_credores_art._52_parag._1o_da_lre.pdf" TargetMode="External" Id="rId1087" /><Relationship Type="http://schemas.openxmlformats.org/officeDocument/2006/relationships/hyperlink" Target="https://recuperasolucoes.com/wp-content/plugins/download-attachments/includes/download.php?id=1469" TargetMode="External" Id="rId1088" /><Relationship Type="http://schemas.openxmlformats.org/officeDocument/2006/relationships/hyperlink" Target="https://recuperasolucoes.com/wp-content/plugins/download-attachments/includes/download.php?id=1473" TargetMode="External" Id="rId1089" /><Relationship Type="http://schemas.openxmlformats.org/officeDocument/2006/relationships/hyperlink" Target="https://cataliseaj.com.br/sgc/download.php?file=files/processo_documento/processo_documento16344704102024_1_.pdf&amp;nome=07. PLANO DE RECUPERA&#199;&#195;O JUDICIAL" TargetMode="External" Id="rId1090" /><Relationship Type="http://schemas.openxmlformats.org/officeDocument/2006/relationships/hyperlink" Target="https://vivanteaj.com.br/wp-content/uploads/2025/02/Plano-de-Recuperacao-Judicial-MFC-Industria.pdf" TargetMode="External" Id="rId1091" /><Relationship Type="http://schemas.openxmlformats.org/officeDocument/2006/relationships/hyperlink" Target="https://vivanteaj.com.br/wp-content/uploads/2024/11/PRJ-JA.pdf" TargetMode="External" Id="rId1092" /><Relationship Type="http://schemas.openxmlformats.org/officeDocument/2006/relationships/hyperlink" Target="https://stenius.com.br/wp-content/uploads/2026/07/Plano-de-Recuperacao-Judicial-GRUPO-3E.pdf" TargetMode="External" Id="rId1093" /><Relationship Type="http://schemas.openxmlformats.org/officeDocument/2006/relationships/hyperlink" Target="https://stenius.com.br/wp-content/uploads/2026/03/PRJ-UNIBRAS-PARTE-2.pdf" TargetMode="External" Id="rId1094" /><Relationship Type="http://schemas.openxmlformats.org/officeDocument/2006/relationships/hyperlink" Target="https://mpbadmjudicial.com.br/sgc/download.php?file=files/processo_documento/processo_documento16354517072026_1_.pdf&amp;nome=Plano de Recupera&#231;&#227;o Judicial e Anexos" TargetMode="External" Id="rId1095" /><Relationship Type="http://schemas.openxmlformats.org/officeDocument/2006/relationships/hyperlink" Target="https://credibilita.com.br/wp-content/uploads/2023/12/11.-Plano-de-Recuperacao-Judicial.pdf" TargetMode="External" Id="rId1096" /><Relationship Type="http://schemas.openxmlformats.org/officeDocument/2006/relationships/hyperlink" Target="https://rlg-aj.com.br/wp-content/uploads/2026/02/20260313-Plano-de-Recuperacao-Judicial-Madefus.pdf" TargetMode="External" Id="rId1097" /><Relationship Type="http://schemas.openxmlformats.org/officeDocument/2006/relationships/hyperlink" Target="https://rlg-aj.com.br/wp-content/uploads/2023/08/Plano-de-Recuperacao-Judicial-Instituto-CAV.pdf" TargetMode="External" Id="rId1098" /><Relationship Type="http://schemas.openxmlformats.org/officeDocument/2006/relationships/hyperlink" Target="https://bugarimecoelho.com.br/ws/media-library/5637e4df77a44cee9a27c6fa2c0a9d96/15.2--edital-01o-aditivo-qgc.pdf" TargetMode="External" Id="rId1099" /><Relationship Type="http://schemas.openxmlformats.org/officeDocument/2006/relationships/hyperlink" Target="https://realbrasil.com.br/wp-content/uploads/2024/10/2.QUADRO-DE-CREDORES-DO-AJ.pdf" TargetMode="External" Id="rId1100" /><Relationship Type="http://schemas.openxmlformats.org/officeDocument/2006/relationships/hyperlink" Target="https://ricardobiancardi.com.br/wp-content/uploads/2020/10/Edital-de-Credores-TM-publicado-11.06.15.pdf" TargetMode="External" Id="rId1101" /><Relationship Type="http://schemas.openxmlformats.org/officeDocument/2006/relationships/hyperlink" Target="https://recuperacaojudicial.squarespace.com/s/QGC-CHL-CONSOLIDADO-FEV2025.pdf" TargetMode="External" Id="rId1102" /><Relationship Type="http://schemas.openxmlformats.org/officeDocument/2006/relationships/hyperlink" Target="https://recuperacaojudicial.squarespace.com/s/doc_36593341.pdf" TargetMode="External" Id="rId1103" /><Relationship Type="http://schemas.openxmlformats.org/officeDocument/2006/relationships/hyperlink" Target="https://scalzilliaj.com.br/sgc/download.php?file=files/processo_documento/processo_documento20371127072024_1_.pdf&amp;nome=06 - Edital do art. 7&#186;, &#167;2&#186; da Lei 11.101/2005 (segunda lista de credores)" TargetMode="External" Id="rId1104" /><Relationship Type="http://schemas.openxmlformats.org/officeDocument/2006/relationships/hyperlink" Target="https://cataliseaj.com.br/sgc/download.php?file=files/processo_documento/processo_documento10324122042025_1_.pdf&amp;nome=5. PLANO DE RECUPERA&#199;&#195;O JUDICIAL" TargetMode="External" Id="rId1105" /><Relationship Type="http://schemas.openxmlformats.org/officeDocument/2006/relationships/hyperlink" Target="https://lrflideres.com.br/wp-content/plugins/download-attachments/includes/download.php?id=6026" TargetMode="External" Id="rId1106" /><Relationship Type="http://schemas.openxmlformats.org/officeDocument/2006/relationships/hyperlink" Target="https://bugarimecoelho.com.br/ws/media-library/694d18d944e900685b0179b4fafb1bf5/34---04deg-aditivo-relacao-de-credores.pdf" TargetMode="External" Id="rId1107" /><Relationship Type="http://schemas.openxmlformats.org/officeDocument/2006/relationships/hyperlink" Target="https://vivanteaj.com.br/wp-content/uploads/2024/11/1o-edital-de-credores.pdf" TargetMode="External" Id="rId1108" /><Relationship Type="http://schemas.openxmlformats.org/officeDocument/2006/relationships/hyperlink" Target="https://marquesadmjudicial.com.br/sgc/download.php?file=files/processo_documento/processo_documento11370527032026_1_.pdf&amp;nome=Quadro Geral de Credores (QGC) -AJ Anterior" TargetMode="External" Id="rId1109" /><Relationship Type="http://schemas.openxmlformats.org/officeDocument/2006/relationships/hyperlink" Target="https://vtladm.com.br/wp-content/uploads/2024/07/05-&#8211;-Arrecadacao-e-Quadro-Geral-de-Credores-&#8211;-Massa-Falida-de-Xadi-Servicos-de-Odontologia-Ltda.pdf" TargetMode="External" Id="rId1110" /><Relationship Type="http://schemas.openxmlformats.org/officeDocument/2006/relationships/hyperlink" Target="https://realbrasil.com.br/wp-content/uploads/2025/07/QUADRO-GERAL-DE-CREDORES-DO-AJ.pdf" TargetMode="External" Id="rId1111" /><Relationship Type="http://schemas.openxmlformats.org/officeDocument/2006/relationships/hyperlink" Target="https://ricardobiancardi.com.br/wp-content/uploads/2025/01/Plano-de-Recuperacao-Judicial-1a-versao-Assinado.pdf" TargetMode="External" Id="rId1112" /><Relationship Type="http://schemas.openxmlformats.org/officeDocument/2006/relationships/hyperlink" Target="https://realbrasil.com.br/wp-content/uploads/2018/08/QUADRO-GERAL-DE-CREDORES-DO-ADMINISTRADOR-JUDICIAL.pdf" TargetMode="External" Id="rId1113" /><Relationship Type="http://schemas.openxmlformats.org/officeDocument/2006/relationships/hyperlink" Target="https://realbrasil.com.br/wp-content/uploads/2018/08/QUADRO-DE-CREDORES-DO-AJ.pdf" TargetMode="External" Id="rId1114" /><Relationship Type="http://schemas.openxmlformats.org/officeDocument/2006/relationships/hyperlink" Target="https://realbrasil.com.br/wp-content/uploads/2018/06/QUADRO-DE-CREDORES-DO-AJ_S&#211;LIDA.pdf" TargetMode="External" Id="rId1115" /><Relationship Type="http://schemas.openxmlformats.org/officeDocument/2006/relationships/hyperlink" Target="https://realbrasil.com.br/wp-content/uploads/2017/09/Quadro-de-Credores.pdf" TargetMode="External" Id="rId1116" /><Relationship Type="http://schemas.openxmlformats.org/officeDocument/2006/relationships/hyperlink" Target="https://realbrasil.com.br/wp-content/uploads/2017/07/LISTA-DE-CREDORES-IMPERATRIZ.pdf" TargetMode="External" Id="rId1117" /><Relationship Type="http://schemas.openxmlformats.org/officeDocument/2006/relationships/hyperlink" Target="https://realbrasil.com.br/wp-content/uploads/2017/06/Quadro-de-Credores-Radar.pdf" TargetMode="External" Id="rId1118" /><Relationship Type="http://schemas.openxmlformats.org/officeDocument/2006/relationships/hyperlink" Target="https://realbrasil.com.br/wp-content/uploads/2017/07/QGC-AJ.pdf" TargetMode="External" Id="rId1119" /><Relationship Type="http://schemas.openxmlformats.org/officeDocument/2006/relationships/hyperlink" Target="https://realbrasil.com.br/wp-content/uploads/2017/08/QUADRO-DE-CREDORES-MASTTER.pdf" TargetMode="External" Id="rId1120" /><Relationship Type="http://schemas.openxmlformats.org/officeDocument/2006/relationships/hyperlink" Target="https://credibilita.com.br/wp-content/uploads/2023/08/93692.1-qgc.pdf" TargetMode="External" Id="rId1121" /><Relationship Type="http://schemas.openxmlformats.org/officeDocument/2006/relationships/hyperlink" Target="https://credibilita.com.br/wp-content/uploads/2023/08/SCHMIDT-MOV-431-RELACAO-DE-CREDORES-RETIFICADA-28-09-2017.pdf" TargetMode="External" Id="rId1122" /><Relationship Type="http://schemas.openxmlformats.org/officeDocument/2006/relationships/hyperlink" Target="https://violet-wolf-754008.hostingersite.com/wp-content/uploads/recuperacoes-judiciais/andorinha/QUADRO-GERAL-DE-CREDORES-PUBLICADO-ART.-18-LRF.pdf" TargetMode="External" Id="rId1123" /><Relationship Type="http://schemas.openxmlformats.org/officeDocument/2006/relationships/hyperlink" Target="https://violet-wolf-754008.hostingersite.com/wp-content/uploads/2023/11/Segundo-Edital-de-Credores-e-Edital-Aviso-ao-Plano.pdf" TargetMode="External" Id="rId1124" /><Relationship Type="http://schemas.openxmlformats.org/officeDocument/2006/relationships/hyperlink" Target="https://violet-wolf-754008.hostingersite.com/wp-content/uploads/recuperacoes-judiciais/ever-ton/segundo-edital-e-aviso-do-plano.pdf" TargetMode="External" Id="rId1125" /><Relationship Type="http://schemas.openxmlformats.org/officeDocument/2006/relationships/hyperlink" Target="https://violet-wolf-754008.hostingersite.com/wp-content/uploads/2022/10/Segundo-Edital-de-Credores-e-Edital-Aviso-ao-Plano.pdf" TargetMode="External" Id="rId1126" /><Relationship Type="http://schemas.openxmlformats.org/officeDocument/2006/relationships/hyperlink" Target="https://violet-wolf-754008.hostingersite.com/wp-content/uploads/2022/12/2o-Edital-Grupo-Somilio.pdf" TargetMode="External" Id="rId1127" /><Relationship Type="http://schemas.openxmlformats.org/officeDocument/2006/relationships/hyperlink" Target="https://gatekeeperaj.com.br/wp-content/uploads/2025/01/QGC-atualizado.pdf" TargetMode="External" Id="rId1128" /><Relationship Type="http://schemas.openxmlformats.org/officeDocument/2006/relationships/hyperlink" Target="https://rlg-aj.com.br/wp-content/uploads/2023/07/QGC-Quadro-Geral-de-Credores-Grupo-Mobra.pdf" TargetMode="External" Id="rId1129" /><Relationship Type="http://schemas.openxmlformats.org/officeDocument/2006/relationships/hyperlink" Target="https://gatekeeperaj.com.br/wp-content/uploads/2024/10/Relacao-de-Credores-BRA.pdf" TargetMode="External" Id="rId1130" /><Relationship Type="http://schemas.openxmlformats.org/officeDocument/2006/relationships/hyperlink" Target="https://gatekeeperaj.com.br/wp-content/uploads/2026/08/RELACAO-BS.pdf" TargetMode="External" Id="rId1131" /><Relationship Type="http://schemas.openxmlformats.org/officeDocument/2006/relationships/hyperlink" Target="https://gatekeeperaj.com.br/wp-content/uploads/2026/06/BS-Relacao-de-Credores-RJ-para-Falencia.pdf" TargetMode="External" Id="rId1132" /><Relationship Type="http://schemas.openxmlformats.org/officeDocument/2006/relationships/hyperlink" Target="https://gatekeeperaj.com.br/wp-content/uploads/2026/01/QGC-Amuage-05.01.2026.pdf" TargetMode="External" Id="rId1133" /><Relationship Type="http://schemas.openxmlformats.org/officeDocument/2006/relationships/hyperlink" Target="https://gatekeeperaj.com.br/wp-content/uploads/2024/08/Relacao-de-Credores-do-art.-7o-0-Grupo-GTP.pdf" TargetMode="External" Id="rId1134" /><Relationship Type="http://schemas.openxmlformats.org/officeDocument/2006/relationships/hyperlink" Target="https://gatekeeperaj.com.br/wp-content/uploads/2025/05/Relacao-AJ-Wireless.pdf" TargetMode="External" Id="rId1135" /><Relationship Type="http://schemas.openxmlformats.org/officeDocument/2006/relationships/hyperlink" Target="https://gatekeeperaj.com.br/wp-content/uploads/2026/07/QGC-WIRELESS-01.07.2026.pdf" TargetMode="External" Id="rId1136" /><Relationship Type="http://schemas.openxmlformats.org/officeDocument/2006/relationships/hyperlink" Target="https://www.cb2d.com.br/portal/_uploads/24b4d427-81ae-408d-8b0f-b7ab974117be.pdf" TargetMode="External" Id="rId1137" /><Relationship Type="http://schemas.openxmlformats.org/officeDocument/2006/relationships/hyperlink" Target="https://gatekeeperaj.com.br/wp-content/uploads/2025/05/Relacao-AJ-Kennedy.pdf" TargetMode="External" Id="rId1138" /><Relationship Type="http://schemas.openxmlformats.org/officeDocument/2006/relationships/hyperlink" Target="https://gatekeeperaj.com.br/wp-content/uploads/2024/07/QGC-Seno-e-filhos.pdf" TargetMode="External" Id="rId1139" /><Relationship Type="http://schemas.openxmlformats.org/officeDocument/2006/relationships/hyperlink" Target="https://ajruiz.com.br/sites/default/files/public/arquivos-processos/2024-04/relacao_de_credores_da_aj_do_art._7o_paragrafo_2o_da_lre_1.pdf" TargetMode="External" Id="rId1140" /><Relationship Type="http://schemas.openxmlformats.org/officeDocument/2006/relationships/hyperlink" Target="https://ajruiz.com.br/sites/default/files/public/arquivos-processos/2024-03/relacao_de_credores_aj_art._7_lre.pdf" TargetMode="External" Id="rId1141" /><Relationship Type="http://schemas.openxmlformats.org/officeDocument/2006/relationships/hyperlink" Target="https://ativosajce.com.br/admin/download.php?file=files/processo_documento/processo_documento12062129012026_1_.pdf&amp;nome=Quadro Geral de Credores Atualizado - 21/08/2023" TargetMode="External" Id="rId1142" /><Relationship Type="http://schemas.openxmlformats.org/officeDocument/2006/relationships/hyperlink" Target="https://ajruiz.com.br/sites/default/files/public/arquivos-processos/2026-08/qgc_azeplast_julho_2026.pdf" TargetMode="External" Id="rId1143" /><Relationship Type="http://schemas.openxmlformats.org/officeDocument/2006/relationships/hyperlink" Target="https://ajruiz.com.br/sites/default/files/public/arquivos-processos/2026-06/relacao_de_credores_art._7o_ss_2o_da_lre.pdf" TargetMode="External" Id="rId1144" /><Relationship Type="http://schemas.openxmlformats.org/officeDocument/2006/relationships/hyperlink" Target="https://ajruiz.com.br/sites/default/files/public/arquivos-processos/2023-11/8_relacao_de_credores_da_aj_art._7o_parag._2o_da_lre.pdf" TargetMode="External" Id="rId1145" /><Relationship Type="http://schemas.openxmlformats.org/officeDocument/2006/relationships/hyperlink" Target="https://ajruiz.com.br/sites/default/files/public/arquivos-processos/2023-11/10_relacao_de_credores_consolidada.pdf" TargetMode="External" Id="rId1146" /><Relationship Type="http://schemas.openxmlformats.org/officeDocument/2006/relationships/hyperlink" Target="https://ativosajce.com.br/admin/download.php?file=files/processo_documento/processo_documento16002502092024_1_.pdf&amp;nome=Quadro Geral de Credores - 15/08/2024" TargetMode="External" Id="rId1147" /><Relationship Type="http://schemas.openxmlformats.org/officeDocument/2006/relationships/hyperlink" Target="https://lrflideres.com.br/wp-content/plugins/download-attachments/includes/download.php?id=3468" TargetMode="External" Id="rId1148" /><Relationship Type="http://schemas.openxmlformats.org/officeDocument/2006/relationships/hyperlink" Target="https://arquivos.integrawebsites.com.br/66886/9170dba63d72405b67b006af1763ed17.pdf" TargetMode="External" Id="rId1149" /><Relationship Type="http://schemas.openxmlformats.org/officeDocument/2006/relationships/hyperlink" Target="https://scalzilliaj.com.br/sgc/download.php?file=files/processo_documento/processo_documento16563107072026_1_.pdf&amp;nome=05. Lista de credores apresentada pelas Recuperandas" TargetMode="External" Id="rId1150" /><Relationship Type="http://schemas.openxmlformats.org/officeDocument/2006/relationships/hyperlink" Target="https://recuperacaojudicial.squarespace.com/s/02-1-LISTA-DE-CREDORES_5613.pdf" TargetMode="External" Id="rId1151" /><Relationship Type="http://schemas.openxmlformats.org/officeDocument/2006/relationships/hyperlink" Target="https://lrflideres.com.br/wp-content/plugins/download-attachments/includes/download.php?id=3752" TargetMode="External" Id="rId1152" /><Relationship Type="http://schemas.openxmlformats.org/officeDocument/2006/relationships/hyperlink" Target="https://cataliseaj.com.br/sgc/download.php?file=files/processo_documento/processo_documento11313511062024_1_.pdf&amp;nome=18. 4&#186; PLANO MODIFICATIVO" TargetMode="External" Id="rId1153" /><Relationship Type="http://schemas.openxmlformats.org/officeDocument/2006/relationships/hyperlink" Target="https://cataliseaj.com.br/sgc/download.php?file=files/processo_documento/processo_documento11344611062024_1_.pdf&amp;nome=21. 5&#186; PLANO MODIFICATIVO (&#218;LTIMA VERS&#195;O)" TargetMode="External" Id="rId1154" /><Relationship Type="http://schemas.openxmlformats.org/officeDocument/2006/relationships/hyperlink" Target="https://lrflideres.com.br/wp-content/plugins/download-attachments/includes/download.php?id=3614" TargetMode="External" Id="rId1155" /><Relationship Type="http://schemas.openxmlformats.org/officeDocument/2006/relationships/hyperlink" Target="https://administradorajudicialgs.com.br/wp-content/uploads/2023/11/relacao-credores-recuperanda.pdf" TargetMode="External" Id="rId1156" /><Relationship Type="http://schemas.openxmlformats.org/officeDocument/2006/relationships/hyperlink" Target="https://administradorajudicialgs.com.br/wp-content/uploads/2023/08/doc-02-relacao-de-credores-apresentado-pela-recuperanda.pdf" TargetMode="External" Id="rId1157" /><Relationship Type="http://schemas.openxmlformats.org/officeDocument/2006/relationships/hyperlink" Target="https://scalzilliaj.com.br/sgc/download.php?file=files/processo_documento/processo_documento11074904022026_1_.pdf&amp;nome=05 - Quadro Geral de Credores" TargetMode="External" Id="rId1158" /><Relationship Type="http://schemas.openxmlformats.org/officeDocument/2006/relationships/hyperlink" Target="https://diligence.adm.br/wp-content/plugins/download-attachments/includes/download.php?id=6247" TargetMode="External" Id="rId1159" /><Relationship Type="http://schemas.openxmlformats.org/officeDocument/2006/relationships/hyperlink" Target="https://recuperacaojudicial.squarespace.com/s/RJNautico2listaattdezembro2023.pdf" TargetMode="External" Id="rId1160" /><Relationship Type="http://schemas.openxmlformats.org/officeDocument/2006/relationships/hyperlink" Target="https://recuperacaojudicial.squarespace.com/s/RJCredimoveisEdital2alistaDJE291121.pdf" TargetMode="External" Id="rId1161" /><Relationship Type="http://schemas.openxmlformats.org/officeDocument/2006/relationships/hyperlink" Target="https://lrflideres.com.br/wp-content/plugins/download-attachments/includes/download.php?id=5779" TargetMode="External" Id="rId1162" /><Relationship Type="http://schemas.openxmlformats.org/officeDocument/2006/relationships/hyperlink" Target="https://lrflideres.com.br/wp-content/plugins/download-attachments/includes/download.php?id=5777" TargetMode="External" Id="rId1163" /><Relationship Type="http://schemas.openxmlformats.org/officeDocument/2006/relationships/hyperlink" Target="https://diligence.adm.br/wp-content/plugins/download-attachments/includes/download.php?id=4548" TargetMode="External" Id="rId1164" /><Relationship Type="http://schemas.openxmlformats.org/officeDocument/2006/relationships/hyperlink" Target="https://lrflideres.com.br/wp-content/plugins/download-attachments/includes/download.php?id=5778" TargetMode="External" Id="rId1165" /><Relationship Type="http://schemas.openxmlformats.org/officeDocument/2006/relationships/hyperlink" Target="https://diligence.adm.br/wp-content/plugins/download-attachments/includes/download.php?id=4550" TargetMode="External" Id="rId1166" /><Relationship Type="http://schemas.openxmlformats.org/officeDocument/2006/relationships/hyperlink" Target="https://bugarimecoelho.com.br/ws/media-library/8a53bcdaec5b4d4cab59343874ff9f0b/04---relacao-de-credores.pdf" TargetMode="External" Id="rId1167" /><Relationship Type="http://schemas.openxmlformats.org/officeDocument/2006/relationships/hyperlink" Target="https://vivanteaj.com.br/wp-content/uploads/2024/12/PRJ-PROCENGE.pdf" TargetMode="External" Id="rId1168" /><Relationship Type="http://schemas.openxmlformats.org/officeDocument/2006/relationships/hyperlink" Target="https://vivanteaj.com.br/wp-content/uploads/2024/12/Plano-de-Recuperacao-Judicial-Alternativo-Procenge.pdf" TargetMode="External" Id="rId1169" /><Relationship Type="http://schemas.openxmlformats.org/officeDocument/2006/relationships/hyperlink" Target="https://vivanteaj.com.br/wp-content/uploads/2024/11/2a-lista-Grupo-Metalloys-vf.pdf" TargetMode="External" Id="rId1170" /><Relationship Type="http://schemas.openxmlformats.org/officeDocument/2006/relationships/hyperlink" Target="https://marquesadmjudicial.com.br/sgc/download.php?file=files/processo_documento/processo_documento17364409012026_1_.pdf&amp;nome=Rela&#231;&#227;o de Credores - Recuperanda" TargetMode="External" Id="rId1171" /><Relationship Type="http://schemas.openxmlformats.org/officeDocument/2006/relationships/hyperlink" Target="https://vtladm.com.br/wp-content/uploads/2024/04/08-Plano-de-Recuperacao-Judicial-&#8211;-Frigorifico-Alfa-Industria-e-Comercio-de-Carnes-e-Derivados-Ltda.-e-Ctx-Logistica-Transporte-E-Locacoes-Ltda.pdf" TargetMode="External" Id="rId1172" /><Relationship Type="http://schemas.openxmlformats.org/officeDocument/2006/relationships/hyperlink" Target="https://marquesadmjudicial.com.br/sgc/download.php?file=files/processo_documento/processo_documento09413302042026_1_.pdf&amp;nome=Rela&#231;&#227;o de credores Fam&#237;lia - Classe I" TargetMode="External" Id="rId1173" /><Relationship Type="http://schemas.openxmlformats.org/officeDocument/2006/relationships/hyperlink" Target="https://marquesadmjudicial.com.br/sgc/download.php?file=files/processo_documento/processo_documento15033119082026_1_.pdf&amp;nome=Laudo de Credenciamento &#8211; Cen&#225;rio V &#8211; Rela&#231;&#227;o Nominal de Todos os Credores" TargetMode="External" Id="rId1174" /><Relationship Type="http://schemas.openxmlformats.org/officeDocument/2006/relationships/hyperlink" Target="https://realbrasil.com.br/wp-content/uploads/2019/08/02.RELA&#199;&#195;O-DE-CREDORES-RECUPERANDA-RETIFICADA.pdf" TargetMode="External" Id="rId1175" /><Relationship Type="http://schemas.openxmlformats.org/officeDocument/2006/relationships/hyperlink" Target="https://realbrasil.com.br/wp-content/uploads/2018/03/LISTA-DE-CREDORES.pdf" TargetMode="External" Id="rId1176" /><Relationship Type="http://schemas.openxmlformats.org/officeDocument/2006/relationships/hyperlink" Target="https://realbrasil.com.br/wp-content/uploads/2017/07/LISTA-DE-CREDORES-AZZA.pdf" TargetMode="External" Id="rId1177" /><Relationship Type="http://schemas.openxmlformats.org/officeDocument/2006/relationships/hyperlink" Target="https://credibilita.com.br/wp-content/uploads/2025/02/Lista-de-credores-do-art.-7o-2o-da-LFRE.pdf" TargetMode="External" Id="rId1178" /><Relationship Type="http://schemas.openxmlformats.org/officeDocument/2006/relationships/hyperlink" Target="https://credibilita.com.br/wp-content/uploads/2023/12/45.-Lista-de-credores-Art.-7o-&#167;-2.pdf" TargetMode="External" Id="rId1179" /><Relationship Type="http://schemas.openxmlformats.org/officeDocument/2006/relationships/hyperlink" Target="https://credibilita.com.br/wp-content/uploads/2023/08/relacaodecredoresparaedital.pdf" TargetMode="External" Id="rId1180" /><Relationship Type="http://schemas.openxmlformats.org/officeDocument/2006/relationships/hyperlink" Target="https://credibilita.com.br/wp-content/uploads/2024/04/17.-Apresentacao-da-Lista-de-Credores-pela-Administradora-Judicial-e-analises-de-credito-em-06.02.24-mov.-502.pdf" TargetMode="External" Id="rId1181" /><Relationship Type="http://schemas.openxmlformats.org/officeDocument/2006/relationships/hyperlink" Target="https://credibilita.com.br/wp-content/uploads/2024/02/Lista-de-Credores-Figueirense-Futebol-Clube-LTDA.pdf" TargetMode="External" Id="rId1182" /><Relationship Type="http://schemas.openxmlformats.org/officeDocument/2006/relationships/hyperlink" Target="https://credibilita.com.br/wp-content/uploads/2024/12/09.12.2024-Relacao-Nonimal-de-Credores.pdf" TargetMode="External" Id="rId1183" /><Relationship Type="http://schemas.openxmlformats.org/officeDocument/2006/relationships/hyperlink" Target="https://inova-aj.com.br/wp-content/uploads/2020/03/Grupo-Leader-Relac&#807;a&#771;o-de-credores-apesentada-pelas-recuperandas.pdf" TargetMode="External" Id="rId1184" /><Relationship Type="http://schemas.openxmlformats.org/officeDocument/2006/relationships/hyperlink" Target="https://violet-wolf-754008.hostingersite.com/wp-content/uploads/recuperacoes-judiciais/Fernandes-Engenharia/Listagem-de-Credores-Completa-Fernandes-Engenharia.pdf" TargetMode="External" Id="rId1185" /><Relationship Type="http://schemas.openxmlformats.org/officeDocument/2006/relationships/hyperlink" Target="https://rlg-aj.com.br/wp-content/uploads/2025/03/02.-Rela&#231;&#227;o-de-Credores.pdf" TargetMode="External" Id="rId1186" /><Relationship Type="http://schemas.openxmlformats.org/officeDocument/2006/relationships/hyperlink" Target="https://rlg-aj.com.br/wp-content/uploads/2023/08/Relacao-de-Credores-apresentada-pela-Recuperanda-Instituto-CAV.pdf" TargetMode="External" Id="rId1187" /><Relationship Type="http://schemas.openxmlformats.org/officeDocument/2006/relationships/hyperlink" Target="https://inova-aj.com.br/wp-content/uploads/2022/11/QGC-Consolidado.pdf" TargetMode="External" Id="rId1188" /><Relationship Type="http://schemas.openxmlformats.org/officeDocument/2006/relationships/hyperlink" Target="https://rlg-aj.com.br/wp-content/uploads/2025/03/06.-Plano-de-Recuperacao-Judicial.pdf" TargetMode="External" Id="rId1189" /><Relationship Type="http://schemas.openxmlformats.org/officeDocument/2006/relationships/hyperlink" Target="https://gatekeeperaj.com.br/wp-content/uploads/2025/08/QGC-GTP-2.pdf" TargetMode="External" Id="rId1190" /><Relationship Type="http://schemas.openxmlformats.org/officeDocument/2006/relationships/hyperlink" Target="https://rlg-aj.com.br/wp-content/uploads/2025/03/09.-Aditivo-ao-Plano-de-Recuperacao-Judicial.pdf" TargetMode="External" Id="rId1191" /><Relationship Type="http://schemas.openxmlformats.org/officeDocument/2006/relationships/hyperlink" Target="https://ajruiz.com.br/sites/default/files/public/arquivos-processos/2024-02/2._relacao_de_credores.pdf" TargetMode="External" Id="rId1192" /><Relationship Type="http://schemas.openxmlformats.org/officeDocument/2006/relationships/hyperlink" Target="https://ajruiz.com.br/sites/default/files/public/arquivos-processos/2023-12/azeplast_relacao_de_credores_recuperanda.pdf" TargetMode="External" Id="rId1193" /><Relationship Type="http://schemas.openxmlformats.org/officeDocument/2006/relationships/hyperlink" Target="https://recuperasolucoes.com/wp-content/plugins/download-attachments/includes/download.php?id=1592" TargetMode="External" Id="rId1194" /><Relationship Type="http://schemas.openxmlformats.org/officeDocument/2006/relationships/hyperlink" Target="https://recuperasolucoes.com/wp-content/plugins/download-attachments/includes/download.php?id=1380" TargetMode="External" Id="rId1195" /><Relationship Type="http://schemas.openxmlformats.org/officeDocument/2006/relationships/hyperlink" Target="https://ajruiz.com.br/sites/default/files/public/arquivos-processos/2026-03/lista_de_credores_recuperanda.pdf" TargetMode="External" Id="rId1196" /><Relationship Type="http://schemas.openxmlformats.org/officeDocument/2006/relationships/hyperlink" Target="https://recuperasolucoes.com/wp-content/plugins/download-attachments/includes/download.php?id=1653" TargetMode="External" Id="rId1197" /><Relationship Type="http://schemas.openxmlformats.org/officeDocument/2006/relationships/hyperlink" Target="https://ajruiz.com.br/sites/default/files/public/arquivos-processos/2026-07/relacao_de_credores_art._7o_ss2o_lre.pdf" TargetMode="External" Id="rId1198" /><Relationship Type="http://schemas.openxmlformats.org/officeDocument/2006/relationships/hyperlink" Target="https://ativosajce.com.br/admin/download.php?file=files/processo_documento/processo_documento15073627072022_1_.pdf&amp;nome=Rela&#231;&#227;o de Credores - art. 52, &#167;1&#186; da Lei 11.101/05 - 19/07/2022" TargetMode="External" Id="rId1199" /></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ANTEPARO — CALL SHEET</t>
        </is>
      </c>
    </row>
    <row r="2">
      <c r="A2" s="2" t="inlineStr">
        <is>
          <t>Run 20260903T230425Z-e7c9a7 · generated 2026-09-05 · 559 leads ≥ R$200k · 236 pooling leads (R$100–200k) · 1199 source documents · 527 cases</t>
        </is>
      </c>
    </row>
    <row r="3">
      <c r="A3" s="2" t="inlineStr"/>
    </row>
    <row r="4">
      <c r="A4" s="1" t="inlineStr">
        <is>
          <t>WHAT EACH ROW IS</t>
        </is>
      </c>
    </row>
    <row r="5">
      <c r="A5" s="2" t="inlineStr">
        <is>
          <t>One company × one recovery case. The company holds class III (trade) credit against the debtor, admitted in the court's own creditor list. All establishments of the company (same 8-digit CNPJ root) are summed.</t>
        </is>
      </c>
    </row>
    <row r="6">
      <c r="A6" s="2" t="inlineStr"/>
    </row>
    <row r="7">
      <c r="A7" s="1" t="inlineStr">
        <is>
          <t>THE NUMBER</t>
        </is>
      </c>
    </row>
    <row r="8">
      <c r="A8" s="2" t="inlineStr">
        <is>
          <t>'Class III face' is the admitted value AS PRINTED in the court document — what the company is OWED, updated only to the filing date (art. 9 II). It is NOT what will be paid.</t>
        </is>
      </c>
    </row>
    <row r="9">
      <c r="A9" s="2" t="inlineStr">
        <is>
          <t>'OUR QUOTE' is a model: face → assumed plan terms → discounted at the investor IRR → fund price → our share. Edit the Assumptions tab. It is not court data.</t>
        </is>
      </c>
    </row>
    <row r="10">
      <c r="A10" s="2" t="inlineStr"/>
    </row>
    <row r="11">
      <c r="A11" s="1" t="inlineStr">
        <is>
          <t>PROOF OF CLAIM (green columns)</t>
        </is>
      </c>
    </row>
    <row r="12">
      <c r="A12" s="2" t="inlineStr">
        <is>
          <t>Click 'PROOF: source document', go to the page/row listed, and read the value as printed. If a seller asks 'how did you get this?', that link is the answer.</t>
        </is>
      </c>
    </row>
    <row r="13">
      <c r="A13" s="2" t="inlineStr">
        <is>
          <t>'Reconciled' = OK means the document's extracted class totals matched its own printed totals within 0.5%. OK_NO_TOTALS means the document prints no totals — the number was read from its own row but could not be cross-checked; quote with that caveat.</t>
        </is>
      </c>
    </row>
    <row r="14">
      <c r="A14" s="2" t="inlineStr"/>
    </row>
    <row r="15">
      <c r="A15" s="1" t="inlineStr">
        <is>
          <t>DECISION-MAKER</t>
        </is>
      </c>
    </row>
    <row r="16">
      <c r="A16" s="2" t="inlineStr">
        <is>
          <t>From the Receita Federal partner register (sócio-administrador / administrador / diretor / presidente). Phone and email are the company's registry contact. Confidence LOW = registry only; nothing here was guessed or looked up from memory.</t>
        </is>
      </c>
    </row>
    <row r="17">
      <c r="A17" s="2" t="inlineStr"/>
    </row>
    <row r="18">
      <c r="A18" s="1" t="inlineStr">
        <is>
          <t>CRM COLUMNS (yellow)</t>
        </is>
      </c>
    </row>
    <row r="19">
      <c r="A19" s="2" t="inlineStr">
        <is>
          <t>Status (dropdown) · Owner · Attempts · Last touch · Next action · Next date · Notes. Sort/filter freely; the proof and quote columns travel with the row.</t>
        </is>
      </c>
    </row>
    <row r="20">
      <c r="A20" s="2" t="inlineStr"/>
    </row>
    <row r="21">
      <c r="A21" s="1" t="inlineStr">
        <is>
          <t>EXCLUDED FROM THIS SHEET</t>
        </is>
      </c>
    </row>
    <row r="22">
      <c r="A22" s="2" t="inlineStr">
        <is>
          <t>Individuals (CPF), banks (CNAE 64–66), public entities, inactive companies, foreign-currency claims, extraconcursal sections, quarantined documents. They remain in the CSV tables with flags.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70" customWidth="1" min="6" max="6"/>
  </cols>
  <sheetData>
    <row r="1">
      <c r="A1" s="3" t="inlineStr">
        <is>
          <t>PRICING ASSUMPTIONS — edit the yellow cells; every quote on the call sheet recalculates</t>
        </is>
      </c>
    </row>
    <row r="3">
      <c r="A3" t="inlineStr">
        <is>
          <t>Target investor IRR (annual)</t>
        </is>
      </c>
      <c r="B3" s="4" t="n">
        <v>0.25</v>
      </c>
      <c r="F3" t="inlineStr">
        <is>
          <t>Fund price = face × recovery% ÷ (1+IRR)^(years to payment). A fund needing 25% IRR on a plan paying 30% over years 3–10 pays ~8 cents, not 25 — check the 7 buyers' real numbers against this.</t>
        </is>
      </c>
    </row>
    <row r="4">
      <c r="A4" t="inlineStr">
        <is>
          <t>Buy price as share of fund price (we pay 60% → 0.60)</t>
        </is>
      </c>
      <c r="B4" s="4" t="n">
        <v>0.6</v>
      </c>
      <c r="F4" t="inlineStr">
        <is>
          <t>Our quote = fund price × this share. The doc rule is 60% of mandate price; expected 55–70% once Gate 6 data exists.</t>
        </is>
      </c>
    </row>
    <row r="6">
      <c r="A6" s="5" t="inlineStr">
        <is>
          <t>Debtor band</t>
        </is>
      </c>
      <c r="B6" s="5" t="inlineStr">
        <is>
          <t>Class III recovery % of face</t>
        </is>
      </c>
      <c r="C6" s="5" t="inlineStr">
        <is>
          <t>Grace (years)</t>
        </is>
      </c>
      <c r="D6" s="5" t="inlineStr">
        <is>
          <t>Term (years)</t>
        </is>
      </c>
      <c r="E6" s="5" t="inlineStr">
        <is>
          <t>Plan lag (years)</t>
        </is>
      </c>
      <c r="F6" s="5" t="inlineStr">
        <is>
          <t>Note</t>
        </is>
      </c>
    </row>
    <row r="7">
      <c r="A7" t="inlineStr">
        <is>
          <t>A</t>
        </is>
      </c>
      <c r="B7" s="4" t="n">
        <v>0.4</v>
      </c>
      <c r="C7" s="6" t="n">
        <v>2</v>
      </c>
      <c r="D7" s="6" t="n">
        <v>8</v>
      </c>
      <c r="E7" t="n">
        <v>1.5</v>
      </c>
      <c r="F7" t="inlineStr">
        <is>
          <t>Recovery GRANTED (art. 58): plan approved by the creditors and granted by the court; payments run from the grant</t>
        </is>
      </c>
    </row>
    <row r="8">
      <c r="A8" t="inlineStr">
        <is>
          <t>B</t>
        </is>
      </c>
      <c r="B8" s="4" t="n">
        <v>0.3</v>
      </c>
      <c r="C8" s="6" t="n">
        <v>2</v>
      </c>
      <c r="D8" s="6" t="n">
        <v>8</v>
      </c>
      <c r="E8" t="n">
        <v>1.5</v>
      </c>
      <c r="F8" t="inlineStr">
        <is>
          <t>Live case filed within the last 2 years, plan filed (art. 53) or pending — not yet granted; the payment clock has not started</t>
        </is>
      </c>
    </row>
    <row r="9">
      <c r="A9" t="inlineStr">
        <is>
          <t>C</t>
        </is>
      </c>
      <c r="B9" s="4" t="n">
        <v>0.15</v>
      </c>
      <c r="C9" s="6" t="n">
        <v>3</v>
      </c>
      <c r="D9" s="6" t="n">
        <v>10</v>
      </c>
      <c r="E9" t="n">
        <v>2.5</v>
      </c>
      <c r="F9" t="inlineStr">
        <is>
          <t>Older case (filed &gt;2 y ago) or dormant/closed with no grant seen: a plan very probably exists but is not in our documents — check the docket before quoting</t>
        </is>
      </c>
    </row>
    <row r="10">
      <c r="A10" t="inlineStr">
        <is>
          <t>D</t>
        </is>
      </c>
      <c r="B10" s="4" t="n">
        <v>0.03</v>
      </c>
      <c r="C10" s="6" t="n">
        <v>0</v>
      </c>
      <c r="D10" s="6" t="n">
        <v>0</v>
      </c>
      <c r="E10" t="n">
        <v>6</v>
      </c>
      <c r="F10" t="inlineStr">
        <is>
          <t>Not in the book: falência decreed, RJ extinguished, or the company is closed (baixada) at RFB — rows go to EXCLUDED (review)</t>
        </is>
      </c>
    </row>
    <row r="11">
      <c r="A11" t="inlineStr">
        <is>
          <t>U</t>
        </is>
      </c>
      <c r="B11" s="4" t="n">
        <v>0.25</v>
      </c>
      <c r="C11" s="6" t="n">
        <v>3</v>
      </c>
      <c r="D11" s="6" t="n">
        <v>8</v>
      </c>
      <c r="E11" t="n">
        <v>2.5</v>
      </c>
      <c r="F11" t="inlineStr">
        <is>
          <t>Unresolved: debtor or case not identified — kept on PRICING HOLD (zero quote) until the case is found</t>
        </is>
      </c>
    </row>
    <row r="13">
      <c r="A13" s="7" t="inlineStr">
        <is>
          <t>Everything in this tab is an ASSUMPTION, not court data. The face value on the call sheet IS court data — it links to the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60"/>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9" customWidth="1" min="4" max="4"/>
    <col width="12" customWidth="1" min="5" max="5"/>
    <col width="22" customWidth="1" min="6" max="6"/>
    <col width="12" customWidth="1" min="7" max="7"/>
    <col width="40" customWidth="1" min="8" max="8"/>
    <col width="42" customWidth="1" min="9" max="9"/>
    <col width="42" customWidth="1" min="10" max="10"/>
    <col width="11" customWidth="1" min="11" max="11"/>
    <col width="22" customWidth="1" min="12" max="12"/>
    <col width="18" customWidth="1" min="13" max="13"/>
    <col width="7" customWidth="1" min="14" max="14"/>
    <col width="10" customWidth="1" min="15" max="15"/>
    <col width="12" customWidth="1" min="16" max="16"/>
    <col width="12" customWidth="1" min="17" max="17"/>
    <col width="9" customWidth="1" min="18" max="18"/>
    <col width="10" customWidth="1" min="19" max="19"/>
    <col width="10" customWidth="1" min="20" max="20"/>
    <col width="18" customWidth="1" min="21" max="21"/>
    <col width="10" customWidth="1" min="22" max="22"/>
    <col width="18" customWidth="1" min="23" max="23"/>
    <col width="10" customWidth="1" min="24" max="24"/>
    <col width="40" customWidth="1" min="25" max="25"/>
    <col width="26" customWidth="1" min="26" max="26"/>
    <col width="8" customWidth="1" min="27" max="27"/>
    <col width="26" customWidth="1" min="28" max="28"/>
    <col width="34" customWidth="1" min="29" max="29"/>
    <col width="20" customWidth="1" min="30" max="30"/>
    <col width="16" customWidth="1" min="31" max="31"/>
    <col width="16" customWidth="1" min="32" max="32"/>
    <col width="30" customWidth="1" min="33" max="33"/>
    <col width="5" customWidth="1" min="34" max="34"/>
    <col width="20" customWidth="1" min="35" max="35"/>
    <col width="40" customWidth="1" min="36" max="36"/>
    <col width="12" customWidth="1" min="37" max="37"/>
    <col width="10" customWidth="1" min="38" max="38"/>
    <col width="60" customWidth="1" min="39" max="39"/>
    <col width="22" customWidth="1" min="40" max="40"/>
    <col width="34" customWidth="1" min="41" max="41"/>
    <col width="12" customWidth="1" min="42" max="42"/>
    <col width="12" customWidth="1" min="43" max="43"/>
    <col width="14" customWidth="1" min="44" max="44"/>
    <col width="40" customWidth="1" min="45" max="45"/>
    <col width="14" customWidth="1" min="46" max="46"/>
  </cols>
  <sheetData>
    <row r="1" ht="32" customHeight="1">
      <c r="A1" s="8" t="inlineStr">
        <is>
          <t>Rank</t>
        </is>
      </c>
      <c r="B1" s="8" t="inlineStr">
        <is>
          <t>Status</t>
        </is>
      </c>
      <c r="C1" s="8" t="inlineStr">
        <is>
          <t>Owner</t>
        </is>
      </c>
      <c r="D1" s="8" t="inlineStr">
        <is>
          <t>Attempts</t>
        </is>
      </c>
      <c r="E1" s="8" t="inlineStr">
        <is>
          <t>Last touch</t>
        </is>
      </c>
      <c r="F1" s="8" t="inlineStr">
        <is>
          <t>Next action</t>
        </is>
      </c>
      <c r="G1" s="8" t="inlineStr">
        <is>
          <t>Next date</t>
        </is>
      </c>
      <c r="H1" s="8" t="inlineStr">
        <is>
          <t>Notes</t>
        </is>
      </c>
      <c r="I1" s="8" t="inlineStr">
        <is>
          <t>Company (RFB)</t>
        </is>
      </c>
      <c r="J1" s="8" t="inlineStr">
        <is>
          <t>Name as printed</t>
        </is>
      </c>
      <c r="K1" s="8" t="inlineStr">
        <is>
          <t>CNPJ root</t>
        </is>
      </c>
      <c r="L1" s="8" t="inlineStr">
        <is>
          <t>Establishment CNPJs</t>
        </is>
      </c>
      <c r="M1" s="8" t="inlineStr">
        <is>
          <t>Class III face (R$)</t>
        </is>
      </c>
      <c r="N1" s="8" t="inlineStr">
        <is>
          <t>Claims</t>
        </is>
      </c>
      <c r="O1" s="8" t="inlineStr">
        <is>
          <t>Debtor band</t>
        </is>
      </c>
      <c r="P1" s="8" t="inlineStr">
        <is>
          <t>Stage</t>
        </is>
      </c>
      <c r="Q1" s="8" t="inlineStr">
        <is>
          <t>Case filed</t>
        </is>
      </c>
      <c r="R1" s="8" t="inlineStr">
        <is>
          <t>Years since filing</t>
        </is>
      </c>
      <c r="S1" s="8" t="inlineStr">
        <is>
          <t>Est. recovery %</t>
        </is>
      </c>
      <c r="T1" s="8" t="inlineStr">
        <is>
          <t>Years to payment (est.)</t>
        </is>
      </c>
      <c r="U1" s="8" t="inlineStr">
        <is>
          <t>Fund price @ IRR (R$)</t>
        </is>
      </c>
      <c r="V1" s="8" t="inlineStr">
        <is>
          <t>Fund price (cents)</t>
        </is>
      </c>
      <c r="W1" s="8" t="inlineStr">
        <is>
          <t>OUR QUOTE (R$)</t>
        </is>
      </c>
      <c r="X1" s="8" t="inlineStr">
        <is>
          <t>Quote (cents)</t>
        </is>
      </c>
      <c r="Y1" s="8" t="inlineStr">
        <is>
          <t>Debtor</t>
        </is>
      </c>
      <c r="Z1" s="8" t="inlineStr">
        <is>
          <t>Case number</t>
        </is>
      </c>
      <c r="AA1" s="8" t="inlineStr">
        <is>
          <t>Court</t>
        </is>
      </c>
      <c r="AB1" s="8" t="inlineStr">
        <is>
          <t>Administrator (site)</t>
        </is>
      </c>
      <c r="AC1" s="8" t="inlineStr">
        <is>
          <t>Decision-maker</t>
        </is>
      </c>
      <c r="AD1" s="8" t="inlineStr">
        <is>
          <t>Role</t>
        </is>
      </c>
      <c r="AE1" s="8" t="inlineStr">
        <is>
          <t>Phone</t>
        </is>
      </c>
      <c r="AF1" s="8" t="inlineStr">
        <is>
          <t>Phone 2</t>
        </is>
      </c>
      <c r="AG1" s="8" t="inlineStr">
        <is>
          <t>Email</t>
        </is>
      </c>
      <c r="AH1" s="8" t="inlineStr">
        <is>
          <t>UF</t>
        </is>
      </c>
      <c r="AI1" s="8" t="inlineStr">
        <is>
          <t>City</t>
        </is>
      </c>
      <c r="AJ1" s="8" t="inlineStr">
        <is>
          <t>CNAE</t>
        </is>
      </c>
      <c r="AK1" s="8" t="inlineStr">
        <is>
          <t>Porte</t>
        </is>
      </c>
      <c r="AL1" s="8" t="inlineStr">
        <is>
          <t>Situação</t>
        </is>
      </c>
      <c r="AM1" s="8" t="inlineStr">
        <is>
          <t>PROOF: source document</t>
        </is>
      </c>
      <c r="AN1" s="8" t="inlineStr">
        <is>
          <t>Page / row</t>
        </is>
      </c>
      <c r="AO1" s="8" t="inlineStr">
        <is>
          <t>Value as printed</t>
        </is>
      </c>
      <c r="AP1" s="8" t="inlineStr">
        <is>
          <t>Which list</t>
        </is>
      </c>
      <c r="AQ1" s="8" t="inlineStr">
        <is>
          <t>Published</t>
        </is>
      </c>
      <c r="AR1" s="8" t="inlineStr">
        <is>
          <t>Reconciled</t>
        </is>
      </c>
      <c r="AS1" s="8" t="inlineStr">
        <is>
          <t>Data flags</t>
        </is>
      </c>
      <c r="AT1" s="8" t="inlineStr">
        <is>
          <t>Doc id</t>
        </is>
      </c>
    </row>
    <row r="2">
      <c r="A2" s="9" t="n">
        <v>1</v>
      </c>
      <c r="B2" s="9" t="inlineStr">
        <is>
          <t>NEW</t>
        </is>
      </c>
      <c r="C2" s="9" t="inlineStr"/>
      <c r="D2" s="9" t="n">
        <v>0</v>
      </c>
      <c r="E2" s="9" t="inlineStr"/>
      <c r="F2" s="9" t="inlineStr"/>
      <c r="G2" s="9" t="inlineStr"/>
      <c r="H2" s="9" t="inlineStr"/>
      <c r="I2" t="inlineStr">
        <is>
          <t>PETROLEO BRASILEIRO S A PETROBRAS</t>
        </is>
      </c>
      <c r="J2" t="inlineStr">
        <is>
          <t>Petróleo Brasileiro S.A. (Petrobras)</t>
        </is>
      </c>
      <c r="K2" t="inlineStr">
        <is>
          <t>33000167</t>
        </is>
      </c>
      <c r="L2" t="inlineStr">
        <is>
          <t>33000167000101</t>
        </is>
      </c>
      <c r="M2" s="10" t="n">
        <v>330054762.86</v>
      </c>
      <c r="N2" t="n">
        <v>1</v>
      </c>
      <c r="O2" s="11" t="inlineStr">
        <is>
          <t>B</t>
        </is>
      </c>
      <c r="P2" s="11" t="inlineStr"/>
      <c r="Q2" s="12" t="n">
        <v>45756</v>
      </c>
      <c r="R2" s="11">
        <f>IF(Q2="","",ROUND((TODAY()-Q2)/365.25,1))</f>
        <v/>
      </c>
      <c r="S2" s="13">
        <f>IFERROR(VLOOKUP(O2,Assumptions!$A$7:$F$11,2,FALSE),0.25)</f>
        <v/>
      </c>
      <c r="T2" s="14">
        <f>IF(O2="A",MAX(1,IFERROR(VLOOKUP(O2,Assumptions!$A$7:$F$11,3,FALSE),3)+IFERROR(VLOOKUP(O2,Assumptions!$A$7:$F$11,4,FALSE),8)/2-MAX(0,IF(R2="",0,R2)-IFERROR(VLOOKUP(O2,Assumptions!$A$7:$F$11,5,FALSE),1.5))),IFERROR(VLOOKUP(O2,Assumptions!$A$7:$F$11,5,FALSE),2.5)+IFERROR(VLOOKUP(O2,Assumptions!$A$7:$F$11,3,FALSE),3)+IFERROR(VLOOKUP(O2,Assumptions!$A$7:$F$11,4,FALSE),8)/2)</f>
        <v/>
      </c>
      <c r="U2" s="15">
        <f>M2*S2/(1+Assumptions!$B$3)^T2</f>
        <v/>
      </c>
      <c r="V2" s="11">
        <f>IF(M2=0,"",ROUND(U2/M2*100,1))</f>
        <v/>
      </c>
      <c r="W2" s="16">
        <f>U2*Assumptions!$B$4</f>
        <v/>
      </c>
      <c r="X2" s="11">
        <f>IF(M2=0,"",ROUND(W2/M2*100,1))</f>
        <v/>
      </c>
      <c r="Y2" t="inlineStr">
        <is>
          <t>GRUPO EGESA (EGESA ENG S.A, EGESUR PART E EMP S.A, MATRIX INFRA LTDA, BEMVIVER ENG AMBIENTAL E SERV LTDA, DKF CONST E EMP LTDA, EGEPEL LTDA, ETR ASSESSORIA EMP E PART LTDA, MVT ENG E SERV LTDA, PARQUES DO VALE LTDA, ELMO RIBEIRO E ANA RIBEIRO)</t>
        </is>
      </c>
      <c r="Z2" t="inlineStr">
        <is>
          <t>5088952-81.2025.8.13.0024</t>
        </is>
      </c>
      <c r="AA2" t="inlineStr">
        <is>
          <t>TJMG</t>
        </is>
      </c>
      <c r="AB2" t="inlineStr">
        <is>
          <t>scalzilliaj.com.br</t>
        </is>
      </c>
      <c r="AC2" t="inlineStr">
        <is>
          <t>MAGDA MARIA DE REGINA CHAMBRIARD</t>
        </is>
      </c>
      <c r="AD2" t="inlineStr">
        <is>
          <t>Presidente</t>
        </is>
      </c>
      <c r="AE2" t="inlineStr">
        <is>
          <t>(21) 2166-0000</t>
        </is>
      </c>
      <c r="AF2" t="inlineStr"/>
      <c r="AG2" t="inlineStr"/>
      <c r="AH2" t="inlineStr">
        <is>
          <t>RJ</t>
        </is>
      </c>
      <c r="AI2" t="inlineStr">
        <is>
          <t>RIO DE JANEIRO</t>
        </is>
      </c>
      <c r="AJ2" t="inlineStr">
        <is>
          <t>Extração de petróleo e gás natural</t>
        </is>
      </c>
      <c r="AK2" t="inlineStr">
        <is>
          <t>DEMAIS</t>
        </is>
      </c>
      <c r="AL2" t="inlineStr">
        <is>
          <t>ATIVA</t>
        </is>
      </c>
      <c r="AM2" s="17" t="inlineStr">
        <is>
          <t>https://scalzilliaj.com.br/sgc/download.php?file=files/processo_documento/processo_documento09514021082025_1_.pdf&amp;nome=04 - Relação de credores das Recuperandas</t>
        </is>
      </c>
      <c r="AN2" s="18" t="inlineStr">
        <is>
          <t>p71 r9</t>
        </is>
      </c>
      <c r="AO2" s="18" t="inlineStr">
        <is>
          <t>p71: R$ 330.054.762,86</t>
        </is>
      </c>
      <c r="AP2" s="18" t="inlineStr">
        <is>
          <t>DEBTOR_LIST</t>
        </is>
      </c>
      <c r="AQ2" s="18" t="inlineStr"/>
      <c r="AR2" s="18" t="inlineStr">
        <is>
          <t>OK</t>
        </is>
      </c>
      <c r="AS2" s="18" t="inlineStr">
        <is>
          <t>ROWS:p71r9 VALUE_COL:Valor_Atualizado CASE_NUMBER_CORRECTED CASE_FROM_PORTAL</t>
        </is>
      </c>
      <c r="AT2" s="18" t="inlineStr">
        <is>
          <t>24ed98480a57</t>
        </is>
      </c>
    </row>
    <row r="3">
      <c r="A3" s="9" t="n">
        <v>2</v>
      </c>
      <c r="B3" s="9" t="inlineStr">
        <is>
          <t>NEW</t>
        </is>
      </c>
      <c r="C3" s="9" t="inlineStr"/>
      <c r="D3" s="9" t="n">
        <v>0</v>
      </c>
      <c r="E3" s="9" t="inlineStr"/>
      <c r="F3" s="9" t="inlineStr"/>
      <c r="G3" s="9" t="inlineStr"/>
      <c r="H3" s="9" t="inlineStr"/>
      <c r="I3" t="inlineStr">
        <is>
          <t>DM CONSTRUTORA DE OBRAS LTDA</t>
        </is>
      </c>
      <c r="J3" t="inlineStr">
        <is>
          <t>DM Construtora de Obras LTDA</t>
        </is>
      </c>
      <c r="K3" t="inlineStr">
        <is>
          <t>76483726</t>
        </is>
      </c>
      <c r="L3" t="inlineStr">
        <is>
          <t>76483726000194</t>
        </is>
      </c>
      <c r="M3" s="10" t="n">
        <v>178052183.86</v>
      </c>
      <c r="N3" t="n">
        <v>1</v>
      </c>
      <c r="O3" s="11" t="inlineStr">
        <is>
          <t>B</t>
        </is>
      </c>
      <c r="P3" s="11" t="inlineStr">
        <is>
          <t>ACTIVE</t>
        </is>
      </c>
      <c r="Q3" s="12" t="n">
        <v>45833</v>
      </c>
      <c r="R3" s="11">
        <f>IF(Q3="","",ROUND((TODAY()-Q3)/365.25,1))</f>
        <v/>
      </c>
      <c r="S3" s="13">
        <f>IFERROR(VLOOKUP(O3,Assumptions!$A$7:$F$11,2,FALSE),0.25)</f>
        <v/>
      </c>
      <c r="T3" s="14">
        <f>IF(O3="A",MAX(1,IFERROR(VLOOKUP(O3,Assumptions!$A$7:$F$11,3,FALSE),3)+IFERROR(VLOOKUP(O3,Assumptions!$A$7:$F$11,4,FALSE),8)/2-MAX(0,IF(R3="",0,R3)-IFERROR(VLOOKUP(O3,Assumptions!$A$7:$F$11,5,FALSE),1.5))),IFERROR(VLOOKUP(O3,Assumptions!$A$7:$F$11,5,FALSE),2.5)+IFERROR(VLOOKUP(O3,Assumptions!$A$7:$F$11,3,FALSE),3)+IFERROR(VLOOKUP(O3,Assumptions!$A$7:$F$11,4,FALSE),8)/2)</f>
        <v/>
      </c>
      <c r="U3" s="15">
        <f>M3*S3/(1+Assumptions!$B$3)^T3</f>
        <v/>
      </c>
      <c r="V3" s="11">
        <f>IF(M3=0,"",ROUND(U3/M3*100,1))</f>
        <v/>
      </c>
      <c r="W3" s="16">
        <f>U3*Assumptions!$B$4</f>
        <v/>
      </c>
      <c r="X3" s="11">
        <f>IF(M3=0,"",ROUND(W3/M3*100,1))</f>
        <v/>
      </c>
      <c r="Y3" t="inlineStr">
        <is>
          <t>GRUPO MARINGÁ PARK</t>
        </is>
      </c>
      <c r="Z3" t="inlineStr">
        <is>
          <t>0016033-22.2025.8.16.0017</t>
        </is>
      </c>
      <c r="AA3" t="inlineStr">
        <is>
          <t>TJPR</t>
        </is>
      </c>
      <c r="AB3" t="inlineStr">
        <is>
          <t>marquesadmjudicial.com.br</t>
        </is>
      </c>
      <c r="AC3" t="inlineStr">
        <is>
          <t>DENIZ ALBINO FANTIN</t>
        </is>
      </c>
      <c r="AD3" t="inlineStr">
        <is>
          <t>Sócio-Administrador</t>
        </is>
      </c>
      <c r="AE3" t="inlineStr">
        <is>
          <t>(41) 3313-8000</t>
        </is>
      </c>
      <c r="AF3" t="inlineStr">
        <is>
          <t>(41) 3313-8090</t>
        </is>
      </c>
      <c r="AG3" t="inlineStr"/>
      <c r="AH3" t="inlineStr">
        <is>
          <t>PR</t>
        </is>
      </c>
      <c r="AI3" t="inlineStr">
        <is>
          <t>CURITIBA</t>
        </is>
      </c>
      <c r="AJ3" t="inlineStr">
        <is>
          <t>Construção de rodovias e ferrovias</t>
        </is>
      </c>
      <c r="AK3" t="inlineStr">
        <is>
          <t>DEMAIS</t>
        </is>
      </c>
      <c r="AL3" t="inlineStr">
        <is>
          <t>ATIVA</t>
        </is>
      </c>
      <c r="AM3" s="17" t="inlineStr">
        <is>
          <t>https://marquesadmjudicial.com.br/sgc/download.php?file=files/processo_documento/processo_documento19270817122025_1_.pdf&amp;nome=Relação Nominal de Credores AJ</t>
        </is>
      </c>
      <c r="AN3" s="18" t="inlineStr">
        <is>
          <t>p4 r8</t>
        </is>
      </c>
      <c r="AO3" s="18" t="inlineStr">
        <is>
          <t>p4: R$ 178.052.183,86</t>
        </is>
      </c>
      <c r="AP3" s="18" t="inlineStr">
        <is>
          <t>AJ_LIST</t>
        </is>
      </c>
      <c r="AQ3" s="18" t="inlineStr">
        <is>
          <t>2025-12-17</t>
        </is>
      </c>
      <c r="AR3" s="18" t="inlineStr">
        <is>
          <t>OK</t>
        </is>
      </c>
      <c r="AS3" s="18" t="inlineStr">
        <is>
          <t>ROWS:p4r8</t>
        </is>
      </c>
      <c r="AT3" s="18" t="inlineStr">
        <is>
          <t>fcb10a251582</t>
        </is>
      </c>
    </row>
    <row r="4">
      <c r="A4" s="9" t="n">
        <v>3</v>
      </c>
      <c r="B4" s="9" t="inlineStr">
        <is>
          <t>NEW</t>
        </is>
      </c>
      <c r="C4" s="9" t="inlineStr"/>
      <c r="D4" s="9" t="n">
        <v>0</v>
      </c>
      <c r="E4" s="9" t="inlineStr"/>
      <c r="F4" s="9" t="inlineStr"/>
      <c r="G4" s="9" t="inlineStr"/>
      <c r="H4" s="9" t="inlineStr"/>
      <c r="I4" t="inlineStr">
        <is>
          <t>TAG INDUSTRIA E LAMINACAO LTDA</t>
        </is>
      </c>
      <c r="J4" t="inlineStr">
        <is>
          <t>TAG INDUSTRIA E LAMINACAO LTDA</t>
        </is>
      </c>
      <c r="K4" t="inlineStr">
        <is>
          <t>33233778</t>
        </is>
      </c>
      <c r="L4" t="inlineStr">
        <is>
          <t>33233778000108</t>
        </is>
      </c>
      <c r="M4" s="10" t="n">
        <v>64713515.06</v>
      </c>
      <c r="N4" t="n">
        <v>2</v>
      </c>
      <c r="O4" s="11" t="inlineStr">
        <is>
          <t>C</t>
        </is>
      </c>
      <c r="P4" s="11" t="inlineStr">
        <is>
          <t>ACTIVE</t>
        </is>
      </c>
      <c r="Q4" s="12" t="n">
        <v>45068</v>
      </c>
      <c r="R4" s="11">
        <f>IF(Q4="","",ROUND((TODAY()-Q4)/365.25,1))</f>
        <v/>
      </c>
      <c r="S4" s="13">
        <f>IFERROR(VLOOKUP(O4,Assumptions!$A$7:$F$11,2,FALSE),0.25)</f>
        <v/>
      </c>
      <c r="T4" s="14">
        <f>IF(O4="A",MAX(1,IFERROR(VLOOKUP(O4,Assumptions!$A$7:$F$11,3,FALSE),3)+IFERROR(VLOOKUP(O4,Assumptions!$A$7:$F$11,4,FALSE),8)/2-MAX(0,IF(R4="",0,R4)-IFERROR(VLOOKUP(O4,Assumptions!$A$7:$F$11,5,FALSE),1.5))),IFERROR(VLOOKUP(O4,Assumptions!$A$7:$F$11,5,FALSE),2.5)+IFERROR(VLOOKUP(O4,Assumptions!$A$7:$F$11,3,FALSE),3)+IFERROR(VLOOKUP(O4,Assumptions!$A$7:$F$11,4,FALSE),8)/2)</f>
        <v/>
      </c>
      <c r="U4" s="15">
        <f>M4*S4/(1+Assumptions!$B$3)^T4</f>
        <v/>
      </c>
      <c r="V4" s="11">
        <f>IF(M4=0,"",ROUND(U4/M4*100,1))</f>
        <v/>
      </c>
      <c r="W4" s="16">
        <f>U4*Assumptions!$B$4</f>
        <v/>
      </c>
      <c r="X4" s="11">
        <f>IF(M4=0,"",ROUND(W4/M4*100,1))</f>
        <v/>
      </c>
      <c r="Y4" t="inlineStr">
        <is>
          <t>Grupo Conduscabos</t>
        </is>
      </c>
      <c r="Z4" t="inlineStr">
        <is>
          <t>8005129-09.2023.8.05.0039</t>
        </is>
      </c>
      <c r="AA4" t="inlineStr">
        <is>
          <t>TJBA</t>
        </is>
      </c>
      <c r="AB4" t="inlineStr">
        <is>
          <t>assistjud.com.br</t>
        </is>
      </c>
      <c r="AC4" t="inlineStr">
        <is>
          <t>TIAGO RODRIGO DETTILIO</t>
        </is>
      </c>
      <c r="AD4" t="inlineStr">
        <is>
          <t>Administrador</t>
        </is>
      </c>
      <c r="AE4" t="inlineStr">
        <is>
          <t>(11) 4463-4833</t>
        </is>
      </c>
      <c r="AF4" t="inlineStr"/>
      <c r="AG4" t="inlineStr"/>
      <c r="AH4" t="inlineStr">
        <is>
          <t>SP</t>
        </is>
      </c>
      <c r="AI4" t="inlineStr">
        <is>
          <t>SAO PAULO</t>
        </is>
      </c>
      <c r="AJ4" t="inlineStr">
        <is>
          <t>Outras atividades profissionais, científicas e técnicas não especificadas anteriormente</t>
        </is>
      </c>
      <c r="AK4" t="inlineStr">
        <is>
          <t>DEMAIS</t>
        </is>
      </c>
      <c r="AL4" t="inlineStr">
        <is>
          <t>ATIVA</t>
        </is>
      </c>
      <c r="AM4" s="17" t="inlineStr">
        <is>
          <t>https://assistjud.com.br/wp-content/uploads/elementor/forms/65098c80a5824.pdf</t>
        </is>
      </c>
      <c r="AN4" s="18" t="inlineStr">
        <is>
          <t>p10 r4; p19 r8</t>
        </is>
      </c>
      <c r="AO4" s="18" t="inlineStr">
        <is>
          <t>p10: R$ 32.731.819,08; p19: R$ 31.981.695,98</t>
        </is>
      </c>
      <c r="AP4" s="18" t="inlineStr">
        <is>
          <t>AJ_LIST</t>
        </is>
      </c>
      <c r="AQ4" s="18" t="inlineStr">
        <is>
          <t>2023-09-18</t>
        </is>
      </c>
      <c r="AR4" s="18" t="inlineStr">
        <is>
          <t>OK_NO_TOTALS</t>
        </is>
      </c>
      <c r="AS4" s="18" t="inlineStr">
        <is>
          <t>ROWS:p10r4,p19r8 UNRECONCILED_SOURCE</t>
        </is>
      </c>
      <c r="AT4" s="18" t="inlineStr">
        <is>
          <t>a0ae32a59c29</t>
        </is>
      </c>
    </row>
    <row r="5">
      <c r="A5" s="9" t="n">
        <v>4</v>
      </c>
      <c r="B5" s="9" t="inlineStr">
        <is>
          <t>NEW</t>
        </is>
      </c>
      <c r="C5" s="9" t="inlineStr"/>
      <c r="D5" s="9" t="n">
        <v>0</v>
      </c>
      <c r="E5" s="9" t="inlineStr"/>
      <c r="F5" s="9" t="inlineStr"/>
      <c r="G5" s="9" t="inlineStr"/>
      <c r="H5" s="9" t="inlineStr"/>
      <c r="I5" t="inlineStr">
        <is>
          <t>IBIPORA NEGOCIOS IMOBILIARIOS S.A.</t>
        </is>
      </c>
      <c r="J5" t="inlineStr">
        <is>
          <t>IBIPORA NEGOCIOS IMOBILIARIOS S.A.</t>
        </is>
      </c>
      <c r="K5" t="inlineStr">
        <is>
          <t>19256534</t>
        </is>
      </c>
      <c r="L5" t="inlineStr">
        <is>
          <t>19256534000101</t>
        </is>
      </c>
      <c r="M5" s="10" t="n">
        <v>45075482.57</v>
      </c>
      <c r="N5" t="n">
        <v>1</v>
      </c>
      <c r="O5" s="11" t="inlineStr">
        <is>
          <t>B</t>
        </is>
      </c>
      <c r="P5" s="11" t="inlineStr"/>
      <c r="Q5" s="12" t="n">
        <v>45756</v>
      </c>
      <c r="R5" s="11">
        <f>IF(Q5="","",ROUND((TODAY()-Q5)/365.25,1))</f>
        <v/>
      </c>
      <c r="S5" s="13">
        <f>IFERROR(VLOOKUP(O5,Assumptions!$A$7:$F$11,2,FALSE),0.25)</f>
        <v/>
      </c>
      <c r="T5" s="14">
        <f>IF(O5="A",MAX(1,IFERROR(VLOOKUP(O5,Assumptions!$A$7:$F$11,3,FALSE),3)+IFERROR(VLOOKUP(O5,Assumptions!$A$7:$F$11,4,FALSE),8)/2-MAX(0,IF(R5="",0,R5)-IFERROR(VLOOKUP(O5,Assumptions!$A$7:$F$11,5,FALSE),1.5))),IFERROR(VLOOKUP(O5,Assumptions!$A$7:$F$11,5,FALSE),2.5)+IFERROR(VLOOKUP(O5,Assumptions!$A$7:$F$11,3,FALSE),3)+IFERROR(VLOOKUP(O5,Assumptions!$A$7:$F$11,4,FALSE),8)/2)</f>
        <v/>
      </c>
      <c r="U5" s="15">
        <f>M5*S5/(1+Assumptions!$B$3)^T5</f>
        <v/>
      </c>
      <c r="V5" s="11">
        <f>IF(M5=0,"",ROUND(U5/M5*100,1))</f>
        <v/>
      </c>
      <c r="W5" s="16">
        <f>U5*Assumptions!$B$4</f>
        <v/>
      </c>
      <c r="X5" s="11">
        <f>IF(M5=0,"",ROUND(W5/M5*100,1))</f>
        <v/>
      </c>
      <c r="Y5" t="inlineStr">
        <is>
          <t>GRUPO EGESA (EGESA ENG S.A, EGESUR PART E EMP S.A, MATRIX INFRA LTDA, BEMVIVER ENG AMBIENTAL E SERV LTDA, DKF CONST E EMP LTDA, EGEPEL LTDA, ETR ASSESSORIA EMP E PART LTDA, MVT ENG E SERV LTDA, PARQUES DO VALE LTDA, ELMO RIBEIRO E ANA RIBEIRO)</t>
        </is>
      </c>
      <c r="Z5" t="inlineStr">
        <is>
          <t>5088952-81.2025.8.13.0024</t>
        </is>
      </c>
      <c r="AA5" t="inlineStr">
        <is>
          <t>TJMG</t>
        </is>
      </c>
      <c r="AB5" t="inlineStr">
        <is>
          <t>scalzilliaj.com.br</t>
        </is>
      </c>
      <c r="AC5" t="inlineStr">
        <is>
          <t>JOSE JULIO COSTA NETO</t>
        </is>
      </c>
      <c r="AD5" t="inlineStr">
        <is>
          <t>Presidente</t>
        </is>
      </c>
      <c r="AE5" t="inlineStr">
        <is>
          <t>(31) 3586-9418</t>
        </is>
      </c>
      <c r="AF5" t="inlineStr"/>
      <c r="AG5" t="inlineStr"/>
      <c r="AH5" t="inlineStr">
        <is>
          <t>MG</t>
        </is>
      </c>
      <c r="AI5" t="inlineStr">
        <is>
          <t>NOVA LIMA</t>
        </is>
      </c>
      <c r="AJ5" t="inlineStr">
        <is>
          <t>Compra e venda de imóveis próprios</t>
        </is>
      </c>
      <c r="AK5" t="inlineStr">
        <is>
          <t>DEMAIS</t>
        </is>
      </c>
      <c r="AL5" t="inlineStr">
        <is>
          <t>ATIVA</t>
        </is>
      </c>
      <c r="AM5" s="17" t="inlineStr">
        <is>
          <t>https://scalzilliaj.com.br/sgc/download.php?file=files/processo_documento/processo_documento09514021082025_1_.pdf&amp;nome=04 - Relação de credores das Recuperandas</t>
        </is>
      </c>
      <c r="AN5" s="18" t="inlineStr">
        <is>
          <t>p68 r4</t>
        </is>
      </c>
      <c r="AO5" s="18" t="inlineStr">
        <is>
          <t>p68: R$ 45.075.482,57</t>
        </is>
      </c>
      <c r="AP5" s="18" t="inlineStr">
        <is>
          <t>DEBTOR_LIST</t>
        </is>
      </c>
      <c r="AQ5" s="18" t="inlineStr"/>
      <c r="AR5" s="18" t="inlineStr">
        <is>
          <t>OK</t>
        </is>
      </c>
      <c r="AS5" s="18" t="inlineStr">
        <is>
          <t>ROWS:p68r4 VALUE_COL:Valor_Atualizado CASE_NUMBER_CORRECTED CASE_FROM_PORTAL</t>
        </is>
      </c>
      <c r="AT5" s="18" t="inlineStr">
        <is>
          <t>24ed98480a57</t>
        </is>
      </c>
    </row>
    <row r="6">
      <c r="A6" s="9" t="n">
        <v>5</v>
      </c>
      <c r="B6" s="9" t="inlineStr">
        <is>
          <t>NEW</t>
        </is>
      </c>
      <c r="C6" s="9" t="inlineStr"/>
      <c r="D6" s="9" t="n">
        <v>0</v>
      </c>
      <c r="E6" s="9" t="inlineStr"/>
      <c r="F6" s="9" t="inlineStr"/>
      <c r="G6" s="9" t="inlineStr"/>
      <c r="H6" s="9" t="inlineStr"/>
      <c r="I6" t="inlineStr">
        <is>
          <t>COMPANHIA ESTADUAL DE DISTRIBUICAO DE ENERGIA ELETRICA - CEEE-D</t>
        </is>
      </c>
      <c r="J6" t="inlineStr">
        <is>
          <t>CIA.EST.DE ENERG.ELETRICA-CEE (</t>
        </is>
      </c>
      <c r="K6" t="inlineStr">
        <is>
          <t>08467115</t>
        </is>
      </c>
      <c r="L6" t="inlineStr">
        <is>
          <t>08467115000100</t>
        </is>
      </c>
      <c r="M6" s="10" t="n">
        <v>31446843.91</v>
      </c>
      <c r="N6" t="n">
        <v>1</v>
      </c>
      <c r="O6" s="11" t="inlineStr">
        <is>
          <t>C</t>
        </is>
      </c>
      <c r="P6" s="11" t="inlineStr">
        <is>
          <t>ACTIVE</t>
        </is>
      </c>
      <c r="Q6" s="12" t="n">
        <v>44735</v>
      </c>
      <c r="R6" s="11">
        <f>IF(Q6="","",ROUND((TODAY()-Q6)/365.25,1))</f>
        <v/>
      </c>
      <c r="S6" s="13">
        <f>IFERROR(VLOOKUP(O6,Assumptions!$A$7:$F$11,2,FALSE),0.25)</f>
        <v/>
      </c>
      <c r="T6" s="14">
        <f>IF(O6="A",MAX(1,IFERROR(VLOOKUP(O6,Assumptions!$A$7:$F$11,3,FALSE),3)+IFERROR(VLOOKUP(O6,Assumptions!$A$7:$F$11,4,FALSE),8)/2-MAX(0,IF(R6="",0,R6)-IFERROR(VLOOKUP(O6,Assumptions!$A$7:$F$11,5,FALSE),1.5))),IFERROR(VLOOKUP(O6,Assumptions!$A$7:$F$11,5,FALSE),2.5)+IFERROR(VLOOKUP(O6,Assumptions!$A$7:$F$11,3,FALSE),3)+IFERROR(VLOOKUP(O6,Assumptions!$A$7:$F$11,4,FALSE),8)/2)</f>
        <v/>
      </c>
      <c r="U6" s="15">
        <f>M6*S6/(1+Assumptions!$B$3)^T6</f>
        <v/>
      </c>
      <c r="V6" s="11">
        <f>IF(M6=0,"",ROUND(U6/M6*100,1))</f>
        <v/>
      </c>
      <c r="W6" s="16">
        <f>U6*Assumptions!$B$4</f>
        <v/>
      </c>
      <c r="X6" s="11">
        <f>IF(M6=0,"",ROUND(W6/M6*100,1))</f>
        <v/>
      </c>
      <c r="Y6" t="inlineStr">
        <is>
          <t>ASSOCIAÇÃO DE CARIDADE SANTA CASA DO RIO GRANDE</t>
        </is>
      </c>
      <c r="Z6" t="inlineStr">
        <is>
          <t>5012306-16.2022.8.21.0023</t>
        </is>
      </c>
      <c r="AA6" t="inlineStr">
        <is>
          <t>TJRS</t>
        </is>
      </c>
      <c r="AB6" t="inlineStr">
        <is>
          <t>scalzilliaj.com.br</t>
        </is>
      </c>
      <c r="AC6" t="inlineStr">
        <is>
          <t>RIBERTO JOSE BARBANERA</t>
        </is>
      </c>
      <c r="AD6" t="inlineStr">
        <is>
          <t>Presidente</t>
        </is>
      </c>
      <c r="AE6" t="inlineStr">
        <is>
          <t>(98) 3217-8000</t>
        </is>
      </c>
      <c r="AF6" t="inlineStr"/>
      <c r="AG6" t="inlineStr"/>
      <c r="AH6" t="inlineStr">
        <is>
          <t>RS</t>
        </is>
      </c>
      <c r="AI6" t="inlineStr">
        <is>
          <t>PORTO ALEGRE</t>
        </is>
      </c>
      <c r="AJ6" t="inlineStr">
        <is>
          <t>Distribuição de energia elétrica</t>
        </is>
      </c>
      <c r="AK6" t="inlineStr">
        <is>
          <t>DEMAIS</t>
        </is>
      </c>
      <c r="AL6" t="inlineStr">
        <is>
          <t>ATIVA</t>
        </is>
      </c>
      <c r="AM6" s="17" t="inlineStr">
        <is>
          <t>https://scalzilliaj.com.br/sgc/download.php?file=files/processo_documento/processo_documento09120721032023_1_.pdf&amp;nome=15 - Edital do art. 7º, §2º e 53 da Lei 11.101/2005 (segunda lista de credores e recebimento do plano))</t>
        </is>
      </c>
      <c r="AN6" s="18" t="inlineStr">
        <is>
          <t>p26 r26</t>
        </is>
      </c>
      <c r="AO6" s="18" t="inlineStr">
        <is>
          <t>p26: R$ 31.446.843,91</t>
        </is>
      </c>
      <c r="AP6" s="18" t="inlineStr">
        <is>
          <t>AJ_LIST</t>
        </is>
      </c>
      <c r="AQ6" s="18" t="inlineStr">
        <is>
          <t>2023-03-21</t>
        </is>
      </c>
      <c r="AR6" s="18" t="inlineStr">
        <is>
          <t>OK_NO_TOTALS</t>
        </is>
      </c>
      <c r="AS6" s="18" t="inlineStr">
        <is>
          <t>ROWS:p26r26 UNRECONCILED_SOURCE</t>
        </is>
      </c>
      <c r="AT6" s="18" t="inlineStr">
        <is>
          <t>ebfb999b457c</t>
        </is>
      </c>
    </row>
    <row r="7">
      <c r="A7" s="9" t="n">
        <v>6</v>
      </c>
      <c r="B7" s="9" t="inlineStr">
        <is>
          <t>NEW</t>
        </is>
      </c>
      <c r="C7" s="9" t="inlineStr"/>
      <c r="D7" s="9" t="n">
        <v>0</v>
      </c>
      <c r="E7" s="9" t="inlineStr"/>
      <c r="F7" s="9" t="inlineStr"/>
      <c r="G7" s="9" t="inlineStr"/>
      <c r="H7" s="9" t="inlineStr"/>
      <c r="I7" t="inlineStr">
        <is>
          <t>HYPERA S.A.</t>
        </is>
      </c>
      <c r="J7" t="inlineStr">
        <is>
          <t>Hypera S/A</t>
        </is>
      </c>
      <c r="K7" t="inlineStr">
        <is>
          <t>02932074</t>
        </is>
      </c>
      <c r="L7" t="inlineStr">
        <is>
          <t>02932074004260</t>
        </is>
      </c>
      <c r="M7" s="10" t="n">
        <v>25912507.68</v>
      </c>
      <c r="N7" t="n">
        <v>1</v>
      </c>
      <c r="O7" s="11" t="inlineStr">
        <is>
          <t>C</t>
        </is>
      </c>
      <c r="P7" s="11" t="inlineStr">
        <is>
          <t>ACTIVE</t>
        </is>
      </c>
      <c r="Q7" s="12" t="n">
        <v>44987</v>
      </c>
      <c r="R7" s="11">
        <f>IF(Q7="","",ROUND((TODAY()-Q7)/365.25,1))</f>
        <v/>
      </c>
      <c r="S7" s="13">
        <f>IFERROR(VLOOKUP(O7,Assumptions!$A$7:$F$11,2,FALSE),0.25)</f>
        <v/>
      </c>
      <c r="T7" s="14">
        <f>IF(O7="A",MAX(1,IFERROR(VLOOKUP(O7,Assumptions!$A$7:$F$11,3,FALSE),3)+IFERROR(VLOOKUP(O7,Assumptions!$A$7:$F$11,4,FALSE),8)/2-MAX(0,IF(R7="",0,R7)-IFERROR(VLOOKUP(O7,Assumptions!$A$7:$F$11,5,FALSE),1.5))),IFERROR(VLOOKUP(O7,Assumptions!$A$7:$F$11,5,FALSE),2.5)+IFERROR(VLOOKUP(O7,Assumptions!$A$7:$F$11,3,FALSE),3)+IFERROR(VLOOKUP(O7,Assumptions!$A$7:$F$11,4,FALSE),8)/2)</f>
        <v/>
      </c>
      <c r="U7" s="15">
        <f>M7*S7/(1+Assumptions!$B$3)^T7</f>
        <v/>
      </c>
      <c r="V7" s="11">
        <f>IF(M7=0,"",ROUND(U7/M7*100,1))</f>
        <v/>
      </c>
      <c r="W7" s="16">
        <f>U7*Assumptions!$B$4</f>
        <v/>
      </c>
      <c r="X7" s="11">
        <f>IF(M7=0,"",ROUND(W7/M7*100,1))</f>
        <v/>
      </c>
      <c r="Y7" t="inlineStr">
        <is>
          <t>GRUPO DP4</t>
        </is>
      </c>
      <c r="Z7" t="inlineStr">
        <is>
          <t>0005010-98.2023.8.16.0001</t>
        </is>
      </c>
      <c r="AA7" t="inlineStr">
        <is>
          <t>TJPR</t>
        </is>
      </c>
      <c r="AB7" t="inlineStr">
        <is>
          <t>marquesadmjudicial.com.br</t>
        </is>
      </c>
      <c r="AC7" t="inlineStr">
        <is>
          <t>BRENO TOLEDO PIRES DE OLIVEIRA</t>
        </is>
      </c>
      <c r="AD7" t="inlineStr">
        <is>
          <t>Presidente</t>
        </is>
      </c>
      <c r="AE7" t="inlineStr">
        <is>
          <t>(62) 3878-8150</t>
        </is>
      </c>
      <c r="AF7" t="inlineStr"/>
      <c r="AG7" t="inlineStr"/>
      <c r="AH7" t="inlineStr">
        <is>
          <t>SP</t>
        </is>
      </c>
      <c r="AI7" t="inlineStr">
        <is>
          <t>SAO PAULO</t>
        </is>
      </c>
      <c r="AJ7" t="inlineStr">
        <is>
          <t>Comércio atacadista de medicamentos e drogas de uso humano</t>
        </is>
      </c>
      <c r="AK7" t="inlineStr">
        <is>
          <t>DEMAIS</t>
        </is>
      </c>
      <c r="AL7" t="inlineStr">
        <is>
          <t>ATIVA</t>
        </is>
      </c>
      <c r="AM7" s="17" t="inlineStr">
        <is>
          <t>https://marquesadmjudicial.com.br/sgc/download.php?file=files/processo_documento/processo_documento15293208032024_1_.pdf&amp;nome=Relação Nominal de Credores da AJ-Sintética</t>
        </is>
      </c>
      <c r="AN7" s="18" t="inlineStr">
        <is>
          <t>p26 r9</t>
        </is>
      </c>
      <c r="AO7" s="18" t="inlineStr">
        <is>
          <t>p26: R$ 25.912.507,68</t>
        </is>
      </c>
      <c r="AP7" s="18" t="inlineStr">
        <is>
          <t>AJ_LIST</t>
        </is>
      </c>
      <c r="AQ7" s="18" t="inlineStr">
        <is>
          <t>2023-03-02</t>
        </is>
      </c>
      <c r="AR7" s="18" t="inlineStr">
        <is>
          <t>QUARANTINED</t>
        </is>
      </c>
      <c r="AS7" s="18" t="inlineStr">
        <is>
          <t>PARTIAL_DOC_CLASS_III_RECONCILED ROWS:p26r9</t>
        </is>
      </c>
      <c r="AT7" s="18" t="inlineStr">
        <is>
          <t>b465a5d11eec</t>
        </is>
      </c>
    </row>
    <row r="8">
      <c r="A8" s="9" t="n">
        <v>7</v>
      </c>
      <c r="B8" s="9" t="inlineStr">
        <is>
          <t>NEW</t>
        </is>
      </c>
      <c r="C8" s="9" t="inlineStr"/>
      <c r="D8" s="9" t="n">
        <v>0</v>
      </c>
      <c r="E8" s="9" t="inlineStr"/>
      <c r="F8" s="9" t="inlineStr"/>
      <c r="G8" s="9" t="inlineStr"/>
      <c r="H8" s="9" t="inlineStr"/>
      <c r="I8" t="inlineStr">
        <is>
          <t>ADLIM-TERCEIRIZACAO EM SERVICOS LTDA - EM RECUPERACAO JUDICIAL</t>
        </is>
      </c>
      <c r="J8" t="inlineStr">
        <is>
          <t>ADLIM TERCEIRIZACAO EM SERVICOS LTDA, CPF/CNPJ/OAB nº</t>
        </is>
      </c>
      <c r="K8" t="inlineStr">
        <is>
          <t>11436813</t>
        </is>
      </c>
      <c r="L8" t="inlineStr">
        <is>
          <t>11436813000145</t>
        </is>
      </c>
      <c r="M8" s="10" t="n">
        <v>20647588.14</v>
      </c>
      <c r="N8" t="n">
        <v>2</v>
      </c>
      <c r="O8" s="11" t="inlineStr">
        <is>
          <t>B</t>
        </is>
      </c>
      <c r="P8" s="11" t="inlineStr">
        <is>
          <t>ACTIVE</t>
        </is>
      </c>
      <c r="Q8" s="12" t="n">
        <v>45349</v>
      </c>
      <c r="R8" s="11">
        <f>IF(Q8="","",ROUND((TODAY()-Q8)/365.25,1))</f>
        <v/>
      </c>
      <c r="S8" s="13">
        <f>IFERROR(VLOOKUP(O8,Assumptions!$A$7:$F$11,2,FALSE),0.25)</f>
        <v/>
      </c>
      <c r="T8" s="14">
        <f>IF(O8="A",MAX(1,IFERROR(VLOOKUP(O8,Assumptions!$A$7:$F$11,3,FALSE),3)+IFERROR(VLOOKUP(O8,Assumptions!$A$7:$F$11,4,FALSE),8)/2-MAX(0,IF(R8="",0,R8)-IFERROR(VLOOKUP(O8,Assumptions!$A$7:$F$11,5,FALSE),1.5))),IFERROR(VLOOKUP(O8,Assumptions!$A$7:$F$11,5,FALSE),2.5)+IFERROR(VLOOKUP(O8,Assumptions!$A$7:$F$11,3,FALSE),3)+IFERROR(VLOOKUP(O8,Assumptions!$A$7:$F$11,4,FALSE),8)/2)</f>
        <v/>
      </c>
      <c r="U8" s="15">
        <f>M8*S8/(1+Assumptions!$B$3)^T8</f>
        <v/>
      </c>
      <c r="V8" s="11">
        <f>IF(M8=0,"",ROUND(U8/M8*100,1))</f>
        <v/>
      </c>
      <c r="W8" s="16">
        <f>U8*Assumptions!$B$4</f>
        <v/>
      </c>
      <c r="X8" s="11">
        <f>IF(M8=0,"",ROUND(W8/M8*100,1))</f>
        <v/>
      </c>
      <c r="Y8" t="inlineStr">
        <is>
          <t>GRUPO ADLIM</t>
        </is>
      </c>
      <c r="Z8" t="inlineStr">
        <is>
          <t>0019761-43.2024.8.17.2001</t>
        </is>
      </c>
      <c r="AA8" t="inlineStr">
        <is>
          <t>TJPE</t>
        </is>
      </c>
      <c r="AB8" t="inlineStr">
        <is>
          <t>lrflideres.com.br</t>
        </is>
      </c>
      <c r="AC8" t="inlineStr">
        <is>
          <t>JONAS ALVARENGA DA SILVA</t>
        </is>
      </c>
      <c r="AD8" t="inlineStr">
        <is>
          <t>Sócio-Administrador</t>
        </is>
      </c>
      <c r="AE8" t="inlineStr"/>
      <c r="AF8" t="inlineStr"/>
      <c r="AG8" t="inlineStr"/>
      <c r="AH8" t="inlineStr">
        <is>
          <t>PE</t>
        </is>
      </c>
      <c r="AI8" t="inlineStr">
        <is>
          <t>BEZERROS</t>
        </is>
      </c>
      <c r="AJ8" t="inlineStr">
        <is>
          <t>Fornecimento e gestão de recursos humanos para terceiros</t>
        </is>
      </c>
      <c r="AK8" t="inlineStr">
        <is>
          <t>DEMAIS</t>
        </is>
      </c>
      <c r="AL8" t="inlineStr">
        <is>
          <t>ATIVA</t>
        </is>
      </c>
      <c r="AM8" s="17" t="inlineStr">
        <is>
          <t>https://lrflideres.com.br/wp-content/plugins/download-attachments/includes/download.php?id=6051</t>
        </is>
      </c>
      <c r="AN8" s="18" t="inlineStr">
        <is>
          <t>p85 r37; p97 r26</t>
        </is>
      </c>
      <c r="AO8" s="18" t="inlineStr">
        <is>
          <t>p85: R$ 13674501,07; p97: R$ 6973087,07</t>
        </is>
      </c>
      <c r="AP8" s="18" t="inlineStr">
        <is>
          <t>AJ_LIST</t>
        </is>
      </c>
      <c r="AQ8" s="18" t="inlineStr">
        <is>
          <t>2024-08-12</t>
        </is>
      </c>
      <c r="AR8" s="18" t="inlineStr">
        <is>
          <t>QUARANTINED</t>
        </is>
      </c>
      <c r="AS8" s="18" t="inlineStr">
        <is>
          <t>PARTIAL_DOC_CLASS_III_RECONCILED ROWS:p85r37,p97r26</t>
        </is>
      </c>
      <c r="AT8" s="18" t="inlineStr">
        <is>
          <t>a32497797bac</t>
        </is>
      </c>
    </row>
    <row r="9">
      <c r="A9" s="9" t="n">
        <v>8</v>
      </c>
      <c r="B9" s="9" t="inlineStr">
        <is>
          <t>NEW</t>
        </is>
      </c>
      <c r="C9" s="9" t="inlineStr"/>
      <c r="D9" s="9" t="n">
        <v>0</v>
      </c>
      <c r="E9" s="9" t="inlineStr"/>
      <c r="F9" s="9" t="inlineStr"/>
      <c r="G9" s="9" t="inlineStr"/>
      <c r="H9" s="9" t="inlineStr"/>
      <c r="I9" t="inlineStr">
        <is>
          <t>SPC BRASIL S.A.</t>
        </is>
      </c>
      <c r="J9" t="inlineStr">
        <is>
          <t>BRASIL S.A</t>
        </is>
      </c>
      <c r="K9" t="inlineStr">
        <is>
          <t>29341643</t>
        </is>
      </c>
      <c r="L9" t="inlineStr">
        <is>
          <t>29341643000342</t>
        </is>
      </c>
      <c r="M9" s="10" t="n">
        <v>18875473.82</v>
      </c>
      <c r="N9" t="n">
        <v>1</v>
      </c>
      <c r="O9" s="11" t="inlineStr">
        <is>
          <t>B</t>
        </is>
      </c>
      <c r="P9" s="11" t="inlineStr">
        <is>
          <t>ACTIVE</t>
        </is>
      </c>
      <c r="Q9" s="12" t="n">
        <v>46048</v>
      </c>
      <c r="R9" s="11">
        <f>IF(Q9="","",ROUND((TODAY()-Q9)/365.25,1))</f>
        <v/>
      </c>
      <c r="S9" s="13">
        <f>IFERROR(VLOOKUP(O9,Assumptions!$A$7:$F$11,2,FALSE),0.25)</f>
        <v/>
      </c>
      <c r="T9" s="14">
        <f>IF(O9="A",MAX(1,IFERROR(VLOOKUP(O9,Assumptions!$A$7:$F$11,3,FALSE),3)+IFERROR(VLOOKUP(O9,Assumptions!$A$7:$F$11,4,FALSE),8)/2-MAX(0,IF(R9="",0,R9)-IFERROR(VLOOKUP(O9,Assumptions!$A$7:$F$11,5,FALSE),1.5))),IFERROR(VLOOKUP(O9,Assumptions!$A$7:$F$11,5,FALSE),2.5)+IFERROR(VLOOKUP(O9,Assumptions!$A$7:$F$11,3,FALSE),3)+IFERROR(VLOOKUP(O9,Assumptions!$A$7:$F$11,4,FALSE),8)/2)</f>
        <v/>
      </c>
      <c r="U9" s="15">
        <f>M9*S9/(1+Assumptions!$B$3)^T9</f>
        <v/>
      </c>
      <c r="V9" s="11">
        <f>IF(M9=0,"",ROUND(U9/M9*100,1))</f>
        <v/>
      </c>
      <c r="W9" s="16">
        <f>U9*Assumptions!$B$4</f>
        <v/>
      </c>
      <c r="X9" s="11">
        <f>IF(M9=0,"",ROUND(W9/M9*100,1))</f>
        <v/>
      </c>
      <c r="Y9" t="inlineStr">
        <is>
          <t>GRUPO GLP</t>
        </is>
      </c>
      <c r="Z9" t="inlineStr">
        <is>
          <t>0001639-09.2026.8.17.2810</t>
        </is>
      </c>
      <c r="AA9" t="inlineStr">
        <is>
          <t>TJPE</t>
        </is>
      </c>
      <c r="AB9" t="inlineStr">
        <is>
          <t>recuperasolucoes.com</t>
        </is>
      </c>
      <c r="AC9" t="inlineStr">
        <is>
          <t>ROQUE PELLIZZARO JUNIOR</t>
        </is>
      </c>
      <c r="AD9" t="inlineStr">
        <is>
          <t>Presidente</t>
        </is>
      </c>
      <c r="AE9" t="inlineStr">
        <is>
          <t>(11) 3549-6800</t>
        </is>
      </c>
      <c r="AF9" t="inlineStr"/>
      <c r="AG9" t="inlineStr"/>
      <c r="AH9" t="inlineStr">
        <is>
          <t>SP</t>
        </is>
      </c>
      <c r="AI9" t="inlineStr">
        <is>
          <t>BARUERI</t>
        </is>
      </c>
      <c r="AJ9" t="inlineStr">
        <is>
          <t>Portais, provedores de conteúdo e outros serviços de informação na internet</t>
        </is>
      </c>
      <c r="AK9" t="inlineStr">
        <is>
          <t>DEMAIS</t>
        </is>
      </c>
      <c r="AL9" t="inlineStr">
        <is>
          <t>ATIVA</t>
        </is>
      </c>
      <c r="AM9" s="17" t="inlineStr">
        <is>
          <t>https://recuperasolucoes.com/wp-content/plugins/download-attachments/includes/download.php?id=1597</t>
        </is>
      </c>
      <c r="AN9" s="18" t="inlineStr">
        <is>
          <t>p13 r8</t>
        </is>
      </c>
      <c r="AO9" s="18" t="inlineStr">
        <is>
          <t>p13: R$ 18.875.473,82</t>
        </is>
      </c>
      <c r="AP9" s="18" t="inlineStr">
        <is>
          <t>DEBTOR_LIST</t>
        </is>
      </c>
      <c r="AQ9" s="18" t="inlineStr">
        <is>
          <t>2026-05-21</t>
        </is>
      </c>
      <c r="AR9" s="18" t="inlineStr">
        <is>
          <t>OK</t>
        </is>
      </c>
      <c r="AS9" s="18" t="inlineStr">
        <is>
          <t>ROWS:p13r8</t>
        </is>
      </c>
      <c r="AT9" s="18" t="inlineStr">
        <is>
          <t>5da7b77bb569</t>
        </is>
      </c>
    </row>
    <row r="10">
      <c r="A10" s="9" t="n">
        <v>9</v>
      </c>
      <c r="B10" s="9" t="inlineStr">
        <is>
          <t>NEW</t>
        </is>
      </c>
      <c r="C10" s="9" t="inlineStr"/>
      <c r="D10" s="9" t="n">
        <v>0</v>
      </c>
      <c r="E10" s="9" t="inlineStr"/>
      <c r="F10" s="9" t="inlineStr"/>
      <c r="G10" s="9" t="inlineStr"/>
      <c r="H10" s="9" t="inlineStr"/>
      <c r="I10" t="inlineStr">
        <is>
          <t>COMPANHIA RIOGRANDENSE DE SANEAMENTO - CORSAN</t>
        </is>
      </c>
      <c r="J10" t="inlineStr">
        <is>
          <t>CIA.RIOGRANDENSE SANEAMENTO CORSAN (</t>
        </is>
      </c>
      <c r="K10" t="inlineStr">
        <is>
          <t>92802784</t>
        </is>
      </c>
      <c r="L10" t="inlineStr">
        <is>
          <t>92802784000190</t>
        </is>
      </c>
      <c r="M10" s="10" t="n">
        <v>18555954.55</v>
      </c>
      <c r="N10" t="n">
        <v>1</v>
      </c>
      <c r="O10" s="11" t="inlineStr">
        <is>
          <t>C</t>
        </is>
      </c>
      <c r="P10" s="11" t="inlineStr">
        <is>
          <t>ACTIVE</t>
        </is>
      </c>
      <c r="Q10" s="12" t="n">
        <v>44735</v>
      </c>
      <c r="R10" s="11">
        <f>IF(Q10="","",ROUND((TODAY()-Q10)/365.25,1))</f>
        <v/>
      </c>
      <c r="S10" s="13">
        <f>IFERROR(VLOOKUP(O10,Assumptions!$A$7:$F$11,2,FALSE),0.25)</f>
        <v/>
      </c>
      <c r="T10" s="14">
        <f>IF(O10="A",MAX(1,IFERROR(VLOOKUP(O10,Assumptions!$A$7:$F$11,3,FALSE),3)+IFERROR(VLOOKUP(O10,Assumptions!$A$7:$F$11,4,FALSE),8)/2-MAX(0,IF(R10="",0,R10)-IFERROR(VLOOKUP(O10,Assumptions!$A$7:$F$11,5,FALSE),1.5))),IFERROR(VLOOKUP(O10,Assumptions!$A$7:$F$11,5,FALSE),2.5)+IFERROR(VLOOKUP(O10,Assumptions!$A$7:$F$11,3,FALSE),3)+IFERROR(VLOOKUP(O10,Assumptions!$A$7:$F$11,4,FALSE),8)/2)</f>
        <v/>
      </c>
      <c r="U10" s="15">
        <f>M10*S10/(1+Assumptions!$B$3)^T10</f>
        <v/>
      </c>
      <c r="V10" s="11">
        <f>IF(M10=0,"",ROUND(U10/M10*100,1))</f>
        <v/>
      </c>
      <c r="W10" s="16">
        <f>U10*Assumptions!$B$4</f>
        <v/>
      </c>
      <c r="X10" s="11">
        <f>IF(M10=0,"",ROUND(W10/M10*100,1))</f>
        <v/>
      </c>
      <c r="Y10" t="inlineStr">
        <is>
          <t>ASSOCIAÇÃO DE CARIDADE SANTA CASA DO RIO GRANDE</t>
        </is>
      </c>
      <c r="Z10" t="inlineStr">
        <is>
          <t>5012306-16.2022.8.21.0023</t>
        </is>
      </c>
      <c r="AA10" t="inlineStr">
        <is>
          <t>TJRS</t>
        </is>
      </c>
      <c r="AB10" t="inlineStr">
        <is>
          <t>scalzilliaj.com.br</t>
        </is>
      </c>
      <c r="AC10" t="inlineStr">
        <is>
          <t>ANGELO AUGUSTO MENDES</t>
        </is>
      </c>
      <c r="AD10" t="inlineStr">
        <is>
          <t>Diretor</t>
        </is>
      </c>
      <c r="AE10" t="inlineStr">
        <is>
          <t>(05) 1215-5789</t>
        </is>
      </c>
      <c r="AF10" t="inlineStr"/>
      <c r="AG10" t="inlineStr"/>
      <c r="AH10" t="inlineStr">
        <is>
          <t>RS</t>
        </is>
      </c>
      <c r="AI10" t="inlineStr">
        <is>
          <t>PORTO ALEGRE</t>
        </is>
      </c>
      <c r="AJ10" t="inlineStr">
        <is>
          <t>Captação, tratamento e distribuição de água</t>
        </is>
      </c>
      <c r="AK10" t="inlineStr">
        <is>
          <t>DEMAIS</t>
        </is>
      </c>
      <c r="AL10" t="inlineStr">
        <is>
          <t>ATIVA</t>
        </is>
      </c>
      <c r="AM10" s="17" t="inlineStr">
        <is>
          <t>https://scalzilliaj.com.br/sgc/download.php?file=files/processo_documento/processo_documento09120721032023_1_.pdf&amp;nome=15 - Edital do art. 7º, §2º e 53 da Lei 11.101/2005 (segunda lista de credores e recebimento do plano))</t>
        </is>
      </c>
      <c r="AN10" s="18" t="inlineStr">
        <is>
          <t>p26 r27</t>
        </is>
      </c>
      <c r="AO10" s="18" t="inlineStr">
        <is>
          <t>p26: R$ 18.555.954,55</t>
        </is>
      </c>
      <c r="AP10" s="18" t="inlineStr">
        <is>
          <t>AJ_LIST</t>
        </is>
      </c>
      <c r="AQ10" s="18" t="inlineStr">
        <is>
          <t>2023-03-21</t>
        </is>
      </c>
      <c r="AR10" s="18" t="inlineStr">
        <is>
          <t>OK_NO_TOTALS</t>
        </is>
      </c>
      <c r="AS10" s="18" t="inlineStr">
        <is>
          <t>ROWS:p26r27 UNRECONCILED_SOURCE</t>
        </is>
      </c>
      <c r="AT10" s="18" t="inlineStr">
        <is>
          <t>ebfb999b457c</t>
        </is>
      </c>
    </row>
    <row r="11">
      <c r="A11" s="9" t="n">
        <v>10</v>
      </c>
      <c r="B11" s="9" t="inlineStr">
        <is>
          <t>NEW</t>
        </is>
      </c>
      <c r="C11" s="9" t="inlineStr"/>
      <c r="D11" s="9" t="n">
        <v>0</v>
      </c>
      <c r="E11" s="9" t="inlineStr"/>
      <c r="F11" s="9" t="inlineStr"/>
      <c r="G11" s="9" t="inlineStr"/>
      <c r="H11" s="9" t="inlineStr"/>
      <c r="I11" t="inlineStr">
        <is>
          <t>DREYMOOR BRASIL COMERCIO DE FERTILIZANTES LTDA</t>
        </is>
      </c>
      <c r="J11" t="inlineStr">
        <is>
          <t>DREYMOOR BRASIL COMÉRCIO DE FERTILIZANTES LTDA</t>
        </is>
      </c>
      <c r="K11" t="inlineStr">
        <is>
          <t>26419229</t>
        </is>
      </c>
      <c r="L11" t="inlineStr">
        <is>
          <t>26419229000159</t>
        </is>
      </c>
      <c r="M11" s="10" t="n">
        <v>15134865.1</v>
      </c>
      <c r="N11" t="n">
        <v>1</v>
      </c>
      <c r="O11" s="11" t="inlineStr">
        <is>
          <t>D</t>
        </is>
      </c>
      <c r="P11" s="11" t="inlineStr"/>
      <c r="Q11" s="12" t="n">
        <v>45862</v>
      </c>
      <c r="R11" s="11">
        <f>IF(Q11="","",ROUND((TODAY()-Q11)/365.25,1))</f>
        <v/>
      </c>
      <c r="S11" s="13">
        <f>IFERROR(VLOOKUP(O11,Assumptions!$A$7:$F$11,2,FALSE),0.25)</f>
        <v/>
      </c>
      <c r="T11" s="14">
        <f>IF(O11="A",MAX(1,IFERROR(VLOOKUP(O11,Assumptions!$A$7:$F$11,3,FALSE),3)+IFERROR(VLOOKUP(O11,Assumptions!$A$7:$F$11,4,FALSE),8)/2-MAX(0,IF(R11="",0,R11)-IFERROR(VLOOKUP(O11,Assumptions!$A$7:$F$11,5,FALSE),1.5))),IFERROR(VLOOKUP(O11,Assumptions!$A$7:$F$11,5,FALSE),2.5)+IFERROR(VLOOKUP(O11,Assumptions!$A$7:$F$11,3,FALSE),3)+IFERROR(VLOOKUP(O11,Assumptions!$A$7:$F$11,4,FALSE),8)/2)</f>
        <v/>
      </c>
      <c r="U11" s="15">
        <f>M11*S11/(1+Assumptions!$B$3)^T11</f>
        <v/>
      </c>
      <c r="V11" s="11">
        <f>IF(M11=0,"",ROUND(U11/M11*100,1))</f>
        <v/>
      </c>
      <c r="W11" s="16">
        <f>U11*Assumptions!$B$4</f>
        <v/>
      </c>
      <c r="X11" s="11">
        <f>IF(M11=0,"",ROUND(W11/M11*100,1))</f>
        <v/>
      </c>
      <c r="Y11" t="inlineStr">
        <is>
          <t>JOB FERTILIZANTES LTDA</t>
        </is>
      </c>
      <c r="Z11" t="inlineStr">
        <is>
          <t>5000561-63.2025.8.24.0536</t>
        </is>
      </c>
      <c r="AA11" t="inlineStr">
        <is>
          <t>TJSC</t>
        </is>
      </c>
      <c r="AB11" t="inlineStr">
        <is>
          <t>scalzilliaj.com.br</t>
        </is>
      </c>
      <c r="AC11" t="inlineStr">
        <is>
          <t>MAURICIO GIORDANI BODANESE</t>
        </is>
      </c>
      <c r="AD11" t="inlineStr">
        <is>
          <t>Administrador</t>
        </is>
      </c>
      <c r="AE11" t="inlineStr">
        <is>
          <t>(41) 3209-6613</t>
        </is>
      </c>
      <c r="AF11" t="inlineStr"/>
      <c r="AG11" t="inlineStr"/>
      <c r="AH11" t="inlineStr">
        <is>
          <t>PR</t>
        </is>
      </c>
      <c r="AI11" t="inlineStr">
        <is>
          <t>CURITIBA</t>
        </is>
      </c>
      <c r="AJ11" t="inlineStr">
        <is>
          <t>Comércio atacadista de defensivos agrícolas, adubos, fertilizantes e corretivos do solo</t>
        </is>
      </c>
      <c r="AK11" t="inlineStr">
        <is>
          <t>DEMAIS</t>
        </is>
      </c>
      <c r="AL11" t="inlineStr">
        <is>
          <t>ATIVA</t>
        </is>
      </c>
      <c r="AM11" s="17" t="inlineStr">
        <is>
          <t>https://scalzilliaj.com.br/sgc/download.php?file=files/processo_documento/processo_documento13183320052026_1_.pdf&amp;nome=10 - QGC Provisório - atualizado até Maio de 2026</t>
        </is>
      </c>
      <c r="AN11" s="18" t="inlineStr">
        <is>
          <t>p1 r9</t>
        </is>
      </c>
      <c r="AO11" s="18" t="inlineStr">
        <is>
          <t>p1: R$ 15.134.865,10</t>
        </is>
      </c>
      <c r="AP11" s="18" t="inlineStr">
        <is>
          <t>QGC</t>
        </is>
      </c>
      <c r="AQ11" s="18" t="inlineStr"/>
      <c r="AR11" s="18" t="inlineStr">
        <is>
          <t>OK_NO_TOTALS</t>
        </is>
      </c>
      <c r="AS11" s="18" t="inlineStr">
        <is>
          <t>CASE_NUMBER_MISSING ROWS:p1r9 UNRECONCILED_SOURCE VALUE_COL:Valor_Do_Crédito CASE_FROM_PORTAL</t>
        </is>
      </c>
      <c r="AT11" s="18" t="inlineStr">
        <is>
          <t>8b4c169de629</t>
        </is>
      </c>
    </row>
    <row r="12">
      <c r="A12" s="9" t="n">
        <v>11</v>
      </c>
      <c r="B12" s="9" t="inlineStr">
        <is>
          <t>NEW</t>
        </is>
      </c>
      <c r="C12" s="9" t="inlineStr"/>
      <c r="D12" s="9" t="n">
        <v>0</v>
      </c>
      <c r="E12" s="9" t="inlineStr"/>
      <c r="F12" s="9" t="inlineStr"/>
      <c r="G12" s="9" t="inlineStr"/>
      <c r="H12" s="9" t="inlineStr"/>
      <c r="I12" t="inlineStr">
        <is>
          <t>FRESENIUS MEDICAL CARE LTDA</t>
        </is>
      </c>
      <c r="J12" t="inlineStr">
        <is>
          <t>FRESENIUS MEDICAL CARE LTDA</t>
        </is>
      </c>
      <c r="K12" t="inlineStr">
        <is>
          <t>01440590</t>
        </is>
      </c>
      <c r="L12" t="inlineStr">
        <is>
          <t>01440590000136</t>
        </is>
      </c>
      <c r="M12" s="10" t="n">
        <v>14567733.99</v>
      </c>
      <c r="N12" t="n">
        <v>1</v>
      </c>
      <c r="O12" s="11" t="inlineStr">
        <is>
          <t>U</t>
        </is>
      </c>
      <c r="P12" s="11" t="inlineStr"/>
      <c r="Q12" s="12" t="inlineStr"/>
      <c r="R12" s="11">
        <f>IF(Q12="","",ROUND((TODAY()-Q12)/365.25,1))</f>
        <v/>
      </c>
      <c r="S12" s="13">
        <f>IFERROR(VLOOKUP(O12,Assumptions!$A$7:$F$11,2,FALSE),0.25)</f>
        <v/>
      </c>
      <c r="T12" s="14">
        <f>IF(O12="A",MAX(1,IFERROR(VLOOKUP(O12,Assumptions!$A$7:$F$11,3,FALSE),3)+IFERROR(VLOOKUP(O12,Assumptions!$A$7:$F$11,4,FALSE),8)/2-MAX(0,IF(R12="",0,R12)-IFERROR(VLOOKUP(O12,Assumptions!$A$7:$F$11,5,FALSE),1.5))),IFERROR(VLOOKUP(O12,Assumptions!$A$7:$F$11,5,FALSE),2.5)+IFERROR(VLOOKUP(O12,Assumptions!$A$7:$F$11,3,FALSE),3)+IFERROR(VLOOKUP(O12,Assumptions!$A$7:$F$11,4,FALSE),8)/2)</f>
        <v/>
      </c>
      <c r="U12" s="15">
        <f>M12*S12/(1+Assumptions!$B$3)^T12</f>
        <v/>
      </c>
      <c r="V12" s="11">
        <f>IF(M12=0,"",ROUND(U12/M12*100,1))</f>
        <v/>
      </c>
      <c r="W12" s="16">
        <f>U12*Assumptions!$B$4</f>
        <v/>
      </c>
      <c r="X12" s="11">
        <f>IF(M12=0,"",ROUND(W12/M12*100,1))</f>
        <v/>
      </c>
      <c r="Y12" t="inlineStr"/>
      <c r="Z12" t="inlineStr">
        <is>
          <t>(not found in document)</t>
        </is>
      </c>
      <c r="AA12" t="inlineStr"/>
      <c r="AB12" t="inlineStr">
        <is>
          <t>bernardobicalho.com.br</t>
        </is>
      </c>
      <c r="AC12" t="inlineStr">
        <is>
          <t>ANA LUCIA ZENKNER PERCIA</t>
        </is>
      </c>
      <c r="AD12" t="inlineStr">
        <is>
          <t>Administrador</t>
        </is>
      </c>
      <c r="AE12" t="inlineStr">
        <is>
          <t>(19) 3847-9700</t>
        </is>
      </c>
      <c r="AF12" t="inlineStr">
        <is>
          <t>(19) 3847-9700</t>
        </is>
      </c>
      <c r="AG12" t="inlineStr"/>
      <c r="AH12" t="inlineStr">
        <is>
          <t>SP</t>
        </is>
      </c>
      <c r="AI12" t="inlineStr">
        <is>
          <t>JAGUARIUNA</t>
        </is>
      </c>
      <c r="AJ12" t="inlineStr">
        <is>
          <t>Fabricação de medicamentos alopáticos para uso humano</t>
        </is>
      </c>
      <c r="AK12" t="inlineStr">
        <is>
          <t>DEMAIS</t>
        </is>
      </c>
      <c r="AL12" t="inlineStr">
        <is>
          <t>ATIVA</t>
        </is>
      </c>
      <c r="AM12" s="17" t="inlineStr">
        <is>
          <t>http://bernardobicalho.com.br/login/app/documents/Rela%C3%A7%C3%A3o%20de%20Credores/6.%20RVC-%20Nutricium%20-%20simplificada.pdf</t>
        </is>
      </c>
      <c r="AN12" s="18" t="inlineStr">
        <is>
          <t>p3 r16</t>
        </is>
      </c>
      <c r="AO12" s="18" t="inlineStr">
        <is>
          <t>p3: R$ 14.567.733,99</t>
        </is>
      </c>
      <c r="AP12" s="18" t="inlineStr">
        <is>
          <t>AJ_LIST</t>
        </is>
      </c>
      <c r="AQ12" s="18" t="inlineStr"/>
      <c r="AR12" s="18" t="inlineStr">
        <is>
          <t>OK</t>
        </is>
      </c>
      <c r="AS12" s="18" t="inlineStr">
        <is>
          <t>CASE_NUMBER_MISSING ROWS:p3r16</t>
        </is>
      </c>
      <c r="AT12" s="18" t="inlineStr">
        <is>
          <t>6a92d74da333</t>
        </is>
      </c>
    </row>
    <row r="13">
      <c r="A13" s="9" t="n">
        <v>12</v>
      </c>
      <c r="B13" s="9" t="inlineStr">
        <is>
          <t>NEW</t>
        </is>
      </c>
      <c r="C13" s="9" t="inlineStr"/>
      <c r="D13" s="9" t="n">
        <v>0</v>
      </c>
      <c r="E13" s="9" t="inlineStr"/>
      <c r="F13" s="9" t="inlineStr"/>
      <c r="G13" s="9" t="inlineStr"/>
      <c r="H13" s="9" t="inlineStr"/>
      <c r="I13" t="inlineStr">
        <is>
          <t>VINICOLA CAMPESTRE LTDA</t>
        </is>
      </c>
      <c r="J13" t="inlineStr">
        <is>
          <t>VINICOLA CAMPESTRE LTDA</t>
        </is>
      </c>
      <c r="K13" t="inlineStr">
        <is>
          <t>98521909</t>
        </is>
      </c>
      <c r="L13" t="inlineStr">
        <is>
          <t>98521909000190, 98521909000270</t>
        </is>
      </c>
      <c r="M13" s="10" t="n">
        <v>13980345.5</v>
      </c>
      <c r="N13" t="n">
        <v>2</v>
      </c>
      <c r="O13" s="11" t="inlineStr">
        <is>
          <t>B</t>
        </is>
      </c>
      <c r="P13" s="11" t="inlineStr">
        <is>
          <t>ACTIVE</t>
        </is>
      </c>
      <c r="Q13" s="12" t="n">
        <v>45685</v>
      </c>
      <c r="R13" s="11">
        <f>IF(Q13="","",ROUND((TODAY()-Q13)/365.25,1))</f>
        <v/>
      </c>
      <c r="S13" s="13">
        <f>IFERROR(VLOOKUP(O13,Assumptions!$A$7:$F$11,2,FALSE),0.25)</f>
        <v/>
      </c>
      <c r="T13" s="14">
        <f>IF(O13="A",MAX(1,IFERROR(VLOOKUP(O13,Assumptions!$A$7:$F$11,3,FALSE),3)+IFERROR(VLOOKUP(O13,Assumptions!$A$7:$F$11,4,FALSE),8)/2-MAX(0,IF(R13="",0,R13)-IFERROR(VLOOKUP(O13,Assumptions!$A$7:$F$11,5,FALSE),1.5))),IFERROR(VLOOKUP(O13,Assumptions!$A$7:$F$11,5,FALSE),2.5)+IFERROR(VLOOKUP(O13,Assumptions!$A$7:$F$11,3,FALSE),3)+IFERROR(VLOOKUP(O13,Assumptions!$A$7:$F$11,4,FALSE),8)/2)</f>
        <v/>
      </c>
      <c r="U13" s="15">
        <f>M13*S13/(1+Assumptions!$B$3)^T13</f>
        <v/>
      </c>
      <c r="V13" s="11">
        <f>IF(M13=0,"",ROUND(U13/M13*100,1))</f>
        <v/>
      </c>
      <c r="W13" s="16">
        <f>U13*Assumptions!$B$4</f>
        <v/>
      </c>
      <c r="X13" s="11">
        <f>IF(M13=0,"",ROUND(W13/M13*100,1))</f>
        <v/>
      </c>
      <c r="Y13" t="inlineStr">
        <is>
          <t>Grupo Arruda (ARRUDA &amp; MELO REPRESENTACAO DE ALIMENTOS E BEBIDAS LTDA, ARRUDA &amp; MELO COMERCIO E DISTRIBUICAO DE ALIMENTOS E BEBIDAS LTDA, ARRUDA &amp; MELO COMERCIO E DISTRIBUICAO DE ALIMENTOS E BEBIDAS DA BAHIA LTDA)</t>
        </is>
      </c>
      <c r="Z13" t="inlineStr">
        <is>
          <t>0008526-45.2025.8.17.2001</t>
        </is>
      </c>
      <c r="AA13" t="inlineStr">
        <is>
          <t>TJPE</t>
        </is>
      </c>
      <c r="AB13" t="inlineStr">
        <is>
          <t>diligence.adm.br</t>
        </is>
      </c>
      <c r="AC13" t="inlineStr">
        <is>
          <t>CESAR AUGUSTO ZANOTTO</t>
        </is>
      </c>
      <c r="AD13" t="inlineStr">
        <is>
          <t>Sócio-Administrador</t>
        </is>
      </c>
      <c r="AE13" t="inlineStr">
        <is>
          <t>(54) 3511-6050</t>
        </is>
      </c>
      <c r="AF13" t="inlineStr">
        <is>
          <t>(54) 3511-6052</t>
        </is>
      </c>
      <c r="AG13" t="inlineStr"/>
      <c r="AH13" t="inlineStr">
        <is>
          <t>RS</t>
        </is>
      </c>
      <c r="AI13" t="inlineStr">
        <is>
          <t>CAMPESTRE DA SERRA</t>
        </is>
      </c>
      <c r="AJ13" t="inlineStr">
        <is>
          <t>Fabricação de vinho</t>
        </is>
      </c>
      <c r="AK13" t="inlineStr">
        <is>
          <t>DEMAIS</t>
        </is>
      </c>
      <c r="AL13" t="inlineStr">
        <is>
          <t>ATIVA</t>
        </is>
      </c>
      <c r="AM13" s="17" t="inlineStr">
        <is>
          <t>https://diligence.adm.br/wp-content/uploads/2025/06/Edital-1a-Lista-de-Credores.pdf</t>
        </is>
      </c>
      <c r="AN13" s="18" t="inlineStr">
        <is>
          <t>p5 r60; p5 r61</t>
        </is>
      </c>
      <c r="AO13" s="18" t="inlineStr">
        <is>
          <t>p5: R$ 4.421.862,65; p5: R$ 9.558.482,85</t>
        </is>
      </c>
      <c r="AP13" s="18" t="inlineStr">
        <is>
          <t>DEBTOR_LIST</t>
        </is>
      </c>
      <c r="AQ13" s="18" t="inlineStr">
        <is>
          <t>2025-06-10</t>
        </is>
      </c>
      <c r="AR13" s="18" t="inlineStr">
        <is>
          <t>OK</t>
        </is>
      </c>
      <c r="AS13" s="18" t="inlineStr">
        <is>
          <t>ROWS:p5r60,p5r61</t>
        </is>
      </c>
      <c r="AT13" s="18" t="inlineStr">
        <is>
          <t>1658892fa167</t>
        </is>
      </c>
    </row>
    <row r="14">
      <c r="A14" s="9" t="n">
        <v>13</v>
      </c>
      <c r="B14" s="9" t="inlineStr">
        <is>
          <t>NEW</t>
        </is>
      </c>
      <c r="C14" s="9" t="inlineStr"/>
      <c r="D14" s="9" t="n">
        <v>0</v>
      </c>
      <c r="E14" s="9" t="inlineStr"/>
      <c r="F14" s="9" t="inlineStr"/>
      <c r="G14" s="9" t="inlineStr"/>
      <c r="H14" s="9" t="inlineStr"/>
      <c r="I14" t="inlineStr">
        <is>
          <t>AGUIA SERVICOS DE VIGILANCIA LTDA - EM RECUPERACAO JUDICIAL</t>
        </is>
      </c>
      <c r="J14" t="inlineStr">
        <is>
          <t>AGUIA SERVICOS DE VIGILANCIA LTDA, CPF/CNPJ/OAB nº</t>
        </is>
      </c>
      <c r="K14" t="inlineStr">
        <is>
          <t>11516861</t>
        </is>
      </c>
      <c r="L14" t="inlineStr">
        <is>
          <t>11516861000143</t>
        </is>
      </c>
      <c r="M14" s="10" t="n">
        <v>13645091.92</v>
      </c>
      <c r="N14" t="n">
        <v>1</v>
      </c>
      <c r="O14" s="11" t="inlineStr">
        <is>
          <t>B</t>
        </is>
      </c>
      <c r="P14" s="11" t="inlineStr">
        <is>
          <t>ACTIVE</t>
        </is>
      </c>
      <c r="Q14" s="12" t="n">
        <v>45349</v>
      </c>
      <c r="R14" s="11">
        <f>IF(Q14="","",ROUND((TODAY()-Q14)/365.25,1))</f>
        <v/>
      </c>
      <c r="S14" s="13">
        <f>IFERROR(VLOOKUP(O14,Assumptions!$A$7:$F$11,2,FALSE),0.25)</f>
        <v/>
      </c>
      <c r="T14" s="14">
        <f>IF(O14="A",MAX(1,IFERROR(VLOOKUP(O14,Assumptions!$A$7:$F$11,3,FALSE),3)+IFERROR(VLOOKUP(O14,Assumptions!$A$7:$F$11,4,FALSE),8)/2-MAX(0,IF(R14="",0,R14)-IFERROR(VLOOKUP(O14,Assumptions!$A$7:$F$11,5,FALSE),1.5))),IFERROR(VLOOKUP(O14,Assumptions!$A$7:$F$11,5,FALSE),2.5)+IFERROR(VLOOKUP(O14,Assumptions!$A$7:$F$11,3,FALSE),3)+IFERROR(VLOOKUP(O14,Assumptions!$A$7:$F$11,4,FALSE),8)/2)</f>
        <v/>
      </c>
      <c r="U14" s="15">
        <f>M14*S14/(1+Assumptions!$B$3)^T14</f>
        <v/>
      </c>
      <c r="V14" s="11">
        <f>IF(M14=0,"",ROUND(U14/M14*100,1))</f>
        <v/>
      </c>
      <c r="W14" s="16">
        <f>U14*Assumptions!$B$4</f>
        <v/>
      </c>
      <c r="X14" s="11">
        <f>IF(M14=0,"",ROUND(W14/M14*100,1))</f>
        <v/>
      </c>
      <c r="Y14" t="inlineStr">
        <is>
          <t>GRUPO ADLIM</t>
        </is>
      </c>
      <c r="Z14" t="inlineStr">
        <is>
          <t>0019761-43.2024.8.17.2001</t>
        </is>
      </c>
      <c r="AA14" t="inlineStr">
        <is>
          <t>TJPE</t>
        </is>
      </c>
      <c r="AB14" t="inlineStr">
        <is>
          <t>lrflideres.com.br</t>
        </is>
      </c>
      <c r="AC14" t="inlineStr">
        <is>
          <t>JONAS ALVARENGA DA SILVA</t>
        </is>
      </c>
      <c r="AD14" t="inlineStr">
        <is>
          <t>Sócio-Administrador</t>
        </is>
      </c>
      <c r="AE14" t="inlineStr">
        <is>
          <t>(81) 3252-6115</t>
        </is>
      </c>
      <c r="AF14" t="inlineStr">
        <is>
          <t>(81) 3252-6117</t>
        </is>
      </c>
      <c r="AG14" t="inlineStr"/>
      <c r="AH14" t="inlineStr">
        <is>
          <t>PE</t>
        </is>
      </c>
      <c r="AI14" t="inlineStr">
        <is>
          <t>RECIFE</t>
        </is>
      </c>
      <c r="AJ14" t="inlineStr">
        <is>
          <t>Atividades de vigilância e segurança privada</t>
        </is>
      </c>
      <c r="AK14" t="inlineStr">
        <is>
          <t>DEMAIS</t>
        </is>
      </c>
      <c r="AL14" t="inlineStr">
        <is>
          <t>ATIVA</t>
        </is>
      </c>
      <c r="AM14" s="17" t="inlineStr">
        <is>
          <t>https://lrflideres.com.br/wp-content/plugins/download-attachments/includes/download.php?id=6051</t>
        </is>
      </c>
      <c r="AN14" s="18" t="inlineStr">
        <is>
          <t>p97 r27</t>
        </is>
      </c>
      <c r="AO14" s="18" t="inlineStr">
        <is>
          <t>p97: R$ 13645091,92</t>
        </is>
      </c>
      <c r="AP14" s="18" t="inlineStr">
        <is>
          <t>AJ_LIST</t>
        </is>
      </c>
      <c r="AQ14" s="18" t="inlineStr">
        <is>
          <t>2024-08-12</t>
        </is>
      </c>
      <c r="AR14" s="18" t="inlineStr">
        <is>
          <t>QUARANTINED</t>
        </is>
      </c>
      <c r="AS14" s="18" t="inlineStr">
        <is>
          <t>PARTIAL_DOC_CLASS_III_RECONCILED ROWS:p97r27</t>
        </is>
      </c>
      <c r="AT14" s="18" t="inlineStr">
        <is>
          <t>a32497797bac</t>
        </is>
      </c>
    </row>
    <row r="15">
      <c r="A15" s="9" t="n">
        <v>14</v>
      </c>
      <c r="B15" s="9" t="inlineStr">
        <is>
          <t>NEW</t>
        </is>
      </c>
      <c r="C15" s="9" t="inlineStr"/>
      <c r="D15" s="9" t="n">
        <v>0</v>
      </c>
      <c r="E15" s="9" t="inlineStr"/>
      <c r="F15" s="9" t="inlineStr"/>
      <c r="G15" s="9" t="inlineStr"/>
      <c r="H15" s="9" t="inlineStr"/>
      <c r="I15" t="inlineStr">
        <is>
          <t>GREE ELECTRIC APPLIANCES DO BRASIL LTDA.</t>
        </is>
      </c>
      <c r="J15" t="inlineStr">
        <is>
          <t>Avenida dos Oitis, Distrito Industrial, Distr Industrial 2, Manaus/AM - CEP 69007002</t>
        </is>
      </c>
      <c r="K15" t="inlineStr">
        <is>
          <t>03519135</t>
        </is>
      </c>
      <c r="L15" t="inlineStr">
        <is>
          <t>03519135000156</t>
        </is>
      </c>
      <c r="M15" s="10" t="n">
        <v>13499976.37</v>
      </c>
      <c r="N15" t="n">
        <v>1</v>
      </c>
      <c r="O15" s="11" t="inlineStr">
        <is>
          <t>C</t>
        </is>
      </c>
      <c r="P15" s="11" t="inlineStr"/>
      <c r="Q15" s="12" t="inlineStr"/>
      <c r="R15" s="11">
        <f>IF(Q15="","",ROUND((TODAY()-Q15)/365.25,1))</f>
        <v/>
      </c>
      <c r="S15" s="13">
        <f>IFERROR(VLOOKUP(O15,Assumptions!$A$7:$F$11,2,FALSE),0.25)</f>
        <v/>
      </c>
      <c r="T15" s="14">
        <f>IF(O15="A",MAX(1,IFERROR(VLOOKUP(O15,Assumptions!$A$7:$F$11,3,FALSE),3)+IFERROR(VLOOKUP(O15,Assumptions!$A$7:$F$11,4,FALSE),8)/2-MAX(0,IF(R15="",0,R15)-IFERROR(VLOOKUP(O15,Assumptions!$A$7:$F$11,5,FALSE),1.5))),IFERROR(VLOOKUP(O15,Assumptions!$A$7:$F$11,5,FALSE),2.5)+IFERROR(VLOOKUP(O15,Assumptions!$A$7:$F$11,3,FALSE),3)+IFERROR(VLOOKUP(O15,Assumptions!$A$7:$F$11,4,FALSE),8)/2)</f>
        <v/>
      </c>
      <c r="U15" s="15">
        <f>M15*S15/(1+Assumptions!$B$3)^T15</f>
        <v/>
      </c>
      <c r="V15" s="11">
        <f>IF(M15=0,"",ROUND(U15/M15*100,1))</f>
        <v/>
      </c>
      <c r="W15" s="16">
        <f>U15*Assumptions!$B$4</f>
        <v/>
      </c>
      <c r="X15" s="11">
        <f>IF(M15=0,"",ROUND(W15/M15*100,1))</f>
        <v/>
      </c>
      <c r="Y15" t="inlineStr">
        <is>
          <t>REAL DISTRIBUIDORA ÚNICA RIO COMÉRCIO DE REFRIGERAÇÃO LTDA.</t>
        </is>
      </c>
      <c r="Z15" t="inlineStr">
        <is>
          <t>0873061-47.2023.8.19.0001</t>
        </is>
      </c>
      <c r="AA15" t="inlineStr"/>
      <c r="AB15" t="inlineStr">
        <is>
          <t>inova-aj.com.br</t>
        </is>
      </c>
      <c r="AC15" t="inlineStr">
        <is>
          <t>QUNBING ZHAO</t>
        </is>
      </c>
      <c r="AD15" t="inlineStr">
        <is>
          <t>Administrador</t>
        </is>
      </c>
      <c r="AE15" t="inlineStr">
        <is>
          <t>(92) 2123-6900</t>
        </is>
      </c>
      <c r="AF15" t="inlineStr"/>
      <c r="AG15" t="inlineStr"/>
      <c r="AH15" t="inlineStr">
        <is>
          <t>AM</t>
        </is>
      </c>
      <c r="AI15" t="inlineStr">
        <is>
          <t>MANAUS</t>
        </is>
      </c>
      <c r="AJ15" t="inlineStr">
        <is>
          <t>Fabricação de aparelhos e equipamentos de ar condicionado para uso não-industrial</t>
        </is>
      </c>
      <c r="AK15" t="inlineStr">
        <is>
          <t>DEMAIS</t>
        </is>
      </c>
      <c r="AL15" t="inlineStr">
        <is>
          <t>ATIVA</t>
        </is>
      </c>
      <c r="AM15" s="17" t="inlineStr">
        <is>
          <t>https://inova-aj.com.br/wp-content/uploads/2026/08/1a-Relacao-de-Credores-Real.pdf</t>
        </is>
      </c>
      <c r="AN15" s="18" t="inlineStr">
        <is>
          <t>p1 r32</t>
        </is>
      </c>
      <c r="AO15" s="18" t="inlineStr">
        <is>
          <t>p1: R$ 13.499.976,37</t>
        </is>
      </c>
      <c r="AP15" s="18" t="inlineStr">
        <is>
          <t>AJ_LIST</t>
        </is>
      </c>
      <c r="AQ15" s="18" t="inlineStr">
        <is>
          <t>2023-06-05</t>
        </is>
      </c>
      <c r="AR15" s="18" t="inlineStr">
        <is>
          <t>OK</t>
        </is>
      </c>
      <c r="AS15" s="18" t="inlineStr">
        <is>
          <t>ALT_VALUE:R$9.815.941,50 ROWS:p1r32</t>
        </is>
      </c>
      <c r="AT15" s="18" t="inlineStr">
        <is>
          <t>8eb5d0d64353</t>
        </is>
      </c>
    </row>
    <row r="16">
      <c r="A16" s="9" t="n">
        <v>15</v>
      </c>
      <c r="B16" s="9" t="inlineStr">
        <is>
          <t>NEW</t>
        </is>
      </c>
      <c r="C16" s="9" t="inlineStr"/>
      <c r="D16" s="9" t="n">
        <v>0</v>
      </c>
      <c r="E16" s="9" t="inlineStr"/>
      <c r="F16" s="9" t="inlineStr"/>
      <c r="G16" s="9" t="inlineStr"/>
      <c r="H16" s="9" t="inlineStr"/>
      <c r="I16" t="inlineStr">
        <is>
          <t>LOUIS DREYFUS COMPANY SUCOS S.A</t>
        </is>
      </c>
      <c r="J16" t="inlineStr">
        <is>
          <t>AV. BRIGADEIRO FARIA LIMA, 1355 CJ. 1401</t>
        </is>
      </c>
      <c r="K16" t="inlineStr">
        <is>
          <t>00831373</t>
        </is>
      </c>
      <c r="L16" t="inlineStr">
        <is>
          <t>00831373000104</t>
        </is>
      </c>
      <c r="M16" s="10" t="n">
        <v>13129217.8</v>
      </c>
      <c r="N16" t="n">
        <v>1</v>
      </c>
      <c r="O16" s="11" t="inlineStr">
        <is>
          <t>C</t>
        </is>
      </c>
      <c r="P16" s="11" t="inlineStr"/>
      <c r="Q16" s="12" t="n">
        <v>44720</v>
      </c>
      <c r="R16" s="11">
        <f>IF(Q16="","",ROUND((TODAY()-Q16)/365.25,1))</f>
        <v/>
      </c>
      <c r="S16" s="13">
        <f>IFERROR(VLOOKUP(O16,Assumptions!$A$7:$F$11,2,FALSE),0.25)</f>
        <v/>
      </c>
      <c r="T16" s="14">
        <f>IF(O16="A",MAX(1,IFERROR(VLOOKUP(O16,Assumptions!$A$7:$F$11,3,FALSE),3)+IFERROR(VLOOKUP(O16,Assumptions!$A$7:$F$11,4,FALSE),8)/2-MAX(0,IF(R16="",0,R16)-IFERROR(VLOOKUP(O16,Assumptions!$A$7:$F$11,5,FALSE),1.5))),IFERROR(VLOOKUP(O16,Assumptions!$A$7:$F$11,5,FALSE),2.5)+IFERROR(VLOOKUP(O16,Assumptions!$A$7:$F$11,3,FALSE),3)+IFERROR(VLOOKUP(O16,Assumptions!$A$7:$F$11,4,FALSE),8)/2)</f>
        <v/>
      </c>
      <c r="U16" s="15">
        <f>M16*S16/(1+Assumptions!$B$3)^T16</f>
        <v/>
      </c>
      <c r="V16" s="11">
        <f>IF(M16=0,"",ROUND(U16/M16*100,1))</f>
        <v/>
      </c>
      <c r="W16" s="16">
        <f>U16*Assumptions!$B$4</f>
        <v/>
      </c>
      <c r="X16" s="11">
        <f>IF(M16=0,"",ROUND(W16/M16*100,1))</f>
        <v/>
      </c>
      <c r="Y16" t="inlineStr">
        <is>
          <t>PAULO CÉSAR SOMILIO (produtor rural, pessoa física)</t>
        </is>
      </c>
      <c r="Z16" t="inlineStr">
        <is>
          <t>1001087-02.2022.8.26.0390</t>
        </is>
      </c>
      <c r="AA16" t="inlineStr">
        <is>
          <t>TJSP</t>
        </is>
      </c>
      <c r="AB16" t="inlineStr">
        <is>
          <t>brasiltrustee.com.br</t>
        </is>
      </c>
      <c r="AC16" t="inlineStr">
        <is>
          <t>LEONARDO OLIVEIRA D ELIA</t>
        </is>
      </c>
      <c r="AD16" t="inlineStr">
        <is>
          <t>Diretor</t>
        </is>
      </c>
      <c r="AE16" t="inlineStr">
        <is>
          <t>(11) 3039-7160</t>
        </is>
      </c>
      <c r="AF16" t="inlineStr">
        <is>
          <t>(13) 2127-9893</t>
        </is>
      </c>
      <c r="AG16" t="inlineStr"/>
      <c r="AH16" t="inlineStr">
        <is>
          <t>SP</t>
        </is>
      </c>
      <c r="AI16" t="inlineStr">
        <is>
          <t>SAO PAULO</t>
        </is>
      </c>
      <c r="AJ16" t="inlineStr">
        <is>
          <t>Fabricação de sucos concentrados de frutas, hortaliças e legumes</t>
        </is>
      </c>
      <c r="AK16" t="inlineStr">
        <is>
          <t>DEMAIS</t>
        </is>
      </c>
      <c r="AL16" t="inlineStr">
        <is>
          <t>ATIVA</t>
        </is>
      </c>
      <c r="AM16" s="17" t="inlineStr">
        <is>
          <t>https://violet-wolf-754008.hostingersite.com/wp-content/uploads/2022/10/Primeiro-Edital-de-Credores-Integral-com-creditos.pdf</t>
        </is>
      </c>
      <c r="AN16" s="18" t="inlineStr">
        <is>
          <t>p4 r1</t>
        </is>
      </c>
      <c r="AO16" s="18" t="inlineStr">
        <is>
          <t>p4: R$ 13.129.217,80</t>
        </is>
      </c>
      <c r="AP16" s="18" t="inlineStr">
        <is>
          <t>UNKNOWN</t>
        </is>
      </c>
      <c r="AQ16" s="18" t="inlineStr"/>
      <c r="AR16" s="18" t="inlineStr">
        <is>
          <t>OK</t>
        </is>
      </c>
      <c r="AS16" s="18" t="inlineStr">
        <is>
          <t>ROWS:p4r1 VALUE_COL:Valor CASE_NUMBER_CORRECTED</t>
        </is>
      </c>
      <c r="AT16" s="18" t="inlineStr">
        <is>
          <t>cefc6f1f4e0b</t>
        </is>
      </c>
    </row>
    <row r="17">
      <c r="A17" s="9" t="n">
        <v>16</v>
      </c>
      <c r="B17" s="9" t="inlineStr">
        <is>
          <t>NEW</t>
        </is>
      </c>
      <c r="C17" s="9" t="inlineStr"/>
      <c r="D17" s="9" t="n">
        <v>0</v>
      </c>
      <c r="E17" s="9" t="inlineStr"/>
      <c r="F17" s="9" t="inlineStr"/>
      <c r="G17" s="9" t="inlineStr"/>
      <c r="H17" s="9" t="inlineStr"/>
      <c r="I17" t="inlineStr">
        <is>
          <t>TABLEROS IND. E COM. DE PAINEIS LTDA</t>
        </is>
      </c>
      <c r="J17" t="inlineStr">
        <is>
          <t>Tableros Indústria e e Comércio de Painéis Ltda</t>
        </is>
      </c>
      <c r="K17" t="inlineStr">
        <is>
          <t>09402999</t>
        </is>
      </c>
      <c r="L17" t="inlineStr">
        <is>
          <t>09402999000170</t>
        </is>
      </c>
      <c r="M17" s="10" t="n">
        <v>12966349.62</v>
      </c>
      <c r="N17" t="n">
        <v>1</v>
      </c>
      <c r="O17" s="11" t="inlineStr">
        <is>
          <t>C</t>
        </is>
      </c>
      <c r="P17" s="11" t="inlineStr">
        <is>
          <t>ACTIVE</t>
        </is>
      </c>
      <c r="Q17" s="12" t="n">
        <v>44218</v>
      </c>
      <c r="R17" s="11">
        <f>IF(Q17="","",ROUND((TODAY()-Q17)/365.25,1))</f>
        <v/>
      </c>
      <c r="S17" s="13">
        <f>IFERROR(VLOOKUP(O17,Assumptions!$A$7:$F$11,2,FALSE),0.25)</f>
        <v/>
      </c>
      <c r="T17" s="14">
        <f>IF(O17="A",MAX(1,IFERROR(VLOOKUP(O17,Assumptions!$A$7:$F$11,3,FALSE),3)+IFERROR(VLOOKUP(O17,Assumptions!$A$7:$F$11,4,FALSE),8)/2-MAX(0,IF(R17="",0,R17)-IFERROR(VLOOKUP(O17,Assumptions!$A$7:$F$11,5,FALSE),1.5))),IFERROR(VLOOKUP(O17,Assumptions!$A$7:$F$11,5,FALSE),2.5)+IFERROR(VLOOKUP(O17,Assumptions!$A$7:$F$11,3,FALSE),3)+IFERROR(VLOOKUP(O17,Assumptions!$A$7:$F$11,4,FALSE),8)/2)</f>
        <v/>
      </c>
      <c r="U17" s="15">
        <f>M17*S17/(1+Assumptions!$B$3)^T17</f>
        <v/>
      </c>
      <c r="V17" s="11">
        <f>IF(M17=0,"",ROUND(U17/M17*100,1))</f>
        <v/>
      </c>
      <c r="W17" s="16">
        <f>U17*Assumptions!$B$4</f>
        <v/>
      </c>
      <c r="X17" s="11">
        <f>IF(M17=0,"",ROUND(W17/M17*100,1))</f>
        <v/>
      </c>
      <c r="Y17" t="inlineStr">
        <is>
          <t>FORMAPLAN FORMAS PLANEJADAS INDÚSTRIA E COMÉRCIO LTDA</t>
        </is>
      </c>
      <c r="Z17" t="inlineStr">
        <is>
          <t>0000410-68.2021.8.16.0174</t>
        </is>
      </c>
      <c r="AA17" t="inlineStr">
        <is>
          <t>TJPR</t>
        </is>
      </c>
      <c r="AB17" t="inlineStr">
        <is>
          <t>marquesadmjudicial.com.br</t>
        </is>
      </c>
      <c r="AC17" t="inlineStr">
        <is>
          <t>MARCIO GERALDO ROSA</t>
        </is>
      </c>
      <c r="AD17" t="inlineStr">
        <is>
          <t>Sócio-Administrador</t>
        </is>
      </c>
      <c r="AE17" t="inlineStr">
        <is>
          <t>(46) 3263-8500</t>
        </is>
      </c>
      <c r="AF17" t="inlineStr"/>
      <c r="AG17" t="inlineStr"/>
      <c r="AH17" t="inlineStr">
        <is>
          <t>PR</t>
        </is>
      </c>
      <c r="AI17" t="inlineStr">
        <is>
          <t>PALMAS</t>
        </is>
      </c>
      <c r="AJ17" t="inlineStr">
        <is>
          <t>Fabricação de madeira laminada e de chapas de madeira compensada, prensada e aglomerada</t>
        </is>
      </c>
      <c r="AK17" t="inlineStr">
        <is>
          <t>DEMAIS</t>
        </is>
      </c>
      <c r="AL17" t="inlineStr">
        <is>
          <t>ATIVA</t>
        </is>
      </c>
      <c r="AM17" s="17" t="inlineStr">
        <is>
          <t>https://marquesadmjudicial.com.br/sgc/download.php?file=files/processo_documento/processo_documento15232121112024_1_.pdf&amp;nome=Relação de Credores</t>
        </is>
      </c>
      <c r="AN17" s="18" t="inlineStr">
        <is>
          <t>p16 r3</t>
        </is>
      </c>
      <c r="AO17" s="18" t="inlineStr">
        <is>
          <t>p16: R$ 12.966.349,62</t>
        </is>
      </c>
      <c r="AP17" s="18" t="inlineStr">
        <is>
          <t>AJ_LIST</t>
        </is>
      </c>
      <c r="AQ17" s="18" t="inlineStr">
        <is>
          <t>2021-01-22</t>
        </is>
      </c>
      <c r="AR17" s="18" t="inlineStr">
        <is>
          <t>QUARANTINED</t>
        </is>
      </c>
      <c r="AS17" s="18" t="inlineStr">
        <is>
          <t>PARTIAL_DOC_CLASS_III_RECONCILED ROWS:p16r3</t>
        </is>
      </c>
      <c r="AT17" s="18" t="inlineStr">
        <is>
          <t>b1a9f73b4c11</t>
        </is>
      </c>
    </row>
    <row r="18">
      <c r="A18" s="9" t="n">
        <v>17</v>
      </c>
      <c r="B18" s="9" t="inlineStr">
        <is>
          <t>NEW</t>
        </is>
      </c>
      <c r="C18" s="9" t="inlineStr"/>
      <c r="D18" s="9" t="n">
        <v>0</v>
      </c>
      <c r="E18" s="9" t="inlineStr"/>
      <c r="F18" s="9" t="inlineStr"/>
      <c r="G18" s="9" t="inlineStr"/>
      <c r="H18" s="9" t="inlineStr"/>
      <c r="I18" t="inlineStr">
        <is>
          <t>GRANELES BRASIL COMERCIAL IMPORTADORA EXPORTADORA AGRICOLA S.A EM RECUPERACAO JUDICIAL</t>
        </is>
      </c>
      <c r="J18" t="inlineStr">
        <is>
          <t>GRANELES BRASIL COMERC IMPORT EXPORTADORA AGRICO</t>
        </is>
      </c>
      <c r="K18" t="inlineStr">
        <is>
          <t>24785274</t>
        </is>
      </c>
      <c r="L18" t="inlineStr">
        <is>
          <t>24785274000444</t>
        </is>
      </c>
      <c r="M18" s="10" t="n">
        <v>11676960.19</v>
      </c>
      <c r="N18" t="n">
        <v>1</v>
      </c>
      <c r="O18" s="11" t="inlineStr">
        <is>
          <t>D</t>
        </is>
      </c>
      <c r="P18" s="11" t="inlineStr"/>
      <c r="Q18" s="12" t="n">
        <v>45862</v>
      </c>
      <c r="R18" s="11">
        <f>IF(Q18="","",ROUND((TODAY()-Q18)/365.25,1))</f>
        <v/>
      </c>
      <c r="S18" s="13">
        <f>IFERROR(VLOOKUP(O18,Assumptions!$A$7:$F$11,2,FALSE),0.25)</f>
        <v/>
      </c>
      <c r="T18" s="14">
        <f>IF(O18="A",MAX(1,IFERROR(VLOOKUP(O18,Assumptions!$A$7:$F$11,3,FALSE),3)+IFERROR(VLOOKUP(O18,Assumptions!$A$7:$F$11,4,FALSE),8)/2-MAX(0,IF(R18="",0,R18)-IFERROR(VLOOKUP(O18,Assumptions!$A$7:$F$11,5,FALSE),1.5))),IFERROR(VLOOKUP(O18,Assumptions!$A$7:$F$11,5,FALSE),2.5)+IFERROR(VLOOKUP(O18,Assumptions!$A$7:$F$11,3,FALSE),3)+IFERROR(VLOOKUP(O18,Assumptions!$A$7:$F$11,4,FALSE),8)/2)</f>
        <v/>
      </c>
      <c r="U18" s="15">
        <f>M18*S18/(1+Assumptions!$B$3)^T18</f>
        <v/>
      </c>
      <c r="V18" s="11">
        <f>IF(M18=0,"",ROUND(U18/M18*100,1))</f>
        <v/>
      </c>
      <c r="W18" s="16">
        <f>U18*Assumptions!$B$4</f>
        <v/>
      </c>
      <c r="X18" s="11">
        <f>IF(M18=0,"",ROUND(W18/M18*100,1))</f>
        <v/>
      </c>
      <c r="Y18" t="inlineStr">
        <is>
          <t>JOB FERTILIZANTES LTDA</t>
        </is>
      </c>
      <c r="Z18" t="inlineStr">
        <is>
          <t>5000561-63.2025.8.24.0536</t>
        </is>
      </c>
      <c r="AA18" t="inlineStr">
        <is>
          <t>TJSC</t>
        </is>
      </c>
      <c r="AB18" t="inlineStr">
        <is>
          <t>scalzilliaj.com.br</t>
        </is>
      </c>
      <c r="AC18" t="inlineStr">
        <is>
          <t>GABRIEL DE FREITAS MACHADO</t>
        </is>
      </c>
      <c r="AD18" t="inlineStr">
        <is>
          <t>Presidente</t>
        </is>
      </c>
      <c r="AE18" t="inlineStr">
        <is>
          <t>(41) 9539-0828</t>
        </is>
      </c>
      <c r="AF18" t="inlineStr"/>
      <c r="AG18" t="inlineStr"/>
      <c r="AH18" t="inlineStr">
        <is>
          <t>SP</t>
        </is>
      </c>
      <c r="AI18" t="inlineStr">
        <is>
          <t>SAO PAULO</t>
        </is>
      </c>
      <c r="AJ18" t="inlineStr">
        <is>
          <t>Comércio atacadista de produtos alimentícios em geral</t>
        </is>
      </c>
      <c r="AK18" t="inlineStr">
        <is>
          <t>DEMAIS</t>
        </is>
      </c>
      <c r="AL18" t="inlineStr">
        <is>
          <t>ATIVA</t>
        </is>
      </c>
      <c r="AM18" s="17" t="inlineStr">
        <is>
          <t>https://scalzilliaj.com.br/sgc/download.php?file=files/processo_documento/processo_documento13183320052026_1_.pdf&amp;nome=10 - QGC Provisório - atualizado até Maio de 2026</t>
        </is>
      </c>
      <c r="AN18" s="18" t="inlineStr">
        <is>
          <t>p1 r10</t>
        </is>
      </c>
      <c r="AO18" s="18" t="inlineStr">
        <is>
          <t>p1: R$ 11.676.960,19</t>
        </is>
      </c>
      <c r="AP18" s="18" t="inlineStr">
        <is>
          <t>QGC</t>
        </is>
      </c>
      <c r="AQ18" s="18" t="inlineStr"/>
      <c r="AR18" s="18" t="inlineStr">
        <is>
          <t>OK_NO_TOTALS</t>
        </is>
      </c>
      <c r="AS18" s="18" t="inlineStr">
        <is>
          <t>CASE_NUMBER_MISSING ROWS:p1r10 UNRECONCILED_SOURCE VALUE_COL:Valor_Do_Crédito CASE_FROM_PORTAL</t>
        </is>
      </c>
      <c r="AT18" s="18" t="inlineStr">
        <is>
          <t>8b4c169de629</t>
        </is>
      </c>
    </row>
    <row r="19">
      <c r="A19" s="9" t="n">
        <v>18</v>
      </c>
      <c r="B19" s="9" t="inlineStr">
        <is>
          <t>NEW</t>
        </is>
      </c>
      <c r="C19" s="9" t="inlineStr"/>
      <c r="D19" s="9" t="n">
        <v>0</v>
      </c>
      <c r="E19" s="9" t="inlineStr"/>
      <c r="F19" s="9" t="inlineStr"/>
      <c r="G19" s="9" t="inlineStr"/>
      <c r="H19" s="9" t="inlineStr"/>
      <c r="I19" t="inlineStr">
        <is>
          <t>ALBAUGH AGRO BRASIL LTDA.</t>
        </is>
      </c>
      <c r="J19" t="inlineStr">
        <is>
          <t>ALBAUGH AGRO BRASIL LTDA</t>
        </is>
      </c>
      <c r="K19" t="inlineStr">
        <is>
          <t>01789121</t>
        </is>
      </c>
      <c r="L19" t="inlineStr">
        <is>
          <t>01789121000470, 01789121000984, 01789121001107</t>
        </is>
      </c>
      <c r="M19" s="10" t="n">
        <v>11525550.26</v>
      </c>
      <c r="N19" t="n">
        <v>1</v>
      </c>
      <c r="O19" s="11" t="inlineStr">
        <is>
          <t>B</t>
        </is>
      </c>
      <c r="P19" s="11" t="inlineStr">
        <is>
          <t>ACTIVE</t>
        </is>
      </c>
      <c r="Q19" s="12" t="n">
        <v>45845</v>
      </c>
      <c r="R19" s="11">
        <f>IF(Q19="","",ROUND((TODAY()-Q19)/365.25,1))</f>
        <v/>
      </c>
      <c r="S19" s="13">
        <f>IFERROR(VLOOKUP(O19,Assumptions!$A$7:$F$11,2,FALSE),0.25)</f>
        <v/>
      </c>
      <c r="T19" s="14">
        <f>IF(O19="A",MAX(1,IFERROR(VLOOKUP(O19,Assumptions!$A$7:$F$11,3,FALSE),3)+IFERROR(VLOOKUP(O19,Assumptions!$A$7:$F$11,4,FALSE),8)/2-MAX(0,IF(R19="",0,R19)-IFERROR(VLOOKUP(O19,Assumptions!$A$7:$F$11,5,FALSE),1.5))),IFERROR(VLOOKUP(O19,Assumptions!$A$7:$F$11,5,FALSE),2.5)+IFERROR(VLOOKUP(O19,Assumptions!$A$7:$F$11,3,FALSE),3)+IFERROR(VLOOKUP(O19,Assumptions!$A$7:$F$11,4,FALSE),8)/2)</f>
        <v/>
      </c>
      <c r="U19" s="15">
        <f>M19*S19/(1+Assumptions!$B$3)^T19</f>
        <v/>
      </c>
      <c r="V19" s="11">
        <f>IF(M19=0,"",ROUND(U19/M19*100,1))</f>
        <v/>
      </c>
      <c r="W19" s="16">
        <f>U19*Assumptions!$B$4</f>
        <v/>
      </c>
      <c r="X19" s="11">
        <f>IF(M19=0,"",ROUND(W19/M19*100,1))</f>
        <v/>
      </c>
      <c r="Y19" t="inlineStr">
        <is>
          <t>SOJAL COMERCIAL AGRICOLA LTDA e OUTROS</t>
        </is>
      </c>
      <c r="Z19" t="inlineStr">
        <is>
          <t>0804401-51.2025.8.14.0039</t>
        </is>
      </c>
      <c r="AA19" t="inlineStr">
        <is>
          <t>TJPA</t>
        </is>
      </c>
      <c r="AB19" t="inlineStr">
        <is>
          <t>lrflideres.com.br</t>
        </is>
      </c>
      <c r="AC19" t="inlineStr">
        <is>
          <t>CESAR EMILIANO ROJAS RUIZ</t>
        </is>
      </c>
      <c r="AD19" t="inlineStr">
        <is>
          <t>Administrador</t>
        </is>
      </c>
      <c r="AE19" t="inlineStr">
        <is>
          <t>(11) 3076-4243</t>
        </is>
      </c>
      <c r="AF19" t="inlineStr"/>
      <c r="AG19" t="inlineStr"/>
      <c r="AH19" t="inlineStr">
        <is>
          <t>SP</t>
        </is>
      </c>
      <c r="AI19" t="inlineStr">
        <is>
          <t>SAO PAULO</t>
        </is>
      </c>
      <c r="AJ19" t="inlineStr">
        <is>
          <t>Fabricação de defensivos agrícolas</t>
        </is>
      </c>
      <c r="AK19" t="inlineStr">
        <is>
          <t>DEMAIS</t>
        </is>
      </c>
      <c r="AL19" t="inlineStr">
        <is>
          <t>ATIVA</t>
        </is>
      </c>
      <c r="AM19" s="17" t="inlineStr">
        <is>
          <t>https://lrflideres.com.br/wp-content/plugins/download-attachments/includes/download.php?id=6879</t>
        </is>
      </c>
      <c r="AN19" s="18" t="inlineStr">
        <is>
          <t>p1 r4</t>
        </is>
      </c>
      <c r="AO19" s="18" t="inlineStr">
        <is>
          <t>p1: R$ 11.525.550,26</t>
        </is>
      </c>
      <c r="AP19" s="18" t="inlineStr">
        <is>
          <t>AJ_LIST</t>
        </is>
      </c>
      <c r="AQ19" s="18" t="inlineStr">
        <is>
          <t>2026-01-15</t>
        </is>
      </c>
      <c r="AR19" s="18" t="inlineStr">
        <is>
          <t>OK</t>
        </is>
      </c>
      <c r="AS19" s="18" t="inlineStr">
        <is>
          <t>ROWS:p1r4</t>
        </is>
      </c>
      <c r="AT19" s="18" t="inlineStr">
        <is>
          <t>c56751547323</t>
        </is>
      </c>
    </row>
    <row r="20">
      <c r="A20" s="9" t="n">
        <v>19</v>
      </c>
      <c r="B20" s="9" t="inlineStr">
        <is>
          <t>NEW</t>
        </is>
      </c>
      <c r="C20" s="9" t="inlineStr"/>
      <c r="D20" s="9" t="n">
        <v>0</v>
      </c>
      <c r="E20" s="9" t="inlineStr"/>
      <c r="F20" s="9" t="inlineStr"/>
      <c r="G20" s="9" t="inlineStr"/>
      <c r="H20" s="9" t="inlineStr"/>
      <c r="I20" t="inlineStr">
        <is>
          <t>DC COMERCIO, REPRESENTACOES, INVESTIMENTOS E PARTICIPACOES LTDA.</t>
        </is>
      </c>
      <c r="J20" t="inlineStr">
        <is>
          <t>DC COMERCIO, REPRESENTACOES, INVESTIMENTOS E PARTICIPACOES LTDA</t>
        </is>
      </c>
      <c r="K20" t="inlineStr">
        <is>
          <t>09036221</t>
        </is>
      </c>
      <c r="L20" t="inlineStr">
        <is>
          <t>09036221000194</t>
        </is>
      </c>
      <c r="M20" s="10" t="n">
        <v>11125000</v>
      </c>
      <c r="N20" t="n">
        <v>3</v>
      </c>
      <c r="O20" s="11" t="inlineStr">
        <is>
          <t>C</t>
        </is>
      </c>
      <c r="P20" s="11" t="inlineStr">
        <is>
          <t>ACTIVE</t>
        </is>
      </c>
      <c r="Q20" s="12" t="n">
        <v>44571</v>
      </c>
      <c r="R20" s="11">
        <f>IF(Q20="","",ROUND((TODAY()-Q20)/365.25,1))</f>
        <v/>
      </c>
      <c r="S20" s="13">
        <f>IFERROR(VLOOKUP(O20,Assumptions!$A$7:$F$11,2,FALSE),0.25)</f>
        <v/>
      </c>
      <c r="T20" s="14">
        <f>IF(O20="A",MAX(1,IFERROR(VLOOKUP(O20,Assumptions!$A$7:$F$11,3,FALSE),3)+IFERROR(VLOOKUP(O20,Assumptions!$A$7:$F$11,4,FALSE),8)/2-MAX(0,IF(R20="",0,R20)-IFERROR(VLOOKUP(O20,Assumptions!$A$7:$F$11,5,FALSE),1.5))),IFERROR(VLOOKUP(O20,Assumptions!$A$7:$F$11,5,FALSE),2.5)+IFERROR(VLOOKUP(O20,Assumptions!$A$7:$F$11,3,FALSE),3)+IFERROR(VLOOKUP(O20,Assumptions!$A$7:$F$11,4,FALSE),8)/2)</f>
        <v/>
      </c>
      <c r="U20" s="15">
        <f>M20*S20/(1+Assumptions!$B$3)^T20</f>
        <v/>
      </c>
      <c r="V20" s="11">
        <f>IF(M20=0,"",ROUND(U20/M20*100,1))</f>
        <v/>
      </c>
      <c r="W20" s="16">
        <f>U20*Assumptions!$B$4</f>
        <v/>
      </c>
      <c r="X20" s="11">
        <f>IF(M20=0,"",ROUND(W20/M20*100,1))</f>
        <v/>
      </c>
      <c r="Y20" t="inlineStr">
        <is>
          <t>GRUPO CATTAN</t>
        </is>
      </c>
      <c r="Z20" t="inlineStr">
        <is>
          <t>0002484-82.2022.8.17.2001</t>
        </is>
      </c>
      <c r="AA20" t="inlineStr">
        <is>
          <t>TJPE</t>
        </is>
      </c>
      <c r="AB20" t="inlineStr">
        <is>
          <t>lrflideres.com.br</t>
        </is>
      </c>
      <c r="AC20" t="inlineStr">
        <is>
          <t>FERNANDO MELO CATAO</t>
        </is>
      </c>
      <c r="AD20" t="inlineStr">
        <is>
          <t>Sócio-Administrador</t>
        </is>
      </c>
      <c r="AE20" t="inlineStr">
        <is>
          <t>(81) 3032-8400</t>
        </is>
      </c>
      <c r="AF20" t="inlineStr">
        <is>
          <t>(81) 3419-8550</t>
        </is>
      </c>
      <c r="AG20" t="inlineStr"/>
      <c r="AH20" t="inlineStr">
        <is>
          <t>PE</t>
        </is>
      </c>
      <c r="AI20" t="inlineStr">
        <is>
          <t>RECIFE</t>
        </is>
      </c>
      <c r="AJ20" t="inlineStr">
        <is>
          <t>Aluguel de imóveis próprios</t>
        </is>
      </c>
      <c r="AK20" t="inlineStr">
        <is>
          <t>DEMAIS</t>
        </is>
      </c>
      <c r="AL20" t="inlineStr">
        <is>
          <t>ATIVA</t>
        </is>
      </c>
      <c r="AM20" s="17" t="inlineStr">
        <is>
          <t>https://lrflideres.com.br/wp-content/plugins/download-attachments/includes/download.php?id=4023</t>
        </is>
      </c>
      <c r="AN20" s="18" t="inlineStr">
        <is>
          <t>p4 r68; p7 r92; p9 r68</t>
        </is>
      </c>
      <c r="AO20" s="18" t="inlineStr">
        <is>
          <t>p4: R$ 1.150.000,00; p7: R$ 9.715.000,00; p9: R$ 260.000,00</t>
        </is>
      </c>
      <c r="AP20" s="18" t="inlineStr">
        <is>
          <t>DEBTOR_LIST</t>
        </is>
      </c>
      <c r="AQ20" s="18" t="inlineStr"/>
      <c r="AR20" s="18" t="inlineStr">
        <is>
          <t>QUARANTINED</t>
        </is>
      </c>
      <c r="AS20" s="18" t="inlineStr">
        <is>
          <t>PARTIAL_DOC_CLASS_III_RECONCILED ROWS:p4r68,p7r92,p9r68</t>
        </is>
      </c>
      <c r="AT20" s="18" t="inlineStr">
        <is>
          <t>f3b6182e3aa2</t>
        </is>
      </c>
    </row>
    <row r="21">
      <c r="A21" s="9" t="n">
        <v>20</v>
      </c>
      <c r="B21" s="9" t="inlineStr">
        <is>
          <t>NEW</t>
        </is>
      </c>
      <c r="C21" s="9" t="inlineStr"/>
      <c r="D21" s="9" t="n">
        <v>0</v>
      </c>
      <c r="E21" s="9" t="inlineStr"/>
      <c r="F21" s="9" t="inlineStr"/>
      <c r="G21" s="9" t="inlineStr"/>
      <c r="H21" s="9" t="inlineStr"/>
      <c r="I21" t="inlineStr">
        <is>
          <t>SANDOZ DO BRASIL INDUSTRIA FARMACEUTICA LTDA.</t>
        </is>
      </c>
      <c r="J21" t="inlineStr">
        <is>
          <t>Sandoz do Brasil Industria Farmaceutica Ltda</t>
        </is>
      </c>
      <c r="K21" t="inlineStr">
        <is>
          <t>61286647</t>
        </is>
      </c>
      <c r="L21" t="inlineStr">
        <is>
          <t>61286647001007</t>
        </is>
      </c>
      <c r="M21" s="10" t="n">
        <v>10696833.99</v>
      </c>
      <c r="N21" t="n">
        <v>1</v>
      </c>
      <c r="O21" s="11" t="inlineStr">
        <is>
          <t>C</t>
        </is>
      </c>
      <c r="P21" s="11" t="inlineStr">
        <is>
          <t>ACTIVE</t>
        </is>
      </c>
      <c r="Q21" s="12" t="n">
        <v>44987</v>
      </c>
      <c r="R21" s="11">
        <f>IF(Q21="","",ROUND((TODAY()-Q21)/365.25,1))</f>
        <v/>
      </c>
      <c r="S21" s="13">
        <f>IFERROR(VLOOKUP(O21,Assumptions!$A$7:$F$11,2,FALSE),0.25)</f>
        <v/>
      </c>
      <c r="T21" s="14">
        <f>IF(O21="A",MAX(1,IFERROR(VLOOKUP(O21,Assumptions!$A$7:$F$11,3,FALSE),3)+IFERROR(VLOOKUP(O21,Assumptions!$A$7:$F$11,4,FALSE),8)/2-MAX(0,IF(R21="",0,R21)-IFERROR(VLOOKUP(O21,Assumptions!$A$7:$F$11,5,FALSE),1.5))),IFERROR(VLOOKUP(O21,Assumptions!$A$7:$F$11,5,FALSE),2.5)+IFERROR(VLOOKUP(O21,Assumptions!$A$7:$F$11,3,FALSE),3)+IFERROR(VLOOKUP(O21,Assumptions!$A$7:$F$11,4,FALSE),8)/2)</f>
        <v/>
      </c>
      <c r="U21" s="15">
        <f>M21*S21/(1+Assumptions!$B$3)^T21</f>
        <v/>
      </c>
      <c r="V21" s="11">
        <f>IF(M21=0,"",ROUND(U21/M21*100,1))</f>
        <v/>
      </c>
      <c r="W21" s="16">
        <f>U21*Assumptions!$B$4</f>
        <v/>
      </c>
      <c r="X21" s="11">
        <f>IF(M21=0,"",ROUND(W21/M21*100,1))</f>
        <v/>
      </c>
      <c r="Y21" t="inlineStr">
        <is>
          <t>GRUPO DP4</t>
        </is>
      </c>
      <c r="Z21" t="inlineStr">
        <is>
          <t>0005010-98.2023.8.16.0001</t>
        </is>
      </c>
      <c r="AA21" t="inlineStr">
        <is>
          <t>TJPR</t>
        </is>
      </c>
      <c r="AB21" t="inlineStr">
        <is>
          <t>marquesadmjudicial.com.br</t>
        </is>
      </c>
      <c r="AC21" t="inlineStr">
        <is>
          <t>BRUNO PETENUCI</t>
        </is>
      </c>
      <c r="AD21" t="inlineStr">
        <is>
          <t>Administrador</t>
        </is>
      </c>
      <c r="AE21" t="inlineStr">
        <is>
          <t>(43) 3174-8000</t>
        </is>
      </c>
      <c r="AF21" t="inlineStr"/>
      <c r="AG21" t="inlineStr"/>
      <c r="AH21" t="inlineStr">
        <is>
          <t>PR</t>
        </is>
      </c>
      <c r="AI21" t="inlineStr">
        <is>
          <t>CAMBE</t>
        </is>
      </c>
      <c r="AJ21" t="inlineStr">
        <is>
          <t>Fabricação de medicamentos alopáticos para uso humano</t>
        </is>
      </c>
      <c r="AK21" t="inlineStr">
        <is>
          <t>DEMAIS</t>
        </is>
      </c>
      <c r="AL21" t="inlineStr">
        <is>
          <t>ATIVA</t>
        </is>
      </c>
      <c r="AM21" s="17" t="inlineStr">
        <is>
          <t>https://marquesadmjudicial.com.br/sgc/download.php?file=files/processo_documento/processo_documento15293208032024_1_.pdf&amp;nome=Relação Nominal de Credores da AJ-Sintética</t>
        </is>
      </c>
      <c r="AN21" s="18" t="inlineStr">
        <is>
          <t>p31 r4</t>
        </is>
      </c>
      <c r="AO21" s="18" t="inlineStr">
        <is>
          <t>p31: R$ 10.696.833,99</t>
        </is>
      </c>
      <c r="AP21" s="18" t="inlineStr">
        <is>
          <t>AJ_LIST</t>
        </is>
      </c>
      <c r="AQ21" s="18" t="inlineStr">
        <is>
          <t>2023-03-02</t>
        </is>
      </c>
      <c r="AR21" s="18" t="inlineStr">
        <is>
          <t>QUARANTINED</t>
        </is>
      </c>
      <c r="AS21" s="18" t="inlineStr">
        <is>
          <t>PARTIAL_DOC_CLASS_III_RECONCILED ROWS:p31r4</t>
        </is>
      </c>
      <c r="AT21" s="18" t="inlineStr">
        <is>
          <t>b465a5d11eec</t>
        </is>
      </c>
    </row>
    <row r="22">
      <c r="A22" s="9" t="n">
        <v>21</v>
      </c>
      <c r="B22" s="9" t="inlineStr">
        <is>
          <t>NEW</t>
        </is>
      </c>
      <c r="C22" s="9" t="inlineStr"/>
      <c r="D22" s="9" t="n">
        <v>0</v>
      </c>
      <c r="E22" s="9" t="inlineStr"/>
      <c r="F22" s="9" t="inlineStr"/>
      <c r="G22" s="9" t="inlineStr"/>
      <c r="H22" s="9" t="inlineStr"/>
      <c r="I22" t="inlineStr">
        <is>
          <t>BASTON INDUSTRIA DE AEROSSOIS LTDA</t>
        </is>
      </c>
      <c r="J22" t="inlineStr">
        <is>
          <t>Baston Industria de Aerossois Ltda</t>
        </is>
      </c>
      <c r="K22" t="inlineStr">
        <is>
          <t>05855974</t>
        </is>
      </c>
      <c r="L22" t="inlineStr">
        <is>
          <t>05855974000170</t>
        </is>
      </c>
      <c r="M22" s="10" t="n">
        <v>10636330.31</v>
      </c>
      <c r="N22" t="n">
        <v>1</v>
      </c>
      <c r="O22" s="11" t="inlineStr">
        <is>
          <t>C</t>
        </is>
      </c>
      <c r="P22" s="11" t="inlineStr">
        <is>
          <t>ACTIVE</t>
        </is>
      </c>
      <c r="Q22" s="12" t="n">
        <v>44987</v>
      </c>
      <c r="R22" s="11">
        <f>IF(Q22="","",ROUND((TODAY()-Q22)/365.25,1))</f>
        <v/>
      </c>
      <c r="S22" s="13">
        <f>IFERROR(VLOOKUP(O22,Assumptions!$A$7:$F$11,2,FALSE),0.25)</f>
        <v/>
      </c>
      <c r="T22" s="14">
        <f>IF(O22="A",MAX(1,IFERROR(VLOOKUP(O22,Assumptions!$A$7:$F$11,3,FALSE),3)+IFERROR(VLOOKUP(O22,Assumptions!$A$7:$F$11,4,FALSE),8)/2-MAX(0,IF(R22="",0,R22)-IFERROR(VLOOKUP(O22,Assumptions!$A$7:$F$11,5,FALSE),1.5))),IFERROR(VLOOKUP(O22,Assumptions!$A$7:$F$11,5,FALSE),2.5)+IFERROR(VLOOKUP(O22,Assumptions!$A$7:$F$11,3,FALSE),3)+IFERROR(VLOOKUP(O22,Assumptions!$A$7:$F$11,4,FALSE),8)/2)</f>
        <v/>
      </c>
      <c r="U22" s="15">
        <f>M22*S22/(1+Assumptions!$B$3)^T22</f>
        <v/>
      </c>
      <c r="V22" s="11">
        <f>IF(M22=0,"",ROUND(U22/M22*100,1))</f>
        <v/>
      </c>
      <c r="W22" s="16">
        <f>U22*Assumptions!$B$4</f>
        <v/>
      </c>
      <c r="X22" s="11">
        <f>IF(M22=0,"",ROUND(W22/M22*100,1))</f>
        <v/>
      </c>
      <c r="Y22" t="inlineStr">
        <is>
          <t>GRUPO DP4</t>
        </is>
      </c>
      <c r="Z22" t="inlineStr">
        <is>
          <t>0005010-98.2023.8.16.0001</t>
        </is>
      </c>
      <c r="AA22" t="inlineStr">
        <is>
          <t>TJPR</t>
        </is>
      </c>
      <c r="AB22" t="inlineStr">
        <is>
          <t>marquesadmjudicial.com.br</t>
        </is>
      </c>
      <c r="AC22" t="inlineStr">
        <is>
          <t>LUIS GUSTAVO MALUCELLI BACILA</t>
        </is>
      </c>
      <c r="AD22" t="inlineStr">
        <is>
          <t>Administrador</t>
        </is>
      </c>
      <c r="AE22" t="inlineStr">
        <is>
          <t>(42) 3252-8120</t>
        </is>
      </c>
      <c r="AF22" t="inlineStr">
        <is>
          <t>(42) 3252-1705</t>
        </is>
      </c>
      <c r="AG22" t="inlineStr"/>
      <c r="AH22" t="inlineStr">
        <is>
          <t>PR</t>
        </is>
      </c>
      <c r="AI22" t="inlineStr">
        <is>
          <t>PALMEIRA</t>
        </is>
      </c>
      <c r="AJ22" t="inlineStr">
        <is>
          <t>Fabricação de outros produtos químicos não especificados anteriormente</t>
        </is>
      </c>
      <c r="AK22" t="inlineStr">
        <is>
          <t>DEMAIS</t>
        </is>
      </c>
      <c r="AL22" t="inlineStr">
        <is>
          <t>ATIVA</t>
        </is>
      </c>
      <c r="AM22" s="17" t="inlineStr">
        <is>
          <t>https://marquesadmjudicial.com.br/sgc/download.php?file=files/processo_documento/processo_documento15293208032024_1_.pdf&amp;nome=Relação Nominal de Credores da AJ-Sintética</t>
        </is>
      </c>
      <c r="AN22" s="18" t="inlineStr">
        <is>
          <t>p21 r8</t>
        </is>
      </c>
      <c r="AO22" s="18" t="inlineStr">
        <is>
          <t>p21: R$ 10.636.330,31</t>
        </is>
      </c>
      <c r="AP22" s="18" t="inlineStr">
        <is>
          <t>AJ_LIST</t>
        </is>
      </c>
      <c r="AQ22" s="18" t="inlineStr">
        <is>
          <t>2023-03-02</t>
        </is>
      </c>
      <c r="AR22" s="18" t="inlineStr">
        <is>
          <t>QUARANTINED</t>
        </is>
      </c>
      <c r="AS22" s="18" t="inlineStr">
        <is>
          <t>PARTIAL_DOC_CLASS_III_RECONCILED ROWS:p21r8</t>
        </is>
      </c>
      <c r="AT22" s="18" t="inlineStr">
        <is>
          <t>b465a5d11eec</t>
        </is>
      </c>
    </row>
    <row r="23">
      <c r="A23" s="9" t="n">
        <v>22</v>
      </c>
      <c r="B23" s="9" t="inlineStr">
        <is>
          <t>NEW</t>
        </is>
      </c>
      <c r="C23" s="9" t="inlineStr"/>
      <c r="D23" s="9" t="n">
        <v>0</v>
      </c>
      <c r="E23" s="9" t="inlineStr"/>
      <c r="F23" s="9" t="inlineStr"/>
      <c r="G23" s="9" t="inlineStr"/>
      <c r="H23" s="9" t="inlineStr"/>
      <c r="I23" t="inlineStr">
        <is>
          <t>ENVTECH DO BRASIL DESCONTAMINACOES INDUSTRIAIS LTDA</t>
        </is>
      </c>
      <c r="J23" t="inlineStr">
        <is>
          <t>Envtech do Brasil Descontaminações Industriais Ltda</t>
        </is>
      </c>
      <c r="K23" t="inlineStr">
        <is>
          <t>11486977</t>
        </is>
      </c>
      <c r="L23" t="inlineStr">
        <is>
          <t>11486977000187</t>
        </is>
      </c>
      <c r="M23" s="10" t="n">
        <v>10310428.56</v>
      </c>
      <c r="N23" t="n">
        <v>1</v>
      </c>
      <c r="O23" s="11" t="inlineStr">
        <is>
          <t>B</t>
        </is>
      </c>
      <c r="P23" s="11" t="inlineStr"/>
      <c r="Q23" s="12" t="n">
        <v>45756</v>
      </c>
      <c r="R23" s="11">
        <f>IF(Q23="","",ROUND((TODAY()-Q23)/365.25,1))</f>
        <v/>
      </c>
      <c r="S23" s="13">
        <f>IFERROR(VLOOKUP(O23,Assumptions!$A$7:$F$11,2,FALSE),0.25)</f>
        <v/>
      </c>
      <c r="T23" s="14">
        <f>IF(O23="A",MAX(1,IFERROR(VLOOKUP(O23,Assumptions!$A$7:$F$11,3,FALSE),3)+IFERROR(VLOOKUP(O23,Assumptions!$A$7:$F$11,4,FALSE),8)/2-MAX(0,IF(R23="",0,R23)-IFERROR(VLOOKUP(O23,Assumptions!$A$7:$F$11,5,FALSE),1.5))),IFERROR(VLOOKUP(O23,Assumptions!$A$7:$F$11,5,FALSE),2.5)+IFERROR(VLOOKUP(O23,Assumptions!$A$7:$F$11,3,FALSE),3)+IFERROR(VLOOKUP(O23,Assumptions!$A$7:$F$11,4,FALSE),8)/2)</f>
        <v/>
      </c>
      <c r="U23" s="15">
        <f>M23*S23/(1+Assumptions!$B$3)^T23</f>
        <v/>
      </c>
      <c r="V23" s="11">
        <f>IF(M23=0,"",ROUND(U23/M23*100,1))</f>
        <v/>
      </c>
      <c r="W23" s="16">
        <f>U23*Assumptions!$B$4</f>
        <v/>
      </c>
      <c r="X23" s="11">
        <f>IF(M23=0,"",ROUND(W23/M23*100,1))</f>
        <v/>
      </c>
      <c r="Y23" t="inlineStr">
        <is>
          <t>GRUPO EGESA (EGESA ENG S.A, EGESUR PART E EMP S.A, MATRIX INFRA LTDA, BEMVIVER ENG AMBIENTAL E SERV LTDA, DKF CONST E EMP LTDA, EGEPEL LTDA, ETR ASSESSORIA EMP E PART LTDA, MVT ENG E SERV LTDA, PARQUES DO VALE LTDA, ELMO RIBEIRO E ANA RIBEIRO)</t>
        </is>
      </c>
      <c r="Z23" t="inlineStr">
        <is>
          <t>5088952-81.2025.8.13.0024</t>
        </is>
      </c>
      <c r="AA23" t="inlineStr">
        <is>
          <t>TJMG</t>
        </is>
      </c>
      <c r="AB23" t="inlineStr">
        <is>
          <t>scalzilliaj.com.br</t>
        </is>
      </c>
      <c r="AC23" t="inlineStr">
        <is>
          <t>FREDDY VLADIMIR RADA COVALOVA</t>
        </is>
      </c>
      <c r="AD23" t="inlineStr">
        <is>
          <t>Sócio-Administrador</t>
        </is>
      </c>
      <c r="AE23" t="inlineStr">
        <is>
          <t>(31) 8447-7021</t>
        </is>
      </c>
      <c r="AF23" t="inlineStr"/>
      <c r="AG23" t="inlineStr"/>
      <c r="AH23" t="inlineStr">
        <is>
          <t>RJ</t>
        </is>
      </c>
      <c r="AI23" t="inlineStr">
        <is>
          <t>PETROPOLIS</t>
        </is>
      </c>
      <c r="AJ23" t="inlineStr">
        <is>
          <t>Manutenção e reparação de outras máquinas e equipamentos para usos industriais não especificados anteriormente</t>
        </is>
      </c>
      <c r="AK23" t="inlineStr">
        <is>
          <t>DEMAIS</t>
        </is>
      </c>
      <c r="AL23" t="inlineStr">
        <is>
          <t>ATIVA</t>
        </is>
      </c>
      <c r="AM23" s="17" t="inlineStr">
        <is>
          <t>https://scalzilliaj.com.br/sgc/download.php?file=files/processo_documento/processo_documento09514021082025_1_.pdf&amp;nome=04 - Relação de credores das Recuperandas</t>
        </is>
      </c>
      <c r="AN23" s="18" t="inlineStr">
        <is>
          <t>p66 r6</t>
        </is>
      </c>
      <c r="AO23" s="18" t="inlineStr">
        <is>
          <t>p66: R$ 10.310.428,56</t>
        </is>
      </c>
      <c r="AP23" s="18" t="inlineStr">
        <is>
          <t>DEBTOR_LIST</t>
        </is>
      </c>
      <c r="AQ23" s="18" t="inlineStr"/>
      <c r="AR23" s="18" t="inlineStr">
        <is>
          <t>OK</t>
        </is>
      </c>
      <c r="AS23" s="18" t="inlineStr">
        <is>
          <t>ROWS:p66r6 VALUE_COL:Valor_Atualizado CASE_NUMBER_CORRECTED CASE_FROM_PORTAL</t>
        </is>
      </c>
      <c r="AT23" s="18" t="inlineStr">
        <is>
          <t>24ed98480a57</t>
        </is>
      </c>
    </row>
    <row r="24">
      <c r="A24" s="9" t="n">
        <v>23</v>
      </c>
      <c r="B24" s="9" t="inlineStr">
        <is>
          <t>NEW</t>
        </is>
      </c>
      <c r="C24" s="9" t="inlineStr"/>
      <c r="D24" s="9" t="n">
        <v>0</v>
      </c>
      <c r="E24" s="9" t="inlineStr"/>
      <c r="F24" s="9" t="inlineStr"/>
      <c r="G24" s="9" t="inlineStr"/>
      <c r="H24" s="9" t="inlineStr"/>
      <c r="I24" t="inlineStr">
        <is>
          <t>DANONE LTDA</t>
        </is>
      </c>
      <c r="J24" t="inlineStr">
        <is>
          <t>Danone Ltda</t>
        </is>
      </c>
      <c r="K24" t="inlineStr">
        <is>
          <t>23643315</t>
        </is>
      </c>
      <c r="L24" t="inlineStr">
        <is>
          <t>23643315014455</t>
        </is>
      </c>
      <c r="M24" s="10" t="n">
        <v>9093937.710000001</v>
      </c>
      <c r="N24" t="n">
        <v>1</v>
      </c>
      <c r="O24" s="11" t="inlineStr">
        <is>
          <t>C</t>
        </is>
      </c>
      <c r="P24" s="11" t="inlineStr">
        <is>
          <t>ACTIVE</t>
        </is>
      </c>
      <c r="Q24" s="12" t="n">
        <v>44987</v>
      </c>
      <c r="R24" s="11">
        <f>IF(Q24="","",ROUND((TODAY()-Q24)/365.25,1))</f>
        <v/>
      </c>
      <c r="S24" s="13">
        <f>IFERROR(VLOOKUP(O24,Assumptions!$A$7:$F$11,2,FALSE),0.25)</f>
        <v/>
      </c>
      <c r="T24" s="14">
        <f>IF(O24="A",MAX(1,IFERROR(VLOOKUP(O24,Assumptions!$A$7:$F$11,3,FALSE),3)+IFERROR(VLOOKUP(O24,Assumptions!$A$7:$F$11,4,FALSE),8)/2-MAX(0,IF(R24="",0,R24)-IFERROR(VLOOKUP(O24,Assumptions!$A$7:$F$11,5,FALSE),1.5))),IFERROR(VLOOKUP(O24,Assumptions!$A$7:$F$11,5,FALSE),2.5)+IFERROR(VLOOKUP(O24,Assumptions!$A$7:$F$11,3,FALSE),3)+IFERROR(VLOOKUP(O24,Assumptions!$A$7:$F$11,4,FALSE),8)/2)</f>
        <v/>
      </c>
      <c r="U24" s="15">
        <f>M24*S24/(1+Assumptions!$B$3)^T24</f>
        <v/>
      </c>
      <c r="V24" s="11">
        <f>IF(M24=0,"",ROUND(U24/M24*100,1))</f>
        <v/>
      </c>
      <c r="W24" s="16">
        <f>U24*Assumptions!$B$4</f>
        <v/>
      </c>
      <c r="X24" s="11">
        <f>IF(M24=0,"",ROUND(W24/M24*100,1))</f>
        <v/>
      </c>
      <c r="Y24" t="inlineStr">
        <is>
          <t>GRUPO DP4</t>
        </is>
      </c>
      <c r="Z24" t="inlineStr">
        <is>
          <t>0005010-98.2023.8.16.0001</t>
        </is>
      </c>
      <c r="AA24" t="inlineStr">
        <is>
          <t>TJPR</t>
        </is>
      </c>
      <c r="AB24" t="inlineStr">
        <is>
          <t>marquesadmjudicial.com.br</t>
        </is>
      </c>
      <c r="AC24" t="inlineStr">
        <is>
          <t>GEOVANI VIEIRA MANZANO</t>
        </is>
      </c>
      <c r="AD24" t="inlineStr">
        <is>
          <t>Administrador</t>
        </is>
      </c>
      <c r="AE24" t="inlineStr">
        <is>
          <t>(35) 3729-7901</t>
        </is>
      </c>
      <c r="AF24" t="inlineStr"/>
      <c r="AG24" t="inlineStr"/>
      <c r="AH24" t="inlineStr">
        <is>
          <t>SP</t>
        </is>
      </c>
      <c r="AI24" t="inlineStr">
        <is>
          <t>SAO PAULO</t>
        </is>
      </c>
      <c r="AJ24" t="inlineStr">
        <is>
          <t>Fabricação de laticínios</t>
        </is>
      </c>
      <c r="AK24" t="inlineStr">
        <is>
          <t>DEMAIS</t>
        </is>
      </c>
      <c r="AL24" t="inlineStr">
        <is>
          <t>ATIVA</t>
        </is>
      </c>
      <c r="AM24" s="17" t="inlineStr">
        <is>
          <t>https://marquesadmjudicial.com.br/sgc/download.php?file=files/processo_documento/processo_documento15293208032024_1_.pdf&amp;nome=Relação Nominal de Credores da AJ-Sintética</t>
        </is>
      </c>
      <c r="AN24" s="18" t="inlineStr">
        <is>
          <t>p24 r6</t>
        </is>
      </c>
      <c r="AO24" s="18" t="inlineStr">
        <is>
          <t>p24: R$ 9.093.937,71</t>
        </is>
      </c>
      <c r="AP24" s="18" t="inlineStr">
        <is>
          <t>AJ_LIST</t>
        </is>
      </c>
      <c r="AQ24" s="18" t="inlineStr">
        <is>
          <t>2023-03-02</t>
        </is>
      </c>
      <c r="AR24" s="18" t="inlineStr">
        <is>
          <t>QUARANTINED</t>
        </is>
      </c>
      <c r="AS24" s="18" t="inlineStr">
        <is>
          <t>PARTIAL_DOC_CLASS_III_RECONCILED ROWS:p24r6</t>
        </is>
      </c>
      <c r="AT24" s="18" t="inlineStr">
        <is>
          <t>b465a5d11eec</t>
        </is>
      </c>
    </row>
    <row r="25">
      <c r="A25" s="9" t="n">
        <v>24</v>
      </c>
      <c r="B25" s="9" t="inlineStr">
        <is>
          <t>NEW</t>
        </is>
      </c>
      <c r="C25" s="9" t="inlineStr"/>
      <c r="D25" s="9" t="n">
        <v>0</v>
      </c>
      <c r="E25" s="9" t="inlineStr"/>
      <c r="F25" s="9" t="inlineStr"/>
      <c r="G25" s="9" t="inlineStr"/>
      <c r="H25" s="9" t="inlineStr"/>
      <c r="I25" t="inlineStr">
        <is>
          <t>COPA ENERGIA S.A.</t>
        </is>
      </c>
      <c r="J25" t="inlineStr">
        <is>
          <t>COPA ENERGIA DISTRIBUIDORA DE GÁS S.A</t>
        </is>
      </c>
      <c r="K25" t="inlineStr">
        <is>
          <t>03237583</t>
        </is>
      </c>
      <c r="L25" t="inlineStr">
        <is>
          <t>03237583000167</t>
        </is>
      </c>
      <c r="M25" s="10" t="n">
        <v>9000000</v>
      </c>
      <c r="N25" t="n">
        <v>1</v>
      </c>
      <c r="O25" s="11" t="inlineStr">
        <is>
          <t>B</t>
        </is>
      </c>
      <c r="P25" s="11" t="inlineStr">
        <is>
          <t>ACTIVE</t>
        </is>
      </c>
      <c r="Q25" s="12" t="n">
        <v>46048</v>
      </c>
      <c r="R25" s="11">
        <f>IF(Q25="","",ROUND((TODAY()-Q25)/365.25,1))</f>
        <v/>
      </c>
      <c r="S25" s="13">
        <f>IFERROR(VLOOKUP(O25,Assumptions!$A$7:$F$11,2,FALSE),0.25)</f>
        <v/>
      </c>
      <c r="T25" s="14">
        <f>IF(O25="A",MAX(1,IFERROR(VLOOKUP(O25,Assumptions!$A$7:$F$11,3,FALSE),3)+IFERROR(VLOOKUP(O25,Assumptions!$A$7:$F$11,4,FALSE),8)/2-MAX(0,IF(R25="",0,R25)-IFERROR(VLOOKUP(O25,Assumptions!$A$7:$F$11,5,FALSE),1.5))),IFERROR(VLOOKUP(O25,Assumptions!$A$7:$F$11,5,FALSE),2.5)+IFERROR(VLOOKUP(O25,Assumptions!$A$7:$F$11,3,FALSE),3)+IFERROR(VLOOKUP(O25,Assumptions!$A$7:$F$11,4,FALSE),8)/2)</f>
        <v/>
      </c>
      <c r="U25" s="15">
        <f>M25*S25/(1+Assumptions!$B$3)^T25</f>
        <v/>
      </c>
      <c r="V25" s="11">
        <f>IF(M25=0,"",ROUND(U25/M25*100,1))</f>
        <v/>
      </c>
      <c r="W25" s="16">
        <f>U25*Assumptions!$B$4</f>
        <v/>
      </c>
      <c r="X25" s="11">
        <f>IF(M25=0,"",ROUND(W25/M25*100,1))</f>
        <v/>
      </c>
      <c r="Y25" t="inlineStr">
        <is>
          <t>GRUPO GLP</t>
        </is>
      </c>
      <c r="Z25" t="inlineStr">
        <is>
          <t>0001639-09.2026.8.17.2810</t>
        </is>
      </c>
      <c r="AA25" t="inlineStr">
        <is>
          <t>TJPE</t>
        </is>
      </c>
      <c r="AB25" t="inlineStr">
        <is>
          <t>recuperasolucoes.com</t>
        </is>
      </c>
      <c r="AC25" t="inlineStr">
        <is>
          <t>PEDRO JOAO ZAHRAN TURQUETO</t>
        </is>
      </c>
      <c r="AD25" t="inlineStr">
        <is>
          <t>Presidente</t>
        </is>
      </c>
      <c r="AE25" t="inlineStr">
        <is>
          <t>(11) 5505-4077</t>
        </is>
      </c>
      <c r="AF25" t="inlineStr"/>
      <c r="AG25" t="inlineStr"/>
      <c r="AH25" t="inlineStr">
        <is>
          <t>SP</t>
        </is>
      </c>
      <c r="AI25" t="inlineStr">
        <is>
          <t>SAO PAULO</t>
        </is>
      </c>
      <c r="AJ25" t="inlineStr">
        <is>
          <t>Comércio atacadista de gás liqüefeito de petróleo (GLP)</t>
        </is>
      </c>
      <c r="AK25" t="inlineStr">
        <is>
          <t>DEMAIS</t>
        </is>
      </c>
      <c r="AL25" t="inlineStr">
        <is>
          <t>ATIVA</t>
        </is>
      </c>
      <c r="AM25" s="17" t="inlineStr">
        <is>
          <t>https://recuperasolucoes.com/wp-content/plugins/download-attachments/includes/download.php?id=1597</t>
        </is>
      </c>
      <c r="AN25" s="18" t="inlineStr">
        <is>
          <t>p13 r12</t>
        </is>
      </c>
      <c r="AO25" s="18" t="inlineStr">
        <is>
          <t>p13: R$ 9.000.000,00</t>
        </is>
      </c>
      <c r="AP25" s="18" t="inlineStr">
        <is>
          <t>DEBTOR_LIST</t>
        </is>
      </c>
      <c r="AQ25" s="18" t="inlineStr">
        <is>
          <t>2026-05-21</t>
        </is>
      </c>
      <c r="AR25" s="18" t="inlineStr">
        <is>
          <t>OK</t>
        </is>
      </c>
      <c r="AS25" s="18" t="inlineStr">
        <is>
          <t>ROWS:p13r12</t>
        </is>
      </c>
      <c r="AT25" s="18" t="inlineStr">
        <is>
          <t>5da7b77bb569</t>
        </is>
      </c>
    </row>
    <row r="26">
      <c r="A26" s="9" t="n">
        <v>25</v>
      </c>
      <c r="B26" s="9" t="inlineStr">
        <is>
          <t>NEW</t>
        </is>
      </c>
      <c r="C26" s="9" t="inlineStr"/>
      <c r="D26" s="9" t="n">
        <v>0</v>
      </c>
      <c r="E26" s="9" t="inlineStr"/>
      <c r="F26" s="9" t="inlineStr"/>
      <c r="G26" s="9" t="inlineStr"/>
      <c r="H26" s="9" t="inlineStr"/>
      <c r="I26" t="inlineStr">
        <is>
          <t>MINERACAO AURORA LTDA</t>
        </is>
      </c>
      <c r="J26" t="inlineStr">
        <is>
          <t>MINERACAO AURORA LTDA</t>
        </is>
      </c>
      <c r="K26" t="inlineStr">
        <is>
          <t>10509915</t>
        </is>
      </c>
      <c r="L26" t="inlineStr">
        <is>
          <t>10509915000180</t>
        </is>
      </c>
      <c r="M26" s="10" t="n">
        <v>8433590.01</v>
      </c>
      <c r="N26" t="n">
        <v>1</v>
      </c>
      <c r="O26" s="11" t="inlineStr">
        <is>
          <t>C</t>
        </is>
      </c>
      <c r="P26" s="11" t="inlineStr">
        <is>
          <t>ACTIVE</t>
        </is>
      </c>
      <c r="Q26" s="12" t="n">
        <v>43838</v>
      </c>
      <c r="R26" s="11">
        <f>IF(Q26="","",ROUND((TODAY()-Q26)/365.25,1))</f>
        <v/>
      </c>
      <c r="S26" s="13">
        <f>IFERROR(VLOOKUP(O26,Assumptions!$A$7:$F$11,2,FALSE),0.25)</f>
        <v/>
      </c>
      <c r="T26" s="14">
        <f>IF(O26="A",MAX(1,IFERROR(VLOOKUP(O26,Assumptions!$A$7:$F$11,3,FALSE),3)+IFERROR(VLOOKUP(O26,Assumptions!$A$7:$F$11,4,FALSE),8)/2-MAX(0,IF(R26="",0,R26)-IFERROR(VLOOKUP(O26,Assumptions!$A$7:$F$11,5,FALSE),1.5))),IFERROR(VLOOKUP(O26,Assumptions!$A$7:$F$11,5,FALSE),2.5)+IFERROR(VLOOKUP(O26,Assumptions!$A$7:$F$11,3,FALSE),3)+IFERROR(VLOOKUP(O26,Assumptions!$A$7:$F$11,4,FALSE),8)/2)</f>
        <v/>
      </c>
      <c r="U26" s="15">
        <f>M26*S26/(1+Assumptions!$B$3)^T26</f>
        <v/>
      </c>
      <c r="V26" s="11">
        <f>IF(M26=0,"",ROUND(U26/M26*100,1))</f>
        <v/>
      </c>
      <c r="W26" s="16">
        <f>U26*Assumptions!$B$4</f>
        <v/>
      </c>
      <c r="X26" s="11">
        <f>IF(M26=0,"",ROUND(W26/M26*100,1))</f>
        <v/>
      </c>
      <c r="Y26" t="inlineStr">
        <is>
          <t>CONSTRUTORA ANDRADE GUEDES LTDA</t>
        </is>
      </c>
      <c r="Z26" t="inlineStr">
        <is>
          <t>0000880-57.2020.8.17.2001</t>
        </is>
      </c>
      <c r="AA26" t="inlineStr">
        <is>
          <t>TJPE</t>
        </is>
      </c>
      <c r="AB26" t="inlineStr">
        <is>
          <t>diligence.adm.br</t>
        </is>
      </c>
      <c r="AC26" t="inlineStr">
        <is>
          <t>SHIRLEY MONTEIRO REBOCHO SILVA</t>
        </is>
      </c>
      <c r="AD26" t="inlineStr">
        <is>
          <t>Sócio-Administrador</t>
        </is>
      </c>
      <c r="AE26" t="inlineStr">
        <is>
          <t>(81) 3972-4964</t>
        </is>
      </c>
      <c r="AF26" t="inlineStr"/>
      <c r="AG26" t="inlineStr"/>
      <c r="AH26" t="inlineStr">
        <is>
          <t>PE</t>
        </is>
      </c>
      <c r="AI26" t="inlineStr">
        <is>
          <t>JABOATAO DOS GUARARAPES</t>
        </is>
      </c>
      <c r="AJ26" t="inlineStr">
        <is>
          <t>Extração e britamento de pedras e outros materiais para construção e beneficiamento associado</t>
        </is>
      </c>
      <c r="AK26" t="inlineStr">
        <is>
          <t>DEMAIS</t>
        </is>
      </c>
      <c r="AL26" t="inlineStr">
        <is>
          <t>ATIVA</t>
        </is>
      </c>
      <c r="AM26" s="17" t="inlineStr">
        <is>
          <t>https://diligence.adm.br/wp-content/plugins/download-attachments/includes/download.php?id=4599</t>
        </is>
      </c>
      <c r="AN26" s="18" t="inlineStr">
        <is>
          <t>p10 r60</t>
        </is>
      </c>
      <c r="AO26" s="18" t="inlineStr">
        <is>
          <t>p10: R$ 8.433.590,01</t>
        </is>
      </c>
      <c r="AP26" s="18" t="inlineStr">
        <is>
          <t>AJ_LIST</t>
        </is>
      </c>
      <c r="AQ26" s="18" t="inlineStr">
        <is>
          <t>2024-06-25</t>
        </is>
      </c>
      <c r="AR26" s="18" t="inlineStr">
        <is>
          <t>OK_NO_TOTALS</t>
        </is>
      </c>
      <c r="AS26" s="18" t="inlineStr">
        <is>
          <t>ALT_VALUE:R$2.710.146,67 ALT_VALUE:R$5.723.443,34 ROWS:p10r60 UNRECONCILED_SOURCE VALUE_COL:2ª_Lista</t>
        </is>
      </c>
      <c r="AT26" s="18" t="inlineStr">
        <is>
          <t>44ecd0afa707</t>
        </is>
      </c>
    </row>
    <row r="27">
      <c r="A27" s="9" t="n">
        <v>26</v>
      </c>
      <c r="B27" s="9" t="inlineStr">
        <is>
          <t>NEW</t>
        </is>
      </c>
      <c r="C27" s="9" t="inlineStr"/>
      <c r="D27" s="9" t="n">
        <v>0</v>
      </c>
      <c r="E27" s="9" t="inlineStr"/>
      <c r="F27" s="9" t="inlineStr"/>
      <c r="G27" s="9" t="inlineStr"/>
      <c r="H27" s="9" t="inlineStr"/>
      <c r="I27" t="inlineStr">
        <is>
          <t>FIRST S/A</t>
        </is>
      </c>
      <c r="J27" t="inlineStr">
        <is>
          <t>PENDENTE DE REGULARIZAÇÃO</t>
        </is>
      </c>
      <c r="K27" t="inlineStr">
        <is>
          <t>00802235</t>
        </is>
      </c>
      <c r="L27" t="inlineStr">
        <is>
          <t>00802235000105</t>
        </is>
      </c>
      <c r="M27" s="10" t="n">
        <v>8354815.13</v>
      </c>
      <c r="N27" t="n">
        <v>1</v>
      </c>
      <c r="O27" s="11" t="inlineStr">
        <is>
          <t>B</t>
        </is>
      </c>
      <c r="P27" s="11" t="inlineStr"/>
      <c r="Q27" s="12" t="inlineStr"/>
      <c r="R27" s="11">
        <f>IF(Q27="","",ROUND((TODAY()-Q27)/365.25,1))</f>
        <v/>
      </c>
      <c r="S27" s="13">
        <f>IFERROR(VLOOKUP(O27,Assumptions!$A$7:$F$11,2,FALSE),0.25)</f>
        <v/>
      </c>
      <c r="T27" s="14">
        <f>IF(O27="A",MAX(1,IFERROR(VLOOKUP(O27,Assumptions!$A$7:$F$11,3,FALSE),3)+IFERROR(VLOOKUP(O27,Assumptions!$A$7:$F$11,4,FALSE),8)/2-MAX(0,IF(R27="",0,R27)-IFERROR(VLOOKUP(O27,Assumptions!$A$7:$F$11,5,FALSE),1.5))),IFERROR(VLOOKUP(O27,Assumptions!$A$7:$F$11,5,FALSE),2.5)+IFERROR(VLOOKUP(O27,Assumptions!$A$7:$F$11,3,FALSE),3)+IFERROR(VLOOKUP(O27,Assumptions!$A$7:$F$11,4,FALSE),8)/2)</f>
        <v/>
      </c>
      <c r="U27" s="15">
        <f>M27*S27/(1+Assumptions!$B$3)^T27</f>
        <v/>
      </c>
      <c r="V27" s="11">
        <f>IF(M27=0,"",ROUND(U27/M27*100,1))</f>
        <v/>
      </c>
      <c r="W27" s="16">
        <f>U27*Assumptions!$B$4</f>
        <v/>
      </c>
      <c r="X27" s="11">
        <f>IF(M27=0,"",ROUND(W27/M27*100,1))</f>
        <v/>
      </c>
      <c r="Y27" t="inlineStr">
        <is>
          <t>Grupo Rech</t>
        </is>
      </c>
      <c r="Z27" t="inlineStr">
        <is>
          <t>5057720-48.2025.8.24.0023</t>
        </is>
      </c>
      <c r="AA27" t="inlineStr"/>
      <c r="AB27" t="inlineStr">
        <is>
          <t>credibilita.com.br</t>
        </is>
      </c>
      <c r="AC27" t="inlineStr">
        <is>
          <t>NATANAEL SANTOS DE SOUZA</t>
        </is>
      </c>
      <c r="AD27" t="inlineStr">
        <is>
          <t>Presidente</t>
        </is>
      </c>
      <c r="AE27" t="inlineStr">
        <is>
          <t>(11) 5054-8110</t>
        </is>
      </c>
      <c r="AF27" t="inlineStr"/>
      <c r="AG27" t="inlineStr"/>
      <c r="AH27" t="inlineStr">
        <is>
          <t>SP</t>
        </is>
      </c>
      <c r="AI27" t="inlineStr">
        <is>
          <t>SAO PAULO</t>
        </is>
      </c>
      <c r="AJ27" t="inlineStr">
        <is>
          <t>Comércio atacadista especializado em outros produtos intermediários não especificados anteriormente</t>
        </is>
      </c>
      <c r="AK27" t="inlineStr">
        <is>
          <t>DEMAIS</t>
        </is>
      </c>
      <c r="AL27" t="inlineStr">
        <is>
          <t>ATIVA</t>
        </is>
      </c>
      <c r="AM27" s="17" t="inlineStr">
        <is>
          <t>https://credibilita.com.br/wp-content/uploads/2025/09/Relacao-Credores-29.04.2026.pdf</t>
        </is>
      </c>
      <c r="AN27" s="18" t="inlineStr">
        <is>
          <t>p1 r23</t>
        </is>
      </c>
      <c r="AO27" s="18" t="inlineStr">
        <is>
          <t>p1: R$ 8.354.815,13</t>
        </is>
      </c>
      <c r="AP27" s="18" t="inlineStr">
        <is>
          <t>QUORUM_LIST</t>
        </is>
      </c>
      <c r="AQ27" s="18" t="inlineStr"/>
      <c r="AR27" s="18" t="inlineStr">
        <is>
          <t>OK_NO_TOTALS</t>
        </is>
      </c>
      <c r="AS27" s="18" t="inlineStr">
        <is>
          <t>ROWS:p1r23 UNRECONCILED_SOURCE VALUE_COL:Valor_Após_Analise CASE_NUMBER_CORRECTED</t>
        </is>
      </c>
      <c r="AT27" s="18" t="inlineStr">
        <is>
          <t>cf92cff797d2</t>
        </is>
      </c>
    </row>
    <row r="28">
      <c r="A28" s="9" t="n">
        <v>27</v>
      </c>
      <c r="B28" s="9" t="inlineStr">
        <is>
          <t>NEW</t>
        </is>
      </c>
      <c r="C28" s="9" t="inlineStr"/>
      <c r="D28" s="9" t="n">
        <v>0</v>
      </c>
      <c r="E28" s="9" t="inlineStr"/>
      <c r="F28" s="9" t="inlineStr"/>
      <c r="G28" s="9" t="inlineStr"/>
      <c r="H28" s="9" t="inlineStr"/>
      <c r="I28" t="inlineStr">
        <is>
          <t>IPESA DO BRASIL COMERCIO DE PRODUTOS PLASTICOS LTDA</t>
        </is>
      </c>
      <c r="J28" t="inlineStr">
        <is>
          <t>NÃO</t>
        </is>
      </c>
      <c r="K28" t="inlineStr">
        <is>
          <t>05607230</t>
        </is>
      </c>
      <c r="L28" t="inlineStr">
        <is>
          <t>05607230000480</t>
        </is>
      </c>
      <c r="M28" s="10" t="n">
        <v>8353250</v>
      </c>
      <c r="N28" t="n">
        <v>1</v>
      </c>
      <c r="O28" s="11" t="inlineStr">
        <is>
          <t>B</t>
        </is>
      </c>
      <c r="P28" s="11" t="inlineStr"/>
      <c r="Q28" s="12" t="inlineStr"/>
      <c r="R28" s="11">
        <f>IF(Q28="","",ROUND((TODAY()-Q28)/365.25,1))</f>
        <v/>
      </c>
      <c r="S28" s="13">
        <f>IFERROR(VLOOKUP(O28,Assumptions!$A$7:$F$11,2,FALSE),0.25)</f>
        <v/>
      </c>
      <c r="T28" s="14">
        <f>IF(O28="A",MAX(1,IFERROR(VLOOKUP(O28,Assumptions!$A$7:$F$11,3,FALSE),3)+IFERROR(VLOOKUP(O28,Assumptions!$A$7:$F$11,4,FALSE),8)/2-MAX(0,IF(R28="",0,R28)-IFERROR(VLOOKUP(O28,Assumptions!$A$7:$F$11,5,FALSE),1.5))),IFERROR(VLOOKUP(O28,Assumptions!$A$7:$F$11,5,FALSE),2.5)+IFERROR(VLOOKUP(O28,Assumptions!$A$7:$F$11,3,FALSE),3)+IFERROR(VLOOKUP(O28,Assumptions!$A$7:$F$11,4,FALSE),8)/2)</f>
        <v/>
      </c>
      <c r="U28" s="15">
        <f>M28*S28/(1+Assumptions!$B$3)^T28</f>
        <v/>
      </c>
      <c r="V28" s="11">
        <f>IF(M28=0,"",ROUND(U28/M28*100,1))</f>
        <v/>
      </c>
      <c r="W28" s="16">
        <f>U28*Assumptions!$B$4</f>
        <v/>
      </c>
      <c r="X28" s="11">
        <f>IF(M28=0,"",ROUND(W28/M28*100,1))</f>
        <v/>
      </c>
      <c r="Y28" t="inlineStr">
        <is>
          <t>Grupo Rech</t>
        </is>
      </c>
      <c r="Z28" t="inlineStr">
        <is>
          <t>5057720-48.2025.8.24.0023</t>
        </is>
      </c>
      <c r="AA28" t="inlineStr"/>
      <c r="AB28" t="inlineStr">
        <is>
          <t>credibilita.com.br</t>
        </is>
      </c>
      <c r="AC28" t="inlineStr">
        <is>
          <t>VIRGINIA KUMVICH</t>
        </is>
      </c>
      <c r="AD28" t="inlineStr">
        <is>
          <t>Administrador</t>
        </is>
      </c>
      <c r="AE28" t="inlineStr">
        <is>
          <t>(11) 5524-2877</t>
        </is>
      </c>
      <c r="AF28" t="inlineStr"/>
      <c r="AG28" t="inlineStr"/>
      <c r="AH28" t="inlineStr">
        <is>
          <t>SP</t>
        </is>
      </c>
      <c r="AI28" t="inlineStr">
        <is>
          <t>SAO PAULO</t>
        </is>
      </c>
      <c r="AJ28" t="inlineStr">
        <is>
          <t>Comércio atacadista especializado em outros produtos intermediários não especificados anteriormente</t>
        </is>
      </c>
      <c r="AK28" t="inlineStr">
        <is>
          <t>DEMAIS</t>
        </is>
      </c>
      <c r="AL28" t="inlineStr">
        <is>
          <t>ATIVA</t>
        </is>
      </c>
      <c r="AM28" s="17" t="inlineStr">
        <is>
          <t>https://credibilita.com.br/wp-content/uploads/2025/09/Relacao-Credores-29.04.2026.pdf</t>
        </is>
      </c>
      <c r="AN28" s="18" t="inlineStr">
        <is>
          <t>p1 r27</t>
        </is>
      </c>
      <c r="AO28" s="18" t="inlineStr">
        <is>
          <t>p1: R$ 8.353.250,00</t>
        </is>
      </c>
      <c r="AP28" s="18" t="inlineStr">
        <is>
          <t>QUORUM_LIST</t>
        </is>
      </c>
      <c r="AQ28" s="18" t="inlineStr"/>
      <c r="AR28" s="18" t="inlineStr">
        <is>
          <t>OK_NO_TOTALS</t>
        </is>
      </c>
      <c r="AS28" s="18" t="inlineStr">
        <is>
          <t>ROWS:p1r27 UNRECONCILED_SOURCE VALUE_COL:Valor_Após_Analise CASE_NUMBER_CORRECTED</t>
        </is>
      </c>
      <c r="AT28" s="18" t="inlineStr">
        <is>
          <t>cf92cff797d2</t>
        </is>
      </c>
    </row>
    <row r="29">
      <c r="A29" s="9" t="n">
        <v>28</v>
      </c>
      <c r="B29" s="9" t="inlineStr">
        <is>
          <t>NEW</t>
        </is>
      </c>
      <c r="C29" s="9" t="inlineStr"/>
      <c r="D29" s="9" t="n">
        <v>0</v>
      </c>
      <c r="E29" s="9" t="inlineStr"/>
      <c r="F29" s="9" t="inlineStr"/>
      <c r="G29" s="9" t="inlineStr"/>
      <c r="H29" s="9" t="inlineStr"/>
      <c r="I29" t="inlineStr">
        <is>
          <t>CLIMAZON INDUSTRIAL LTDA</t>
        </is>
      </c>
      <c r="J29" t="inlineStr">
        <is>
          <t>Avenida Torquato Tapajos, 7937, Lote 14, 14B, Taruma, Manaus/ AM - CEP 69041025</t>
        </is>
      </c>
      <c r="K29" t="inlineStr">
        <is>
          <t>04222931</t>
        </is>
      </c>
      <c r="L29" t="inlineStr">
        <is>
          <t>04222931000195</t>
        </is>
      </c>
      <c r="M29" s="10" t="n">
        <v>8012248.57</v>
      </c>
      <c r="N29" t="n">
        <v>1</v>
      </c>
      <c r="O29" s="11" t="inlineStr">
        <is>
          <t>C</t>
        </is>
      </c>
      <c r="P29" s="11" t="inlineStr"/>
      <c r="Q29" s="12" t="inlineStr"/>
      <c r="R29" s="11">
        <f>IF(Q29="","",ROUND((TODAY()-Q29)/365.25,1))</f>
        <v/>
      </c>
      <c r="S29" s="13">
        <f>IFERROR(VLOOKUP(O29,Assumptions!$A$7:$F$11,2,FALSE),0.25)</f>
        <v/>
      </c>
      <c r="T29" s="14">
        <f>IF(O29="A",MAX(1,IFERROR(VLOOKUP(O29,Assumptions!$A$7:$F$11,3,FALSE),3)+IFERROR(VLOOKUP(O29,Assumptions!$A$7:$F$11,4,FALSE),8)/2-MAX(0,IF(R29="",0,R29)-IFERROR(VLOOKUP(O29,Assumptions!$A$7:$F$11,5,FALSE),1.5))),IFERROR(VLOOKUP(O29,Assumptions!$A$7:$F$11,5,FALSE),2.5)+IFERROR(VLOOKUP(O29,Assumptions!$A$7:$F$11,3,FALSE),3)+IFERROR(VLOOKUP(O29,Assumptions!$A$7:$F$11,4,FALSE),8)/2)</f>
        <v/>
      </c>
      <c r="U29" s="15">
        <f>M29*S29/(1+Assumptions!$B$3)^T29</f>
        <v/>
      </c>
      <c r="V29" s="11">
        <f>IF(M29=0,"",ROUND(U29/M29*100,1))</f>
        <v/>
      </c>
      <c r="W29" s="16">
        <f>U29*Assumptions!$B$4</f>
        <v/>
      </c>
      <c r="X29" s="11">
        <f>IF(M29=0,"",ROUND(W29/M29*100,1))</f>
        <v/>
      </c>
      <c r="Y29" t="inlineStr">
        <is>
          <t>REAL DISTRIBUIDORA ÚNICA RIO COMÉRCIO DE REFRIGERAÇÃO LTDA.</t>
        </is>
      </c>
      <c r="Z29" t="inlineStr">
        <is>
          <t>0873061-47.2023.8.19.0001</t>
        </is>
      </c>
      <c r="AA29" t="inlineStr"/>
      <c r="AB29" t="inlineStr">
        <is>
          <t>inova-aj.com.br</t>
        </is>
      </c>
      <c r="AC29" t="inlineStr">
        <is>
          <t>ADRIANO ZACCARI FORTUNA</t>
        </is>
      </c>
      <c r="AD29" t="inlineStr">
        <is>
          <t>Administrador</t>
        </is>
      </c>
      <c r="AE29" t="inlineStr">
        <is>
          <t>(51) 3477-9873</t>
        </is>
      </c>
      <c r="AF29" t="inlineStr">
        <is>
          <t>(51) 3477-9684</t>
        </is>
      </c>
      <c r="AG29" t="inlineStr"/>
      <c r="AH29" t="inlineStr">
        <is>
          <t>AM</t>
        </is>
      </c>
      <c r="AI29" t="inlineStr">
        <is>
          <t>MANAUS</t>
        </is>
      </c>
      <c r="AJ29" t="inlineStr">
        <is>
          <t>Fabricação de aparelhos e equipamentos de ar condicionado para uso não-industrial</t>
        </is>
      </c>
      <c r="AK29" t="inlineStr">
        <is>
          <t>DEMAIS</t>
        </is>
      </c>
      <c r="AL29" t="inlineStr">
        <is>
          <t>ATIVA</t>
        </is>
      </c>
      <c r="AM29" s="17" t="inlineStr">
        <is>
          <t>https://inova-aj.com.br/wp-content/uploads/2026/08/1a-Relacao-de-Credores-Real.pdf</t>
        </is>
      </c>
      <c r="AN29" s="18" t="inlineStr">
        <is>
          <t>p1 r25</t>
        </is>
      </c>
      <c r="AO29" s="18" t="inlineStr">
        <is>
          <t>p1: R$ 8.012.248,57</t>
        </is>
      </c>
      <c r="AP29" s="18" t="inlineStr">
        <is>
          <t>AJ_LIST</t>
        </is>
      </c>
      <c r="AQ29" s="18" t="inlineStr">
        <is>
          <t>2023-06-05</t>
        </is>
      </c>
      <c r="AR29" s="18" t="inlineStr">
        <is>
          <t>OK</t>
        </is>
      </c>
      <c r="AS29" s="18" t="inlineStr">
        <is>
          <t>ALT_VALUE:R$5.825.770,44 ROWS:p1r25</t>
        </is>
      </c>
      <c r="AT29" s="18" t="inlineStr">
        <is>
          <t>8eb5d0d64353</t>
        </is>
      </c>
    </row>
    <row r="30">
      <c r="A30" s="9" t="n">
        <v>29</v>
      </c>
      <c r="B30" s="9" t="inlineStr">
        <is>
          <t>NEW</t>
        </is>
      </c>
      <c r="C30" s="9" t="inlineStr"/>
      <c r="D30" s="9" t="n">
        <v>0</v>
      </c>
      <c r="E30" s="9" t="inlineStr"/>
      <c r="F30" s="9" t="inlineStr"/>
      <c r="G30" s="9" t="inlineStr"/>
      <c r="H30" s="9" t="inlineStr"/>
      <c r="I30" t="inlineStr">
        <is>
          <t>COOPERATIVA DOS PLANTADORES DE CANA DO ESTADO SAO PAULO</t>
        </is>
      </c>
      <c r="J30" t="inlineStr">
        <is>
          <t>TITULARES DE CRÉDITOS QUIROGRAFÁRIOS SEQUENCIA EMPRESA CREDOR CNPJ / CPF ENDEREÇO BAIRRO CEP CIDADE UF ENDEREÇO ELETRONICO NATUREZA DOCUMENTO VALOR EM R$ 1 PRODUTOR RURAL (TAIKI MORIOKA) COOPERATIVA DOS PLANTADORES DE CANA DO ESTADO SÃO PAULO</t>
        </is>
      </c>
      <c r="K30" t="inlineStr">
        <is>
          <t>54366547</t>
        </is>
      </c>
      <c r="L30" t="inlineStr">
        <is>
          <t>00000000000191, 02398976000190, 28138113004164, 54366547000134, 54366547003400, 60701190481609</t>
        </is>
      </c>
      <c r="M30" s="10" t="n">
        <v>8000000</v>
      </c>
      <c r="N30" t="n">
        <v>1</v>
      </c>
      <c r="O30" s="11" t="inlineStr">
        <is>
          <t>B</t>
        </is>
      </c>
      <c r="P30" s="11" t="inlineStr">
        <is>
          <t>ACTIVE</t>
        </is>
      </c>
      <c r="Q30" s="12" t="n">
        <v>46184</v>
      </c>
      <c r="R30" s="11">
        <f>IF(Q30="","",ROUND((TODAY()-Q30)/365.25,1))</f>
        <v/>
      </c>
      <c r="S30" s="13">
        <f>IFERROR(VLOOKUP(O30,Assumptions!$A$7:$F$11,2,FALSE),0.25)</f>
        <v/>
      </c>
      <c r="T30" s="14">
        <f>IF(O30="A",MAX(1,IFERROR(VLOOKUP(O30,Assumptions!$A$7:$F$11,3,FALSE),3)+IFERROR(VLOOKUP(O30,Assumptions!$A$7:$F$11,4,FALSE),8)/2-MAX(0,IF(R30="",0,R30)-IFERROR(VLOOKUP(O30,Assumptions!$A$7:$F$11,5,FALSE),1.5))),IFERROR(VLOOKUP(O30,Assumptions!$A$7:$F$11,5,FALSE),2.5)+IFERROR(VLOOKUP(O30,Assumptions!$A$7:$F$11,3,FALSE),3)+IFERROR(VLOOKUP(O30,Assumptions!$A$7:$F$11,4,FALSE),8)/2)</f>
        <v/>
      </c>
      <c r="U30" s="15">
        <f>M30*S30/(1+Assumptions!$B$3)^T30</f>
        <v/>
      </c>
      <c r="V30" s="11">
        <f>IF(M30=0,"",ROUND(U30/M30*100,1))</f>
        <v/>
      </c>
      <c r="W30" s="16">
        <f>U30*Assumptions!$B$4</f>
        <v/>
      </c>
      <c r="X30" s="11">
        <f>IF(M30=0,"",ROUND(W30/M30*100,1))</f>
        <v/>
      </c>
      <c r="Y30" t="inlineStr">
        <is>
          <t>NAIR AKICO NAWAKAMI MORIOKA, TAIKI FELIPE MORIOKA e TIEZO FERNANDO MORIOKA (produtores rurais)</t>
        </is>
      </c>
      <c r="Z30" t="inlineStr">
        <is>
          <t>4000807-49.2026.8.26.0354</t>
        </is>
      </c>
      <c r="AA30" t="inlineStr">
        <is>
          <t>TJSP</t>
        </is>
      </c>
      <c r="AB30" t="inlineStr">
        <is>
          <t>vtladm.com.br</t>
        </is>
      </c>
      <c r="AC30" t="inlineStr">
        <is>
          <t>MARCOS FARHAT</t>
        </is>
      </c>
      <c r="AD30" t="inlineStr">
        <is>
          <t>Presidente</t>
        </is>
      </c>
      <c r="AE30" t="inlineStr">
        <is>
          <t>(19) 3401-2200</t>
        </is>
      </c>
      <c r="AF30" t="inlineStr"/>
      <c r="AG30" t="inlineStr"/>
      <c r="AH30" t="inlineStr">
        <is>
          <t>SP</t>
        </is>
      </c>
      <c r="AI30" t="inlineStr">
        <is>
          <t>PIRACICABA</t>
        </is>
      </c>
      <c r="AJ30" t="inlineStr">
        <is>
          <t>Comércio atacadista de defensivos agrícolas, adubos, fertilizantes e corretivos do solo</t>
        </is>
      </c>
      <c r="AK30" t="inlineStr">
        <is>
          <t>DEMAIS</t>
        </is>
      </c>
      <c r="AL30" t="inlineStr">
        <is>
          <t>ATIVA</t>
        </is>
      </c>
      <c r="AM30" s="17" t="inlineStr">
        <is>
          <t>https://vtladm.com.br/wp-content/uploads/2026/06/02-–-Relacao-de-Credores-–-NAIR-AKICO-KAWAKAMI-MORIOKA-E-OUTROS.pdf</t>
        </is>
      </c>
      <c r="AN30" s="18" t="inlineStr">
        <is>
          <t>p4 r1</t>
        </is>
      </c>
      <c r="AO30" s="18" t="inlineStr">
        <is>
          <t>p4: R$ 8.000.000,00</t>
        </is>
      </c>
      <c r="AP30" s="18" t="inlineStr">
        <is>
          <t>UNKNOWN</t>
        </is>
      </c>
      <c r="AQ30" s="18" t="inlineStr"/>
      <c r="AR30" s="18" t="inlineStr">
        <is>
          <t>OK_NO_TOTALS</t>
        </is>
      </c>
      <c r="AS30" s="18" t="inlineStr">
        <is>
          <t>LONG_CHUNK MULTI_ROOT ROWS:p4r1 UNRECONCILED_SOURCE</t>
        </is>
      </c>
      <c r="AT30" s="18" t="inlineStr">
        <is>
          <t>abf6f46571cf</t>
        </is>
      </c>
    </row>
    <row r="31">
      <c r="A31" s="9" t="n">
        <v>30</v>
      </c>
      <c r="B31" s="9" t="inlineStr">
        <is>
          <t>NEW</t>
        </is>
      </c>
      <c r="C31" s="9" t="inlineStr"/>
      <c r="D31" s="9" t="n">
        <v>0</v>
      </c>
      <c r="E31" s="9" t="inlineStr"/>
      <c r="F31" s="9" t="inlineStr"/>
      <c r="G31" s="9" t="inlineStr"/>
      <c r="H31" s="9" t="inlineStr"/>
      <c r="I31" t="inlineStr">
        <is>
          <t>LEGRAND PHARMA INDUSTRIA FARMACEUTICA LTDA</t>
        </is>
      </c>
      <c r="J31" t="inlineStr">
        <is>
          <t>Legrand Pharma Industria Farmaceutica Ltda</t>
        </is>
      </c>
      <c r="K31" t="inlineStr">
        <is>
          <t>05044984</t>
        </is>
      </c>
      <c r="L31" t="inlineStr">
        <is>
          <t>05044984000126</t>
        </is>
      </c>
      <c r="M31" s="10" t="n">
        <v>7715049.72</v>
      </c>
      <c r="N31" t="n">
        <v>1</v>
      </c>
      <c r="O31" s="11" t="inlineStr">
        <is>
          <t>C</t>
        </is>
      </c>
      <c r="P31" s="11" t="inlineStr">
        <is>
          <t>ACTIVE</t>
        </is>
      </c>
      <c r="Q31" s="12" t="n">
        <v>44987</v>
      </c>
      <c r="R31" s="11">
        <f>IF(Q31="","",ROUND((TODAY()-Q31)/365.25,1))</f>
        <v/>
      </c>
      <c r="S31" s="13">
        <f>IFERROR(VLOOKUP(O31,Assumptions!$A$7:$F$11,2,FALSE),0.25)</f>
        <v/>
      </c>
      <c r="T31" s="14">
        <f>IF(O31="A",MAX(1,IFERROR(VLOOKUP(O31,Assumptions!$A$7:$F$11,3,FALSE),3)+IFERROR(VLOOKUP(O31,Assumptions!$A$7:$F$11,4,FALSE),8)/2-MAX(0,IF(R31="",0,R31)-IFERROR(VLOOKUP(O31,Assumptions!$A$7:$F$11,5,FALSE),1.5))),IFERROR(VLOOKUP(O31,Assumptions!$A$7:$F$11,5,FALSE),2.5)+IFERROR(VLOOKUP(O31,Assumptions!$A$7:$F$11,3,FALSE),3)+IFERROR(VLOOKUP(O31,Assumptions!$A$7:$F$11,4,FALSE),8)/2)</f>
        <v/>
      </c>
      <c r="U31" s="15">
        <f>M31*S31/(1+Assumptions!$B$3)^T31</f>
        <v/>
      </c>
      <c r="V31" s="11">
        <f>IF(M31=0,"",ROUND(U31/M31*100,1))</f>
        <v/>
      </c>
      <c r="W31" s="16">
        <f>U31*Assumptions!$B$4</f>
        <v/>
      </c>
      <c r="X31" s="11">
        <f>IF(M31=0,"",ROUND(W31/M31*100,1))</f>
        <v/>
      </c>
      <c r="Y31" t="inlineStr">
        <is>
          <t>GRUPO DP4</t>
        </is>
      </c>
      <c r="Z31" t="inlineStr">
        <is>
          <t>0005010-98.2023.8.16.0001</t>
        </is>
      </c>
      <c r="AA31" t="inlineStr">
        <is>
          <t>TJPR</t>
        </is>
      </c>
      <c r="AB31" t="inlineStr">
        <is>
          <t>marquesadmjudicial.com.br</t>
        </is>
      </c>
      <c r="AC31" t="inlineStr">
        <is>
          <t>GUSTAVO ANDRE REGIS DUTRA SVENSSON</t>
        </is>
      </c>
      <c r="AD31" t="inlineStr">
        <is>
          <t>Administrador</t>
        </is>
      </c>
      <c r="AE31" t="inlineStr">
        <is>
          <t>(19) 3887-9800</t>
        </is>
      </c>
      <c r="AF31" t="inlineStr"/>
      <c r="AG31" t="inlineStr"/>
      <c r="AH31" t="inlineStr">
        <is>
          <t>SP</t>
        </is>
      </c>
      <c r="AI31" t="inlineStr">
        <is>
          <t>HORTOLANDIA</t>
        </is>
      </c>
      <c r="AJ31" t="inlineStr">
        <is>
          <t>Fabricação de medicamentos alopáticos para uso humano</t>
        </is>
      </c>
      <c r="AK31" t="inlineStr">
        <is>
          <t>DEMAIS</t>
        </is>
      </c>
      <c r="AL31" t="inlineStr">
        <is>
          <t>ATIVA</t>
        </is>
      </c>
      <c r="AM31" s="17" t="inlineStr">
        <is>
          <t>https://marquesadmjudicial.com.br/sgc/download.php?file=files/processo_documento/processo_documento15293208032024_1_.pdf&amp;nome=Relação Nominal de Credores da AJ-Sintética</t>
        </is>
      </c>
      <c r="AN31" s="18" t="inlineStr">
        <is>
          <t>p28 r5</t>
        </is>
      </c>
      <c r="AO31" s="18" t="inlineStr">
        <is>
          <t>p28: R$ 7.715.049,72</t>
        </is>
      </c>
      <c r="AP31" s="18" t="inlineStr">
        <is>
          <t>AJ_LIST</t>
        </is>
      </c>
      <c r="AQ31" s="18" t="inlineStr">
        <is>
          <t>2023-03-02</t>
        </is>
      </c>
      <c r="AR31" s="18" t="inlineStr">
        <is>
          <t>QUARANTINED</t>
        </is>
      </c>
      <c r="AS31" s="18" t="inlineStr">
        <is>
          <t>PARTIAL_DOC_CLASS_III_RECONCILED ROWS:p28r5</t>
        </is>
      </c>
      <c r="AT31" s="18" t="inlineStr">
        <is>
          <t>b465a5d11eec</t>
        </is>
      </c>
    </row>
    <row r="32">
      <c r="A32" s="9" t="n">
        <v>31</v>
      </c>
      <c r="B32" s="9" t="inlineStr">
        <is>
          <t>NEW</t>
        </is>
      </c>
      <c r="C32" s="9" t="inlineStr"/>
      <c r="D32" s="9" t="n">
        <v>0</v>
      </c>
      <c r="E32" s="9" t="inlineStr"/>
      <c r="F32" s="9" t="inlineStr"/>
      <c r="G32" s="9" t="inlineStr"/>
      <c r="H32" s="9" t="inlineStr"/>
      <c r="I32" t="inlineStr">
        <is>
          <t>BRASIL ASFALTOS LTDA</t>
        </is>
      </c>
      <c r="J32" t="inlineStr">
        <is>
          <t>BRASIL ASFALTOS LTDA</t>
        </is>
      </c>
      <c r="K32" t="inlineStr">
        <is>
          <t>12447077</t>
        </is>
      </c>
      <c r="L32" t="inlineStr">
        <is>
          <t>12447077000193</t>
        </is>
      </c>
      <c r="M32" s="10" t="n">
        <v>7707516.4</v>
      </c>
      <c r="N32" t="n">
        <v>1</v>
      </c>
      <c r="O32" s="11" t="inlineStr">
        <is>
          <t>C</t>
        </is>
      </c>
      <c r="P32" s="11" t="inlineStr">
        <is>
          <t>ACTIVE</t>
        </is>
      </c>
      <c r="Q32" s="12" t="n">
        <v>43838</v>
      </c>
      <c r="R32" s="11">
        <f>IF(Q32="","",ROUND((TODAY()-Q32)/365.25,1))</f>
        <v/>
      </c>
      <c r="S32" s="13">
        <f>IFERROR(VLOOKUP(O32,Assumptions!$A$7:$F$11,2,FALSE),0.25)</f>
        <v/>
      </c>
      <c r="T32" s="14">
        <f>IF(O32="A",MAX(1,IFERROR(VLOOKUP(O32,Assumptions!$A$7:$F$11,3,FALSE),3)+IFERROR(VLOOKUP(O32,Assumptions!$A$7:$F$11,4,FALSE),8)/2-MAX(0,IF(R32="",0,R32)-IFERROR(VLOOKUP(O32,Assumptions!$A$7:$F$11,5,FALSE),1.5))),IFERROR(VLOOKUP(O32,Assumptions!$A$7:$F$11,5,FALSE),2.5)+IFERROR(VLOOKUP(O32,Assumptions!$A$7:$F$11,3,FALSE),3)+IFERROR(VLOOKUP(O32,Assumptions!$A$7:$F$11,4,FALSE),8)/2)</f>
        <v/>
      </c>
      <c r="U32" s="15">
        <f>M32*S32/(1+Assumptions!$B$3)^T32</f>
        <v/>
      </c>
      <c r="V32" s="11">
        <f>IF(M32=0,"",ROUND(U32/M32*100,1))</f>
        <v/>
      </c>
      <c r="W32" s="16">
        <f>U32*Assumptions!$B$4</f>
        <v/>
      </c>
      <c r="X32" s="11">
        <f>IF(M32=0,"",ROUND(W32/M32*100,1))</f>
        <v/>
      </c>
      <c r="Y32" t="inlineStr">
        <is>
          <t>CONSTRUTORA ANDRADE GUEDES LTDA</t>
        </is>
      </c>
      <c r="Z32" t="inlineStr">
        <is>
          <t>0000880-57.2020.8.17.2001</t>
        </is>
      </c>
      <c r="AA32" t="inlineStr">
        <is>
          <t>TJPE</t>
        </is>
      </c>
      <c r="AB32" t="inlineStr">
        <is>
          <t>diligence.adm.br</t>
        </is>
      </c>
      <c r="AC32" t="inlineStr">
        <is>
          <t>ALBERTO GARRIDO PINON</t>
        </is>
      </c>
      <c r="AD32" t="inlineStr">
        <is>
          <t>Administrador</t>
        </is>
      </c>
      <c r="AE32" t="inlineStr">
        <is>
          <t>(71) 3118-2100</t>
        </is>
      </c>
      <c r="AF32" t="inlineStr">
        <is>
          <t>(71) 3176-2828</t>
        </is>
      </c>
      <c r="AG32" t="inlineStr"/>
      <c r="AH32" t="inlineStr">
        <is>
          <t>BA</t>
        </is>
      </c>
      <c r="AI32" t="inlineStr">
        <is>
          <t>CANDEIAS</t>
        </is>
      </c>
      <c r="AJ32" t="inlineStr">
        <is>
          <t>Fabricação de outros produtos de minerais não-metálicos não especificados anteriormente</t>
        </is>
      </c>
      <c r="AK32" t="inlineStr">
        <is>
          <t>DEMAIS</t>
        </is>
      </c>
      <c r="AL32" t="inlineStr">
        <is>
          <t>ATIVA</t>
        </is>
      </c>
      <c r="AM32" s="17" t="inlineStr">
        <is>
          <t>https://diligence.adm.br/wp-content/plugins/download-attachments/includes/download.php?id=4599</t>
        </is>
      </c>
      <c r="AN32" s="18" t="inlineStr">
        <is>
          <t>p10 r9</t>
        </is>
      </c>
      <c r="AO32" s="18" t="inlineStr">
        <is>
          <t>p10: R$ 7.707.516,40</t>
        </is>
      </c>
      <c r="AP32" s="18" t="inlineStr">
        <is>
          <t>AJ_LIST</t>
        </is>
      </c>
      <c r="AQ32" s="18" t="inlineStr">
        <is>
          <t>2024-06-25</t>
        </is>
      </c>
      <c r="AR32" s="18" t="inlineStr">
        <is>
          <t>OK_NO_TOTALS</t>
        </is>
      </c>
      <c r="AS32" s="18" t="inlineStr">
        <is>
          <t>ALT_VALUE:R$613.244,70 ALT_VALUE:R$7.094.271,70 ROWS:p10r9 UNRECONCILED_SOURCE VALUE_COL:2ª_Lista</t>
        </is>
      </c>
      <c r="AT32" s="18" t="inlineStr">
        <is>
          <t>44ecd0afa707</t>
        </is>
      </c>
    </row>
    <row r="33">
      <c r="A33" s="9" t="n">
        <v>32</v>
      </c>
      <c r="B33" s="9" t="inlineStr">
        <is>
          <t>NEW</t>
        </is>
      </c>
      <c r="C33" s="9" t="inlineStr"/>
      <c r="D33" s="9" t="n">
        <v>0</v>
      </c>
      <c r="E33" s="9" t="inlineStr"/>
      <c r="F33" s="9" t="inlineStr"/>
      <c r="G33" s="9" t="inlineStr"/>
      <c r="H33" s="9" t="inlineStr"/>
      <c r="I33" t="inlineStr">
        <is>
          <t>TITAN PNEUS DO BRASIL LTDA</t>
        </is>
      </c>
      <c r="J33" t="inlineStr">
        <is>
          <t>SIM</t>
        </is>
      </c>
      <c r="K33" t="inlineStr">
        <is>
          <t>11385941</t>
        </is>
      </c>
      <c r="L33" t="inlineStr">
        <is>
          <t>11385941000107</t>
        </is>
      </c>
      <c r="M33" s="10" t="n">
        <v>7525940</v>
      </c>
      <c r="N33" t="n">
        <v>1</v>
      </c>
      <c r="O33" s="11" t="inlineStr">
        <is>
          <t>B</t>
        </is>
      </c>
      <c r="P33" s="11" t="inlineStr"/>
      <c r="Q33" s="12" t="inlineStr"/>
      <c r="R33" s="11">
        <f>IF(Q33="","",ROUND((TODAY()-Q33)/365.25,1))</f>
        <v/>
      </c>
      <c r="S33" s="13">
        <f>IFERROR(VLOOKUP(O33,Assumptions!$A$7:$F$11,2,FALSE),0.25)</f>
        <v/>
      </c>
      <c r="T33" s="14">
        <f>IF(O33="A",MAX(1,IFERROR(VLOOKUP(O33,Assumptions!$A$7:$F$11,3,FALSE),3)+IFERROR(VLOOKUP(O33,Assumptions!$A$7:$F$11,4,FALSE),8)/2-MAX(0,IF(R33="",0,R33)-IFERROR(VLOOKUP(O33,Assumptions!$A$7:$F$11,5,FALSE),1.5))),IFERROR(VLOOKUP(O33,Assumptions!$A$7:$F$11,5,FALSE),2.5)+IFERROR(VLOOKUP(O33,Assumptions!$A$7:$F$11,3,FALSE),3)+IFERROR(VLOOKUP(O33,Assumptions!$A$7:$F$11,4,FALSE),8)/2)</f>
        <v/>
      </c>
      <c r="U33" s="15">
        <f>M33*S33/(1+Assumptions!$B$3)^T33</f>
        <v/>
      </c>
      <c r="V33" s="11">
        <f>IF(M33=0,"",ROUND(U33/M33*100,1))</f>
        <v/>
      </c>
      <c r="W33" s="16">
        <f>U33*Assumptions!$B$4</f>
        <v/>
      </c>
      <c r="X33" s="11">
        <f>IF(M33=0,"",ROUND(W33/M33*100,1))</f>
        <v/>
      </c>
      <c r="Y33" t="inlineStr">
        <is>
          <t>Grupo Rech</t>
        </is>
      </c>
      <c r="Z33" t="inlineStr">
        <is>
          <t>5057720-48.2025.8.24.0023</t>
        </is>
      </c>
      <c r="AA33" t="inlineStr"/>
      <c r="AB33" t="inlineStr">
        <is>
          <t>credibilita.com.br</t>
        </is>
      </c>
      <c r="AC33" t="inlineStr">
        <is>
          <t>WALTER JOSE CHIOSINI</t>
        </is>
      </c>
      <c r="AD33" t="inlineStr">
        <is>
          <t>Administrador</t>
        </is>
      </c>
      <c r="AE33" t="inlineStr">
        <is>
          <t>(11) 2177-7360</t>
        </is>
      </c>
      <c r="AF33" t="inlineStr">
        <is>
          <t>(11) 2177-7201</t>
        </is>
      </c>
      <c r="AG33" t="inlineStr"/>
      <c r="AH33" t="inlineStr">
        <is>
          <t>SP</t>
        </is>
      </c>
      <c r="AI33" t="inlineStr">
        <is>
          <t>SAO PAULO</t>
        </is>
      </c>
      <c r="AJ33" t="inlineStr">
        <is>
          <t>Fabricação de pneumáticos e de câmaras-de-ar</t>
        </is>
      </c>
      <c r="AK33" t="inlineStr">
        <is>
          <t>DEMAIS</t>
        </is>
      </c>
      <c r="AL33" t="inlineStr">
        <is>
          <t>ATIVA</t>
        </is>
      </c>
      <c r="AM33" s="17" t="inlineStr">
        <is>
          <t>https://credibilita.com.br/wp-content/uploads/2025/09/Relacao-Credores-29.04.2026.pdf</t>
        </is>
      </c>
      <c r="AN33" s="18" t="inlineStr">
        <is>
          <t>p2 r23</t>
        </is>
      </c>
      <c r="AO33" s="18" t="inlineStr">
        <is>
          <t>p2: R$ 7.525.940,00</t>
        </is>
      </c>
      <c r="AP33" s="18" t="inlineStr">
        <is>
          <t>QUORUM_LIST</t>
        </is>
      </c>
      <c r="AQ33" s="18" t="inlineStr"/>
      <c r="AR33" s="18" t="inlineStr">
        <is>
          <t>OK_NO_TOTALS</t>
        </is>
      </c>
      <c r="AS33" s="18" t="inlineStr">
        <is>
          <t>ROWS:p2r23 UNRECONCILED_SOURCE VALUE_COL:Valor_Após_Analise CASE_NUMBER_CORRECTED</t>
        </is>
      </c>
      <c r="AT33" s="18" t="inlineStr">
        <is>
          <t>cf92cff797d2</t>
        </is>
      </c>
    </row>
    <row r="34">
      <c r="A34" s="9" t="n">
        <v>33</v>
      </c>
      <c r="B34" s="9" t="inlineStr">
        <is>
          <t>NEW</t>
        </is>
      </c>
      <c r="C34" s="9" t="inlineStr"/>
      <c r="D34" s="9" t="n">
        <v>0</v>
      </c>
      <c r="E34" s="9" t="inlineStr"/>
      <c r="F34" s="9" t="inlineStr"/>
      <c r="G34" s="9" t="inlineStr"/>
      <c r="H34" s="9" t="inlineStr"/>
      <c r="I34" t="inlineStr">
        <is>
          <t>FEDERACAO PERNAMBUCANA DE FUTEBOL</t>
        </is>
      </c>
      <c r="J34" t="inlineStr">
        <is>
          <t>FEDERACAO PERNAMBUCANA DE FUTEBOL, CPF/CNPJ Nº</t>
        </is>
      </c>
      <c r="K34" t="inlineStr">
        <is>
          <t>10956258</t>
        </is>
      </c>
      <c r="L34" t="inlineStr">
        <is>
          <t>10956258000110</t>
        </is>
      </c>
      <c r="M34" s="10" t="n">
        <v>7251967.09</v>
      </c>
      <c r="N34" t="n">
        <v>1</v>
      </c>
      <c r="O34" s="11" t="inlineStr">
        <is>
          <t>C</t>
        </is>
      </c>
      <c r="P34" s="11" t="inlineStr">
        <is>
          <t>ACTIVE</t>
        </is>
      </c>
      <c r="Q34" s="12" t="n">
        <v>44966</v>
      </c>
      <c r="R34" s="11">
        <f>IF(Q34="","",ROUND((TODAY()-Q34)/365.25,1))</f>
        <v/>
      </c>
      <c r="S34" s="13">
        <f>IFERROR(VLOOKUP(O34,Assumptions!$A$7:$F$11,2,FALSE),0.25)</f>
        <v/>
      </c>
      <c r="T34" s="14">
        <f>IF(O34="A",MAX(1,IFERROR(VLOOKUP(O34,Assumptions!$A$7:$F$11,3,FALSE),3)+IFERROR(VLOOKUP(O34,Assumptions!$A$7:$F$11,4,FALSE),8)/2-MAX(0,IF(R34="",0,R34)-IFERROR(VLOOKUP(O34,Assumptions!$A$7:$F$11,5,FALSE),1.5))),IFERROR(VLOOKUP(O34,Assumptions!$A$7:$F$11,5,FALSE),2.5)+IFERROR(VLOOKUP(O34,Assumptions!$A$7:$F$11,3,FALSE),3)+IFERROR(VLOOKUP(O34,Assumptions!$A$7:$F$11,4,FALSE),8)/2)</f>
        <v/>
      </c>
      <c r="U34" s="15">
        <f>M34*S34/(1+Assumptions!$B$3)^T34</f>
        <v/>
      </c>
      <c r="V34" s="11">
        <f>IF(M34=0,"",ROUND(U34/M34*100,1))</f>
        <v/>
      </c>
      <c r="W34" s="16">
        <f>U34*Assumptions!$B$4</f>
        <v/>
      </c>
      <c r="X34" s="11">
        <f>IF(M34=0,"",ROUND(W34/M34*100,1))</f>
        <v/>
      </c>
      <c r="Y34" t="inlineStr">
        <is>
          <t>CLUBE NÁUTICO CAPIBARIBE</t>
        </is>
      </c>
      <c r="Z34" t="inlineStr">
        <is>
          <t>0011283-80.2023.8.17.2001</t>
        </is>
      </c>
      <c r="AA34" t="inlineStr">
        <is>
          <t>TJPE</t>
        </is>
      </c>
      <c r="AB34" t="inlineStr">
        <is>
          <t>lrflideres.com.br</t>
        </is>
      </c>
      <c r="AC34" t="inlineStr">
        <is>
          <t>EVANDRO BARROS DE CARVALHO</t>
        </is>
      </c>
      <c r="AD34" t="inlineStr">
        <is>
          <t>Presidente</t>
        </is>
      </c>
      <c r="AE34" t="inlineStr"/>
      <c r="AF34" t="inlineStr"/>
      <c r="AG34" t="inlineStr"/>
      <c r="AH34" t="inlineStr">
        <is>
          <t>PE</t>
        </is>
      </c>
      <c r="AI34" t="inlineStr">
        <is>
          <t>RECIFE</t>
        </is>
      </c>
      <c r="AJ34" t="inlineStr">
        <is>
          <t>Produção e promoção de eventos esportivos</t>
        </is>
      </c>
      <c r="AK34" t="inlineStr">
        <is>
          <t>DEMAIS</t>
        </is>
      </c>
      <c r="AL34" t="inlineStr">
        <is>
          <t>ATIVA</t>
        </is>
      </c>
      <c r="AM34" s="17" t="inlineStr">
        <is>
          <t>https://lrflideres.com.br/wp-content/plugins/download-attachments/includes/download.php?id=5589</t>
        </is>
      </c>
      <c r="AN34" s="18" t="inlineStr">
        <is>
          <t>p12 r9</t>
        </is>
      </c>
      <c r="AO34" s="18" t="inlineStr">
        <is>
          <t>p12: R$ 7.251.967,09</t>
        </is>
      </c>
      <c r="AP34" s="18" t="inlineStr">
        <is>
          <t>AJ_LIST</t>
        </is>
      </c>
      <c r="AQ34" s="18" t="inlineStr">
        <is>
          <t>2023-11-27</t>
        </is>
      </c>
      <c r="AR34" s="18" t="inlineStr">
        <is>
          <t>QUARANTINED</t>
        </is>
      </c>
      <c r="AS34" s="18" t="inlineStr">
        <is>
          <t>PARTIAL_DOC_CLASS_III_RECONCILED ROWS:p12r9</t>
        </is>
      </c>
      <c r="AT34" s="18" t="inlineStr">
        <is>
          <t>677be5783c06</t>
        </is>
      </c>
    </row>
    <row r="35">
      <c r="A35" s="9" t="n">
        <v>34</v>
      </c>
      <c r="B35" s="9" t="inlineStr">
        <is>
          <t>NEW</t>
        </is>
      </c>
      <c r="C35" s="9" t="inlineStr"/>
      <c r="D35" s="9" t="n">
        <v>0</v>
      </c>
      <c r="E35" s="9" t="inlineStr"/>
      <c r="F35" s="9" t="inlineStr"/>
      <c r="G35" s="9" t="inlineStr"/>
      <c r="H35" s="9" t="inlineStr"/>
      <c r="I35" t="inlineStr">
        <is>
          <t>ADDIANTE S.A</t>
        </is>
      </c>
      <c r="J35" t="inlineStr">
        <is>
          <t>ADDIANTE S.A</t>
        </is>
      </c>
      <c r="K35" t="inlineStr">
        <is>
          <t>48430290</t>
        </is>
      </c>
      <c r="L35" t="inlineStr">
        <is>
          <t>48430290000130</t>
        </is>
      </c>
      <c r="M35" s="10" t="n">
        <v>7135516.97</v>
      </c>
      <c r="N35" t="n">
        <v>1</v>
      </c>
      <c r="O35" s="11" t="inlineStr">
        <is>
          <t>B</t>
        </is>
      </c>
      <c r="P35" s="11" t="inlineStr">
        <is>
          <t>ACTIVE</t>
        </is>
      </c>
      <c r="Q35" s="12" t="n">
        <v>45845</v>
      </c>
      <c r="R35" s="11">
        <f>IF(Q35="","",ROUND((TODAY()-Q35)/365.25,1))</f>
        <v/>
      </c>
      <c r="S35" s="13">
        <f>IFERROR(VLOOKUP(O35,Assumptions!$A$7:$F$11,2,FALSE),0.25)</f>
        <v/>
      </c>
      <c r="T35" s="14">
        <f>IF(O35="A",MAX(1,IFERROR(VLOOKUP(O35,Assumptions!$A$7:$F$11,3,FALSE),3)+IFERROR(VLOOKUP(O35,Assumptions!$A$7:$F$11,4,FALSE),8)/2-MAX(0,IF(R35="",0,R35)-IFERROR(VLOOKUP(O35,Assumptions!$A$7:$F$11,5,FALSE),1.5))),IFERROR(VLOOKUP(O35,Assumptions!$A$7:$F$11,5,FALSE),2.5)+IFERROR(VLOOKUP(O35,Assumptions!$A$7:$F$11,3,FALSE),3)+IFERROR(VLOOKUP(O35,Assumptions!$A$7:$F$11,4,FALSE),8)/2)</f>
        <v/>
      </c>
      <c r="U35" s="15">
        <f>M35*S35/(1+Assumptions!$B$3)^T35</f>
        <v/>
      </c>
      <c r="V35" s="11">
        <f>IF(M35=0,"",ROUND(U35/M35*100,1))</f>
        <v/>
      </c>
      <c r="W35" s="16">
        <f>U35*Assumptions!$B$4</f>
        <v/>
      </c>
      <c r="X35" s="11">
        <f>IF(M35=0,"",ROUND(W35/M35*100,1))</f>
        <v/>
      </c>
      <c r="Y35" t="inlineStr">
        <is>
          <t>SOJAL COMERCIAL AGRICOLA LTDA e OUTROS</t>
        </is>
      </c>
      <c r="Z35" t="inlineStr">
        <is>
          <t>0804401-51.2025.8.14.0039</t>
        </is>
      </c>
      <c r="AA35" t="inlineStr">
        <is>
          <t>TJPA</t>
        </is>
      </c>
      <c r="AB35" t="inlineStr">
        <is>
          <t>lrflideres.com.br</t>
        </is>
      </c>
      <c r="AC35" t="inlineStr">
        <is>
          <t>FABIO ROBERTO LEITE</t>
        </is>
      </c>
      <c r="AD35" t="inlineStr">
        <is>
          <t>Presidente</t>
        </is>
      </c>
      <c r="AE35" t="inlineStr">
        <is>
          <t>(41) 9571-0152</t>
        </is>
      </c>
      <c r="AF35" t="inlineStr"/>
      <c r="AG35" t="inlineStr"/>
      <c r="AH35" t="inlineStr">
        <is>
          <t>PR</t>
        </is>
      </c>
      <c r="AI35" t="inlineStr">
        <is>
          <t>CURITIBA</t>
        </is>
      </c>
      <c r="AJ35" t="inlineStr">
        <is>
          <t>Locação de outros meios de transporte não especificados anteriormente, sem condutor</t>
        </is>
      </c>
      <c r="AK35" t="inlineStr">
        <is>
          <t>DEMAIS</t>
        </is>
      </c>
      <c r="AL35" t="inlineStr">
        <is>
          <t>ATIVA</t>
        </is>
      </c>
      <c r="AM35" s="17" t="inlineStr">
        <is>
          <t>https://lrflideres.com.br/wp-content/plugins/download-attachments/includes/download.php?id=6879</t>
        </is>
      </c>
      <c r="AN35" s="18" t="inlineStr">
        <is>
          <t>p1 r2</t>
        </is>
      </c>
      <c r="AO35" s="18" t="inlineStr">
        <is>
          <t>p1: R$ 7.135.516,97</t>
        </is>
      </c>
      <c r="AP35" s="18" t="inlineStr">
        <is>
          <t>AJ_LIST</t>
        </is>
      </c>
      <c r="AQ35" s="18" t="inlineStr">
        <is>
          <t>2026-01-15</t>
        </is>
      </c>
      <c r="AR35" s="18" t="inlineStr">
        <is>
          <t>OK</t>
        </is>
      </c>
      <c r="AS35" s="18" t="inlineStr">
        <is>
          <t>ROWS:p1r2</t>
        </is>
      </c>
      <c r="AT35" s="18" t="inlineStr">
        <is>
          <t>c56751547323</t>
        </is>
      </c>
    </row>
    <row r="36">
      <c r="A36" s="9" t="n">
        <v>35</v>
      </c>
      <c r="B36" s="9" t="inlineStr">
        <is>
          <t>NEW</t>
        </is>
      </c>
      <c r="C36" s="9" t="inlineStr"/>
      <c r="D36" s="9" t="n">
        <v>0</v>
      </c>
      <c r="E36" s="9" t="inlineStr"/>
      <c r="F36" s="9" t="inlineStr"/>
      <c r="G36" s="9" t="inlineStr"/>
      <c r="H36" s="9" t="inlineStr"/>
      <c r="I36" t="inlineStr">
        <is>
          <t>SOLUS DO BRASIL LTDA</t>
        </is>
      </c>
      <c r="J36" t="inlineStr">
        <is>
          <t>SOLUS INDUSTRIA QUIMICA LTDA</t>
        </is>
      </c>
      <c r="K36" t="inlineStr">
        <is>
          <t>21203489</t>
        </is>
      </c>
      <c r="L36" t="inlineStr">
        <is>
          <t>21203489000764, 21203489000926</t>
        </is>
      </c>
      <c r="M36" s="10" t="n">
        <v>7058181.5</v>
      </c>
      <c r="N36" t="n">
        <v>1</v>
      </c>
      <c r="O36" s="11" t="inlineStr">
        <is>
          <t>B</t>
        </is>
      </c>
      <c r="P36" s="11" t="inlineStr">
        <is>
          <t>ACTIVE</t>
        </is>
      </c>
      <c r="Q36" s="12" t="n">
        <v>45845</v>
      </c>
      <c r="R36" s="11">
        <f>IF(Q36="","",ROUND((TODAY()-Q36)/365.25,1))</f>
        <v/>
      </c>
      <c r="S36" s="13">
        <f>IFERROR(VLOOKUP(O36,Assumptions!$A$7:$F$11,2,FALSE),0.25)</f>
        <v/>
      </c>
      <c r="T36" s="14">
        <f>IF(O36="A",MAX(1,IFERROR(VLOOKUP(O36,Assumptions!$A$7:$F$11,3,FALSE),3)+IFERROR(VLOOKUP(O36,Assumptions!$A$7:$F$11,4,FALSE),8)/2-MAX(0,IF(R36="",0,R36)-IFERROR(VLOOKUP(O36,Assumptions!$A$7:$F$11,5,FALSE),1.5))),IFERROR(VLOOKUP(O36,Assumptions!$A$7:$F$11,5,FALSE),2.5)+IFERROR(VLOOKUP(O36,Assumptions!$A$7:$F$11,3,FALSE),3)+IFERROR(VLOOKUP(O36,Assumptions!$A$7:$F$11,4,FALSE),8)/2)</f>
        <v/>
      </c>
      <c r="U36" s="15">
        <f>M36*S36/(1+Assumptions!$B$3)^T36</f>
        <v/>
      </c>
      <c r="V36" s="11">
        <f>IF(M36=0,"",ROUND(U36/M36*100,1))</f>
        <v/>
      </c>
      <c r="W36" s="16">
        <f>U36*Assumptions!$B$4</f>
        <v/>
      </c>
      <c r="X36" s="11">
        <f>IF(M36=0,"",ROUND(W36/M36*100,1))</f>
        <v/>
      </c>
      <c r="Y36" t="inlineStr">
        <is>
          <t>SOJAL COMERCIAL AGRICOLA LTDA e OUTROS</t>
        </is>
      </c>
      <c r="Z36" t="inlineStr">
        <is>
          <t>0804401-51.2025.8.14.0039</t>
        </is>
      </c>
      <c r="AA36" t="inlineStr">
        <is>
          <t>TJPA</t>
        </is>
      </c>
      <c r="AB36" t="inlineStr">
        <is>
          <t>lrflideres.com.br</t>
        </is>
      </c>
      <c r="AC36" t="inlineStr">
        <is>
          <t>ANDERSON JOSE FAUSTINO</t>
        </is>
      </c>
      <c r="AD36" t="inlineStr">
        <is>
          <t>Administrador</t>
        </is>
      </c>
      <c r="AE36" t="inlineStr">
        <is>
          <t>(43) 3162-2715</t>
        </is>
      </c>
      <c r="AF36" t="inlineStr"/>
      <c r="AG36" t="inlineStr"/>
      <c r="AH36" t="inlineStr">
        <is>
          <t>PR</t>
        </is>
      </c>
      <c r="AI36" t="inlineStr">
        <is>
          <t>APUCARANA</t>
        </is>
      </c>
      <c r="AJ36" t="inlineStr">
        <is>
          <t>Fabricação de defensivos agrícolas</t>
        </is>
      </c>
      <c r="AK36" t="inlineStr">
        <is>
          <t>DEMAIS</t>
        </is>
      </c>
      <c r="AL36" t="inlineStr">
        <is>
          <t>ATIVA</t>
        </is>
      </c>
      <c r="AM36" s="17" t="inlineStr">
        <is>
          <t>https://lrflideres.com.br/wp-content/plugins/download-attachments/includes/download.php?id=6879</t>
        </is>
      </c>
      <c r="AN36" s="18" t="inlineStr">
        <is>
          <t>p2 r10</t>
        </is>
      </c>
      <c r="AO36" s="18" t="inlineStr">
        <is>
          <t>p2: R$ 7.058.181,50</t>
        </is>
      </c>
      <c r="AP36" s="18" t="inlineStr">
        <is>
          <t>AJ_LIST</t>
        </is>
      </c>
      <c r="AQ36" s="18" t="inlineStr">
        <is>
          <t>2026-01-15</t>
        </is>
      </c>
      <c r="AR36" s="18" t="inlineStr">
        <is>
          <t>OK</t>
        </is>
      </c>
      <c r="AS36" s="18" t="inlineStr">
        <is>
          <t>ROWS:p2r10</t>
        </is>
      </c>
      <c r="AT36" s="18" t="inlineStr">
        <is>
          <t>c56751547323</t>
        </is>
      </c>
    </row>
    <row r="37">
      <c r="A37" s="9" t="n">
        <v>36</v>
      </c>
      <c r="B37" s="9" t="inlineStr">
        <is>
          <t>NEW</t>
        </is>
      </c>
      <c r="C37" s="9" t="inlineStr"/>
      <c r="D37" s="9" t="n">
        <v>0</v>
      </c>
      <c r="E37" s="9" t="inlineStr"/>
      <c r="F37" s="9" t="inlineStr"/>
      <c r="G37" s="9" t="inlineStr"/>
      <c r="H37" s="9" t="inlineStr"/>
      <c r="I37" t="inlineStr">
        <is>
          <t>COMERCIO RACOES BEM BOM LTDA</t>
        </is>
      </c>
      <c r="J37" t="inlineStr">
        <is>
          <t>Fabrica De Ração</t>
        </is>
      </c>
      <c r="K37" t="inlineStr">
        <is>
          <t>41324359</t>
        </is>
      </c>
      <c r="L37" t="inlineStr">
        <is>
          <t>41324359000100</t>
        </is>
      </c>
      <c r="M37" s="10" t="n">
        <v>6642118.99</v>
      </c>
      <c r="N37" t="n">
        <v>1</v>
      </c>
      <c r="O37" s="11" t="inlineStr">
        <is>
          <t>B</t>
        </is>
      </c>
      <c r="P37" s="11" t="inlineStr">
        <is>
          <t>ACTIVE</t>
        </is>
      </c>
      <c r="Q37" s="12" t="n">
        <v>46130</v>
      </c>
      <c r="R37" s="11">
        <f>IF(Q37="","",ROUND((TODAY()-Q37)/365.25,1))</f>
        <v/>
      </c>
      <c r="S37" s="13">
        <f>IFERROR(VLOOKUP(O37,Assumptions!$A$7:$F$11,2,FALSE),0.25)</f>
        <v/>
      </c>
      <c r="T37" s="14">
        <f>IF(O37="A",MAX(1,IFERROR(VLOOKUP(O37,Assumptions!$A$7:$F$11,3,FALSE),3)+IFERROR(VLOOKUP(O37,Assumptions!$A$7:$F$11,4,FALSE),8)/2-MAX(0,IF(R37="",0,R37)-IFERROR(VLOOKUP(O37,Assumptions!$A$7:$F$11,5,FALSE),1.5))),IFERROR(VLOOKUP(O37,Assumptions!$A$7:$F$11,5,FALSE),2.5)+IFERROR(VLOOKUP(O37,Assumptions!$A$7:$F$11,3,FALSE),3)+IFERROR(VLOOKUP(O37,Assumptions!$A$7:$F$11,4,FALSE),8)/2)</f>
        <v/>
      </c>
      <c r="U37" s="15">
        <f>M37*S37/(1+Assumptions!$B$3)^T37</f>
        <v/>
      </c>
      <c r="V37" s="11">
        <f>IF(M37=0,"",ROUND(U37/M37*100,1))</f>
        <v/>
      </c>
      <c r="W37" s="16">
        <f>U37*Assumptions!$B$4</f>
        <v/>
      </c>
      <c r="X37" s="11">
        <f>IF(M37=0,"",ROUND(W37/M37*100,1))</f>
        <v/>
      </c>
      <c r="Y37" t="inlineStr">
        <is>
          <t>GRUPO 3E</t>
        </is>
      </c>
      <c r="Z37" t="inlineStr">
        <is>
          <t>5341375-33.2026.8.09.0049</t>
        </is>
      </c>
      <c r="AA37" t="inlineStr">
        <is>
          <t>TJGO</t>
        </is>
      </c>
      <c r="AB37" t="inlineStr">
        <is>
          <t>stenius.com.br</t>
        </is>
      </c>
      <c r="AC37" t="inlineStr">
        <is>
          <t>EDSON VIANDELLI LOPES</t>
        </is>
      </c>
      <c r="AD37" t="inlineStr">
        <is>
          <t>Sócio-Administrador</t>
        </is>
      </c>
      <c r="AE37" t="inlineStr">
        <is>
          <t>(62) 3389-9200</t>
        </is>
      </c>
      <c r="AF37" t="inlineStr">
        <is>
          <t>(62) 8115-0283</t>
        </is>
      </c>
      <c r="AG37" t="inlineStr"/>
      <c r="AH37" t="inlineStr">
        <is>
          <t>GO</t>
        </is>
      </c>
      <c r="AI37" t="inlineStr">
        <is>
          <t>GOIANESIA</t>
        </is>
      </c>
      <c r="AJ37" t="inlineStr">
        <is>
          <t>Fabricação de alimentos para animais</t>
        </is>
      </c>
      <c r="AK37" t="inlineStr">
        <is>
          <t>DEMAIS</t>
        </is>
      </c>
      <c r="AL37" t="inlineStr">
        <is>
          <t>ATIVA</t>
        </is>
      </c>
      <c r="AM37" s="17" t="inlineStr">
        <is>
          <t>https://stenius.com.br/wp-content/uploads/2026/06/EDITAL-GRUPO-3E.pdf</t>
        </is>
      </c>
      <c r="AN37" s="18" t="inlineStr">
        <is>
          <t>p13 r19</t>
        </is>
      </c>
      <c r="AO37" s="18" t="inlineStr">
        <is>
          <t>p13: R$ 6.642.118,99</t>
        </is>
      </c>
      <c r="AP37" s="18" t="inlineStr">
        <is>
          <t>DEBTOR_LIST</t>
        </is>
      </c>
      <c r="AQ37" s="18" t="inlineStr">
        <is>
          <t>2026-06-22</t>
        </is>
      </c>
      <c r="AR37" s="18" t="inlineStr">
        <is>
          <t>OK_NO_TOTALS</t>
        </is>
      </c>
      <c r="AS37" s="18" t="inlineStr">
        <is>
          <t>ROWS:p13r19 UNRECONCILED_SOURCE</t>
        </is>
      </c>
      <c r="AT37" s="18" t="inlineStr">
        <is>
          <t>8e8832093a15</t>
        </is>
      </c>
    </row>
    <row r="38">
      <c r="A38" s="9" t="n">
        <v>37</v>
      </c>
      <c r="B38" s="9" t="inlineStr">
        <is>
          <t>NEW</t>
        </is>
      </c>
      <c r="C38" s="9" t="inlineStr"/>
      <c r="D38" s="9" t="n">
        <v>0</v>
      </c>
      <c r="E38" s="9" t="inlineStr"/>
      <c r="F38" s="9" t="inlineStr"/>
      <c r="G38" s="9" t="inlineStr"/>
      <c r="H38" s="9" t="inlineStr"/>
      <c r="I38" t="inlineStr">
        <is>
          <t>MISTRAS SOUTH AMERICA COMERCIO E SERVICOS LTDA</t>
        </is>
      </c>
      <c r="J38" t="inlineStr">
        <is>
          <t>NDT do Brasil Ltda</t>
        </is>
      </c>
      <c r="K38" t="inlineStr">
        <is>
          <t>61615191</t>
        </is>
      </c>
      <c r="L38" t="inlineStr">
        <is>
          <t>61615191000190</t>
        </is>
      </c>
      <c r="M38" s="10" t="n">
        <v>6623625.24</v>
      </c>
      <c r="N38" t="n">
        <v>1</v>
      </c>
      <c r="O38" s="11" t="inlineStr">
        <is>
          <t>B</t>
        </is>
      </c>
      <c r="P38" s="11" t="inlineStr"/>
      <c r="Q38" s="12" t="n">
        <v>45756</v>
      </c>
      <c r="R38" s="11">
        <f>IF(Q38="","",ROUND((TODAY()-Q38)/365.25,1))</f>
        <v/>
      </c>
      <c r="S38" s="13">
        <f>IFERROR(VLOOKUP(O38,Assumptions!$A$7:$F$11,2,FALSE),0.25)</f>
        <v/>
      </c>
      <c r="T38" s="14">
        <f>IF(O38="A",MAX(1,IFERROR(VLOOKUP(O38,Assumptions!$A$7:$F$11,3,FALSE),3)+IFERROR(VLOOKUP(O38,Assumptions!$A$7:$F$11,4,FALSE),8)/2-MAX(0,IF(R38="",0,R38)-IFERROR(VLOOKUP(O38,Assumptions!$A$7:$F$11,5,FALSE),1.5))),IFERROR(VLOOKUP(O38,Assumptions!$A$7:$F$11,5,FALSE),2.5)+IFERROR(VLOOKUP(O38,Assumptions!$A$7:$F$11,3,FALSE),3)+IFERROR(VLOOKUP(O38,Assumptions!$A$7:$F$11,4,FALSE),8)/2)</f>
        <v/>
      </c>
      <c r="U38" s="15">
        <f>M38*S38/(1+Assumptions!$B$3)^T38</f>
        <v/>
      </c>
      <c r="V38" s="11">
        <f>IF(M38=0,"",ROUND(U38/M38*100,1))</f>
        <v/>
      </c>
      <c r="W38" s="16">
        <f>U38*Assumptions!$B$4</f>
        <v/>
      </c>
      <c r="X38" s="11">
        <f>IF(M38=0,"",ROUND(W38/M38*100,1))</f>
        <v/>
      </c>
      <c r="Y38" t="inlineStr">
        <is>
          <t>GRUPO EGESA (EGESA ENG S.A, EGESUR PART E EMP S.A, MATRIX INFRA LTDA, BEMVIVER ENG AMBIENTAL E SERV LTDA, DKF CONST E EMP LTDA, EGEPEL LTDA, ETR ASSESSORIA EMP E PART LTDA, MVT ENG E SERV LTDA, PARQUES DO VALE LTDA, ELMO RIBEIRO E ANA RIBEIRO)</t>
        </is>
      </c>
      <c r="Z38" t="inlineStr">
        <is>
          <t>5088952-81.2025.8.13.0024</t>
        </is>
      </c>
      <c r="AA38" t="inlineStr">
        <is>
          <t>TJMG</t>
        </is>
      </c>
      <c r="AB38" t="inlineStr">
        <is>
          <t>scalzilliaj.com.br</t>
        </is>
      </c>
      <c r="AC38" t="inlineStr">
        <is>
          <t>FABIO AUGUSTO TORATTI DE PAULA</t>
        </is>
      </c>
      <c r="AD38" t="inlineStr">
        <is>
          <t>Administrador</t>
        </is>
      </c>
      <c r="AE38" t="inlineStr">
        <is>
          <t>(11) 2061-8626</t>
        </is>
      </c>
      <c r="AF38" t="inlineStr"/>
      <c r="AG38" t="inlineStr"/>
      <c r="AH38" t="inlineStr">
        <is>
          <t>SP</t>
        </is>
      </c>
      <c r="AI38" t="inlineStr">
        <is>
          <t>SAO PAULO</t>
        </is>
      </c>
      <c r="AJ38" t="inlineStr">
        <is>
          <t>Testes e análises técnicas</t>
        </is>
      </c>
      <c r="AK38" t="inlineStr">
        <is>
          <t>DEMAIS</t>
        </is>
      </c>
      <c r="AL38" t="inlineStr">
        <is>
          <t>ATIVA</t>
        </is>
      </c>
      <c r="AM38" s="17" t="inlineStr">
        <is>
          <t>https://scalzilliaj.com.br/sgc/download.php?file=files/processo_documento/processo_documento09514021082025_1_.pdf&amp;nome=04 - Relação de credores das Recuperandas</t>
        </is>
      </c>
      <c r="AN38" s="18" t="inlineStr">
        <is>
          <t>p70 r9</t>
        </is>
      </c>
      <c r="AO38" s="18" t="inlineStr">
        <is>
          <t>p70: R$ 6.623.625,24</t>
        </is>
      </c>
      <c r="AP38" s="18" t="inlineStr">
        <is>
          <t>DEBTOR_LIST</t>
        </is>
      </c>
      <c r="AQ38" s="18" t="inlineStr"/>
      <c r="AR38" s="18" t="inlineStr">
        <is>
          <t>OK</t>
        </is>
      </c>
      <c r="AS38" s="18" t="inlineStr">
        <is>
          <t>ROWS:p70r9 VALUE_COL:Valor_Atualizado CASE_NUMBER_CORRECTED CASE_FROM_PORTAL</t>
        </is>
      </c>
      <c r="AT38" s="18" t="inlineStr">
        <is>
          <t>24ed98480a57</t>
        </is>
      </c>
    </row>
    <row r="39">
      <c r="A39" s="9" t="n">
        <v>38</v>
      </c>
      <c r="B39" s="9" t="inlineStr">
        <is>
          <t>NEW</t>
        </is>
      </c>
      <c r="C39" s="9" t="inlineStr"/>
      <c r="D39" s="9" t="n">
        <v>0</v>
      </c>
      <c r="E39" s="9" t="inlineStr"/>
      <c r="F39" s="9" t="inlineStr"/>
      <c r="G39" s="9" t="inlineStr"/>
      <c r="H39" s="9" t="inlineStr"/>
      <c r="I39" t="inlineStr">
        <is>
          <t>AGROFIELD ASSESSORIA ADMINISTRATIVA LTDA</t>
        </is>
      </c>
      <c r="J39" t="inlineStr">
        <is>
          <t>AGROFIELD COMÉRCIO E REPRESENTAÇÕES DE PRODUTOS AGRÍCOLAS</t>
        </is>
      </c>
      <c r="K39" t="inlineStr">
        <is>
          <t>06284974</t>
        </is>
      </c>
      <c r="L39" t="inlineStr">
        <is>
          <t>06284974000635</t>
        </is>
      </c>
      <c r="M39" s="10" t="n">
        <v>6434083.18</v>
      </c>
      <c r="N39" t="n">
        <v>1</v>
      </c>
      <c r="O39" s="11" t="inlineStr">
        <is>
          <t>D</t>
        </is>
      </c>
      <c r="P39" s="11" t="inlineStr"/>
      <c r="Q39" s="12" t="inlineStr"/>
      <c r="R39" s="11">
        <f>IF(Q39="","",ROUND((TODAY()-Q39)/365.25,1))</f>
        <v/>
      </c>
      <c r="S39" s="13">
        <f>IFERROR(VLOOKUP(O39,Assumptions!$A$7:$F$11,2,FALSE),0.25)</f>
        <v/>
      </c>
      <c r="T39" s="14">
        <f>IF(O39="A",MAX(1,IFERROR(VLOOKUP(O39,Assumptions!$A$7:$F$11,3,FALSE),3)+IFERROR(VLOOKUP(O39,Assumptions!$A$7:$F$11,4,FALSE),8)/2-MAX(0,IF(R39="",0,R39)-IFERROR(VLOOKUP(O39,Assumptions!$A$7:$F$11,5,FALSE),1.5))),IFERROR(VLOOKUP(O39,Assumptions!$A$7:$F$11,5,FALSE),2.5)+IFERROR(VLOOKUP(O39,Assumptions!$A$7:$F$11,3,FALSE),3)+IFERROR(VLOOKUP(O39,Assumptions!$A$7:$F$11,4,FALSE),8)/2)</f>
        <v/>
      </c>
      <c r="U39" s="15">
        <f>M39*S39/(1+Assumptions!$B$3)^T39</f>
        <v/>
      </c>
      <c r="V39" s="11">
        <f>IF(M39=0,"",ROUND(U39/M39*100,1))</f>
        <v/>
      </c>
      <c r="W39" s="16">
        <f>U39*Assumptions!$B$4</f>
        <v/>
      </c>
      <c r="X39" s="11">
        <f>IF(M39=0,"",ROUND(W39/M39*100,1))</f>
        <v/>
      </c>
      <c r="Y39" t="inlineStr">
        <is>
          <t>COPA FRUIT IMPORTAÇÃO E EXPORTAÇÃO S.A</t>
        </is>
      </c>
      <c r="Z39" t="inlineStr">
        <is>
          <t>0032731-52.2010.8.17.0001</t>
        </is>
      </c>
      <c r="AA39" t="inlineStr"/>
      <c r="AB39" t="inlineStr">
        <is>
          <t>diligence.adm.br</t>
        </is>
      </c>
      <c r="AC39" t="inlineStr">
        <is>
          <t>SERGIO LUIZ SILVA DA FONSECA LINS</t>
        </is>
      </c>
      <c r="AD39" t="inlineStr">
        <is>
          <t>Sócio-Administrador</t>
        </is>
      </c>
      <c r="AE39" t="inlineStr">
        <is>
          <t>(81) 3339-1977</t>
        </is>
      </c>
      <c r="AF39" t="inlineStr"/>
      <c r="AG39" t="inlineStr"/>
      <c r="AH39" t="inlineStr">
        <is>
          <t>PE</t>
        </is>
      </c>
      <c r="AI39" t="inlineStr">
        <is>
          <t>RECIFE</t>
        </is>
      </c>
      <c r="AJ39" t="inlineStr">
        <is>
          <t>Atividades de intermediação e agenciamento de serviços e negócios em geral, exceto imobiliários</t>
        </is>
      </c>
      <c r="AK39" t="inlineStr">
        <is>
          <t>DEMAIS</t>
        </is>
      </c>
      <c r="AL39" t="inlineStr">
        <is>
          <t>ATIVA</t>
        </is>
      </c>
      <c r="AM39" s="17" t="inlineStr">
        <is>
          <t>https://diligence.adm.br/wp-content/plugins/download-attachments/includes/download.php?id=4579</t>
        </is>
      </c>
      <c r="AN39" s="18" t="inlineStr">
        <is>
          <t>p8 r2</t>
        </is>
      </c>
      <c r="AO39" s="18" t="inlineStr">
        <is>
          <t>p8: R$ 6.434.083,18</t>
        </is>
      </c>
      <c r="AP39" s="18" t="inlineStr">
        <is>
          <t>AJ_LIST</t>
        </is>
      </c>
      <c r="AQ39" s="18" t="inlineStr">
        <is>
          <t>2024-06-11</t>
        </is>
      </c>
      <c r="AR39" s="18" t="inlineStr">
        <is>
          <t>OK_NO_TOTALS</t>
        </is>
      </c>
      <c r="AS39" s="18" t="inlineStr">
        <is>
          <t>ROWS:p8r2 UNRECONCILED_SOURCE VALUE_COL:Crédito_1ª_Lista</t>
        </is>
      </c>
      <c r="AT39" s="18" t="inlineStr">
        <is>
          <t>bf3c4e448c3e</t>
        </is>
      </c>
    </row>
    <row r="40">
      <c r="A40" s="9" t="n">
        <v>39</v>
      </c>
      <c r="B40" s="9" t="inlineStr">
        <is>
          <t>NEW</t>
        </is>
      </c>
      <c r="C40" s="9" t="inlineStr"/>
      <c r="D40" s="9" t="n">
        <v>0</v>
      </c>
      <c r="E40" s="9" t="inlineStr"/>
      <c r="F40" s="9" t="inlineStr"/>
      <c r="G40" s="9" t="inlineStr"/>
      <c r="H40" s="9" t="inlineStr"/>
      <c r="I40" t="inlineStr">
        <is>
          <t>NORTESUL COMERCIAL AGRICOLA LTDA EM RECUPERACAO JUDICIAL</t>
        </is>
      </c>
      <c r="J40" t="inlineStr">
        <is>
          <t>NORTESUL COMERCIAL AGRICOLA LTDA</t>
        </is>
      </c>
      <c r="K40" t="inlineStr">
        <is>
          <t>15626673</t>
        </is>
      </c>
      <c r="L40" t="inlineStr">
        <is>
          <t>15626673000129, 15626673000390, 15626673000552</t>
        </is>
      </c>
      <c r="M40" s="10" t="n">
        <v>6258845.34</v>
      </c>
      <c r="N40" t="n">
        <v>1</v>
      </c>
      <c r="O40" s="11" t="inlineStr">
        <is>
          <t>B</t>
        </is>
      </c>
      <c r="P40" s="11" t="inlineStr">
        <is>
          <t>ACTIVE</t>
        </is>
      </c>
      <c r="Q40" s="12" t="n">
        <v>45845</v>
      </c>
      <c r="R40" s="11">
        <f>IF(Q40="","",ROUND((TODAY()-Q40)/365.25,1))</f>
        <v/>
      </c>
      <c r="S40" s="13">
        <f>IFERROR(VLOOKUP(O40,Assumptions!$A$7:$F$11,2,FALSE),0.25)</f>
        <v/>
      </c>
      <c r="T40" s="14">
        <f>IF(O40="A",MAX(1,IFERROR(VLOOKUP(O40,Assumptions!$A$7:$F$11,3,FALSE),3)+IFERROR(VLOOKUP(O40,Assumptions!$A$7:$F$11,4,FALSE),8)/2-MAX(0,IF(R40="",0,R40)-IFERROR(VLOOKUP(O40,Assumptions!$A$7:$F$11,5,FALSE),1.5))),IFERROR(VLOOKUP(O40,Assumptions!$A$7:$F$11,5,FALSE),2.5)+IFERROR(VLOOKUP(O40,Assumptions!$A$7:$F$11,3,FALSE),3)+IFERROR(VLOOKUP(O40,Assumptions!$A$7:$F$11,4,FALSE),8)/2)</f>
        <v/>
      </c>
      <c r="U40" s="15">
        <f>M40*S40/(1+Assumptions!$B$3)^T40</f>
        <v/>
      </c>
      <c r="V40" s="11">
        <f>IF(M40=0,"",ROUND(U40/M40*100,1))</f>
        <v/>
      </c>
      <c r="W40" s="16">
        <f>U40*Assumptions!$B$4</f>
        <v/>
      </c>
      <c r="X40" s="11">
        <f>IF(M40=0,"",ROUND(W40/M40*100,1))</f>
        <v/>
      </c>
      <c r="Y40" t="inlineStr">
        <is>
          <t>SOJAL COMERCIAL AGRICOLA LTDA e OUTROS</t>
        </is>
      </c>
      <c r="Z40" t="inlineStr">
        <is>
          <t>0804401-51.2025.8.14.0039</t>
        </is>
      </c>
      <c r="AA40" t="inlineStr">
        <is>
          <t>TJPA</t>
        </is>
      </c>
      <c r="AB40" t="inlineStr">
        <is>
          <t>lrflideres.com.br</t>
        </is>
      </c>
      <c r="AC40" t="inlineStr">
        <is>
          <t>JULIANO MENDES DOS SANTOS</t>
        </is>
      </c>
      <c r="AD40" t="inlineStr">
        <is>
          <t>Sócio-Administrador</t>
        </is>
      </c>
      <c r="AE40" t="inlineStr">
        <is>
          <t>(63) 3602-4239</t>
        </is>
      </c>
      <c r="AF40" t="inlineStr"/>
      <c r="AG40" t="inlineStr"/>
      <c r="AH40" t="inlineStr">
        <is>
          <t>TO</t>
        </is>
      </c>
      <c r="AI40" t="inlineStr">
        <is>
          <t>PALMAS</t>
        </is>
      </c>
      <c r="AJ40" t="inlineStr">
        <is>
          <t>Comércio atacadista de matérias-primas agrícolas não especificadas anteriormente</t>
        </is>
      </c>
      <c r="AK40" t="inlineStr">
        <is>
          <t>DEMAIS</t>
        </is>
      </c>
      <c r="AL40" t="inlineStr">
        <is>
          <t>ATIVA</t>
        </is>
      </c>
      <c r="AM40" s="17" t="inlineStr">
        <is>
          <t>https://lrflideres.com.br/wp-content/plugins/download-attachments/includes/download.php?id=6879</t>
        </is>
      </c>
      <c r="AN40" s="18" t="inlineStr">
        <is>
          <t>p2 r5</t>
        </is>
      </c>
      <c r="AO40" s="18" t="inlineStr">
        <is>
          <t>p2: R$ 6.258.845,34</t>
        </is>
      </c>
      <c r="AP40" s="18" t="inlineStr">
        <is>
          <t>AJ_LIST</t>
        </is>
      </c>
      <c r="AQ40" s="18" t="inlineStr">
        <is>
          <t>2026-01-15</t>
        </is>
      </c>
      <c r="AR40" s="18" t="inlineStr">
        <is>
          <t>OK</t>
        </is>
      </c>
      <c r="AS40" s="18" t="inlineStr">
        <is>
          <t>ROWS:p2r5</t>
        </is>
      </c>
      <c r="AT40" s="18" t="inlineStr">
        <is>
          <t>c56751547323</t>
        </is>
      </c>
    </row>
    <row r="41">
      <c r="A41" s="9" t="n">
        <v>40</v>
      </c>
      <c r="B41" s="9" t="inlineStr">
        <is>
          <t>NEW</t>
        </is>
      </c>
      <c r="C41" s="9" t="inlineStr"/>
      <c r="D41" s="9" t="n">
        <v>0</v>
      </c>
      <c r="E41" s="9" t="inlineStr"/>
      <c r="F41" s="9" t="inlineStr"/>
      <c r="G41" s="9" t="inlineStr"/>
      <c r="H41" s="9" t="inlineStr"/>
      <c r="I41" t="inlineStr">
        <is>
          <t>L'OREAL BRASIL COMERCIAL DE COSMETICOS LTDA</t>
        </is>
      </c>
      <c r="J41" t="inlineStr">
        <is>
          <t>L'Oreal Brasil Comercio de Cosmeticos Ltda</t>
        </is>
      </c>
      <c r="K41" t="inlineStr">
        <is>
          <t>30278428</t>
        </is>
      </c>
      <c r="L41" t="inlineStr">
        <is>
          <t>30278428000323</t>
        </is>
      </c>
      <c r="M41" s="10" t="n">
        <v>5955264.1</v>
      </c>
      <c r="N41" t="n">
        <v>1</v>
      </c>
      <c r="O41" s="11" t="inlineStr">
        <is>
          <t>C</t>
        </is>
      </c>
      <c r="P41" s="11" t="inlineStr">
        <is>
          <t>ACTIVE</t>
        </is>
      </c>
      <c r="Q41" s="12" t="n">
        <v>44987</v>
      </c>
      <c r="R41" s="11">
        <f>IF(Q41="","",ROUND((TODAY()-Q41)/365.25,1))</f>
        <v/>
      </c>
      <c r="S41" s="13">
        <f>IFERROR(VLOOKUP(O41,Assumptions!$A$7:$F$11,2,FALSE),0.25)</f>
        <v/>
      </c>
      <c r="T41" s="14">
        <f>IF(O41="A",MAX(1,IFERROR(VLOOKUP(O41,Assumptions!$A$7:$F$11,3,FALSE),3)+IFERROR(VLOOKUP(O41,Assumptions!$A$7:$F$11,4,FALSE),8)/2-MAX(0,IF(R41="",0,R41)-IFERROR(VLOOKUP(O41,Assumptions!$A$7:$F$11,5,FALSE),1.5))),IFERROR(VLOOKUP(O41,Assumptions!$A$7:$F$11,5,FALSE),2.5)+IFERROR(VLOOKUP(O41,Assumptions!$A$7:$F$11,3,FALSE),3)+IFERROR(VLOOKUP(O41,Assumptions!$A$7:$F$11,4,FALSE),8)/2)</f>
        <v/>
      </c>
      <c r="U41" s="15">
        <f>M41*S41/(1+Assumptions!$B$3)^T41</f>
        <v/>
      </c>
      <c r="V41" s="11">
        <f>IF(M41=0,"",ROUND(U41/M41*100,1))</f>
        <v/>
      </c>
      <c r="W41" s="16">
        <f>U41*Assumptions!$B$4</f>
        <v/>
      </c>
      <c r="X41" s="11">
        <f>IF(M41=0,"",ROUND(W41/M41*100,1))</f>
        <v/>
      </c>
      <c r="Y41" t="inlineStr">
        <is>
          <t>GRUPO DP4</t>
        </is>
      </c>
      <c r="Z41" t="inlineStr">
        <is>
          <t>0005010-98.2023.8.16.0001</t>
        </is>
      </c>
      <c r="AA41" t="inlineStr">
        <is>
          <t>TJPR</t>
        </is>
      </c>
      <c r="AB41" t="inlineStr">
        <is>
          <t>marquesadmjudicial.com.br</t>
        </is>
      </c>
      <c r="AC41" t="inlineStr">
        <is>
          <t>MARCELO ZIMET</t>
        </is>
      </c>
      <c r="AD41" t="inlineStr">
        <is>
          <t>Administrador</t>
        </is>
      </c>
      <c r="AE41" t="inlineStr">
        <is>
          <t>(21) 4505-9616</t>
        </is>
      </c>
      <c r="AF41" t="inlineStr"/>
      <c r="AG41" t="inlineStr"/>
      <c r="AH41" t="inlineStr">
        <is>
          <t>RJ</t>
        </is>
      </c>
      <c r="AI41" t="inlineStr">
        <is>
          <t>RIO DE JANEIRO</t>
        </is>
      </c>
      <c r="AJ41" t="inlineStr">
        <is>
          <t>Comércio atacadista de cosméticos e produtos de perfumaria</t>
        </is>
      </c>
      <c r="AK41" t="inlineStr">
        <is>
          <t>DEMAIS</t>
        </is>
      </c>
      <c r="AL41" t="inlineStr">
        <is>
          <t>ATIVA</t>
        </is>
      </c>
      <c r="AM41" s="17" t="inlineStr">
        <is>
          <t>https://marquesadmjudicial.com.br/sgc/download.php?file=files/processo_documento/processo_documento15293208032024_1_.pdf&amp;nome=Relação Nominal de Credores da AJ-Sintética</t>
        </is>
      </c>
      <c r="AN41" s="18" t="inlineStr">
        <is>
          <t>p28 r10</t>
        </is>
      </c>
      <c r="AO41" s="18" t="inlineStr">
        <is>
          <t>p28: R$ 5.955.264,10</t>
        </is>
      </c>
      <c r="AP41" s="18" t="inlineStr">
        <is>
          <t>AJ_LIST</t>
        </is>
      </c>
      <c r="AQ41" s="18" t="inlineStr">
        <is>
          <t>2023-03-02</t>
        </is>
      </c>
      <c r="AR41" s="18" t="inlineStr">
        <is>
          <t>QUARANTINED</t>
        </is>
      </c>
      <c r="AS41" s="18" t="inlineStr">
        <is>
          <t>PARTIAL_DOC_CLASS_III_RECONCILED ROWS:p28r10</t>
        </is>
      </c>
      <c r="AT41" s="18" t="inlineStr">
        <is>
          <t>b465a5d11eec</t>
        </is>
      </c>
    </row>
    <row r="42">
      <c r="A42" s="9" t="n">
        <v>41</v>
      </c>
      <c r="B42" s="9" t="inlineStr">
        <is>
          <t>NEW</t>
        </is>
      </c>
      <c r="C42" s="9" t="inlineStr"/>
      <c r="D42" s="9" t="n">
        <v>0</v>
      </c>
      <c r="E42" s="9" t="inlineStr"/>
      <c r="F42" s="9" t="inlineStr"/>
      <c r="G42" s="9" t="inlineStr"/>
      <c r="H42" s="9" t="inlineStr"/>
      <c r="I42" t="inlineStr">
        <is>
          <t>INVISTA LOTEADORA E INCORPORADORA LTDA</t>
        </is>
      </c>
      <c r="J42" t="inlineStr">
        <is>
          <t>NÃO</t>
        </is>
      </c>
      <c r="K42" t="inlineStr">
        <is>
          <t>18871750</t>
        </is>
      </c>
      <c r="L42" t="inlineStr">
        <is>
          <t>18871750000102</t>
        </is>
      </c>
      <c r="M42" s="10" t="n">
        <v>5875236.13</v>
      </c>
      <c r="N42" t="n">
        <v>1</v>
      </c>
      <c r="O42" s="11" t="inlineStr">
        <is>
          <t>B</t>
        </is>
      </c>
      <c r="P42" s="11" t="inlineStr"/>
      <c r="Q42" s="12" t="inlineStr"/>
      <c r="R42" s="11">
        <f>IF(Q42="","",ROUND((TODAY()-Q42)/365.25,1))</f>
        <v/>
      </c>
      <c r="S42" s="13">
        <f>IFERROR(VLOOKUP(O42,Assumptions!$A$7:$F$11,2,FALSE),0.25)</f>
        <v/>
      </c>
      <c r="T42" s="14">
        <f>IF(O42="A",MAX(1,IFERROR(VLOOKUP(O42,Assumptions!$A$7:$F$11,3,FALSE),3)+IFERROR(VLOOKUP(O42,Assumptions!$A$7:$F$11,4,FALSE),8)/2-MAX(0,IF(R42="",0,R42)-IFERROR(VLOOKUP(O42,Assumptions!$A$7:$F$11,5,FALSE),1.5))),IFERROR(VLOOKUP(O42,Assumptions!$A$7:$F$11,5,FALSE),2.5)+IFERROR(VLOOKUP(O42,Assumptions!$A$7:$F$11,3,FALSE),3)+IFERROR(VLOOKUP(O42,Assumptions!$A$7:$F$11,4,FALSE),8)/2)</f>
        <v/>
      </c>
      <c r="U42" s="15">
        <f>M42*S42/(1+Assumptions!$B$3)^T42</f>
        <v/>
      </c>
      <c r="V42" s="11">
        <f>IF(M42=0,"",ROUND(U42/M42*100,1))</f>
        <v/>
      </c>
      <c r="W42" s="16">
        <f>U42*Assumptions!$B$4</f>
        <v/>
      </c>
      <c r="X42" s="11">
        <f>IF(M42=0,"",ROUND(W42/M42*100,1))</f>
        <v/>
      </c>
      <c r="Y42" t="inlineStr">
        <is>
          <t>Grupo Rech</t>
        </is>
      </c>
      <c r="Z42" t="inlineStr">
        <is>
          <t>5057720-48.2025.8.24.0023</t>
        </is>
      </c>
      <c r="AA42" t="inlineStr"/>
      <c r="AB42" t="inlineStr">
        <is>
          <t>credibilita.com.br</t>
        </is>
      </c>
      <c r="AC42" t="inlineStr">
        <is>
          <t>JONES FERNANDES</t>
        </is>
      </c>
      <c r="AD42" t="inlineStr">
        <is>
          <t>Sócio-Administrador</t>
        </is>
      </c>
      <c r="AE42" t="inlineStr">
        <is>
          <t>(55) 3524-1044</t>
        </is>
      </c>
      <c r="AF42" t="inlineStr">
        <is>
          <t>(55) 3524-1143</t>
        </is>
      </c>
      <c r="AG42" t="inlineStr"/>
      <c r="AH42" t="inlineStr">
        <is>
          <t>RS</t>
        </is>
      </c>
      <c r="AI42" t="inlineStr">
        <is>
          <t>HORIZONTINA</t>
        </is>
      </c>
      <c r="AJ42" t="inlineStr">
        <is>
          <t>Incorporação de empreendimentos imobiliários</t>
        </is>
      </c>
      <c r="AK42" t="inlineStr">
        <is>
          <t>MICRO EMPRESA</t>
        </is>
      </c>
      <c r="AL42" t="inlineStr">
        <is>
          <t>ATIVA</t>
        </is>
      </c>
      <c r="AM42" s="17" t="inlineStr">
        <is>
          <t>https://credibilita.com.br/wp-content/uploads/2025/09/Relacao-Credores-29.04.2026.pdf</t>
        </is>
      </c>
      <c r="AN42" s="18" t="inlineStr">
        <is>
          <t>p1 r26</t>
        </is>
      </c>
      <c r="AO42" s="18" t="inlineStr">
        <is>
          <t>p1: R$ 5.875.236,13</t>
        </is>
      </c>
      <c r="AP42" s="18" t="inlineStr">
        <is>
          <t>QUORUM_LIST</t>
        </is>
      </c>
      <c r="AQ42" s="18" t="inlineStr"/>
      <c r="AR42" s="18" t="inlineStr">
        <is>
          <t>OK_NO_TOTALS</t>
        </is>
      </c>
      <c r="AS42" s="18" t="inlineStr">
        <is>
          <t>ROWS:p1r26 UNRECONCILED_SOURCE VALUE_COL:Valor_Após_Analise CASE_NUMBER_CORRECTED</t>
        </is>
      </c>
      <c r="AT42" s="18" t="inlineStr">
        <is>
          <t>cf92cff797d2</t>
        </is>
      </c>
    </row>
    <row r="43">
      <c r="A43" s="9" t="n">
        <v>42</v>
      </c>
      <c r="B43" s="9" t="inlineStr">
        <is>
          <t>NEW</t>
        </is>
      </c>
      <c r="C43" s="9" t="inlineStr"/>
      <c r="D43" s="9" t="n">
        <v>0</v>
      </c>
      <c r="E43" s="9" t="inlineStr"/>
      <c r="F43" s="9" t="inlineStr"/>
      <c r="G43" s="9" t="inlineStr"/>
      <c r="H43" s="9" t="inlineStr"/>
      <c r="I43" t="inlineStr">
        <is>
          <t>CATAO CONFECCOES LTDA - EM RECUPERACAO JUDICIAL</t>
        </is>
      </c>
      <c r="J43" t="inlineStr">
        <is>
          <t>CATAO CONFECCOES LTDA</t>
        </is>
      </c>
      <c r="K43" t="inlineStr">
        <is>
          <t>10775286</t>
        </is>
      </c>
      <c r="L43" t="inlineStr">
        <is>
          <t>10775286000807</t>
        </is>
      </c>
      <c r="M43" s="10" t="n">
        <v>5843155.75</v>
      </c>
      <c r="N43" t="n">
        <v>2</v>
      </c>
      <c r="O43" s="11" t="inlineStr">
        <is>
          <t>C</t>
        </is>
      </c>
      <c r="P43" s="11" t="inlineStr">
        <is>
          <t>ACTIVE</t>
        </is>
      </c>
      <c r="Q43" s="12" t="n">
        <v>44571</v>
      </c>
      <c r="R43" s="11">
        <f>IF(Q43="","",ROUND((TODAY()-Q43)/365.25,1))</f>
        <v/>
      </c>
      <c r="S43" s="13">
        <f>IFERROR(VLOOKUP(O43,Assumptions!$A$7:$F$11,2,FALSE),0.25)</f>
        <v/>
      </c>
      <c r="T43" s="14">
        <f>IF(O43="A",MAX(1,IFERROR(VLOOKUP(O43,Assumptions!$A$7:$F$11,3,FALSE),3)+IFERROR(VLOOKUP(O43,Assumptions!$A$7:$F$11,4,FALSE),8)/2-MAX(0,IF(R43="",0,R43)-IFERROR(VLOOKUP(O43,Assumptions!$A$7:$F$11,5,FALSE),1.5))),IFERROR(VLOOKUP(O43,Assumptions!$A$7:$F$11,5,FALSE),2.5)+IFERROR(VLOOKUP(O43,Assumptions!$A$7:$F$11,3,FALSE),3)+IFERROR(VLOOKUP(O43,Assumptions!$A$7:$F$11,4,FALSE),8)/2)</f>
        <v/>
      </c>
      <c r="U43" s="15">
        <f>M43*S43/(1+Assumptions!$B$3)^T43</f>
        <v/>
      </c>
      <c r="V43" s="11">
        <f>IF(M43=0,"",ROUND(U43/M43*100,1))</f>
        <v/>
      </c>
      <c r="W43" s="16">
        <f>U43*Assumptions!$B$4</f>
        <v/>
      </c>
      <c r="X43" s="11">
        <f>IF(M43=0,"",ROUND(W43/M43*100,1))</f>
        <v/>
      </c>
      <c r="Y43" t="inlineStr">
        <is>
          <t>GRUPO CATTAN</t>
        </is>
      </c>
      <c r="Z43" t="inlineStr">
        <is>
          <t>0002484-82.2022.8.17.2001</t>
        </is>
      </c>
      <c r="AA43" t="inlineStr">
        <is>
          <t>TJPE</t>
        </is>
      </c>
      <c r="AB43" t="inlineStr">
        <is>
          <t>lrflideres.com.br</t>
        </is>
      </c>
      <c r="AC43" t="inlineStr">
        <is>
          <t>FLAVIO DANTAS CATAO</t>
        </is>
      </c>
      <c r="AD43" t="inlineStr">
        <is>
          <t>Sócio-Administrador</t>
        </is>
      </c>
      <c r="AE43" t="inlineStr">
        <is>
          <t>000000000000</t>
        </is>
      </c>
      <c r="AF43" t="inlineStr"/>
      <c r="AG43" t="inlineStr"/>
      <c r="AH43" t="inlineStr">
        <is>
          <t>PE</t>
        </is>
      </c>
      <c r="AI43" t="inlineStr">
        <is>
          <t>RECIFE</t>
        </is>
      </c>
      <c r="AJ43" t="inlineStr">
        <is>
          <t>Comércio varejista de artigos do vestuário e acessórios</t>
        </is>
      </c>
      <c r="AK43" t="inlineStr">
        <is>
          <t>DEMAIS</t>
        </is>
      </c>
      <c r="AL43" t="inlineStr">
        <is>
          <t>ATIVA</t>
        </is>
      </c>
      <c r="AM43" s="17" t="inlineStr">
        <is>
          <t>https://lrflideres.com.br/wp-content/plugins/download-attachments/includes/download.php?id=4023</t>
        </is>
      </c>
      <c r="AN43" s="18" t="inlineStr">
        <is>
          <t>p4 r60; p9 r62</t>
        </is>
      </c>
      <c r="AO43" s="18" t="inlineStr">
        <is>
          <t>p4: R$ 1.447.463,41; p9: R$ 4.395.692,34</t>
        </is>
      </c>
      <c r="AP43" s="18" t="inlineStr">
        <is>
          <t>DEBTOR_LIST</t>
        </is>
      </c>
      <c r="AQ43" s="18" t="inlineStr"/>
      <c r="AR43" s="18" t="inlineStr">
        <is>
          <t>QUARANTINED</t>
        </is>
      </c>
      <c r="AS43" s="18" t="inlineStr">
        <is>
          <t>PARTIAL_DOC_CLASS_III_RECONCILED ROWS:p4r60,p9r62</t>
        </is>
      </c>
      <c r="AT43" s="18" t="inlineStr">
        <is>
          <t>f3b6182e3aa2</t>
        </is>
      </c>
    </row>
    <row r="44">
      <c r="A44" s="9" t="n">
        <v>43</v>
      </c>
      <c r="B44" s="9" t="inlineStr">
        <is>
          <t>NEW</t>
        </is>
      </c>
      <c r="C44" s="9" t="inlineStr"/>
      <c r="D44" s="9" t="n">
        <v>0</v>
      </c>
      <c r="E44" s="9" t="inlineStr"/>
      <c r="F44" s="9" t="inlineStr"/>
      <c r="G44" s="9" t="inlineStr"/>
      <c r="H44" s="9" t="inlineStr"/>
      <c r="I44" t="inlineStr">
        <is>
          <t>SUZANO S.A.</t>
        </is>
      </c>
      <c r="J44" t="inlineStr">
        <is>
          <t>Av. Brg. Faria Lima, 1355 - Pinheiros, São Paulo - SP - CEP 01452-002</t>
        </is>
      </c>
      <c r="K44" t="inlineStr">
        <is>
          <t>16404287</t>
        </is>
      </c>
      <c r="L44" t="inlineStr">
        <is>
          <t>16404287057009</t>
        </is>
      </c>
      <c r="M44" s="10" t="n">
        <v>5686333.34</v>
      </c>
      <c r="N44" t="n">
        <v>1</v>
      </c>
      <c r="O44" s="11" t="inlineStr">
        <is>
          <t>U</t>
        </is>
      </c>
      <c r="P44" s="11" t="inlineStr"/>
      <c r="Q44" s="12" t="inlineStr"/>
      <c r="R44" s="11">
        <f>IF(Q44="","",ROUND((TODAY()-Q44)/365.25,1))</f>
        <v/>
      </c>
      <c r="S44" s="13">
        <f>IFERROR(VLOOKUP(O44,Assumptions!$A$7:$F$11,2,FALSE),0.25)</f>
        <v/>
      </c>
      <c r="T44" s="14">
        <f>IF(O44="A",MAX(1,IFERROR(VLOOKUP(O44,Assumptions!$A$7:$F$11,3,FALSE),3)+IFERROR(VLOOKUP(O44,Assumptions!$A$7:$F$11,4,FALSE),8)/2-MAX(0,IF(R44="",0,R44)-IFERROR(VLOOKUP(O44,Assumptions!$A$7:$F$11,5,FALSE),1.5))),IFERROR(VLOOKUP(O44,Assumptions!$A$7:$F$11,5,FALSE),2.5)+IFERROR(VLOOKUP(O44,Assumptions!$A$7:$F$11,3,FALSE),3)+IFERROR(VLOOKUP(O44,Assumptions!$A$7:$F$11,4,FALSE),8)/2)</f>
        <v/>
      </c>
      <c r="U44" s="15">
        <f>M44*S44/(1+Assumptions!$B$3)^T44</f>
        <v/>
      </c>
      <c r="V44" s="11">
        <f>IF(M44=0,"",ROUND(U44/M44*100,1))</f>
        <v/>
      </c>
      <c r="W44" s="16">
        <f>U44*Assumptions!$B$4</f>
        <v/>
      </c>
      <c r="X44" s="11">
        <f>IF(M44=0,"",ROUND(W44/M44*100,1))</f>
        <v/>
      </c>
      <c r="Y44" t="inlineStr">
        <is>
          <t>Base</t>
        </is>
      </c>
      <c r="Z44" t="inlineStr">
        <is>
          <t>(not found in document)</t>
        </is>
      </c>
      <c r="AA44" t="inlineStr"/>
      <c r="AB44" t="inlineStr">
        <is>
          <t>ajruiz.com.br</t>
        </is>
      </c>
      <c r="AC44" t="inlineStr">
        <is>
          <t>JOAO ALBERTO FERNANDEZ DE ABREU</t>
        </is>
      </c>
      <c r="AD44" t="inlineStr">
        <is>
          <t>Presidente</t>
        </is>
      </c>
      <c r="AE44" t="inlineStr">
        <is>
          <t>(11) 3636-5000</t>
        </is>
      </c>
      <c r="AF44" t="inlineStr"/>
      <c r="AG44" t="inlineStr"/>
      <c r="AH44" t="inlineStr">
        <is>
          <t>BA</t>
        </is>
      </c>
      <c r="AI44" t="inlineStr">
        <is>
          <t>SALVADOR</t>
        </is>
      </c>
      <c r="AJ44" t="inlineStr">
        <is>
          <t>Fabricação de celulose e outras pastas para a fabricação de papel</t>
        </is>
      </c>
      <c r="AK44" t="inlineStr">
        <is>
          <t>DEMAIS</t>
        </is>
      </c>
      <c r="AL44" t="inlineStr">
        <is>
          <t>ATIVA</t>
        </is>
      </c>
      <c r="AM44" s="17" t="inlineStr">
        <is>
          <t>https://ajruiz.com.br/sites/default/files/public/arquivos-processos/2023-11/4_relacao_de_credores_analitica_art._51_iii_da_lre.pdf</t>
        </is>
      </c>
      <c r="AN44" s="18" t="inlineStr">
        <is>
          <t>p4 r14</t>
        </is>
      </c>
      <c r="AO44" s="18" t="inlineStr">
        <is>
          <t>p4: R$ 5.686.333,34</t>
        </is>
      </c>
      <c r="AP44" s="18" t="inlineStr">
        <is>
          <t>UNKNOWN</t>
        </is>
      </c>
      <c r="AQ44" s="18" t="inlineStr"/>
      <c r="AR44" s="18" t="inlineStr">
        <is>
          <t>OK</t>
        </is>
      </c>
      <c r="AS44" s="18" t="inlineStr">
        <is>
          <t>ROWS:p4r14 CASE_NUMBER_CORRECTED</t>
        </is>
      </c>
      <c r="AT44" s="18" t="inlineStr">
        <is>
          <t>2407a56c3502</t>
        </is>
      </c>
    </row>
    <row r="45">
      <c r="A45" s="9" t="n">
        <v>44</v>
      </c>
      <c r="B45" s="9" t="inlineStr">
        <is>
          <t>NEW</t>
        </is>
      </c>
      <c r="C45" s="9" t="inlineStr"/>
      <c r="D45" s="9" t="n">
        <v>0</v>
      </c>
      <c r="E45" s="9" t="inlineStr"/>
      <c r="F45" s="9" t="inlineStr"/>
      <c r="G45" s="9" t="inlineStr"/>
      <c r="H45" s="9" t="inlineStr"/>
      <c r="I45" t="inlineStr">
        <is>
          <t>BOSCH HOME COMFORT DO BRASIL LTDA</t>
        </is>
      </c>
      <c r="J45" t="inlineStr">
        <is>
          <t>Rod. Presidente Dutra, Km 141, s/n, Km 141, Eugenio de Mello, São Paulo CEP 12247901</t>
        </is>
      </c>
      <c r="K45" t="inlineStr">
        <is>
          <t>33284522</t>
        </is>
      </c>
      <c r="L45" t="inlineStr">
        <is>
          <t>33284522000626</t>
        </is>
      </c>
      <c r="M45" s="10" t="n">
        <v>5064633.83</v>
      </c>
      <c r="N45" t="n">
        <v>1</v>
      </c>
      <c r="O45" s="11" t="inlineStr">
        <is>
          <t>C</t>
        </is>
      </c>
      <c r="P45" s="11" t="inlineStr"/>
      <c r="Q45" s="12" t="inlineStr"/>
      <c r="R45" s="11">
        <f>IF(Q45="","",ROUND((TODAY()-Q45)/365.25,1))</f>
        <v/>
      </c>
      <c r="S45" s="13">
        <f>IFERROR(VLOOKUP(O45,Assumptions!$A$7:$F$11,2,FALSE),0.25)</f>
        <v/>
      </c>
      <c r="T45" s="14">
        <f>IF(O45="A",MAX(1,IFERROR(VLOOKUP(O45,Assumptions!$A$7:$F$11,3,FALSE),3)+IFERROR(VLOOKUP(O45,Assumptions!$A$7:$F$11,4,FALSE),8)/2-MAX(0,IF(R45="",0,R45)-IFERROR(VLOOKUP(O45,Assumptions!$A$7:$F$11,5,FALSE),1.5))),IFERROR(VLOOKUP(O45,Assumptions!$A$7:$F$11,5,FALSE),2.5)+IFERROR(VLOOKUP(O45,Assumptions!$A$7:$F$11,3,FALSE),3)+IFERROR(VLOOKUP(O45,Assumptions!$A$7:$F$11,4,FALSE),8)/2)</f>
        <v/>
      </c>
      <c r="U45" s="15">
        <f>M45*S45/(1+Assumptions!$B$3)^T45</f>
        <v/>
      </c>
      <c r="V45" s="11">
        <f>IF(M45=0,"",ROUND(U45/M45*100,1))</f>
        <v/>
      </c>
      <c r="W45" s="16">
        <f>U45*Assumptions!$B$4</f>
        <v/>
      </c>
      <c r="X45" s="11">
        <f>IF(M45=0,"",ROUND(W45/M45*100,1))</f>
        <v/>
      </c>
      <c r="Y45" t="inlineStr">
        <is>
          <t>REAL DISTRIBUIDORA ÚNICA RIO COMÉRCIO DE REFRIGERAÇÃO LTDA.</t>
        </is>
      </c>
      <c r="Z45" t="inlineStr">
        <is>
          <t>0873061-47.2023.8.19.0001</t>
        </is>
      </c>
      <c r="AA45" t="inlineStr"/>
      <c r="AB45" t="inlineStr">
        <is>
          <t>inova-aj.com.br</t>
        </is>
      </c>
      <c r="AC45" t="inlineStr">
        <is>
          <t>FERNANDO LUIZ LAGUNA CUNHA</t>
        </is>
      </c>
      <c r="AD45" t="inlineStr">
        <is>
          <t>Administrador</t>
        </is>
      </c>
      <c r="AE45" t="inlineStr">
        <is>
          <t>(92) 3301-5000</t>
        </is>
      </c>
      <c r="AF45" t="inlineStr"/>
      <c r="AG45" t="inlineStr"/>
      <c r="AH45" t="inlineStr">
        <is>
          <t>AM</t>
        </is>
      </c>
      <c r="AI45" t="inlineStr">
        <is>
          <t>MANAUS</t>
        </is>
      </c>
      <c r="AJ45" t="inlineStr">
        <is>
          <t>Serviços combinados de escritório e apoio administrativo</t>
        </is>
      </c>
      <c r="AK45" t="inlineStr">
        <is>
          <t>DEMAIS</t>
        </is>
      </c>
      <c r="AL45" t="inlineStr">
        <is>
          <t>ATIVA</t>
        </is>
      </c>
      <c r="AM45" s="17" t="inlineStr">
        <is>
          <t>https://inova-aj.com.br/wp-content/uploads/2026/08/1a-Relacao-de-Credores-Real.pdf</t>
        </is>
      </c>
      <c r="AN45" s="18" t="inlineStr">
        <is>
          <t>p1 r35</t>
        </is>
      </c>
      <c r="AO45" s="18" t="inlineStr">
        <is>
          <t>p1: R$ 5.064.633,83</t>
        </is>
      </c>
      <c r="AP45" s="18" t="inlineStr">
        <is>
          <t>AJ_LIST</t>
        </is>
      </c>
      <c r="AQ45" s="18" t="inlineStr">
        <is>
          <t>2023-06-05</t>
        </is>
      </c>
      <c r="AR45" s="18" t="inlineStr">
        <is>
          <t>OK</t>
        </is>
      </c>
      <c r="AS45" s="18" t="inlineStr">
        <is>
          <t>ALT_VALUE:R$3.682.536,03 ROWS:p1r35</t>
        </is>
      </c>
      <c r="AT45" s="18" t="inlineStr">
        <is>
          <t>8eb5d0d64353</t>
        </is>
      </c>
    </row>
    <row r="46">
      <c r="A46" s="9" t="n">
        <v>45</v>
      </c>
      <c r="B46" s="9" t="inlineStr">
        <is>
          <t>NEW</t>
        </is>
      </c>
      <c r="C46" s="9" t="inlineStr"/>
      <c r="D46" s="9" t="n">
        <v>0</v>
      </c>
      <c r="E46" s="9" t="inlineStr"/>
      <c r="F46" s="9" t="inlineStr"/>
      <c r="G46" s="9" t="inlineStr"/>
      <c r="H46" s="9" t="inlineStr"/>
      <c r="I46" t="inlineStr">
        <is>
          <t>VIBRA ENERGIA S.A</t>
        </is>
      </c>
      <c r="J46" t="inlineStr">
        <is>
          <t>PETRÓLEO BRASILEIRO S.A. - PETROBRÁS e Vibra Energia S.A</t>
        </is>
      </c>
      <c r="K46" t="inlineStr">
        <is>
          <t>34274233</t>
        </is>
      </c>
      <c r="L46" t="inlineStr">
        <is>
          <t>34274233000102</t>
        </is>
      </c>
      <c r="M46" s="10" t="n">
        <v>5004769.6</v>
      </c>
      <c r="N46" t="n">
        <v>2</v>
      </c>
      <c r="O46" s="11" t="inlineStr">
        <is>
          <t>B</t>
        </is>
      </c>
      <c r="P46" s="11" t="inlineStr"/>
      <c r="Q46" s="12" t="n">
        <v>45756</v>
      </c>
      <c r="R46" s="11">
        <f>IF(Q46="","",ROUND((TODAY()-Q46)/365.25,1))</f>
        <v/>
      </c>
      <c r="S46" s="13">
        <f>IFERROR(VLOOKUP(O46,Assumptions!$A$7:$F$11,2,FALSE),0.25)</f>
        <v/>
      </c>
      <c r="T46" s="14">
        <f>IF(O46="A",MAX(1,IFERROR(VLOOKUP(O46,Assumptions!$A$7:$F$11,3,FALSE),3)+IFERROR(VLOOKUP(O46,Assumptions!$A$7:$F$11,4,FALSE),8)/2-MAX(0,IF(R46="",0,R46)-IFERROR(VLOOKUP(O46,Assumptions!$A$7:$F$11,5,FALSE),1.5))),IFERROR(VLOOKUP(O46,Assumptions!$A$7:$F$11,5,FALSE),2.5)+IFERROR(VLOOKUP(O46,Assumptions!$A$7:$F$11,3,FALSE),3)+IFERROR(VLOOKUP(O46,Assumptions!$A$7:$F$11,4,FALSE),8)/2)</f>
        <v/>
      </c>
      <c r="U46" s="15">
        <f>M46*S46/(1+Assumptions!$B$3)^T46</f>
        <v/>
      </c>
      <c r="V46" s="11">
        <f>IF(M46=0,"",ROUND(U46/M46*100,1))</f>
        <v/>
      </c>
      <c r="W46" s="16">
        <f>U46*Assumptions!$B$4</f>
        <v/>
      </c>
      <c r="X46" s="11">
        <f>IF(M46=0,"",ROUND(W46/M46*100,1))</f>
        <v/>
      </c>
      <c r="Y46" t="inlineStr">
        <is>
          <t>GRUPO EGESA (EGESA ENG S.A, EGESUR PART E EMP S.A, MATRIX INFRA LTDA, BEMVIVER ENG AMBIENTAL E SERV LTDA, DKF CONST E EMP LTDA, EGEPEL LTDA, ETR ASSESSORIA EMP E PART LTDA, MVT ENG E SERV LTDA, PARQUES DO VALE LTDA, ELMO RIBEIRO E ANA RIBEIRO)</t>
        </is>
      </c>
      <c r="Z46" t="inlineStr">
        <is>
          <t>5088952-81.2025.8.13.0024</t>
        </is>
      </c>
      <c r="AA46" t="inlineStr">
        <is>
          <t>TJMG</t>
        </is>
      </c>
      <c r="AB46" t="inlineStr">
        <is>
          <t>scalzilliaj.com.br</t>
        </is>
      </c>
      <c r="AC46" t="inlineStr">
        <is>
          <t>ERNESTO PERES POUSADA JUNIOR</t>
        </is>
      </c>
      <c r="AD46" t="inlineStr">
        <is>
          <t>Presidente</t>
        </is>
      </c>
      <c r="AE46" t="inlineStr">
        <is>
          <t>(21) 2354-3151</t>
        </is>
      </c>
      <c r="AF46" t="inlineStr">
        <is>
          <t>(21) 2354-3146</t>
        </is>
      </c>
      <c r="AG46" t="inlineStr"/>
      <c r="AH46" t="inlineStr">
        <is>
          <t>RJ</t>
        </is>
      </c>
      <c r="AI46" t="inlineStr">
        <is>
          <t>RIO DE JANEIRO</t>
        </is>
      </c>
      <c r="AJ46" t="inlineStr">
        <is>
          <t>Comércio atacadista de álcool carburante, biodiesel, gasolina e demais derivados de petróleo, exceto lubrificantes, não realizado por transportador re</t>
        </is>
      </c>
      <c r="AK46" t="inlineStr">
        <is>
          <t>DEMAIS</t>
        </is>
      </c>
      <c r="AL46" t="inlineStr">
        <is>
          <t>ATIVA</t>
        </is>
      </c>
      <c r="AM46" s="17" t="inlineStr">
        <is>
          <t>https://scalzilliaj.com.br/sgc/download.php?file=files/processo_documento/processo_documento09514021082025_1_.pdf&amp;nome=04 - Relação de credores das Recuperandas</t>
        </is>
      </c>
      <c r="AN46" s="18" t="inlineStr">
        <is>
          <t>p71 r8; p76 r5</t>
        </is>
      </c>
      <c r="AO46" s="18" t="inlineStr">
        <is>
          <t>p71: R$ 396.274,51; p76: R$ 4.608.495,09</t>
        </is>
      </c>
      <c r="AP46" s="18" t="inlineStr">
        <is>
          <t>DEBTOR_LIST</t>
        </is>
      </c>
      <c r="AQ46" s="18" t="inlineStr"/>
      <c r="AR46" s="18" t="inlineStr">
        <is>
          <t>OK</t>
        </is>
      </c>
      <c r="AS46" s="18" t="inlineStr">
        <is>
          <t>ROWS:p71r8,p76r5 VALUE_COL:Valor_Atualizado CASE_NUMBER_CORRECTED CASE_FROM_PORTAL</t>
        </is>
      </c>
      <c r="AT46" s="18" t="inlineStr">
        <is>
          <t>24ed98480a57</t>
        </is>
      </c>
    </row>
    <row r="47">
      <c r="A47" s="9" t="n">
        <v>46</v>
      </c>
      <c r="B47" s="9" t="inlineStr">
        <is>
          <t>NEW</t>
        </is>
      </c>
      <c r="C47" s="9" t="inlineStr"/>
      <c r="D47" s="9" t="n">
        <v>0</v>
      </c>
      <c r="E47" s="9" t="inlineStr"/>
      <c r="F47" s="9" t="inlineStr"/>
      <c r="G47" s="9" t="inlineStr"/>
      <c r="H47" s="9" t="inlineStr"/>
      <c r="I47" t="inlineStr">
        <is>
          <t>JF PASQUA CONDUTORES ELETRICOS LTDA</t>
        </is>
      </c>
      <c r="J47" t="inlineStr">
        <is>
          <t>JF PASQUA CONDUTORES ELETRICOS LTDA</t>
        </is>
      </c>
      <c r="K47" t="inlineStr">
        <is>
          <t>03981899</t>
        </is>
      </c>
      <c r="L47" t="inlineStr">
        <is>
          <t>03981899000169</t>
        </is>
      </c>
      <c r="M47" s="10" t="n">
        <v>4940520.91</v>
      </c>
      <c r="N47" t="n">
        <v>2</v>
      </c>
      <c r="O47" s="11" t="inlineStr">
        <is>
          <t>C</t>
        </is>
      </c>
      <c r="P47" s="11" t="inlineStr">
        <is>
          <t>ACTIVE</t>
        </is>
      </c>
      <c r="Q47" s="12" t="n">
        <v>45068</v>
      </c>
      <c r="R47" s="11">
        <f>IF(Q47="","",ROUND((TODAY()-Q47)/365.25,1))</f>
        <v/>
      </c>
      <c r="S47" s="13">
        <f>IFERROR(VLOOKUP(O47,Assumptions!$A$7:$F$11,2,FALSE),0.25)</f>
        <v/>
      </c>
      <c r="T47" s="14">
        <f>IF(O47="A",MAX(1,IFERROR(VLOOKUP(O47,Assumptions!$A$7:$F$11,3,FALSE),3)+IFERROR(VLOOKUP(O47,Assumptions!$A$7:$F$11,4,FALSE),8)/2-MAX(0,IF(R47="",0,R47)-IFERROR(VLOOKUP(O47,Assumptions!$A$7:$F$11,5,FALSE),1.5))),IFERROR(VLOOKUP(O47,Assumptions!$A$7:$F$11,5,FALSE),2.5)+IFERROR(VLOOKUP(O47,Assumptions!$A$7:$F$11,3,FALSE),3)+IFERROR(VLOOKUP(O47,Assumptions!$A$7:$F$11,4,FALSE),8)/2)</f>
        <v/>
      </c>
      <c r="U47" s="15">
        <f>M47*S47/(1+Assumptions!$B$3)^T47</f>
        <v/>
      </c>
      <c r="V47" s="11">
        <f>IF(M47=0,"",ROUND(U47/M47*100,1))</f>
        <v/>
      </c>
      <c r="W47" s="16">
        <f>U47*Assumptions!$B$4</f>
        <v/>
      </c>
      <c r="X47" s="11">
        <f>IF(M47=0,"",ROUND(W47/M47*100,1))</f>
        <v/>
      </c>
      <c r="Y47" t="inlineStr">
        <is>
          <t>Grupo Conduscabos</t>
        </is>
      </c>
      <c r="Z47" t="inlineStr">
        <is>
          <t>8005129-09.2023.8.05.0039</t>
        </is>
      </c>
      <c r="AA47" t="inlineStr">
        <is>
          <t>TJBA</t>
        </is>
      </c>
      <c r="AB47" t="inlineStr">
        <is>
          <t>assistjud.com.br</t>
        </is>
      </c>
      <c r="AC47" t="inlineStr">
        <is>
          <t>REGINA MARIA PASQUA SANTOS</t>
        </is>
      </c>
      <c r="AD47" t="inlineStr">
        <is>
          <t>Administrador</t>
        </is>
      </c>
      <c r="AE47" t="inlineStr">
        <is>
          <t>(35) 3559-6789</t>
        </is>
      </c>
      <c r="AF47" t="inlineStr"/>
      <c r="AG47" t="inlineStr"/>
      <c r="AH47" t="inlineStr">
        <is>
          <t>MG</t>
        </is>
      </c>
      <c r="AI47" t="inlineStr">
        <is>
          <t>GUAXUPE</t>
        </is>
      </c>
      <c r="AJ47" t="inlineStr">
        <is>
          <t>Metalurgia do cobre</t>
        </is>
      </c>
      <c r="AK47" t="inlineStr">
        <is>
          <t>DEMAIS</t>
        </is>
      </c>
      <c r="AL47" t="inlineStr">
        <is>
          <t>ATIVA</t>
        </is>
      </c>
      <c r="AM47" s="17" t="inlineStr">
        <is>
          <t>https://assistjud.com.br/wp-content/uploads/elementor/forms/65098c80a5824.pdf</t>
        </is>
      </c>
      <c r="AN47" s="18" t="inlineStr">
        <is>
          <t>p8 r4; p18 r6</t>
        </is>
      </c>
      <c r="AO47" s="18" t="inlineStr">
        <is>
          <t>p8: R$ 2.217.364,91; p18: R$ 2.723.156,00</t>
        </is>
      </c>
      <c r="AP47" s="18" t="inlineStr">
        <is>
          <t>AJ_LIST</t>
        </is>
      </c>
      <c r="AQ47" s="18" t="inlineStr">
        <is>
          <t>2023-09-18</t>
        </is>
      </c>
      <c r="AR47" s="18" t="inlineStr">
        <is>
          <t>OK_NO_TOTALS</t>
        </is>
      </c>
      <c r="AS47" s="18" t="inlineStr">
        <is>
          <t>ROWS:p8r4,p18r6 UNRECONCILED_SOURCE</t>
        </is>
      </c>
      <c r="AT47" s="18" t="inlineStr">
        <is>
          <t>a0ae32a59c29</t>
        </is>
      </c>
    </row>
    <row r="48">
      <c r="A48" s="9" t="n">
        <v>47</v>
      </c>
      <c r="B48" s="9" t="inlineStr">
        <is>
          <t>NEW</t>
        </is>
      </c>
      <c r="C48" s="9" t="inlineStr"/>
      <c r="D48" s="9" t="n">
        <v>0</v>
      </c>
      <c r="E48" s="9" t="inlineStr"/>
      <c r="F48" s="9" t="inlineStr"/>
      <c r="G48" s="9" t="inlineStr"/>
      <c r="H48" s="9" t="inlineStr"/>
      <c r="I48" t="inlineStr">
        <is>
          <t>TRANSPORTADORA MARCAN LTDA.</t>
        </is>
      </c>
      <c r="J48" t="inlineStr">
        <is>
          <t>Transporte Coletivo San Remo Ltda, Transnew do Vale Transportes LTDA e Transportadora Marcan LTDA</t>
        </is>
      </c>
      <c r="K48" t="inlineStr">
        <is>
          <t>19709369</t>
        </is>
      </c>
      <c r="L48" t="inlineStr">
        <is>
          <t>19709369000104</t>
        </is>
      </c>
      <c r="M48" s="10" t="n">
        <v>4757312.99</v>
      </c>
      <c r="N48" t="n">
        <v>1</v>
      </c>
      <c r="O48" s="11" t="inlineStr">
        <is>
          <t>B</t>
        </is>
      </c>
      <c r="P48" s="11" t="inlineStr"/>
      <c r="Q48" s="12" t="n">
        <v>45756</v>
      </c>
      <c r="R48" s="11">
        <f>IF(Q48="","",ROUND((TODAY()-Q48)/365.25,1))</f>
        <v/>
      </c>
      <c r="S48" s="13">
        <f>IFERROR(VLOOKUP(O48,Assumptions!$A$7:$F$11,2,FALSE),0.25)</f>
        <v/>
      </c>
      <c r="T48" s="14">
        <f>IF(O48="A",MAX(1,IFERROR(VLOOKUP(O48,Assumptions!$A$7:$F$11,3,FALSE),3)+IFERROR(VLOOKUP(O48,Assumptions!$A$7:$F$11,4,FALSE),8)/2-MAX(0,IF(R48="",0,R48)-IFERROR(VLOOKUP(O48,Assumptions!$A$7:$F$11,5,FALSE),1.5))),IFERROR(VLOOKUP(O48,Assumptions!$A$7:$F$11,5,FALSE),2.5)+IFERROR(VLOOKUP(O48,Assumptions!$A$7:$F$11,3,FALSE),3)+IFERROR(VLOOKUP(O48,Assumptions!$A$7:$F$11,4,FALSE),8)/2)</f>
        <v/>
      </c>
      <c r="U48" s="15">
        <f>M48*S48/(1+Assumptions!$B$3)^T48</f>
        <v/>
      </c>
      <c r="V48" s="11">
        <f>IF(M48=0,"",ROUND(U48/M48*100,1))</f>
        <v/>
      </c>
      <c r="W48" s="16">
        <f>U48*Assumptions!$B$4</f>
        <v/>
      </c>
      <c r="X48" s="11">
        <f>IF(M48=0,"",ROUND(W48/M48*100,1))</f>
        <v/>
      </c>
      <c r="Y48" t="inlineStr">
        <is>
          <t>GRUPO EGESA (EGESA ENG S.A, EGESUR PART E EMP S.A, MATRIX INFRA LTDA, BEMVIVER ENG AMBIENTAL E SERV LTDA, DKF CONST E EMP LTDA, EGEPEL LTDA, ETR ASSESSORIA EMP E PART LTDA, MVT ENG E SERV LTDA, PARQUES DO VALE LTDA, ELMO RIBEIRO E ANA RIBEIRO)</t>
        </is>
      </c>
      <c r="Z48" t="inlineStr">
        <is>
          <t>5088952-81.2025.8.13.0024</t>
        </is>
      </c>
      <c r="AA48" t="inlineStr">
        <is>
          <t>TJMG</t>
        </is>
      </c>
      <c r="AB48" t="inlineStr">
        <is>
          <t>scalzilliaj.com.br</t>
        </is>
      </c>
      <c r="AC48" t="inlineStr">
        <is>
          <t>GERVASIO TASSI FILHO</t>
        </is>
      </c>
      <c r="AD48" t="inlineStr">
        <is>
          <t>Sócio-Administrador</t>
        </is>
      </c>
      <c r="AE48" t="inlineStr">
        <is>
          <t>(81) 3543-0330</t>
        </is>
      </c>
      <c r="AF48" t="inlineStr">
        <is>
          <t>(81) 9267-7488</t>
        </is>
      </c>
      <c r="AG48" t="inlineStr"/>
      <c r="AH48" t="inlineStr">
        <is>
          <t>PE</t>
        </is>
      </c>
      <c r="AI48" t="inlineStr">
        <is>
          <t>IGARASSU</t>
        </is>
      </c>
      <c r="AJ48" t="inlineStr">
        <is>
          <t>Transporte rodoviário coletivo de passageiros, com itinerário fixo, intermunicipal em região metropolitana</t>
        </is>
      </c>
      <c r="AK48" t="inlineStr">
        <is>
          <t>DEMAIS</t>
        </is>
      </c>
      <c r="AL48" t="inlineStr">
        <is>
          <t>ATIVA</t>
        </is>
      </c>
      <c r="AM48" s="17" t="inlineStr">
        <is>
          <t>https://scalzilliaj.com.br/sgc/download.php?file=files/processo_documento/processo_documento09514021082025_1_.pdf&amp;nome=04 - Relação de credores das Recuperandas</t>
        </is>
      </c>
      <c r="AN48" s="18" t="inlineStr">
        <is>
          <t>p74 r13</t>
        </is>
      </c>
      <c r="AO48" s="18" t="inlineStr">
        <is>
          <t>p74: R$ 4.757.312,99</t>
        </is>
      </c>
      <c r="AP48" s="18" t="inlineStr">
        <is>
          <t>DEBTOR_LIST</t>
        </is>
      </c>
      <c r="AQ48" s="18" t="inlineStr"/>
      <c r="AR48" s="18" t="inlineStr">
        <is>
          <t>OK</t>
        </is>
      </c>
      <c r="AS48" s="18" t="inlineStr">
        <is>
          <t>ROWS:p74r13 VALUE_COL:Valor_Atualizado CASE_NUMBER_CORRECTED CASE_FROM_PORTAL</t>
        </is>
      </c>
      <c r="AT48" s="18" t="inlineStr">
        <is>
          <t>24ed98480a57</t>
        </is>
      </c>
    </row>
    <row r="49">
      <c r="A49" s="9" t="n">
        <v>48</v>
      </c>
      <c r="B49" s="9" t="inlineStr">
        <is>
          <t>NEW</t>
        </is>
      </c>
      <c r="C49" s="9" t="inlineStr"/>
      <c r="D49" s="9" t="n">
        <v>0</v>
      </c>
      <c r="E49" s="9" t="inlineStr"/>
      <c r="F49" s="9" t="inlineStr"/>
      <c r="G49" s="9" t="inlineStr"/>
      <c r="H49" s="9" t="inlineStr"/>
      <c r="I49" t="inlineStr">
        <is>
          <t>PRO NOVA DISTRIBUIDORA E COMERCIO DE COSMETICOS LTDA</t>
        </is>
      </c>
      <c r="J49" t="inlineStr">
        <is>
          <t>Pro Nova Distribuidora e Comercio de Cosmeticos Ltda</t>
        </is>
      </c>
      <c r="K49" t="inlineStr">
        <is>
          <t>21998451</t>
        </is>
      </c>
      <c r="L49" t="inlineStr">
        <is>
          <t>21998451001373</t>
        </is>
      </c>
      <c r="M49" s="10" t="n">
        <v>4694462.47</v>
      </c>
      <c r="N49" t="n">
        <v>1</v>
      </c>
      <c r="O49" s="11" t="inlineStr">
        <is>
          <t>C</t>
        </is>
      </c>
      <c r="P49" s="11" t="inlineStr">
        <is>
          <t>ACTIVE</t>
        </is>
      </c>
      <c r="Q49" s="12" t="n">
        <v>44987</v>
      </c>
      <c r="R49" s="11">
        <f>IF(Q49="","",ROUND((TODAY()-Q49)/365.25,1))</f>
        <v/>
      </c>
      <c r="S49" s="13">
        <f>IFERROR(VLOOKUP(O49,Assumptions!$A$7:$F$11,2,FALSE),0.25)</f>
        <v/>
      </c>
      <c r="T49" s="14">
        <f>IF(O49="A",MAX(1,IFERROR(VLOOKUP(O49,Assumptions!$A$7:$F$11,3,FALSE),3)+IFERROR(VLOOKUP(O49,Assumptions!$A$7:$F$11,4,FALSE),8)/2-MAX(0,IF(R49="",0,R49)-IFERROR(VLOOKUP(O49,Assumptions!$A$7:$F$11,5,FALSE),1.5))),IFERROR(VLOOKUP(O49,Assumptions!$A$7:$F$11,5,FALSE),2.5)+IFERROR(VLOOKUP(O49,Assumptions!$A$7:$F$11,3,FALSE),3)+IFERROR(VLOOKUP(O49,Assumptions!$A$7:$F$11,4,FALSE),8)/2)</f>
        <v/>
      </c>
      <c r="U49" s="15">
        <f>M49*S49/(1+Assumptions!$B$3)^T49</f>
        <v/>
      </c>
      <c r="V49" s="11">
        <f>IF(M49=0,"",ROUND(U49/M49*100,1))</f>
        <v/>
      </c>
      <c r="W49" s="16">
        <f>U49*Assumptions!$B$4</f>
        <v/>
      </c>
      <c r="X49" s="11">
        <f>IF(M49=0,"",ROUND(W49/M49*100,1))</f>
        <v/>
      </c>
      <c r="Y49" t="inlineStr">
        <is>
          <t>GRUPO DP4</t>
        </is>
      </c>
      <c r="Z49" t="inlineStr">
        <is>
          <t>0005010-98.2023.8.16.0001</t>
        </is>
      </c>
      <c r="AA49" t="inlineStr">
        <is>
          <t>TJPR</t>
        </is>
      </c>
      <c r="AB49" t="inlineStr">
        <is>
          <t>marquesadmjudicial.com.br</t>
        </is>
      </c>
      <c r="AC49" t="inlineStr">
        <is>
          <t>ANA CLAUDIA GALVAO CARICATI</t>
        </is>
      </c>
      <c r="AD49" t="inlineStr">
        <is>
          <t>Sócio-Administrador</t>
        </is>
      </c>
      <c r="AE49" t="inlineStr">
        <is>
          <t>(11) 4772-8024</t>
        </is>
      </c>
      <c r="AF49" t="inlineStr"/>
      <c r="AG49" t="inlineStr"/>
      <c r="AH49" t="inlineStr">
        <is>
          <t>SP</t>
        </is>
      </c>
      <c r="AI49" t="inlineStr">
        <is>
          <t>JANDIRA</t>
        </is>
      </c>
      <c r="AJ49" t="inlineStr">
        <is>
          <t>Comércio atacadista de cosméticos e produtos de perfumaria</t>
        </is>
      </c>
      <c r="AK49" t="inlineStr">
        <is>
          <t>DEMAIS</t>
        </is>
      </c>
      <c r="AL49" t="inlineStr">
        <is>
          <t>ATIVA</t>
        </is>
      </c>
      <c r="AM49" s="17" t="inlineStr">
        <is>
          <t>https://marquesadmjudicial.com.br/sgc/download.php?file=files/processo_documento/processo_documento15293208032024_1_.pdf&amp;nome=Relação Nominal de Credores da AJ-Sintética</t>
        </is>
      </c>
      <c r="AN49" s="18" t="inlineStr">
        <is>
          <t>p30 r9</t>
        </is>
      </c>
      <c r="AO49" s="18" t="inlineStr">
        <is>
          <t>p30: R$ 4.694.462,47</t>
        </is>
      </c>
      <c r="AP49" s="18" t="inlineStr">
        <is>
          <t>AJ_LIST</t>
        </is>
      </c>
      <c r="AQ49" s="18" t="inlineStr">
        <is>
          <t>2023-03-02</t>
        </is>
      </c>
      <c r="AR49" s="18" t="inlineStr">
        <is>
          <t>QUARANTINED</t>
        </is>
      </c>
      <c r="AS49" s="18" t="inlineStr">
        <is>
          <t>PARTIAL_DOC_CLASS_III_RECONCILED ROWS:p30r9</t>
        </is>
      </c>
      <c r="AT49" s="18" t="inlineStr">
        <is>
          <t>b465a5d11eec</t>
        </is>
      </c>
    </row>
    <row r="50">
      <c r="A50" s="9" t="n">
        <v>49</v>
      </c>
      <c r="B50" s="9" t="inlineStr">
        <is>
          <t>NEW</t>
        </is>
      </c>
      <c r="C50" s="9" t="inlineStr"/>
      <c r="D50" s="9" t="n">
        <v>0</v>
      </c>
      <c r="E50" s="9" t="inlineStr"/>
      <c r="F50" s="9" t="inlineStr"/>
      <c r="G50" s="9" t="inlineStr"/>
      <c r="H50" s="9" t="inlineStr"/>
      <c r="I50" t="inlineStr">
        <is>
          <t>BALDAN IMPLEMENTOS AGRICOLAS S A</t>
        </is>
      </c>
      <c r="J50" t="inlineStr">
        <is>
          <t>NÃO</t>
        </is>
      </c>
      <c r="K50" t="inlineStr">
        <is>
          <t>52311347</t>
        </is>
      </c>
      <c r="L50" t="inlineStr">
        <is>
          <t>52311347000906</t>
        </is>
      </c>
      <c r="M50" s="10" t="n">
        <v>4681142.41</v>
      </c>
      <c r="N50" t="n">
        <v>1</v>
      </c>
      <c r="O50" s="11" t="inlineStr">
        <is>
          <t>B</t>
        </is>
      </c>
      <c r="P50" s="11" t="inlineStr"/>
      <c r="Q50" s="12" t="inlineStr"/>
      <c r="R50" s="11">
        <f>IF(Q50="","",ROUND((TODAY()-Q50)/365.25,1))</f>
        <v/>
      </c>
      <c r="S50" s="13">
        <f>IFERROR(VLOOKUP(O50,Assumptions!$A$7:$F$11,2,FALSE),0.25)</f>
        <v/>
      </c>
      <c r="T50" s="14">
        <f>IF(O50="A",MAX(1,IFERROR(VLOOKUP(O50,Assumptions!$A$7:$F$11,3,FALSE),3)+IFERROR(VLOOKUP(O50,Assumptions!$A$7:$F$11,4,FALSE),8)/2-MAX(0,IF(R50="",0,R50)-IFERROR(VLOOKUP(O50,Assumptions!$A$7:$F$11,5,FALSE),1.5))),IFERROR(VLOOKUP(O50,Assumptions!$A$7:$F$11,5,FALSE),2.5)+IFERROR(VLOOKUP(O50,Assumptions!$A$7:$F$11,3,FALSE),3)+IFERROR(VLOOKUP(O50,Assumptions!$A$7:$F$11,4,FALSE),8)/2)</f>
        <v/>
      </c>
      <c r="U50" s="15">
        <f>M50*S50/(1+Assumptions!$B$3)^T50</f>
        <v/>
      </c>
      <c r="V50" s="11">
        <f>IF(M50=0,"",ROUND(U50/M50*100,1))</f>
        <v/>
      </c>
      <c r="W50" s="16">
        <f>U50*Assumptions!$B$4</f>
        <v/>
      </c>
      <c r="X50" s="11">
        <f>IF(M50=0,"",ROUND(W50/M50*100,1))</f>
        <v/>
      </c>
      <c r="Y50" t="inlineStr">
        <is>
          <t>Grupo Rech</t>
        </is>
      </c>
      <c r="Z50" t="inlineStr">
        <is>
          <t>5057720-48.2025.8.24.0023</t>
        </is>
      </c>
      <c r="AA50" t="inlineStr"/>
      <c r="AB50" t="inlineStr">
        <is>
          <t>credibilita.com.br</t>
        </is>
      </c>
      <c r="AC50" t="inlineStr">
        <is>
          <t>CAIO FRANCO GIARETTA</t>
        </is>
      </c>
      <c r="AD50" t="inlineStr">
        <is>
          <t>Diretor</t>
        </is>
      </c>
      <c r="AE50" t="inlineStr">
        <is>
          <t>(16) 3221-6500</t>
        </is>
      </c>
      <c r="AF50" t="inlineStr">
        <is>
          <t>(16) 3221-6581</t>
        </is>
      </c>
      <c r="AG50" t="inlineStr"/>
      <c r="AH50" t="inlineStr">
        <is>
          <t>SP</t>
        </is>
      </c>
      <c r="AI50" t="inlineStr">
        <is>
          <t>MATAO</t>
        </is>
      </c>
      <c r="AJ50" t="inlineStr">
        <is>
          <t>Fabricação de máquinas e equipamentos para a agricultura e pecuária, peças e acessórios, exceto para irrigação</t>
        </is>
      </c>
      <c r="AK50" t="inlineStr">
        <is>
          <t>DEMAIS</t>
        </is>
      </c>
      <c r="AL50" t="inlineStr">
        <is>
          <t>ATIVA</t>
        </is>
      </c>
      <c r="AM50" s="17" t="inlineStr">
        <is>
          <t>https://credibilita.com.br/wp-content/uploads/2025/09/Relacao-Credores-29.04.2026.pdf</t>
        </is>
      </c>
      <c r="AN50" s="18" t="inlineStr">
        <is>
          <t>p1 r3</t>
        </is>
      </c>
      <c r="AO50" s="18" t="inlineStr">
        <is>
          <t>p1: R$ 4.681.142,41</t>
        </is>
      </c>
      <c r="AP50" s="18" t="inlineStr">
        <is>
          <t>QUORUM_LIST</t>
        </is>
      </c>
      <c r="AQ50" s="18" t="inlineStr"/>
      <c r="AR50" s="18" t="inlineStr">
        <is>
          <t>OK_NO_TOTALS</t>
        </is>
      </c>
      <c r="AS50" s="18" t="inlineStr">
        <is>
          <t>ROWS:p1r3 UNRECONCILED_SOURCE VALUE_COL:Valor_Após_Analise CASE_NUMBER_CORRECTED</t>
        </is>
      </c>
      <c r="AT50" s="18" t="inlineStr">
        <is>
          <t>cf92cff797d2</t>
        </is>
      </c>
    </row>
    <row r="51">
      <c r="A51" s="9" t="n">
        <v>50</v>
      </c>
      <c r="B51" s="9" t="inlineStr">
        <is>
          <t>NEW</t>
        </is>
      </c>
      <c r="C51" s="9" t="inlineStr"/>
      <c r="D51" s="9" t="n">
        <v>0</v>
      </c>
      <c r="E51" s="9" t="inlineStr"/>
      <c r="F51" s="9" t="inlineStr"/>
      <c r="G51" s="9" t="inlineStr"/>
      <c r="H51" s="9" t="inlineStr"/>
      <c r="I51" t="inlineStr">
        <is>
          <t>NORTEBAG INDUSTRIA DE EMBALAGENS S.A.</t>
        </is>
      </c>
      <c r="J51" t="inlineStr">
        <is>
          <t>05399071000122</t>
        </is>
      </c>
      <c r="K51" t="inlineStr">
        <is>
          <t>05399071</t>
        </is>
      </c>
      <c r="L51" t="inlineStr">
        <is>
          <t>05399071000122</t>
        </is>
      </c>
      <c r="M51" s="10" t="n">
        <v>4680282.82</v>
      </c>
      <c r="N51" t="n">
        <v>1</v>
      </c>
      <c r="O51" s="11" t="inlineStr">
        <is>
          <t>C</t>
        </is>
      </c>
      <c r="P51" s="11" t="inlineStr">
        <is>
          <t>ACTIVE</t>
        </is>
      </c>
      <c r="Q51" s="12" t="n">
        <v>45057</v>
      </c>
      <c r="R51" s="11">
        <f>IF(Q51="","",ROUND((TODAY()-Q51)/365.25,1))</f>
        <v/>
      </c>
      <c r="S51" s="13">
        <f>IFERROR(VLOOKUP(O51,Assumptions!$A$7:$F$11,2,FALSE),0.25)</f>
        <v/>
      </c>
      <c r="T51" s="14">
        <f>IF(O51="A",MAX(1,IFERROR(VLOOKUP(O51,Assumptions!$A$7:$F$11,3,FALSE),3)+IFERROR(VLOOKUP(O51,Assumptions!$A$7:$F$11,4,FALSE),8)/2-MAX(0,IF(R51="",0,R51)-IFERROR(VLOOKUP(O51,Assumptions!$A$7:$F$11,5,FALSE),1.5))),IFERROR(VLOOKUP(O51,Assumptions!$A$7:$F$11,5,FALSE),2.5)+IFERROR(VLOOKUP(O51,Assumptions!$A$7:$F$11,3,FALSE),3)+IFERROR(VLOOKUP(O51,Assumptions!$A$7:$F$11,4,FALSE),8)/2)</f>
        <v/>
      </c>
      <c r="U51" s="15">
        <f>M51*S51/(1+Assumptions!$B$3)^T51</f>
        <v/>
      </c>
      <c r="V51" s="11">
        <f>IF(M51=0,"",ROUND(U51/M51*100,1))</f>
        <v/>
      </c>
      <c r="W51" s="16">
        <f>U51*Assumptions!$B$4</f>
        <v/>
      </c>
      <c r="X51" s="11">
        <f>IF(M51=0,"",ROUND(W51/M51*100,1))</f>
        <v/>
      </c>
      <c r="Y51" t="inlineStr">
        <is>
          <t>TOP TEXTIL EMBALAGENS LTDA</t>
        </is>
      </c>
      <c r="Z51" t="inlineStr">
        <is>
          <t>5011460-87.2023.8.24.0020</t>
        </is>
      </c>
      <c r="AA51" t="inlineStr">
        <is>
          <t>TJSC</t>
        </is>
      </c>
      <c r="AB51" t="inlineStr">
        <is>
          <t>cataliseaj.com.br</t>
        </is>
      </c>
      <c r="AC51" t="inlineStr">
        <is>
          <t>MARCO ANTONIO GARCIA</t>
        </is>
      </c>
      <c r="AD51" t="inlineStr">
        <is>
          <t>Diretor</t>
        </is>
      </c>
      <c r="AE51" t="inlineStr">
        <is>
          <t>(92) 3396-6621</t>
        </is>
      </c>
      <c r="AF51" t="inlineStr"/>
      <c r="AG51" t="inlineStr"/>
      <c r="AH51" t="inlineStr">
        <is>
          <t>AM</t>
        </is>
      </c>
      <c r="AI51" t="inlineStr">
        <is>
          <t>MANAUS</t>
        </is>
      </c>
      <c r="AJ51" t="inlineStr">
        <is>
          <t>Fabricação de outros produtos têxteis não especificados anteriormente</t>
        </is>
      </c>
      <c r="AK51" t="inlineStr">
        <is>
          <t>DEMAIS</t>
        </is>
      </c>
      <c r="AL51" t="inlineStr">
        <is>
          <t>ATIVA</t>
        </is>
      </c>
      <c r="AM51" s="17" t="inlineStr">
        <is>
          <t>https://cataliseaj.com.br/sgc/download.php?file=files/processo_documento/processo_documento15092204102024_1_.pdf&amp;nome=02. RELAÇÃO DE CREDORES</t>
        </is>
      </c>
      <c r="AN51" s="18" t="inlineStr">
        <is>
          <t>p2 r66</t>
        </is>
      </c>
      <c r="AO51" s="18" t="inlineStr">
        <is>
          <t>p2: R$ 4.680.282,82</t>
        </is>
      </c>
      <c r="AP51" s="18" t="inlineStr">
        <is>
          <t>DEBTOR_LIST</t>
        </is>
      </c>
      <c r="AQ51" s="18" t="inlineStr"/>
      <c r="AR51" s="18" t="inlineStr">
        <is>
          <t>OK_NO_TOTALS</t>
        </is>
      </c>
      <c r="AS51" s="18" t="inlineStr">
        <is>
          <t>ROWS:p2r66 UNRECONCILED_SOURCE</t>
        </is>
      </c>
      <c r="AT51" s="18" t="inlineStr">
        <is>
          <t>741aed48dd00</t>
        </is>
      </c>
    </row>
    <row r="52">
      <c r="A52" s="9" t="n">
        <v>51</v>
      </c>
      <c r="B52" s="9" t="inlineStr">
        <is>
          <t>NEW</t>
        </is>
      </c>
      <c r="C52" s="9" t="inlineStr"/>
      <c r="D52" s="9" t="n">
        <v>0</v>
      </c>
      <c r="E52" s="9" t="inlineStr"/>
      <c r="F52" s="9" t="inlineStr"/>
      <c r="G52" s="9" t="inlineStr"/>
      <c r="H52" s="9" t="inlineStr"/>
      <c r="I52" t="inlineStr">
        <is>
          <t>SERRINHA AMBIENTAL TRANSPORTES LTDA</t>
        </is>
      </c>
      <c r="J52" t="inlineStr">
        <is>
          <t>SERRINHA AMBIENTAL TRANSPORTES LTDA</t>
        </is>
      </c>
      <c r="K52" t="inlineStr">
        <is>
          <t>32851823</t>
        </is>
      </c>
      <c r="L52" t="inlineStr">
        <is>
          <t>32851823000117</t>
        </is>
      </c>
      <c r="M52" s="10" t="n">
        <v>4672725.1</v>
      </c>
      <c r="N52" t="n">
        <v>1</v>
      </c>
      <c r="O52" s="11" t="inlineStr">
        <is>
          <t>C</t>
        </is>
      </c>
      <c r="P52" s="11" t="inlineStr">
        <is>
          <t>ACTIVE</t>
        </is>
      </c>
      <c r="Q52" s="12" t="n">
        <v>45264</v>
      </c>
      <c r="R52" s="11">
        <f>IF(Q52="","",ROUND((TODAY()-Q52)/365.25,1))</f>
        <v/>
      </c>
      <c r="S52" s="13">
        <f>IFERROR(VLOOKUP(O52,Assumptions!$A$7:$F$11,2,FALSE),0.25)</f>
        <v/>
      </c>
      <c r="T52" s="14">
        <f>IF(O52="A",MAX(1,IFERROR(VLOOKUP(O52,Assumptions!$A$7:$F$11,3,FALSE),3)+IFERROR(VLOOKUP(O52,Assumptions!$A$7:$F$11,4,FALSE),8)/2-MAX(0,IF(R52="",0,R52)-IFERROR(VLOOKUP(O52,Assumptions!$A$7:$F$11,5,FALSE),1.5))),IFERROR(VLOOKUP(O52,Assumptions!$A$7:$F$11,5,FALSE),2.5)+IFERROR(VLOOKUP(O52,Assumptions!$A$7:$F$11,3,FALSE),3)+IFERROR(VLOOKUP(O52,Assumptions!$A$7:$F$11,4,FALSE),8)/2)</f>
        <v/>
      </c>
      <c r="U52" s="15">
        <f>M52*S52/(1+Assumptions!$B$3)^T52</f>
        <v/>
      </c>
      <c r="V52" s="11">
        <f>IF(M52=0,"",ROUND(U52/M52*100,1))</f>
        <v/>
      </c>
      <c r="W52" s="16">
        <f>U52*Assumptions!$B$4</f>
        <v/>
      </c>
      <c r="X52" s="11">
        <f>IF(M52=0,"",ROUND(W52/M52*100,1))</f>
        <v/>
      </c>
      <c r="Y52" t="inlineStr">
        <is>
          <t>Alto Uruguai Indústria e Comércio de Óleos Ltda</t>
        </is>
      </c>
      <c r="Z52" t="inlineStr">
        <is>
          <t>5012743-51.2023.8.24.0019</t>
        </is>
      </c>
      <c r="AA52" t="inlineStr">
        <is>
          <t>TJSC</t>
        </is>
      </c>
      <c r="AB52" t="inlineStr">
        <is>
          <t>ajruiz.com.br</t>
        </is>
      </c>
      <c r="AC52" t="inlineStr">
        <is>
          <t>VOLNEI DOS SANTOS</t>
        </is>
      </c>
      <c r="AD52" t="inlineStr">
        <is>
          <t>Administrador</t>
        </is>
      </c>
      <c r="AE52" t="inlineStr">
        <is>
          <t>(49) 9914-4317</t>
        </is>
      </c>
      <c r="AF52" t="inlineStr"/>
      <c r="AG52" t="inlineStr"/>
      <c r="AH52" t="inlineStr">
        <is>
          <t>SC</t>
        </is>
      </c>
      <c r="AI52" t="inlineStr">
        <is>
          <t>CHAPECO</t>
        </is>
      </c>
      <c r="AJ52" t="inlineStr">
        <is>
          <t>Transporte rodoviário de carga, exceto produtos perigosos e mudanças, intermunicipal, interestadual e internacional</t>
        </is>
      </c>
      <c r="AK52" t="inlineStr">
        <is>
          <t>DEMAIS</t>
        </is>
      </c>
      <c r="AL52" t="inlineStr">
        <is>
          <t>ATIVA</t>
        </is>
      </c>
      <c r="AM52" s="17" t="inlineStr">
        <is>
          <t>https://ajruiz.com.br/sites/default/files/public/arquivos-processos/2026-06/alto_uruguai_qgc_junho.2026.pdf</t>
        </is>
      </c>
      <c r="AN52" s="18" t="inlineStr">
        <is>
          <t>p1 r35</t>
        </is>
      </c>
      <c r="AO52" s="18" t="inlineStr">
        <is>
          <t>p1: R$ 4.672.725,10</t>
        </is>
      </c>
      <c r="AP52" s="18" t="inlineStr">
        <is>
          <t>UNKNOWN</t>
        </is>
      </c>
      <c r="AQ52" s="18" t="inlineStr"/>
      <c r="AR52" s="18" t="inlineStr">
        <is>
          <t>OK</t>
        </is>
      </c>
      <c r="AS52" s="18" t="inlineStr">
        <is>
          <t>ROWS:p1r35 VALUE_COL:Valor_Do_Crédito</t>
        </is>
      </c>
      <c r="AT52" s="18" t="inlineStr">
        <is>
          <t>75336e98f447</t>
        </is>
      </c>
    </row>
    <row r="53">
      <c r="A53" s="9" t="n">
        <v>52</v>
      </c>
      <c r="B53" s="9" t="inlineStr">
        <is>
          <t>NEW</t>
        </is>
      </c>
      <c r="C53" s="9" t="inlineStr"/>
      <c r="D53" s="9" t="n">
        <v>0</v>
      </c>
      <c r="E53" s="9" t="inlineStr"/>
      <c r="F53" s="9" t="inlineStr"/>
      <c r="G53" s="9" t="inlineStr"/>
      <c r="H53" s="9" t="inlineStr"/>
      <c r="I53" t="inlineStr">
        <is>
          <t>YARA BRASIL FERTILIZANTES S/A</t>
        </is>
      </c>
      <c r="J53" t="inlineStr">
        <is>
          <t>YARA BRASIL FERTILIZANTES S/A</t>
        </is>
      </c>
      <c r="K53" t="inlineStr">
        <is>
          <t>92660604</t>
        </is>
      </c>
      <c r="L53" t="inlineStr">
        <is>
          <t>92660604014132</t>
        </is>
      </c>
      <c r="M53" s="10" t="n">
        <v>4591380</v>
      </c>
      <c r="N53" t="n">
        <v>1</v>
      </c>
      <c r="O53" s="11" t="inlineStr">
        <is>
          <t>B</t>
        </is>
      </c>
      <c r="P53" s="11" t="inlineStr">
        <is>
          <t>ACTIVE</t>
        </is>
      </c>
      <c r="Q53" s="12" t="n">
        <v>46030</v>
      </c>
      <c r="R53" s="11">
        <f>IF(Q53="","",ROUND((TODAY()-Q53)/365.25,1))</f>
        <v/>
      </c>
      <c r="S53" s="13">
        <f>IFERROR(VLOOKUP(O53,Assumptions!$A$7:$F$11,2,FALSE),0.25)</f>
        <v/>
      </c>
      <c r="T53" s="14">
        <f>IF(O53="A",MAX(1,IFERROR(VLOOKUP(O53,Assumptions!$A$7:$F$11,3,FALSE),3)+IFERROR(VLOOKUP(O53,Assumptions!$A$7:$F$11,4,FALSE),8)/2-MAX(0,IF(R53="",0,R53)-IFERROR(VLOOKUP(O53,Assumptions!$A$7:$F$11,5,FALSE),1.5))),IFERROR(VLOOKUP(O53,Assumptions!$A$7:$F$11,5,FALSE),2.5)+IFERROR(VLOOKUP(O53,Assumptions!$A$7:$F$11,3,FALSE),3)+IFERROR(VLOOKUP(O53,Assumptions!$A$7:$F$11,4,FALSE),8)/2)</f>
        <v/>
      </c>
      <c r="U53" s="15">
        <f>M53*S53/(1+Assumptions!$B$3)^T53</f>
        <v/>
      </c>
      <c r="V53" s="11">
        <f>IF(M53=0,"",ROUND(U53/M53*100,1))</f>
        <v/>
      </c>
      <c r="W53" s="16">
        <f>U53*Assumptions!$B$4</f>
        <v/>
      </c>
      <c r="X53" s="11">
        <f>IF(M53=0,"",ROUND(W53/M53*100,1))</f>
        <v/>
      </c>
      <c r="Y53" t="inlineStr">
        <is>
          <t>GRUPO FERRARI (ALEX, ALEXANDRE , ANDRIELLE FERRARI MANTELLI, ARCIR LUIS, ERICA SANTOS ASSIS LIMA, FERNANDO MANTELLI, IDELSI, TALITA LEITE SILVA, AGROPECUARIA FERRARI LTDA E FERRARI ARMAZENS GERAIS)</t>
        </is>
      </c>
      <c r="Z53" t="inlineStr">
        <is>
          <t>5011369-81.2026.8.09.0093</t>
        </is>
      </c>
      <c r="AA53" t="inlineStr">
        <is>
          <t>TJGO</t>
        </is>
      </c>
      <c r="AB53" t="inlineStr">
        <is>
          <t>scalzilliaj.com.br</t>
        </is>
      </c>
      <c r="AC53" t="inlineStr">
        <is>
          <t>ADRIANA DEL CARMEN NUNEZ ARANGUREN</t>
        </is>
      </c>
      <c r="AD53" t="inlineStr">
        <is>
          <t>Diretor</t>
        </is>
      </c>
      <c r="AE53" t="inlineStr">
        <is>
          <t>(51) 3230-1300</t>
        </is>
      </c>
      <c r="AF53" t="inlineStr"/>
      <c r="AG53" t="inlineStr"/>
      <c r="AH53" t="inlineStr">
        <is>
          <t>RS</t>
        </is>
      </c>
      <c r="AI53" t="inlineStr">
        <is>
          <t>PORTO ALEGRE</t>
        </is>
      </c>
      <c r="AJ53" t="inlineStr">
        <is>
          <t>Fabricação de adubos e fertilizantes, exceto organo-minerais</t>
        </is>
      </c>
      <c r="AK53" t="inlineStr">
        <is>
          <t>DEMAIS</t>
        </is>
      </c>
      <c r="AL53" t="inlineStr">
        <is>
          <t>ATIVA</t>
        </is>
      </c>
      <c r="AM53" s="17" t="inlineStr">
        <is>
          <t>https://scalzilliaj.com.br/sgc/download.php?file=files/processo_documento/processo_documento11421222052026_1_.pdf&amp;nome=08. Lista de credores do edital do art. 52, §1º da LREF</t>
        </is>
      </c>
      <c r="AN53" s="18" t="inlineStr">
        <is>
          <t>p3 r7</t>
        </is>
      </c>
      <c r="AO53" s="18" t="inlineStr">
        <is>
          <t>p3: R$ 4.591.380,00</t>
        </is>
      </c>
      <c r="AP53" s="18" t="inlineStr">
        <is>
          <t>UNKNOWN</t>
        </is>
      </c>
      <c r="AQ53" s="18" t="inlineStr"/>
      <c r="AR53" s="18" t="inlineStr">
        <is>
          <t>OK_NO_TOTALS</t>
        </is>
      </c>
      <c r="AS53" s="18" t="inlineStr">
        <is>
          <t>ROWS:p3r7 UNRECONCILED_SOURCE</t>
        </is>
      </c>
      <c r="AT53" s="18" t="inlineStr">
        <is>
          <t>c536a2fa4da3</t>
        </is>
      </c>
    </row>
    <row r="54">
      <c r="A54" s="9" t="n">
        <v>53</v>
      </c>
      <c r="B54" s="9" t="inlineStr">
        <is>
          <t>NEW</t>
        </is>
      </c>
      <c r="C54" s="9" t="inlineStr"/>
      <c r="D54" s="9" t="n">
        <v>0</v>
      </c>
      <c r="E54" s="9" t="inlineStr"/>
      <c r="F54" s="9" t="inlineStr"/>
      <c r="G54" s="9" t="inlineStr"/>
      <c r="H54" s="9" t="inlineStr"/>
      <c r="I54" t="inlineStr">
        <is>
          <t>IPIRANGA PRODUTOS DE PETROLEO S.A.</t>
        </is>
      </c>
      <c r="J54" t="inlineStr">
        <is>
          <t>AV SIDNEY CARDON DE OLIVEIRA,1879 - PAULINIA-SP - CEP 13140-000</t>
        </is>
      </c>
      <c r="K54" t="inlineStr">
        <is>
          <t>33337122</t>
        </is>
      </c>
      <c r="L54" t="inlineStr">
        <is>
          <t>33337122005358</t>
        </is>
      </c>
      <c r="M54" s="10" t="n">
        <v>4589364.33</v>
      </c>
      <c r="N54" t="n">
        <v>1</v>
      </c>
      <c r="O54" s="11" t="inlineStr">
        <is>
          <t>U</t>
        </is>
      </c>
      <c r="P54" s="11" t="inlineStr"/>
      <c r="Q54" s="12" t="inlineStr"/>
      <c r="R54" s="11">
        <f>IF(Q54="","",ROUND((TODAY()-Q54)/365.25,1))</f>
        <v/>
      </c>
      <c r="S54" s="13">
        <f>IFERROR(VLOOKUP(O54,Assumptions!$A$7:$F$11,2,FALSE),0.25)</f>
        <v/>
      </c>
      <c r="T54" s="14">
        <f>IF(O54="A",MAX(1,IFERROR(VLOOKUP(O54,Assumptions!$A$7:$F$11,3,FALSE),3)+IFERROR(VLOOKUP(O54,Assumptions!$A$7:$F$11,4,FALSE),8)/2-MAX(0,IF(R54="",0,R54)-IFERROR(VLOOKUP(O54,Assumptions!$A$7:$F$11,5,FALSE),1.5))),IFERROR(VLOOKUP(O54,Assumptions!$A$7:$F$11,5,FALSE),2.5)+IFERROR(VLOOKUP(O54,Assumptions!$A$7:$F$11,3,FALSE),3)+IFERROR(VLOOKUP(O54,Assumptions!$A$7:$F$11,4,FALSE),8)/2)</f>
        <v/>
      </c>
      <c r="U54" s="15">
        <f>M54*S54/(1+Assumptions!$B$3)^T54</f>
        <v/>
      </c>
      <c r="V54" s="11">
        <f>IF(M54=0,"",ROUND(U54/M54*100,1))</f>
        <v/>
      </c>
      <c r="W54" s="16">
        <f>U54*Assumptions!$B$4</f>
        <v/>
      </c>
      <c r="X54" s="11">
        <f>IF(M54=0,"",ROUND(W54/M54*100,1))</f>
        <v/>
      </c>
      <c r="Y54" t="inlineStr">
        <is>
          <t>Base</t>
        </is>
      </c>
      <c r="Z54" t="inlineStr">
        <is>
          <t>(not found in document)</t>
        </is>
      </c>
      <c r="AA54" t="inlineStr"/>
      <c r="AB54" t="inlineStr">
        <is>
          <t>ajruiz.com.br</t>
        </is>
      </c>
      <c r="AC54" t="inlineStr">
        <is>
          <t>CARLOS FREDERICO RESENDE</t>
        </is>
      </c>
      <c r="AD54" t="inlineStr">
        <is>
          <t>Administrador</t>
        </is>
      </c>
      <c r="AE54" t="inlineStr">
        <is>
          <t>(21) 2574-5858</t>
        </is>
      </c>
      <c r="AF54" t="inlineStr"/>
      <c r="AG54" t="inlineStr"/>
      <c r="AH54" t="inlineStr">
        <is>
          <t>RJ</t>
        </is>
      </c>
      <c r="AI54" t="inlineStr">
        <is>
          <t>RIO DE JANEIRO</t>
        </is>
      </c>
      <c r="AJ54" t="inlineStr">
        <is>
          <t>Comércio atacadista de álcool carburante, biodiesel, gasolina e demais derivados de petróleo, exceto lubrificantes, não realizado por transportador re</t>
        </is>
      </c>
      <c r="AK54" t="inlineStr">
        <is>
          <t>DEMAIS</t>
        </is>
      </c>
      <c r="AL54" t="inlineStr">
        <is>
          <t>ATIVA</t>
        </is>
      </c>
      <c r="AM54" s="17" t="inlineStr">
        <is>
          <t>https://ajruiz.com.br/sites/default/files/public/arquivos-processos/2023-11/4_relacao_de_credores_analitica_art._51_iii_da_lre.pdf</t>
        </is>
      </c>
      <c r="AN54" s="18" t="inlineStr">
        <is>
          <t>p3 r20</t>
        </is>
      </c>
      <c r="AO54" s="18" t="inlineStr">
        <is>
          <t>p3: R$ 4.589.364,33</t>
        </is>
      </c>
      <c r="AP54" s="18" t="inlineStr">
        <is>
          <t>UNKNOWN</t>
        </is>
      </c>
      <c r="AQ54" s="18" t="inlineStr"/>
      <c r="AR54" s="18" t="inlineStr">
        <is>
          <t>OK</t>
        </is>
      </c>
      <c r="AS54" s="18" t="inlineStr">
        <is>
          <t>ROWS:p3r20 CASE_NUMBER_CORRECTED</t>
        </is>
      </c>
      <c r="AT54" s="18" t="inlineStr">
        <is>
          <t>2407a56c3502</t>
        </is>
      </c>
    </row>
    <row r="55">
      <c r="A55" s="9" t="n">
        <v>54</v>
      </c>
      <c r="B55" s="9" t="inlineStr">
        <is>
          <t>NEW</t>
        </is>
      </c>
      <c r="C55" s="9" t="inlineStr"/>
      <c r="D55" s="9" t="n">
        <v>0</v>
      </c>
      <c r="E55" s="9" t="inlineStr"/>
      <c r="F55" s="9" t="inlineStr"/>
      <c r="G55" s="9" t="inlineStr"/>
      <c r="H55" s="9" t="inlineStr"/>
      <c r="I55" t="inlineStr">
        <is>
          <t>BACUPARI AGROINDUSTRIA LTDA</t>
        </is>
      </c>
      <c r="J55" t="inlineStr">
        <is>
          <t>Bacupari Agroindustria - Lakes Fish</t>
        </is>
      </c>
      <c r="K55" t="inlineStr">
        <is>
          <t>19907274</t>
        </is>
      </c>
      <c r="L55" t="inlineStr">
        <is>
          <t>19907274000197</t>
        </is>
      </c>
      <c r="M55" s="10" t="n">
        <v>4500000</v>
      </c>
      <c r="N55" t="n">
        <v>1</v>
      </c>
      <c r="O55" s="11" t="inlineStr">
        <is>
          <t>B</t>
        </is>
      </c>
      <c r="P55" s="11" t="inlineStr">
        <is>
          <t>ACTIVE</t>
        </is>
      </c>
      <c r="Q55" s="12" t="n">
        <v>46130</v>
      </c>
      <c r="R55" s="11">
        <f>IF(Q55="","",ROUND((TODAY()-Q55)/365.25,1))</f>
        <v/>
      </c>
      <c r="S55" s="13">
        <f>IFERROR(VLOOKUP(O55,Assumptions!$A$7:$F$11,2,FALSE),0.25)</f>
        <v/>
      </c>
      <c r="T55" s="14">
        <f>IF(O55="A",MAX(1,IFERROR(VLOOKUP(O55,Assumptions!$A$7:$F$11,3,FALSE),3)+IFERROR(VLOOKUP(O55,Assumptions!$A$7:$F$11,4,FALSE),8)/2-MAX(0,IF(R55="",0,R55)-IFERROR(VLOOKUP(O55,Assumptions!$A$7:$F$11,5,FALSE),1.5))),IFERROR(VLOOKUP(O55,Assumptions!$A$7:$F$11,5,FALSE),2.5)+IFERROR(VLOOKUP(O55,Assumptions!$A$7:$F$11,3,FALSE),3)+IFERROR(VLOOKUP(O55,Assumptions!$A$7:$F$11,4,FALSE),8)/2)</f>
        <v/>
      </c>
      <c r="U55" s="15">
        <f>M55*S55/(1+Assumptions!$B$3)^T55</f>
        <v/>
      </c>
      <c r="V55" s="11">
        <f>IF(M55=0,"",ROUND(U55/M55*100,1))</f>
        <v/>
      </c>
      <c r="W55" s="16">
        <f>U55*Assumptions!$B$4</f>
        <v/>
      </c>
      <c r="X55" s="11">
        <f>IF(M55=0,"",ROUND(W55/M55*100,1))</f>
        <v/>
      </c>
      <c r="Y55" t="inlineStr">
        <is>
          <t>GRUPO 3E</t>
        </is>
      </c>
      <c r="Z55" t="inlineStr">
        <is>
          <t>5341375-33.2026.8.09.0049</t>
        </is>
      </c>
      <c r="AA55" t="inlineStr">
        <is>
          <t>TJGO</t>
        </is>
      </c>
      <c r="AB55" t="inlineStr">
        <is>
          <t>stenius.com.br</t>
        </is>
      </c>
      <c r="AC55" t="inlineStr">
        <is>
          <t>ANA PAOLA BRANDAO RAZEM ABRAO</t>
        </is>
      </c>
      <c r="AD55" t="inlineStr">
        <is>
          <t>Sócio-Administrador</t>
        </is>
      </c>
      <c r="AE55" t="inlineStr">
        <is>
          <t>(61) 9655-6611</t>
        </is>
      </c>
      <c r="AF55" t="inlineStr"/>
      <c r="AG55" t="inlineStr"/>
      <c r="AH55" t="inlineStr">
        <is>
          <t>DF</t>
        </is>
      </c>
      <c r="AI55" t="inlineStr">
        <is>
          <t>BRASILIA</t>
        </is>
      </c>
      <c r="AJ55" t="inlineStr">
        <is>
          <t>Compra e venda de imóveis próprios</t>
        </is>
      </c>
      <c r="AK55" t="inlineStr">
        <is>
          <t>DEMAIS</t>
        </is>
      </c>
      <c r="AL55" t="inlineStr">
        <is>
          <t>ATIVA</t>
        </is>
      </c>
      <c r="AM55" s="17" t="inlineStr">
        <is>
          <t>https://stenius.com.br/wp-content/uploads/2026/06/EDITAL-GRUPO-3E.pdf</t>
        </is>
      </c>
      <c r="AN55" s="18" t="inlineStr">
        <is>
          <t>p10 r29</t>
        </is>
      </c>
      <c r="AO55" s="18" t="inlineStr">
        <is>
          <t>p10: R$ 4.500.000,00</t>
        </is>
      </c>
      <c r="AP55" s="18" t="inlineStr">
        <is>
          <t>DEBTOR_LIST</t>
        </is>
      </c>
      <c r="AQ55" s="18" t="inlineStr">
        <is>
          <t>2026-06-22</t>
        </is>
      </c>
      <c r="AR55" s="18" t="inlineStr">
        <is>
          <t>OK_NO_TOTALS</t>
        </is>
      </c>
      <c r="AS55" s="18" t="inlineStr">
        <is>
          <t>ROWS:p10r29 UNRECONCILED_SOURCE</t>
        </is>
      </c>
      <c r="AT55" s="18" t="inlineStr">
        <is>
          <t>8e8832093a15</t>
        </is>
      </c>
    </row>
    <row r="56">
      <c r="A56" s="9" t="n">
        <v>55</v>
      </c>
      <c r="B56" s="9" t="inlineStr">
        <is>
          <t>NEW</t>
        </is>
      </c>
      <c r="C56" s="9" t="inlineStr"/>
      <c r="D56" s="9" t="n">
        <v>0</v>
      </c>
      <c r="E56" s="9" t="inlineStr"/>
      <c r="F56" s="9" t="inlineStr"/>
      <c r="G56" s="9" t="inlineStr"/>
      <c r="H56" s="9" t="inlineStr"/>
      <c r="I56" t="inlineStr">
        <is>
          <t>CENTRO AVANCADO DE NEUROLOGIA E NEUROCIRURGIA S/S</t>
        </is>
      </c>
      <c r="J56" t="inlineStr">
        <is>
          <t>CENTRO AVANCADO DE NEUROLOGIA E NEUROCIRURGIA S/S (</t>
        </is>
      </c>
      <c r="K56" t="inlineStr">
        <is>
          <t>18331491</t>
        </is>
      </c>
      <c r="L56" t="inlineStr">
        <is>
          <t>18331491000119</t>
        </is>
      </c>
      <c r="M56" s="10" t="n">
        <v>3947275.5</v>
      </c>
      <c r="N56" t="n">
        <v>1</v>
      </c>
      <c r="O56" s="11" t="inlineStr">
        <is>
          <t>C</t>
        </is>
      </c>
      <c r="P56" s="11" t="inlineStr">
        <is>
          <t>ACTIVE</t>
        </is>
      </c>
      <c r="Q56" s="12" t="n">
        <v>44735</v>
      </c>
      <c r="R56" s="11">
        <f>IF(Q56="","",ROUND((TODAY()-Q56)/365.25,1))</f>
        <v/>
      </c>
      <c r="S56" s="13">
        <f>IFERROR(VLOOKUP(O56,Assumptions!$A$7:$F$11,2,FALSE),0.25)</f>
        <v/>
      </c>
      <c r="T56" s="14">
        <f>IF(O56="A",MAX(1,IFERROR(VLOOKUP(O56,Assumptions!$A$7:$F$11,3,FALSE),3)+IFERROR(VLOOKUP(O56,Assumptions!$A$7:$F$11,4,FALSE),8)/2-MAX(0,IF(R56="",0,R56)-IFERROR(VLOOKUP(O56,Assumptions!$A$7:$F$11,5,FALSE),1.5))),IFERROR(VLOOKUP(O56,Assumptions!$A$7:$F$11,5,FALSE),2.5)+IFERROR(VLOOKUP(O56,Assumptions!$A$7:$F$11,3,FALSE),3)+IFERROR(VLOOKUP(O56,Assumptions!$A$7:$F$11,4,FALSE),8)/2)</f>
        <v/>
      </c>
      <c r="U56" s="15">
        <f>M56*S56/(1+Assumptions!$B$3)^T56</f>
        <v/>
      </c>
      <c r="V56" s="11">
        <f>IF(M56=0,"",ROUND(U56/M56*100,1))</f>
        <v/>
      </c>
      <c r="W56" s="16">
        <f>U56*Assumptions!$B$4</f>
        <v/>
      </c>
      <c r="X56" s="11">
        <f>IF(M56=0,"",ROUND(W56/M56*100,1))</f>
        <v/>
      </c>
      <c r="Y56" t="inlineStr">
        <is>
          <t>ASSOCIAÇÃO DE CARIDADE SANTA CASA DO RIO GRANDE</t>
        </is>
      </c>
      <c r="Z56" t="inlineStr">
        <is>
          <t>5012306-16.2022.8.21.0023</t>
        </is>
      </c>
      <c r="AA56" t="inlineStr">
        <is>
          <t>TJRS</t>
        </is>
      </c>
      <c r="AB56" t="inlineStr">
        <is>
          <t>scalzilliaj.com.br</t>
        </is>
      </c>
      <c r="AC56" t="inlineStr">
        <is>
          <t>GUSTAVO RASSIER ISOLAN</t>
        </is>
      </c>
      <c r="AD56" t="inlineStr">
        <is>
          <t>Sócio-Administrador</t>
        </is>
      </c>
      <c r="AE56" t="inlineStr">
        <is>
          <t>(51) 3276-7818</t>
        </is>
      </c>
      <c r="AF56" t="inlineStr"/>
      <c r="AG56" t="inlineStr"/>
      <c r="AH56" t="inlineStr">
        <is>
          <t>RS</t>
        </is>
      </c>
      <c r="AI56" t="inlineStr">
        <is>
          <t>PORTO ALEGRE</t>
        </is>
      </c>
      <c r="AJ56" t="inlineStr">
        <is>
          <t>Atividades de atenção ambulatorial não especificadas anteriormente</t>
        </is>
      </c>
      <c r="AK56" t="inlineStr">
        <is>
          <t>DEMAIS</t>
        </is>
      </c>
      <c r="AL56" t="inlineStr">
        <is>
          <t>ATIVA</t>
        </is>
      </c>
      <c r="AM56" s="17" t="inlineStr">
        <is>
          <t>https://scalzilliaj.com.br/sgc/download.php?file=files/processo_documento/processo_documento09120721032023_1_.pdf&amp;nome=15 - Edital do art. 7º, §2º e 53 da Lei 11.101/2005 (segunda lista de credores e recebimento do plano))</t>
        </is>
      </c>
      <c r="AN56" s="18" t="inlineStr">
        <is>
          <t>p26 r23</t>
        </is>
      </c>
      <c r="AO56" s="18" t="inlineStr">
        <is>
          <t>p26: R$ 3.947.275,50</t>
        </is>
      </c>
      <c r="AP56" s="18" t="inlineStr">
        <is>
          <t>AJ_LIST</t>
        </is>
      </c>
      <c r="AQ56" s="18" t="inlineStr">
        <is>
          <t>2023-03-21</t>
        </is>
      </c>
      <c r="AR56" s="18" t="inlineStr">
        <is>
          <t>OK_NO_TOTALS</t>
        </is>
      </c>
      <c r="AS56" s="18" t="inlineStr">
        <is>
          <t>ROWS:p26r23 UNRECONCILED_SOURCE</t>
        </is>
      </c>
      <c r="AT56" s="18" t="inlineStr">
        <is>
          <t>ebfb999b457c</t>
        </is>
      </c>
    </row>
    <row r="57">
      <c r="A57" s="9" t="n">
        <v>56</v>
      </c>
      <c r="B57" s="9" t="inlineStr">
        <is>
          <t>NEW</t>
        </is>
      </c>
      <c r="C57" s="9" t="inlineStr"/>
      <c r="D57" s="9" t="n">
        <v>0</v>
      </c>
      <c r="E57" s="9" t="inlineStr"/>
      <c r="F57" s="9" t="inlineStr"/>
      <c r="G57" s="9" t="inlineStr"/>
      <c r="H57" s="9" t="inlineStr"/>
      <c r="I57" t="inlineStr">
        <is>
          <t>BRASQUIMICA PRODUTOS ASFALTICOS LTDA</t>
        </is>
      </c>
      <c r="J57" t="inlineStr">
        <is>
          <t>BRASQUIMICA PRODUTOS ASFALTICOS LTDA</t>
        </is>
      </c>
      <c r="K57" t="inlineStr">
        <is>
          <t>13829957</t>
        </is>
      </c>
      <c r="L57" t="inlineStr">
        <is>
          <t>13829957000782</t>
        </is>
      </c>
      <c r="M57" s="10" t="n">
        <v>3879789.49</v>
      </c>
      <c r="N57" t="n">
        <v>1</v>
      </c>
      <c r="O57" s="11" t="inlineStr">
        <is>
          <t>C</t>
        </is>
      </c>
      <c r="P57" s="11" t="inlineStr">
        <is>
          <t>ACTIVE</t>
        </is>
      </c>
      <c r="Q57" s="12" t="n">
        <v>43838</v>
      </c>
      <c r="R57" s="11">
        <f>IF(Q57="","",ROUND((TODAY()-Q57)/365.25,1))</f>
        <v/>
      </c>
      <c r="S57" s="13">
        <f>IFERROR(VLOOKUP(O57,Assumptions!$A$7:$F$11,2,FALSE),0.25)</f>
        <v/>
      </c>
      <c r="T57" s="14">
        <f>IF(O57="A",MAX(1,IFERROR(VLOOKUP(O57,Assumptions!$A$7:$F$11,3,FALSE),3)+IFERROR(VLOOKUP(O57,Assumptions!$A$7:$F$11,4,FALSE),8)/2-MAX(0,IF(R57="",0,R57)-IFERROR(VLOOKUP(O57,Assumptions!$A$7:$F$11,5,FALSE),1.5))),IFERROR(VLOOKUP(O57,Assumptions!$A$7:$F$11,5,FALSE),2.5)+IFERROR(VLOOKUP(O57,Assumptions!$A$7:$F$11,3,FALSE),3)+IFERROR(VLOOKUP(O57,Assumptions!$A$7:$F$11,4,FALSE),8)/2)</f>
        <v/>
      </c>
      <c r="U57" s="15">
        <f>M57*S57/(1+Assumptions!$B$3)^T57</f>
        <v/>
      </c>
      <c r="V57" s="11">
        <f>IF(M57=0,"",ROUND(U57/M57*100,1))</f>
        <v/>
      </c>
      <c r="W57" s="16">
        <f>U57*Assumptions!$B$4</f>
        <v/>
      </c>
      <c r="X57" s="11">
        <f>IF(M57=0,"",ROUND(W57/M57*100,1))</f>
        <v/>
      </c>
      <c r="Y57" t="inlineStr">
        <is>
          <t>CONSTRUTORA ANDRADE GUEDES LTDA</t>
        </is>
      </c>
      <c r="Z57" t="inlineStr">
        <is>
          <t>0000880-57.2020.8.17.2001</t>
        </is>
      </c>
      <c r="AA57" t="inlineStr">
        <is>
          <t>TJPE</t>
        </is>
      </c>
      <c r="AB57" t="inlineStr">
        <is>
          <t>diligence.adm.br</t>
        </is>
      </c>
      <c r="AC57" t="inlineStr">
        <is>
          <t>ALBERTO GARRIDO PINON</t>
        </is>
      </c>
      <c r="AD57" t="inlineStr">
        <is>
          <t>Administrador</t>
        </is>
      </c>
      <c r="AE57" t="inlineStr">
        <is>
          <t>(71) 3118-2100</t>
        </is>
      </c>
      <c r="AF57" t="inlineStr"/>
      <c r="AG57" t="inlineStr"/>
      <c r="AH57" t="inlineStr">
        <is>
          <t>BA</t>
        </is>
      </c>
      <c r="AI57" t="inlineStr">
        <is>
          <t>SALVADOR</t>
        </is>
      </c>
      <c r="AJ57" t="inlineStr">
        <is>
          <t>Comércio atacadista de outros produtos químicos e petroquímicos não especificados anteriormente</t>
        </is>
      </c>
      <c r="AK57" t="inlineStr">
        <is>
          <t>DEMAIS</t>
        </is>
      </c>
      <c r="AL57" t="inlineStr">
        <is>
          <t>ATIVA</t>
        </is>
      </c>
      <c r="AM57" s="17" t="inlineStr">
        <is>
          <t>https://diligence.adm.br/wp-content/plugins/download-attachments/includes/download.php?id=4599</t>
        </is>
      </c>
      <c r="AN57" s="18" t="inlineStr">
        <is>
          <t>p10 r10</t>
        </is>
      </c>
      <c r="AO57" s="18" t="inlineStr">
        <is>
          <t>p10: R$ 3.879.789,49</t>
        </is>
      </c>
      <c r="AP57" s="18" t="inlineStr">
        <is>
          <t>AJ_LIST</t>
        </is>
      </c>
      <c r="AQ57" s="18" t="inlineStr">
        <is>
          <t>2024-06-25</t>
        </is>
      </c>
      <c r="AR57" s="18" t="inlineStr">
        <is>
          <t>OK_NO_TOTALS</t>
        </is>
      </c>
      <c r="AS57" s="18" t="inlineStr">
        <is>
          <t>ALT_VALUE:R$3.849.447,97 ALT_VALUE:R$30.341,52 ROWS:p10r10 UNRECONCILED_SOURCE VALUE_COL:2ª_Lista</t>
        </is>
      </c>
      <c r="AT57" s="18" t="inlineStr">
        <is>
          <t>44ecd0afa707</t>
        </is>
      </c>
    </row>
    <row r="58">
      <c r="A58" s="9" t="n">
        <v>57</v>
      </c>
      <c r="B58" s="9" t="inlineStr">
        <is>
          <t>NEW</t>
        </is>
      </c>
      <c r="C58" s="9" t="inlineStr"/>
      <c r="D58" s="9" t="n">
        <v>0</v>
      </c>
      <c r="E58" s="9" t="inlineStr"/>
      <c r="F58" s="9" t="inlineStr"/>
      <c r="G58" s="9" t="inlineStr"/>
      <c r="H58" s="9" t="inlineStr"/>
      <c r="I58" t="inlineStr">
        <is>
          <t>COMPANHIA DE AGUA E ESGOTOS DA PARAIBA CAGEPA</t>
        </is>
      </c>
      <c r="J58" t="inlineStr">
        <is>
          <t>COMPANHIA DE ÁGUA E ESGOTOS DA PARAIBA CAGEPA</t>
        </is>
      </c>
      <c r="K58" t="inlineStr">
        <is>
          <t>09123654</t>
        </is>
      </c>
      <c r="L58" t="inlineStr">
        <is>
          <t>09123654000187</t>
        </is>
      </c>
      <c r="M58" s="10" t="n">
        <v>3641949.67</v>
      </c>
      <c r="N58" t="n">
        <v>1</v>
      </c>
      <c r="O58" s="11" t="inlineStr">
        <is>
          <t>C</t>
        </is>
      </c>
      <c r="P58" s="11" t="inlineStr">
        <is>
          <t>ACTIVE</t>
        </is>
      </c>
      <c r="Q58" s="12" t="n">
        <v>45174</v>
      </c>
      <c r="R58" s="11">
        <f>IF(Q58="","",ROUND((TODAY()-Q58)/365.25,1))</f>
        <v/>
      </c>
      <c r="S58" s="13">
        <f>IFERROR(VLOOKUP(O58,Assumptions!$A$7:$F$11,2,FALSE),0.25)</f>
        <v/>
      </c>
      <c r="T58" s="14">
        <f>IF(O58="A",MAX(1,IFERROR(VLOOKUP(O58,Assumptions!$A$7:$F$11,3,FALSE),3)+IFERROR(VLOOKUP(O58,Assumptions!$A$7:$F$11,4,FALSE),8)/2-MAX(0,IF(R58="",0,R58)-IFERROR(VLOOKUP(O58,Assumptions!$A$7:$F$11,5,FALSE),1.5))),IFERROR(VLOOKUP(O58,Assumptions!$A$7:$F$11,5,FALSE),2.5)+IFERROR(VLOOKUP(O58,Assumptions!$A$7:$F$11,3,FALSE),3)+IFERROR(VLOOKUP(O58,Assumptions!$A$7:$F$11,4,FALSE),8)/2)</f>
        <v/>
      </c>
      <c r="U58" s="15">
        <f>M58*S58/(1+Assumptions!$B$3)^T58</f>
        <v/>
      </c>
      <c r="V58" s="11">
        <f>IF(M58=0,"",ROUND(U58/M58*100,1))</f>
        <v/>
      </c>
      <c r="W58" s="16">
        <f>U58*Assumptions!$B$4</f>
        <v/>
      </c>
      <c r="X58" s="11">
        <f>IF(M58=0,"",ROUND(W58/M58*100,1))</f>
        <v/>
      </c>
      <c r="Y58" t="inlineStr">
        <is>
          <t>TREZE FUTEBOL CLUBE</t>
        </is>
      </c>
      <c r="Z58" t="inlineStr">
        <is>
          <t>0829315-43.2023.8.15.0001</t>
        </is>
      </c>
      <c r="AA58" t="inlineStr">
        <is>
          <t>TJPB</t>
        </is>
      </c>
      <c r="AB58" t="inlineStr">
        <is>
          <t>lrflideres.com.br</t>
        </is>
      </c>
      <c r="AC58" t="inlineStr">
        <is>
          <t>MARCUS VINICIUS FERNANDES NEVES</t>
        </is>
      </c>
      <c r="AD58" t="inlineStr">
        <is>
          <t>Presidente</t>
        </is>
      </c>
      <c r="AE58" t="inlineStr">
        <is>
          <t>(83) 3218-1200</t>
        </is>
      </c>
      <c r="AF58" t="inlineStr">
        <is>
          <t>(83) 3218-1225</t>
        </is>
      </c>
      <c r="AG58" t="inlineStr"/>
      <c r="AH58" t="inlineStr">
        <is>
          <t>PB</t>
        </is>
      </c>
      <c r="AI58" t="inlineStr">
        <is>
          <t>JOAO PESSOA</t>
        </is>
      </c>
      <c r="AJ58" t="inlineStr">
        <is>
          <t>Captação, tratamento e distribuição de água</t>
        </is>
      </c>
      <c r="AK58" t="inlineStr">
        <is>
          <t>DEMAIS</t>
        </is>
      </c>
      <c r="AL58" t="inlineStr">
        <is>
          <t>ATIVA</t>
        </is>
      </c>
      <c r="AM58" s="17" t="inlineStr">
        <is>
          <t>https://lrflideres.com.br/wp-content/plugins/download-attachments/includes/download.php?id=5828</t>
        </is>
      </c>
      <c r="AN58" s="18" t="inlineStr">
        <is>
          <t>p3 r16</t>
        </is>
      </c>
      <c r="AO58" s="18" t="inlineStr">
        <is>
          <t>p3: R$ 3.641.949,67</t>
        </is>
      </c>
      <c r="AP58" s="18" t="inlineStr">
        <is>
          <t>AJ_LIST</t>
        </is>
      </c>
      <c r="AQ58" s="18" t="inlineStr">
        <is>
          <t>2024-04-18</t>
        </is>
      </c>
      <c r="AR58" s="18" t="inlineStr">
        <is>
          <t>OK</t>
        </is>
      </c>
      <c r="AS58" s="18" t="inlineStr">
        <is>
          <t>ROWS:p3r16</t>
        </is>
      </c>
      <c r="AT58" s="18" t="inlineStr">
        <is>
          <t>47e92e4db6f8</t>
        </is>
      </c>
    </row>
    <row r="59">
      <c r="A59" s="9" t="n">
        <v>58</v>
      </c>
      <c r="B59" s="9" t="inlineStr">
        <is>
          <t>NEW</t>
        </is>
      </c>
      <c r="C59" s="9" t="inlineStr"/>
      <c r="D59" s="9" t="n">
        <v>0</v>
      </c>
      <c r="E59" s="9" t="inlineStr"/>
      <c r="F59" s="9" t="inlineStr"/>
      <c r="G59" s="9" t="inlineStr"/>
      <c r="H59" s="9" t="inlineStr"/>
      <c r="I59" t="inlineStr">
        <is>
          <t>A GERADORA ALUGUEL DE MAQUINAS S.A.</t>
        </is>
      </c>
      <c r="J59" t="inlineStr">
        <is>
          <t>A Geradora Aluguel de Maquinas S.A</t>
        </is>
      </c>
      <c r="K59" t="inlineStr">
        <is>
          <t>33845322</t>
        </is>
      </c>
      <c r="L59" t="inlineStr">
        <is>
          <t>33845322000190, 33845322001081</t>
        </is>
      </c>
      <c r="M59" s="10" t="n">
        <v>3379805.88</v>
      </c>
      <c r="N59" t="n">
        <v>6</v>
      </c>
      <c r="O59" s="11" t="inlineStr">
        <is>
          <t>B</t>
        </is>
      </c>
      <c r="P59" s="11" t="inlineStr"/>
      <c r="Q59" s="12" t="n">
        <v>45756</v>
      </c>
      <c r="R59" s="11">
        <f>IF(Q59="","",ROUND((TODAY()-Q59)/365.25,1))</f>
        <v/>
      </c>
      <c r="S59" s="13">
        <f>IFERROR(VLOOKUP(O59,Assumptions!$A$7:$F$11,2,FALSE),0.25)</f>
        <v/>
      </c>
      <c r="T59" s="14">
        <f>IF(O59="A",MAX(1,IFERROR(VLOOKUP(O59,Assumptions!$A$7:$F$11,3,FALSE),3)+IFERROR(VLOOKUP(O59,Assumptions!$A$7:$F$11,4,FALSE),8)/2-MAX(0,IF(R59="",0,R59)-IFERROR(VLOOKUP(O59,Assumptions!$A$7:$F$11,5,FALSE),1.5))),IFERROR(VLOOKUP(O59,Assumptions!$A$7:$F$11,5,FALSE),2.5)+IFERROR(VLOOKUP(O59,Assumptions!$A$7:$F$11,3,FALSE),3)+IFERROR(VLOOKUP(O59,Assumptions!$A$7:$F$11,4,FALSE),8)/2)</f>
        <v/>
      </c>
      <c r="U59" s="15">
        <f>M59*S59/(1+Assumptions!$B$3)^T59</f>
        <v/>
      </c>
      <c r="V59" s="11">
        <f>IF(M59=0,"",ROUND(U59/M59*100,1))</f>
        <v/>
      </c>
      <c r="W59" s="16">
        <f>U59*Assumptions!$B$4</f>
        <v/>
      </c>
      <c r="X59" s="11">
        <f>IF(M59=0,"",ROUND(W59/M59*100,1))</f>
        <v/>
      </c>
      <c r="Y59" t="inlineStr">
        <is>
          <t>GRUPO EGESA (EGESA ENG S.A, EGESUR PART E EMP S.A, MATRIX INFRA LTDA, BEMVIVER ENG AMBIENTAL E SERV LTDA, DKF CONST E EMP LTDA, EGEPEL LTDA, ETR ASSESSORIA EMP E PART LTDA, MVT ENG E SERV LTDA, PARQUES DO VALE LTDA, ELMO RIBEIRO E ANA RIBEIRO)</t>
        </is>
      </c>
      <c r="Z59" t="inlineStr">
        <is>
          <t>5088952-81.2025.8.13.0024</t>
        </is>
      </c>
      <c r="AA59" t="inlineStr">
        <is>
          <t>TJMG</t>
        </is>
      </c>
      <c r="AB59" t="inlineStr">
        <is>
          <t>scalzilliaj.com.br</t>
        </is>
      </c>
      <c r="AC59" t="inlineStr">
        <is>
          <t>JOSE CANDIDO TERCEIRO JUNIOR</t>
        </is>
      </c>
      <c r="AD59" t="inlineStr">
        <is>
          <t>Diretor</t>
        </is>
      </c>
      <c r="AE59" t="inlineStr">
        <is>
          <t>(71) 3418-2600</t>
        </is>
      </c>
      <c r="AF59" t="inlineStr"/>
      <c r="AG59" t="inlineStr"/>
      <c r="AH59" t="inlineStr">
        <is>
          <t>BA</t>
        </is>
      </c>
      <c r="AI59" t="inlineStr">
        <is>
          <t>SALVADOR</t>
        </is>
      </c>
      <c r="AJ59" t="inlineStr">
        <is>
          <t>Aluguel de outras máquinas e equipamentos comerciais e industriais não especificados anteriormente, sem operador</t>
        </is>
      </c>
      <c r="AK59" t="inlineStr">
        <is>
          <t>DEMAIS</t>
        </is>
      </c>
      <c r="AL59" t="inlineStr">
        <is>
          <t>ATIVA</t>
        </is>
      </c>
      <c r="AM59" s="17" t="inlineStr">
        <is>
          <t>https://scalzilliaj.com.br/sgc/download.php?file=files/processo_documento/processo_documento09514021082025_1_.pdf&amp;nome=04 - Relação de credores das Recuperandas</t>
        </is>
      </c>
      <c r="AN59" s="18" t="inlineStr">
        <is>
          <t>p61 r2; p61 r3; p61 r4; p61 r5; p61 r6; p61 r7</t>
        </is>
      </c>
      <c r="AO59" s="18" t="inlineStr">
        <is>
          <t>p61: R$ 157.495,18; p61: R$ 78.391,92; p61: R$ 608.384,03; p61: R$ 589.125,42; p61: R$ 1.879.005,92; p61: R$ 67.403,41</t>
        </is>
      </c>
      <c r="AP59" s="18" t="inlineStr">
        <is>
          <t>DEBTOR_LIST</t>
        </is>
      </c>
      <c r="AQ59" s="18" t="inlineStr"/>
      <c r="AR59" s="18" t="inlineStr">
        <is>
          <t>OK</t>
        </is>
      </c>
      <c r="AS59" s="18" t="inlineStr">
        <is>
          <t>ROWS:p61r2,p61r3,p61r4,p61r5,p61r6,p61r7 VALUE_COL:Valor_Atualizado CASE_NUMBER_CORRECTED CASE_FROM_PORTAL</t>
        </is>
      </c>
      <c r="AT59" s="18" t="inlineStr">
        <is>
          <t>24ed98480a57</t>
        </is>
      </c>
    </row>
    <row r="60">
      <c r="A60" s="9" t="n">
        <v>59</v>
      </c>
      <c r="B60" s="9" t="inlineStr">
        <is>
          <t>NEW</t>
        </is>
      </c>
      <c r="C60" s="9" t="inlineStr"/>
      <c r="D60" s="9" t="n">
        <v>0</v>
      </c>
      <c r="E60" s="9" t="inlineStr"/>
      <c r="F60" s="9" t="inlineStr"/>
      <c r="G60" s="9" t="inlineStr"/>
      <c r="H60" s="9" t="inlineStr"/>
      <c r="I60" t="inlineStr">
        <is>
          <t>SALESFORCE TECNOLOGIA LTDA</t>
        </is>
      </c>
      <c r="J60" t="inlineStr">
        <is>
          <t>NÃO</t>
        </is>
      </c>
      <c r="K60" t="inlineStr">
        <is>
          <t>01080512</t>
        </is>
      </c>
      <c r="L60" t="inlineStr">
        <is>
          <t>01080512000178</t>
        </is>
      </c>
      <c r="M60" s="10" t="n">
        <v>3349893.45</v>
      </c>
      <c r="N60" t="n">
        <v>1</v>
      </c>
      <c r="O60" s="11" t="inlineStr">
        <is>
          <t>B</t>
        </is>
      </c>
      <c r="P60" s="11" t="inlineStr"/>
      <c r="Q60" s="12" t="inlineStr"/>
      <c r="R60" s="11">
        <f>IF(Q60="","",ROUND((TODAY()-Q60)/365.25,1))</f>
        <v/>
      </c>
      <c r="S60" s="13">
        <f>IFERROR(VLOOKUP(O60,Assumptions!$A$7:$F$11,2,FALSE),0.25)</f>
        <v/>
      </c>
      <c r="T60" s="14">
        <f>IF(O60="A",MAX(1,IFERROR(VLOOKUP(O60,Assumptions!$A$7:$F$11,3,FALSE),3)+IFERROR(VLOOKUP(O60,Assumptions!$A$7:$F$11,4,FALSE),8)/2-MAX(0,IF(R60="",0,R60)-IFERROR(VLOOKUP(O60,Assumptions!$A$7:$F$11,5,FALSE),1.5))),IFERROR(VLOOKUP(O60,Assumptions!$A$7:$F$11,5,FALSE),2.5)+IFERROR(VLOOKUP(O60,Assumptions!$A$7:$F$11,3,FALSE),3)+IFERROR(VLOOKUP(O60,Assumptions!$A$7:$F$11,4,FALSE),8)/2)</f>
        <v/>
      </c>
      <c r="U60" s="15">
        <f>M60*S60/(1+Assumptions!$B$3)^T60</f>
        <v/>
      </c>
      <c r="V60" s="11">
        <f>IF(M60=0,"",ROUND(U60/M60*100,1))</f>
        <v/>
      </c>
      <c r="W60" s="16">
        <f>U60*Assumptions!$B$4</f>
        <v/>
      </c>
      <c r="X60" s="11">
        <f>IF(M60=0,"",ROUND(W60/M60*100,1))</f>
        <v/>
      </c>
      <c r="Y60" t="inlineStr">
        <is>
          <t>Grupo Rech</t>
        </is>
      </c>
      <c r="Z60" t="inlineStr">
        <is>
          <t>5057720-48.2025.8.24.0023</t>
        </is>
      </c>
      <c r="AA60" t="inlineStr"/>
      <c r="AB60" t="inlineStr">
        <is>
          <t>credibilita.com.br</t>
        </is>
      </c>
      <c r="AC60" t="inlineStr">
        <is>
          <t>ALEXANDRE ANDRADE DA COSTA</t>
        </is>
      </c>
      <c r="AD60" t="inlineStr">
        <is>
          <t>Administrador</t>
        </is>
      </c>
      <c r="AE60" t="inlineStr">
        <is>
          <t>(11) 2110-3141</t>
        </is>
      </c>
      <c r="AF60" t="inlineStr"/>
      <c r="AG60" t="inlineStr"/>
      <c r="AH60" t="inlineStr">
        <is>
          <t>SP</t>
        </is>
      </c>
      <c r="AI60" t="inlineStr">
        <is>
          <t>SAO PAULO</t>
        </is>
      </c>
      <c r="AJ60" t="inlineStr">
        <is>
          <t>Desenvolvimento e licenciamento de programas de computador customizáveis</t>
        </is>
      </c>
      <c r="AK60" t="inlineStr">
        <is>
          <t>DEMAIS</t>
        </is>
      </c>
      <c r="AL60" t="inlineStr">
        <is>
          <t>ATIVA</t>
        </is>
      </c>
      <c r="AM60" s="17" t="inlineStr">
        <is>
          <t>https://credibilita.com.br/wp-content/uploads/2025/09/Relacao-Credores-29.04.2026.pdf</t>
        </is>
      </c>
      <c r="AN60" s="18" t="inlineStr">
        <is>
          <t>p2 r16</t>
        </is>
      </c>
      <c r="AO60" s="18" t="inlineStr">
        <is>
          <t>p2: R$ 3.349.893,45</t>
        </is>
      </c>
      <c r="AP60" s="18" t="inlineStr">
        <is>
          <t>QUORUM_LIST</t>
        </is>
      </c>
      <c r="AQ60" s="18" t="inlineStr"/>
      <c r="AR60" s="18" t="inlineStr">
        <is>
          <t>OK_NO_TOTALS</t>
        </is>
      </c>
      <c r="AS60" s="18" t="inlineStr">
        <is>
          <t>ROWS:p2r16 UNRECONCILED_SOURCE VALUE_COL:Valor_Após_Analise CASE_NUMBER_CORRECTED</t>
        </is>
      </c>
      <c r="AT60" s="18" t="inlineStr">
        <is>
          <t>cf92cff797d2</t>
        </is>
      </c>
    </row>
    <row r="61">
      <c r="A61" s="9" t="n">
        <v>60</v>
      </c>
      <c r="B61" s="9" t="inlineStr">
        <is>
          <t>NEW</t>
        </is>
      </c>
      <c r="C61" s="9" t="inlineStr"/>
      <c r="D61" s="9" t="n">
        <v>0</v>
      </c>
      <c r="E61" s="9" t="inlineStr"/>
      <c r="F61" s="9" t="inlineStr"/>
      <c r="G61" s="9" t="inlineStr"/>
      <c r="H61" s="9" t="inlineStr"/>
      <c r="I61" t="inlineStr">
        <is>
          <t>M.K. GALONE CONFECCOES E COMERCIO DE ROUPAS LTDA</t>
        </is>
      </c>
      <c r="J61" t="inlineStr">
        <is>
          <t>M.K. GALONE CONFECCOES E COMERCIO DE ROUPAS LTDA</t>
        </is>
      </c>
      <c r="K61" t="inlineStr">
        <is>
          <t>05784234</t>
        </is>
      </c>
      <c r="L61" t="inlineStr">
        <is>
          <t>05784234000190</t>
        </is>
      </c>
      <c r="M61" s="10" t="n">
        <v>3309751.29</v>
      </c>
      <c r="N61" t="n">
        <v>3</v>
      </c>
      <c r="O61" s="11" t="inlineStr">
        <is>
          <t>C</t>
        </is>
      </c>
      <c r="P61" s="11" t="inlineStr">
        <is>
          <t>ACTIVE</t>
        </is>
      </c>
      <c r="Q61" s="12" t="n">
        <v>44571</v>
      </c>
      <c r="R61" s="11">
        <f>IF(Q61="","",ROUND((TODAY()-Q61)/365.25,1))</f>
        <v/>
      </c>
      <c r="S61" s="13">
        <f>IFERROR(VLOOKUP(O61,Assumptions!$A$7:$F$11,2,FALSE),0.25)</f>
        <v/>
      </c>
      <c r="T61" s="14">
        <f>IF(O61="A",MAX(1,IFERROR(VLOOKUP(O61,Assumptions!$A$7:$F$11,3,FALSE),3)+IFERROR(VLOOKUP(O61,Assumptions!$A$7:$F$11,4,FALSE),8)/2-MAX(0,IF(R61="",0,R61)-IFERROR(VLOOKUP(O61,Assumptions!$A$7:$F$11,5,FALSE),1.5))),IFERROR(VLOOKUP(O61,Assumptions!$A$7:$F$11,5,FALSE),2.5)+IFERROR(VLOOKUP(O61,Assumptions!$A$7:$F$11,3,FALSE),3)+IFERROR(VLOOKUP(O61,Assumptions!$A$7:$F$11,4,FALSE),8)/2)</f>
        <v/>
      </c>
      <c r="U61" s="15">
        <f>M61*S61/(1+Assumptions!$B$3)^T61</f>
        <v/>
      </c>
      <c r="V61" s="11">
        <f>IF(M61=0,"",ROUND(U61/M61*100,1))</f>
        <v/>
      </c>
      <c r="W61" s="16">
        <f>U61*Assumptions!$B$4</f>
        <v/>
      </c>
      <c r="X61" s="11">
        <f>IF(M61=0,"",ROUND(W61/M61*100,1))</f>
        <v/>
      </c>
      <c r="Y61" t="inlineStr">
        <is>
          <t>GRUPO CATTAN</t>
        </is>
      </c>
      <c r="Z61" t="inlineStr">
        <is>
          <t>0002484-82.2022.8.17.2001</t>
        </is>
      </c>
      <c r="AA61" t="inlineStr">
        <is>
          <t>TJPE</t>
        </is>
      </c>
      <c r="AB61" t="inlineStr">
        <is>
          <t>lrflideres.com.br</t>
        </is>
      </c>
      <c r="AC61" t="inlineStr">
        <is>
          <t>LEANDRO AKIYOSHI HASHIGUTI</t>
        </is>
      </c>
      <c r="AD61" t="inlineStr">
        <is>
          <t>Sócio-Administrador</t>
        </is>
      </c>
      <c r="AE61" t="inlineStr">
        <is>
          <t>(11) 7213-9030</t>
        </is>
      </c>
      <c r="AF61" t="inlineStr"/>
      <c r="AG61" t="inlineStr"/>
      <c r="AH61" t="inlineStr">
        <is>
          <t>SP</t>
        </is>
      </c>
      <c r="AI61" t="inlineStr">
        <is>
          <t>SAO PAULO</t>
        </is>
      </c>
      <c r="AJ61" t="inlineStr">
        <is>
          <t>Confecção de peças de vestuário, exceto roupas íntimas e as confeccionadas sob medida</t>
        </is>
      </c>
      <c r="AK61" t="inlineStr">
        <is>
          <t>DEMAIS</t>
        </is>
      </c>
      <c r="AL61" t="inlineStr">
        <is>
          <t>ATIVA</t>
        </is>
      </c>
      <c r="AM61" s="17" t="inlineStr">
        <is>
          <t>https://lrflideres.com.br/wp-content/plugins/download-attachments/includes/download.php?id=4023</t>
        </is>
      </c>
      <c r="AN61" s="18" t="inlineStr">
        <is>
          <t>p4 r87; p7 r111; p9 r84</t>
        </is>
      </c>
      <c r="AO61" s="18" t="inlineStr">
        <is>
          <t>p4: R$ 2.265.469,65; p7: R$ 879.396,72; p9: R$ 164.884,92</t>
        </is>
      </c>
      <c r="AP61" s="18" t="inlineStr">
        <is>
          <t>DEBTOR_LIST</t>
        </is>
      </c>
      <c r="AQ61" s="18" t="inlineStr"/>
      <c r="AR61" s="18" t="inlineStr">
        <is>
          <t>QUARANTINED</t>
        </is>
      </c>
      <c r="AS61" s="18" t="inlineStr">
        <is>
          <t>PARTIAL_DOC_CLASS_III_RECONCILED ROWS:p4r87,p7r111,p9r84</t>
        </is>
      </c>
      <c r="AT61" s="18" t="inlineStr">
        <is>
          <t>f3b6182e3aa2</t>
        </is>
      </c>
    </row>
    <row r="62">
      <c r="A62" s="9" t="n">
        <v>61</v>
      </c>
      <c r="B62" s="9" t="inlineStr">
        <is>
          <t>NEW</t>
        </is>
      </c>
      <c r="C62" s="9" t="inlineStr"/>
      <c r="D62" s="9" t="n">
        <v>0</v>
      </c>
      <c r="E62" s="9" t="inlineStr"/>
      <c r="F62" s="9" t="inlineStr"/>
      <c r="G62" s="9" t="inlineStr"/>
      <c r="H62" s="9" t="inlineStr"/>
      <c r="I62" t="inlineStr">
        <is>
          <t>DIVINA INDUSTRIA DE COURO LTDA - EM RECUPERACAO JUDICIAL</t>
        </is>
      </c>
      <c r="J62" t="inlineStr">
        <is>
          <t>DIVINA INDUSTRIA DE COURO LTDA</t>
        </is>
      </c>
      <c r="K62" t="inlineStr">
        <is>
          <t>08785522</t>
        </is>
      </c>
      <c r="L62" t="inlineStr">
        <is>
          <t>08785522000158</t>
        </is>
      </c>
      <c r="M62" s="10" t="n">
        <v>3206338.81</v>
      </c>
      <c r="N62" t="n">
        <v>1</v>
      </c>
      <c r="O62" s="11" t="inlineStr">
        <is>
          <t>B</t>
        </is>
      </c>
      <c r="P62" s="11" t="inlineStr">
        <is>
          <t>ACTIVE</t>
        </is>
      </c>
      <c r="Q62" s="12" t="n">
        <v>45425</v>
      </c>
      <c r="R62" s="11">
        <f>IF(Q62="","",ROUND((TODAY()-Q62)/365.25,1))</f>
        <v/>
      </c>
      <c r="S62" s="13">
        <f>IFERROR(VLOOKUP(O62,Assumptions!$A$7:$F$11,2,FALSE),0.25)</f>
        <v/>
      </c>
      <c r="T62" s="14">
        <f>IF(O62="A",MAX(1,IFERROR(VLOOKUP(O62,Assumptions!$A$7:$F$11,3,FALSE),3)+IFERROR(VLOOKUP(O62,Assumptions!$A$7:$F$11,4,FALSE),8)/2-MAX(0,IF(R62="",0,R62)-IFERROR(VLOOKUP(O62,Assumptions!$A$7:$F$11,5,FALSE),1.5))),IFERROR(VLOOKUP(O62,Assumptions!$A$7:$F$11,5,FALSE),2.5)+IFERROR(VLOOKUP(O62,Assumptions!$A$7:$F$11,3,FALSE),3)+IFERROR(VLOOKUP(O62,Assumptions!$A$7:$F$11,4,FALSE),8)/2)</f>
        <v/>
      </c>
      <c r="U62" s="15">
        <f>M62*S62/(1+Assumptions!$B$3)^T62</f>
        <v/>
      </c>
      <c r="V62" s="11">
        <f>IF(M62=0,"",ROUND(U62/M62*100,1))</f>
        <v/>
      </c>
      <c r="W62" s="16">
        <f>U62*Assumptions!$B$4</f>
        <v/>
      </c>
      <c r="X62" s="11">
        <f>IF(M62=0,"",ROUND(W62/M62*100,1))</f>
        <v/>
      </c>
      <c r="Y62" t="inlineStr">
        <is>
          <t>GRUPO DIVINA</t>
        </is>
      </c>
      <c r="Z62" t="inlineStr">
        <is>
          <t>0000721-61.2024.8.17.2620</t>
        </is>
      </c>
      <c r="AA62" t="inlineStr">
        <is>
          <t>TJPE</t>
        </is>
      </c>
      <c r="AB62" t="inlineStr">
        <is>
          <t>lrflideres.com.br</t>
        </is>
      </c>
      <c r="AC62" t="inlineStr">
        <is>
          <t>ADRIANO FERRAZ GOMES</t>
        </is>
      </c>
      <c r="AD62" t="inlineStr">
        <is>
          <t>Sócio-Administrador</t>
        </is>
      </c>
      <c r="AE62" t="inlineStr">
        <is>
          <t>(81) 9411-3643</t>
        </is>
      </c>
      <c r="AF62" t="inlineStr"/>
      <c r="AG62" t="inlineStr"/>
      <c r="AH62" t="inlineStr">
        <is>
          <t>PE</t>
        </is>
      </c>
      <c r="AI62" t="inlineStr">
        <is>
          <t>FLORESTA</t>
        </is>
      </c>
      <c r="AJ62" t="inlineStr">
        <is>
          <t>Fabricação de calçados de couro</t>
        </is>
      </c>
      <c r="AK62" t="inlineStr">
        <is>
          <t>DEMAIS</t>
        </is>
      </c>
      <c r="AL62" t="inlineStr">
        <is>
          <t>ATIVA</t>
        </is>
      </c>
      <c r="AM62" s="17" t="inlineStr">
        <is>
          <t>https://lrflideres.com.br/wp-content/plugins/download-attachments/includes/download.php?id=6252</t>
        </is>
      </c>
      <c r="AN62" s="18" t="inlineStr">
        <is>
          <t>p2 r34</t>
        </is>
      </c>
      <c r="AO62" s="18" t="inlineStr">
        <is>
          <t>p2: R$ 3.206.338,81</t>
        </is>
      </c>
      <c r="AP62" s="18" t="inlineStr">
        <is>
          <t>AJ_LIST</t>
        </is>
      </c>
      <c r="AQ62" s="18" t="inlineStr">
        <is>
          <t>2024-11-27</t>
        </is>
      </c>
      <c r="AR62" s="18" t="inlineStr">
        <is>
          <t>QUARANTINED</t>
        </is>
      </c>
      <c r="AS62" s="18" t="inlineStr">
        <is>
          <t>PARTIAL_DOC_CLASS_III_RECONCILED ROWS:p2r34</t>
        </is>
      </c>
      <c r="AT62" s="18" t="inlineStr">
        <is>
          <t>38f0c15b8a2d</t>
        </is>
      </c>
    </row>
    <row r="63">
      <c r="A63" s="9" t="n">
        <v>62</v>
      </c>
      <c r="B63" s="9" t="inlineStr">
        <is>
          <t>NEW</t>
        </is>
      </c>
      <c r="C63" s="9" t="inlineStr"/>
      <c r="D63" s="9" t="n">
        <v>0</v>
      </c>
      <c r="E63" s="9" t="inlineStr"/>
      <c r="F63" s="9" t="inlineStr"/>
      <c r="G63" s="9" t="inlineStr"/>
      <c r="H63" s="9" t="inlineStr"/>
      <c r="I63" t="inlineStr">
        <is>
          <t>LOROTTI EMPREENDIMENTOS IMOBILIARIOS LTDA</t>
        </is>
      </c>
      <c r="J63" t="inlineStr">
        <is>
          <t>Lorotti Empreendimentos Imobiliarios</t>
        </is>
      </c>
      <c r="K63" t="inlineStr">
        <is>
          <t>10505803</t>
        </is>
      </c>
      <c r="L63" t="inlineStr">
        <is>
          <t>10505803000151</t>
        </is>
      </c>
      <c r="M63" s="10" t="n">
        <v>3159739.59</v>
      </c>
      <c r="N63" t="n">
        <v>1</v>
      </c>
      <c r="O63" s="11" t="inlineStr">
        <is>
          <t>B</t>
        </is>
      </c>
      <c r="P63" s="11" t="inlineStr">
        <is>
          <t>ACTIVE</t>
        </is>
      </c>
      <c r="Q63" s="12" t="n">
        <v>46130</v>
      </c>
      <c r="R63" s="11">
        <f>IF(Q63="","",ROUND((TODAY()-Q63)/365.25,1))</f>
        <v/>
      </c>
      <c r="S63" s="13">
        <f>IFERROR(VLOOKUP(O63,Assumptions!$A$7:$F$11,2,FALSE),0.25)</f>
        <v/>
      </c>
      <c r="T63" s="14">
        <f>IF(O63="A",MAX(1,IFERROR(VLOOKUP(O63,Assumptions!$A$7:$F$11,3,FALSE),3)+IFERROR(VLOOKUP(O63,Assumptions!$A$7:$F$11,4,FALSE),8)/2-MAX(0,IF(R63="",0,R63)-IFERROR(VLOOKUP(O63,Assumptions!$A$7:$F$11,5,FALSE),1.5))),IFERROR(VLOOKUP(O63,Assumptions!$A$7:$F$11,5,FALSE),2.5)+IFERROR(VLOOKUP(O63,Assumptions!$A$7:$F$11,3,FALSE),3)+IFERROR(VLOOKUP(O63,Assumptions!$A$7:$F$11,4,FALSE),8)/2)</f>
        <v/>
      </c>
      <c r="U63" s="15">
        <f>M63*S63/(1+Assumptions!$B$3)^T63</f>
        <v/>
      </c>
      <c r="V63" s="11">
        <f>IF(M63=0,"",ROUND(U63/M63*100,1))</f>
        <v/>
      </c>
      <c r="W63" s="16">
        <f>U63*Assumptions!$B$4</f>
        <v/>
      </c>
      <c r="X63" s="11">
        <f>IF(M63=0,"",ROUND(W63/M63*100,1))</f>
        <v/>
      </c>
      <c r="Y63" t="inlineStr">
        <is>
          <t>GRUPO 3E</t>
        </is>
      </c>
      <c r="Z63" t="inlineStr">
        <is>
          <t>5341375-33.2026.8.09.0049</t>
        </is>
      </c>
      <c r="AA63" t="inlineStr">
        <is>
          <t>TJGO</t>
        </is>
      </c>
      <c r="AB63" t="inlineStr">
        <is>
          <t>stenius.com.br</t>
        </is>
      </c>
      <c r="AC63" t="inlineStr">
        <is>
          <t>ALINE RAZEM ABRAO</t>
        </is>
      </c>
      <c r="AD63" t="inlineStr">
        <is>
          <t>Sócio-Administrador</t>
        </is>
      </c>
      <c r="AE63" t="inlineStr">
        <is>
          <t>(61) 3366-4288</t>
        </is>
      </c>
      <c r="AF63" t="inlineStr"/>
      <c r="AG63" t="inlineStr"/>
      <c r="AH63" t="inlineStr">
        <is>
          <t>DF</t>
        </is>
      </c>
      <c r="AI63" t="inlineStr">
        <is>
          <t>BRASILIA</t>
        </is>
      </c>
      <c r="AJ63" t="inlineStr">
        <is>
          <t>Construção de edifícios</t>
        </is>
      </c>
      <c r="AK63" t="inlineStr">
        <is>
          <t>DEMAIS</t>
        </is>
      </c>
      <c r="AL63" t="inlineStr">
        <is>
          <t>ATIVA</t>
        </is>
      </c>
      <c r="AM63" s="17" t="inlineStr">
        <is>
          <t>https://stenius.com.br/wp-content/uploads/2026/06/EDITAL-GRUPO-3E.pdf</t>
        </is>
      </c>
      <c r="AN63" s="18" t="inlineStr">
        <is>
          <t>p15 r31</t>
        </is>
      </c>
      <c r="AO63" s="18" t="inlineStr">
        <is>
          <t>p15: R$ 3.159.739,59</t>
        </is>
      </c>
      <c r="AP63" s="18" t="inlineStr">
        <is>
          <t>DEBTOR_LIST</t>
        </is>
      </c>
      <c r="AQ63" s="18" t="inlineStr">
        <is>
          <t>2026-06-22</t>
        </is>
      </c>
      <c r="AR63" s="18" t="inlineStr">
        <is>
          <t>OK_NO_TOTALS</t>
        </is>
      </c>
      <c r="AS63" s="18" t="inlineStr">
        <is>
          <t>ROWS:p15r31 UNRECONCILED_SOURCE</t>
        </is>
      </c>
      <c r="AT63" s="18" t="inlineStr">
        <is>
          <t>8e8832093a15</t>
        </is>
      </c>
    </row>
    <row r="64">
      <c r="A64" s="9" t="n">
        <v>63</v>
      </c>
      <c r="B64" s="9" t="inlineStr">
        <is>
          <t>NEW</t>
        </is>
      </c>
      <c r="C64" s="9" t="inlineStr"/>
      <c r="D64" s="9" t="n">
        <v>0</v>
      </c>
      <c r="E64" s="9" t="inlineStr"/>
      <c r="F64" s="9" t="inlineStr"/>
      <c r="G64" s="9" t="inlineStr"/>
      <c r="H64" s="9" t="inlineStr"/>
      <c r="I64" t="inlineStr">
        <is>
          <t>ALFANI CONFECCOES E COMERCIO LTDA - EM RECUPERACAO JUDICIAL</t>
        </is>
      </c>
      <c r="J64" t="inlineStr">
        <is>
          <t>ALFANI CONFECCOES E COMERCIO LTDA</t>
        </is>
      </c>
      <c r="K64" t="inlineStr">
        <is>
          <t>02524216</t>
        </is>
      </c>
      <c r="L64" t="inlineStr">
        <is>
          <t>02524216000181</t>
        </is>
      </c>
      <c r="M64" s="10" t="n">
        <v>3140000</v>
      </c>
      <c r="N64" t="n">
        <v>1</v>
      </c>
      <c r="O64" s="11" t="inlineStr">
        <is>
          <t>C</t>
        </is>
      </c>
      <c r="P64" s="11" t="inlineStr">
        <is>
          <t>ACTIVE</t>
        </is>
      </c>
      <c r="Q64" s="12" t="n">
        <v>44571</v>
      </c>
      <c r="R64" s="11">
        <f>IF(Q64="","",ROUND((TODAY()-Q64)/365.25,1))</f>
        <v/>
      </c>
      <c r="S64" s="13">
        <f>IFERROR(VLOOKUP(O64,Assumptions!$A$7:$F$11,2,FALSE),0.25)</f>
        <v/>
      </c>
      <c r="T64" s="14">
        <f>IF(O64="A",MAX(1,IFERROR(VLOOKUP(O64,Assumptions!$A$7:$F$11,3,FALSE),3)+IFERROR(VLOOKUP(O64,Assumptions!$A$7:$F$11,4,FALSE),8)/2-MAX(0,IF(R64="",0,R64)-IFERROR(VLOOKUP(O64,Assumptions!$A$7:$F$11,5,FALSE),1.5))),IFERROR(VLOOKUP(O64,Assumptions!$A$7:$F$11,5,FALSE),2.5)+IFERROR(VLOOKUP(O64,Assumptions!$A$7:$F$11,3,FALSE),3)+IFERROR(VLOOKUP(O64,Assumptions!$A$7:$F$11,4,FALSE),8)/2)</f>
        <v/>
      </c>
      <c r="U64" s="15">
        <f>M64*S64/(1+Assumptions!$B$3)^T64</f>
        <v/>
      </c>
      <c r="V64" s="11">
        <f>IF(M64=0,"",ROUND(U64/M64*100,1))</f>
        <v/>
      </c>
      <c r="W64" s="16">
        <f>U64*Assumptions!$B$4</f>
        <v/>
      </c>
      <c r="X64" s="11">
        <f>IF(M64=0,"",ROUND(W64/M64*100,1))</f>
        <v/>
      </c>
      <c r="Y64" t="inlineStr">
        <is>
          <t>GRUPO CATTAN</t>
        </is>
      </c>
      <c r="Z64" t="inlineStr">
        <is>
          <t>0002484-82.2022.8.17.2001</t>
        </is>
      </c>
      <c r="AA64" t="inlineStr">
        <is>
          <t>TJPE</t>
        </is>
      </c>
      <c r="AB64" t="inlineStr">
        <is>
          <t>lrflideres.com.br</t>
        </is>
      </c>
      <c r="AC64" t="inlineStr">
        <is>
          <t>FLAVIO DANTAS CATAO</t>
        </is>
      </c>
      <c r="AD64" t="inlineStr">
        <is>
          <t>Sócio-Administrador</t>
        </is>
      </c>
      <c r="AE64" t="inlineStr">
        <is>
          <t>(81) 3419-8550</t>
        </is>
      </c>
      <c r="AF64" t="inlineStr">
        <is>
          <t>(81) 3032-8400</t>
        </is>
      </c>
      <c r="AG64" t="inlineStr"/>
      <c r="AH64" t="inlineStr">
        <is>
          <t>PE</t>
        </is>
      </c>
      <c r="AI64" t="inlineStr">
        <is>
          <t>RECIFE</t>
        </is>
      </c>
      <c r="AJ64" t="inlineStr">
        <is>
          <t>Comércio varejista de artigos do vestuário e acessórios</t>
        </is>
      </c>
      <c r="AK64" t="inlineStr">
        <is>
          <t>DEMAIS</t>
        </is>
      </c>
      <c r="AL64" t="inlineStr">
        <is>
          <t>ATIVA</t>
        </is>
      </c>
      <c r="AM64" s="17" t="inlineStr">
        <is>
          <t>https://lrflideres.com.br/wp-content/plugins/download-attachments/includes/download.php?id=4023</t>
        </is>
      </c>
      <c r="AN64" s="18" t="inlineStr">
        <is>
          <t>p9 r52</t>
        </is>
      </c>
      <c r="AO64" s="18" t="inlineStr">
        <is>
          <t>p9: R$ 3.140.000,00</t>
        </is>
      </c>
      <c r="AP64" s="18" t="inlineStr">
        <is>
          <t>DEBTOR_LIST</t>
        </is>
      </c>
      <c r="AQ64" s="18" t="inlineStr"/>
      <c r="AR64" s="18" t="inlineStr">
        <is>
          <t>QUARANTINED</t>
        </is>
      </c>
      <c r="AS64" s="18" t="inlineStr">
        <is>
          <t>PARTIAL_DOC_CLASS_III_RECONCILED ROWS:p9r52</t>
        </is>
      </c>
      <c r="AT64" s="18" t="inlineStr">
        <is>
          <t>f3b6182e3aa2</t>
        </is>
      </c>
    </row>
    <row r="65">
      <c r="A65" s="9" t="n">
        <v>64</v>
      </c>
      <c r="B65" s="9" t="inlineStr">
        <is>
          <t>NEW</t>
        </is>
      </c>
      <c r="C65" s="9" t="inlineStr"/>
      <c r="D65" s="9" t="n">
        <v>0</v>
      </c>
      <c r="E65" s="9" t="inlineStr"/>
      <c r="F65" s="9" t="inlineStr"/>
      <c r="G65" s="9" t="inlineStr"/>
      <c r="H65" s="9" t="inlineStr"/>
      <c r="I65" t="inlineStr">
        <is>
          <t>VIANMAQ EQUIPAMENTOS LTDA</t>
        </is>
      </c>
      <c r="J65" t="inlineStr">
        <is>
          <t>Vianmaq Equipamentos LTDA (CNPJ nº</t>
        </is>
      </c>
      <c r="K65" t="inlineStr">
        <is>
          <t>01631022</t>
        </is>
      </c>
      <c r="L65" t="inlineStr">
        <is>
          <t>01631022000465, 90400888000142</t>
        </is>
      </c>
      <c r="M65" s="10" t="n">
        <v>3083893.62</v>
      </c>
      <c r="N65" t="n">
        <v>1</v>
      </c>
      <c r="O65" s="11" t="inlineStr">
        <is>
          <t>C</t>
        </is>
      </c>
      <c r="P65" s="11" t="inlineStr">
        <is>
          <t>ACTIVE</t>
        </is>
      </c>
      <c r="Q65" s="12" t="n">
        <v>44882</v>
      </c>
      <c r="R65" s="11">
        <f>IF(Q65="","",ROUND((TODAY()-Q65)/365.25,1))</f>
        <v/>
      </c>
      <c r="S65" s="13">
        <f>IFERROR(VLOOKUP(O65,Assumptions!$A$7:$F$11,2,FALSE),0.25)</f>
        <v/>
      </c>
      <c r="T65" s="14">
        <f>IF(O65="A",MAX(1,IFERROR(VLOOKUP(O65,Assumptions!$A$7:$F$11,3,FALSE),3)+IFERROR(VLOOKUP(O65,Assumptions!$A$7:$F$11,4,FALSE),8)/2-MAX(0,IF(R65="",0,R65)-IFERROR(VLOOKUP(O65,Assumptions!$A$7:$F$11,5,FALSE),1.5))),IFERROR(VLOOKUP(O65,Assumptions!$A$7:$F$11,5,FALSE),2.5)+IFERROR(VLOOKUP(O65,Assumptions!$A$7:$F$11,3,FALSE),3)+IFERROR(VLOOKUP(O65,Assumptions!$A$7:$F$11,4,FALSE),8)/2)</f>
        <v/>
      </c>
      <c r="U65" s="15">
        <f>M65*S65/(1+Assumptions!$B$3)^T65</f>
        <v/>
      </c>
      <c r="V65" s="11">
        <f>IF(M65=0,"",ROUND(U65/M65*100,1))</f>
        <v/>
      </c>
      <c r="W65" s="16">
        <f>U65*Assumptions!$B$4</f>
        <v/>
      </c>
      <c r="X65" s="11">
        <f>IF(M65=0,"",ROUND(W65/M65*100,1))</f>
        <v/>
      </c>
      <c r="Y65" t="inlineStr">
        <is>
          <t>CARAVAGGIO CONSTRUTORA LTDA</t>
        </is>
      </c>
      <c r="Z65" t="inlineStr">
        <is>
          <t>0037411-27.2022.8.16.0021</t>
        </is>
      </c>
      <c r="AA65" t="inlineStr">
        <is>
          <t>TJPR</t>
        </is>
      </c>
      <c r="AB65" t="inlineStr">
        <is>
          <t>marquesadmjudicial.com.br</t>
        </is>
      </c>
      <c r="AC65" t="inlineStr">
        <is>
          <t>CEDRIC ALBERT VIAN</t>
        </is>
      </c>
      <c r="AD65" t="inlineStr">
        <is>
          <t>Sócio-Administrador</t>
        </is>
      </c>
      <c r="AE65" t="inlineStr">
        <is>
          <t>(41) 3555-2161</t>
        </is>
      </c>
      <c r="AF65" t="inlineStr">
        <is>
          <t>(41) 9707-0679</t>
        </is>
      </c>
      <c r="AG65" t="inlineStr"/>
      <c r="AH65" t="inlineStr">
        <is>
          <t>PR</t>
        </is>
      </c>
      <c r="AI65" t="inlineStr">
        <is>
          <t>CAMPO LARGO</t>
        </is>
      </c>
      <c r="AJ65" t="inlineStr">
        <is>
          <t>Comércio atacadista de outras máquinas e equipamentos não especificados anteriormente; partes e peças</t>
        </is>
      </c>
      <c r="AK65" t="inlineStr">
        <is>
          <t>DEMAIS</t>
        </is>
      </c>
      <c r="AL65" t="inlineStr">
        <is>
          <t>ATIVA</t>
        </is>
      </c>
      <c r="AM65" s="17" t="inlineStr">
        <is>
          <t>https://marquesadmjudicial.com.br/sgc/download.php?file=files/processo_documento/processo_documento16562707032024_1_.pdf&amp;nome=2º Edital-Relação de Credores do art. 7, §2 da LREF e do Plano de Recuperação Judicial</t>
        </is>
      </c>
      <c r="AN65" s="18" t="inlineStr">
        <is>
          <t>p1 r45</t>
        </is>
      </c>
      <c r="AO65" s="18" t="inlineStr">
        <is>
          <t>p1: R$ 3.083.893,62</t>
        </is>
      </c>
      <c r="AP65" s="18" t="inlineStr">
        <is>
          <t>AJ_LIST</t>
        </is>
      </c>
      <c r="AQ65" s="18" t="inlineStr">
        <is>
          <t>2022-11-17</t>
        </is>
      </c>
      <c r="AR65" s="18" t="inlineStr">
        <is>
          <t>OK_NO_TOTALS</t>
        </is>
      </c>
      <c r="AS65" s="18" t="inlineStr">
        <is>
          <t>MULTI_ROOT ROWS:p1r45 UNRECONCILED_SOURCE</t>
        </is>
      </c>
      <c r="AT65" s="18" t="inlineStr">
        <is>
          <t>437e79745649</t>
        </is>
      </c>
    </row>
    <row r="66">
      <c r="A66" s="9" t="n">
        <v>65</v>
      </c>
      <c r="B66" s="9" t="inlineStr">
        <is>
          <t>NEW</t>
        </is>
      </c>
      <c r="C66" s="9" t="inlineStr"/>
      <c r="D66" s="9" t="n">
        <v>0</v>
      </c>
      <c r="E66" s="9" t="inlineStr"/>
      <c r="F66" s="9" t="inlineStr"/>
      <c r="G66" s="9" t="inlineStr"/>
      <c r="H66" s="9" t="inlineStr"/>
      <c r="I66" t="inlineStr">
        <is>
          <t>VEGETAL AGRONEGOCIOS LTDA</t>
        </is>
      </c>
      <c r="J66" t="inlineStr">
        <is>
          <t>VEGETAL AGRONEGOCIOS LTDA</t>
        </is>
      </c>
      <c r="K66" t="inlineStr">
        <is>
          <t>05429994</t>
        </is>
      </c>
      <c r="L66" t="inlineStr">
        <is>
          <t>05429994001313</t>
        </is>
      </c>
      <c r="M66" s="10" t="n">
        <v>3014807.2</v>
      </c>
      <c r="N66" t="n">
        <v>1</v>
      </c>
      <c r="O66" s="11" t="inlineStr">
        <is>
          <t>B</t>
        </is>
      </c>
      <c r="P66" s="11" t="inlineStr">
        <is>
          <t>ACTIVE</t>
        </is>
      </c>
      <c r="Q66" s="12" t="n">
        <v>45845</v>
      </c>
      <c r="R66" s="11">
        <f>IF(Q66="","",ROUND((TODAY()-Q66)/365.25,1))</f>
        <v/>
      </c>
      <c r="S66" s="13">
        <f>IFERROR(VLOOKUP(O66,Assumptions!$A$7:$F$11,2,FALSE),0.25)</f>
        <v/>
      </c>
      <c r="T66" s="14">
        <f>IF(O66="A",MAX(1,IFERROR(VLOOKUP(O66,Assumptions!$A$7:$F$11,3,FALSE),3)+IFERROR(VLOOKUP(O66,Assumptions!$A$7:$F$11,4,FALSE),8)/2-MAX(0,IF(R66="",0,R66)-IFERROR(VLOOKUP(O66,Assumptions!$A$7:$F$11,5,FALSE),1.5))),IFERROR(VLOOKUP(O66,Assumptions!$A$7:$F$11,5,FALSE),2.5)+IFERROR(VLOOKUP(O66,Assumptions!$A$7:$F$11,3,FALSE),3)+IFERROR(VLOOKUP(O66,Assumptions!$A$7:$F$11,4,FALSE),8)/2)</f>
        <v/>
      </c>
      <c r="U66" s="15">
        <f>M66*S66/(1+Assumptions!$B$3)^T66</f>
        <v/>
      </c>
      <c r="V66" s="11">
        <f>IF(M66=0,"",ROUND(U66/M66*100,1))</f>
        <v/>
      </c>
      <c r="W66" s="16">
        <f>U66*Assumptions!$B$4</f>
        <v/>
      </c>
      <c r="X66" s="11">
        <f>IF(M66=0,"",ROUND(W66/M66*100,1))</f>
        <v/>
      </c>
      <c r="Y66" t="inlineStr">
        <is>
          <t>SOJAL COMERCIAL AGRICOLA LTDA e OUTROS</t>
        </is>
      </c>
      <c r="Z66" t="inlineStr">
        <is>
          <t>0804401-51.2025.8.14.0039</t>
        </is>
      </c>
      <c r="AA66" t="inlineStr">
        <is>
          <t>TJPA</t>
        </is>
      </c>
      <c r="AB66" t="inlineStr">
        <is>
          <t>lrflideres.com.br</t>
        </is>
      </c>
      <c r="AC66" t="inlineStr">
        <is>
          <t>ALDAIR REMUSSI</t>
        </is>
      </c>
      <c r="AD66" t="inlineStr">
        <is>
          <t>Sócio-Administrador</t>
        </is>
      </c>
      <c r="AE66" t="inlineStr">
        <is>
          <t>(61) 3234-8485</t>
        </is>
      </c>
      <c r="AF66" t="inlineStr"/>
      <c r="AG66" t="inlineStr"/>
      <c r="AH66" t="inlineStr">
        <is>
          <t>DF</t>
        </is>
      </c>
      <c r="AI66" t="inlineStr">
        <is>
          <t>BRASILIA</t>
        </is>
      </c>
      <c r="AJ66" t="inlineStr">
        <is>
          <t>Comércio atacadista de defensivos agrícolas, adubos, fertilizantes e corretivos do solo</t>
        </is>
      </c>
      <c r="AK66" t="inlineStr">
        <is>
          <t>DEMAIS</t>
        </is>
      </c>
      <c r="AL66" t="inlineStr">
        <is>
          <t>ATIVA</t>
        </is>
      </c>
      <c r="AM66" s="17" t="inlineStr">
        <is>
          <t>https://lrflideres.com.br/wp-content/plugins/download-attachments/includes/download.php?id=6879</t>
        </is>
      </c>
      <c r="AN66" s="18" t="inlineStr">
        <is>
          <t>p2 r13</t>
        </is>
      </c>
      <c r="AO66" s="18" t="inlineStr">
        <is>
          <t>p2: R$ 3.014.807,20</t>
        </is>
      </c>
      <c r="AP66" s="18" t="inlineStr">
        <is>
          <t>AJ_LIST</t>
        </is>
      </c>
      <c r="AQ66" s="18" t="inlineStr">
        <is>
          <t>2026-01-15</t>
        </is>
      </c>
      <c r="AR66" s="18" t="inlineStr">
        <is>
          <t>OK</t>
        </is>
      </c>
      <c r="AS66" s="18" t="inlineStr">
        <is>
          <t>ROWS:p2r13</t>
        </is>
      </c>
      <c r="AT66" s="18" t="inlineStr">
        <is>
          <t>c56751547323</t>
        </is>
      </c>
    </row>
    <row r="67">
      <c r="A67" s="9" t="n">
        <v>66</v>
      </c>
      <c r="B67" s="9" t="inlineStr">
        <is>
          <t>NEW</t>
        </is>
      </c>
      <c r="C67" s="9" t="inlineStr"/>
      <c r="D67" s="9" t="n">
        <v>0</v>
      </c>
      <c r="E67" s="9" t="inlineStr"/>
      <c r="F67" s="9" t="inlineStr"/>
      <c r="G67" s="9" t="inlineStr"/>
      <c r="H67" s="9" t="inlineStr"/>
      <c r="I67" t="inlineStr">
        <is>
          <t>NUTRIEN SOLUCOES AGRICOLAS LTDA</t>
        </is>
      </c>
      <c r="J67" t="inlineStr">
        <is>
          <t>Nutrien Solucoes Agricolas</t>
        </is>
      </c>
      <c r="K67" t="inlineStr">
        <is>
          <t>88305859</t>
        </is>
      </c>
      <c r="L67" t="inlineStr">
        <is>
          <t>88305859002012</t>
        </is>
      </c>
      <c r="M67" s="10" t="n">
        <v>3009813.42</v>
      </c>
      <c r="N67" t="n">
        <v>1</v>
      </c>
      <c r="O67" s="11" t="inlineStr">
        <is>
          <t>B</t>
        </is>
      </c>
      <c r="P67" s="11" t="inlineStr">
        <is>
          <t>ACTIVE</t>
        </is>
      </c>
      <c r="Q67" s="12" t="n">
        <v>46130</v>
      </c>
      <c r="R67" s="11">
        <f>IF(Q67="","",ROUND((TODAY()-Q67)/365.25,1))</f>
        <v/>
      </c>
      <c r="S67" s="13">
        <f>IFERROR(VLOOKUP(O67,Assumptions!$A$7:$F$11,2,FALSE),0.25)</f>
        <v/>
      </c>
      <c r="T67" s="14">
        <f>IF(O67="A",MAX(1,IFERROR(VLOOKUP(O67,Assumptions!$A$7:$F$11,3,FALSE),3)+IFERROR(VLOOKUP(O67,Assumptions!$A$7:$F$11,4,FALSE),8)/2-MAX(0,IF(R67="",0,R67)-IFERROR(VLOOKUP(O67,Assumptions!$A$7:$F$11,5,FALSE),1.5))),IFERROR(VLOOKUP(O67,Assumptions!$A$7:$F$11,5,FALSE),2.5)+IFERROR(VLOOKUP(O67,Assumptions!$A$7:$F$11,3,FALSE),3)+IFERROR(VLOOKUP(O67,Assumptions!$A$7:$F$11,4,FALSE),8)/2)</f>
        <v/>
      </c>
      <c r="U67" s="15">
        <f>M67*S67/(1+Assumptions!$B$3)^T67</f>
        <v/>
      </c>
      <c r="V67" s="11">
        <f>IF(M67=0,"",ROUND(U67/M67*100,1))</f>
        <v/>
      </c>
      <c r="W67" s="16">
        <f>U67*Assumptions!$B$4</f>
        <v/>
      </c>
      <c r="X67" s="11">
        <f>IF(M67=0,"",ROUND(W67/M67*100,1))</f>
        <v/>
      </c>
      <c r="Y67" t="inlineStr">
        <is>
          <t>GRUPO 3E</t>
        </is>
      </c>
      <c r="Z67" t="inlineStr">
        <is>
          <t>5341375-33.2026.8.09.0049</t>
        </is>
      </c>
      <c r="AA67" t="inlineStr">
        <is>
          <t>TJGO</t>
        </is>
      </c>
      <c r="AB67" t="inlineStr">
        <is>
          <t>stenius.com.br</t>
        </is>
      </c>
      <c r="AC67" t="inlineStr">
        <is>
          <t>CARLOS EDUARDO FAZZIO DE BRITO</t>
        </is>
      </c>
      <c r="AD67" t="inlineStr">
        <is>
          <t>Administrador</t>
        </is>
      </c>
      <c r="AE67" t="inlineStr">
        <is>
          <t>(11) 5400-0021</t>
        </is>
      </c>
      <c r="AF67" t="inlineStr"/>
      <c r="AG67" t="inlineStr"/>
      <c r="AH67" t="inlineStr">
        <is>
          <t>SP</t>
        </is>
      </c>
      <c r="AI67" t="inlineStr">
        <is>
          <t>SAO PAULO</t>
        </is>
      </c>
      <c r="AJ67" t="inlineStr">
        <is>
          <t>Comércio atacadista de defensivos agrícolas, adubos, fertilizantes e corretivos do solo</t>
        </is>
      </c>
      <c r="AK67" t="inlineStr">
        <is>
          <t>DEMAIS</t>
        </is>
      </c>
      <c r="AL67" t="inlineStr">
        <is>
          <t>ATIVA</t>
        </is>
      </c>
      <c r="AM67" s="17" t="inlineStr">
        <is>
          <t>https://stenius.com.br/wp-content/uploads/2026/06/EDITAL-GRUPO-3E.pdf</t>
        </is>
      </c>
      <c r="AN67" s="18" t="inlineStr">
        <is>
          <t>p16 r30</t>
        </is>
      </c>
      <c r="AO67" s="18" t="inlineStr">
        <is>
          <t>p16: R$ 3.009.813,42</t>
        </is>
      </c>
      <c r="AP67" s="18" t="inlineStr">
        <is>
          <t>DEBTOR_LIST</t>
        </is>
      </c>
      <c r="AQ67" s="18" t="inlineStr">
        <is>
          <t>2026-06-22</t>
        </is>
      </c>
      <c r="AR67" s="18" t="inlineStr">
        <is>
          <t>OK_NO_TOTALS</t>
        </is>
      </c>
      <c r="AS67" s="18" t="inlineStr">
        <is>
          <t>ROWS:p16r30 UNRECONCILED_SOURCE</t>
        </is>
      </c>
      <c r="AT67" s="18" t="inlineStr">
        <is>
          <t>8e8832093a15</t>
        </is>
      </c>
    </row>
    <row r="68">
      <c r="A68" s="9" t="n">
        <v>67</v>
      </c>
      <c r="B68" s="9" t="inlineStr">
        <is>
          <t>NEW</t>
        </is>
      </c>
      <c r="C68" s="9" t="inlineStr"/>
      <c r="D68" s="9" t="n">
        <v>0</v>
      </c>
      <c r="E68" s="9" t="inlineStr"/>
      <c r="F68" s="9" t="inlineStr"/>
      <c r="G68" s="9" t="inlineStr"/>
      <c r="H68" s="9" t="inlineStr"/>
      <c r="I68" t="inlineStr">
        <is>
          <t>BRACELL SP CELULOSE LTDA</t>
        </is>
      </c>
      <c r="J68" t="inlineStr">
        <is>
          <t>ROD JULIANO LORENZETTI KM 04 MARECHAL RONDOM DISTRO INDUSTRIAL - LENÇOIS PAULISTA - SP - CEP 18685-900</t>
        </is>
      </c>
      <c r="K68" t="inlineStr">
        <is>
          <t>53943098</t>
        </is>
      </c>
      <c r="L68" t="inlineStr">
        <is>
          <t>53943098000187</t>
        </is>
      </c>
      <c r="M68" s="10" t="n">
        <v>3000000</v>
      </c>
      <c r="N68" t="n">
        <v>1</v>
      </c>
      <c r="O68" s="11" t="inlineStr">
        <is>
          <t>U</t>
        </is>
      </c>
      <c r="P68" s="11" t="inlineStr"/>
      <c r="Q68" s="12" t="inlineStr"/>
      <c r="R68" s="11">
        <f>IF(Q68="","",ROUND((TODAY()-Q68)/365.25,1))</f>
        <v/>
      </c>
      <c r="S68" s="13">
        <f>IFERROR(VLOOKUP(O68,Assumptions!$A$7:$F$11,2,FALSE),0.25)</f>
        <v/>
      </c>
      <c r="T68" s="14">
        <f>IF(O68="A",MAX(1,IFERROR(VLOOKUP(O68,Assumptions!$A$7:$F$11,3,FALSE),3)+IFERROR(VLOOKUP(O68,Assumptions!$A$7:$F$11,4,FALSE),8)/2-MAX(0,IF(R68="",0,R68)-IFERROR(VLOOKUP(O68,Assumptions!$A$7:$F$11,5,FALSE),1.5))),IFERROR(VLOOKUP(O68,Assumptions!$A$7:$F$11,5,FALSE),2.5)+IFERROR(VLOOKUP(O68,Assumptions!$A$7:$F$11,3,FALSE),3)+IFERROR(VLOOKUP(O68,Assumptions!$A$7:$F$11,4,FALSE),8)/2)</f>
        <v/>
      </c>
      <c r="U68" s="15">
        <f>M68*S68/(1+Assumptions!$B$3)^T68</f>
        <v/>
      </c>
      <c r="V68" s="11">
        <f>IF(M68=0,"",ROUND(U68/M68*100,1))</f>
        <v/>
      </c>
      <c r="W68" s="16">
        <f>U68*Assumptions!$B$4</f>
        <v/>
      </c>
      <c r="X68" s="11">
        <f>IF(M68=0,"",ROUND(W68/M68*100,1))</f>
        <v/>
      </c>
      <c r="Y68" t="inlineStr">
        <is>
          <t>Base</t>
        </is>
      </c>
      <c r="Z68" t="inlineStr">
        <is>
          <t>(not found in document)</t>
        </is>
      </c>
      <c r="AA68" t="inlineStr"/>
      <c r="AB68" t="inlineStr">
        <is>
          <t>ajruiz.com.br</t>
        </is>
      </c>
      <c r="AC68" t="inlineStr">
        <is>
          <t>ARTHUR RIZZARDO ZANARDI</t>
        </is>
      </c>
      <c r="AD68" t="inlineStr">
        <is>
          <t>Administrador</t>
        </is>
      </c>
      <c r="AE68" t="inlineStr">
        <is>
          <t>(14) 3269-5100</t>
        </is>
      </c>
      <c r="AF68" t="inlineStr"/>
      <c r="AG68" t="inlineStr"/>
      <c r="AH68" t="inlineStr">
        <is>
          <t>SP</t>
        </is>
      </c>
      <c r="AI68" t="inlineStr">
        <is>
          <t>LENCOIS PAULISTA</t>
        </is>
      </c>
      <c r="AJ68" t="inlineStr">
        <is>
          <t>Fabricação de celulose e outras pastas para a fabricação de papel</t>
        </is>
      </c>
      <c r="AK68" t="inlineStr">
        <is>
          <t>DEMAIS</t>
        </is>
      </c>
      <c r="AL68" t="inlineStr">
        <is>
          <t>ATIVA</t>
        </is>
      </c>
      <c r="AM68" s="17" t="inlineStr">
        <is>
          <t>https://ajruiz.com.br/sites/default/files/public/arquivos-processos/2023-11/4_relacao_de_credores_analitica_art._51_iii_da_lre.pdf</t>
        </is>
      </c>
      <c r="AN68" s="18" t="inlineStr">
        <is>
          <t>p2 r21</t>
        </is>
      </c>
      <c r="AO68" s="18" t="inlineStr">
        <is>
          <t>p2: R$ 3.000.000,00</t>
        </is>
      </c>
      <c r="AP68" s="18" t="inlineStr">
        <is>
          <t>UNKNOWN</t>
        </is>
      </c>
      <c r="AQ68" s="18" t="inlineStr"/>
      <c r="AR68" s="18" t="inlineStr">
        <is>
          <t>OK</t>
        </is>
      </c>
      <c r="AS68" s="18" t="inlineStr">
        <is>
          <t>ALT_VALUE:cliente ROWS:p2r21 VALUE_COL:Valor_Do_Crédito CASE_NUMBER_CORRECTED</t>
        </is>
      </c>
      <c r="AT68" s="18" t="inlineStr">
        <is>
          <t>2407a56c3502</t>
        </is>
      </c>
    </row>
    <row r="69">
      <c r="A69" s="9" t="n">
        <v>68</v>
      </c>
      <c r="B69" s="9" t="inlineStr">
        <is>
          <t>NEW</t>
        </is>
      </c>
      <c r="C69" s="9" t="inlineStr"/>
      <c r="D69" s="9" t="n">
        <v>0</v>
      </c>
      <c r="E69" s="9" t="inlineStr"/>
      <c r="F69" s="9" t="inlineStr"/>
      <c r="G69" s="9" t="inlineStr"/>
      <c r="H69" s="9" t="inlineStr"/>
      <c r="I69" t="inlineStr">
        <is>
          <t>IRANY COMERCIO EXTERIOR LTDA</t>
        </is>
      </c>
      <c r="J69" t="inlineStr">
        <is>
          <t>Irany Comércio Exterior Ltda (CNPJ nº</t>
        </is>
      </c>
      <c r="K69" t="inlineStr">
        <is>
          <t>47320705</t>
        </is>
      </c>
      <c r="L69" t="inlineStr">
        <is>
          <t>47320705000150</t>
        </is>
      </c>
      <c r="M69" s="10" t="n">
        <v>2916553.74</v>
      </c>
      <c r="N69" t="n">
        <v>1</v>
      </c>
      <c r="O69" s="11" t="inlineStr">
        <is>
          <t>B</t>
        </is>
      </c>
      <c r="P69" s="11" t="inlineStr">
        <is>
          <t>ACTIVE</t>
        </is>
      </c>
      <c r="Q69" s="12" t="n">
        <v>45912</v>
      </c>
      <c r="R69" s="11">
        <f>IF(Q69="","",ROUND((TODAY()-Q69)/365.25,1))</f>
        <v/>
      </c>
      <c r="S69" s="13">
        <f>IFERROR(VLOOKUP(O69,Assumptions!$A$7:$F$11,2,FALSE),0.25)</f>
        <v/>
      </c>
      <c r="T69" s="14">
        <f>IF(O69="A",MAX(1,IFERROR(VLOOKUP(O69,Assumptions!$A$7:$F$11,3,FALSE),3)+IFERROR(VLOOKUP(O69,Assumptions!$A$7:$F$11,4,FALSE),8)/2-MAX(0,IF(R69="",0,R69)-IFERROR(VLOOKUP(O69,Assumptions!$A$7:$F$11,5,FALSE),1.5))),IFERROR(VLOOKUP(O69,Assumptions!$A$7:$F$11,5,FALSE),2.5)+IFERROR(VLOOKUP(O69,Assumptions!$A$7:$F$11,3,FALSE),3)+IFERROR(VLOOKUP(O69,Assumptions!$A$7:$F$11,4,FALSE),8)/2)</f>
        <v/>
      </c>
      <c r="U69" s="15">
        <f>M69*S69/(1+Assumptions!$B$3)^T69</f>
        <v/>
      </c>
      <c r="V69" s="11">
        <f>IF(M69=0,"",ROUND(U69/M69*100,1))</f>
        <v/>
      </c>
      <c r="W69" s="16">
        <f>U69*Assumptions!$B$4</f>
        <v/>
      </c>
      <c r="X69" s="11">
        <f>IF(M69=0,"",ROUND(W69/M69*100,1))</f>
        <v/>
      </c>
      <c r="Y69" t="inlineStr">
        <is>
          <t>B1 COMÉRCIO DE MANUFATURADOS LTDA</t>
        </is>
      </c>
      <c r="Z69" t="inlineStr">
        <is>
          <t>0043030-30.2025.8.16.0021</t>
        </is>
      </c>
      <c r="AA69" t="inlineStr">
        <is>
          <t>TJPR</t>
        </is>
      </c>
      <c r="AB69" t="inlineStr">
        <is>
          <t>marquesadmjudicial.com.br</t>
        </is>
      </c>
      <c r="AC69" t="inlineStr">
        <is>
          <t>IRANY GASPAR PACHECO DOS SANTOS</t>
        </is>
      </c>
      <c r="AD69" t="inlineStr">
        <is>
          <t>Sócio-Administrador</t>
        </is>
      </c>
      <c r="AE69" t="inlineStr">
        <is>
          <t>(42) 9871-7035</t>
        </is>
      </c>
      <c r="AF69" t="inlineStr"/>
      <c r="AG69" t="inlineStr"/>
      <c r="AH69" t="inlineStr">
        <is>
          <t>SC</t>
        </is>
      </c>
      <c r="AI69" t="inlineStr">
        <is>
          <t>ITAPOA</t>
        </is>
      </c>
      <c r="AJ69" t="inlineStr">
        <is>
          <t>Comércio atacadista de cereais e leguminosas beneficiados</t>
        </is>
      </c>
      <c r="AK69" t="inlineStr">
        <is>
          <t>DEMAIS</t>
        </is>
      </c>
      <c r="AL69" t="inlineStr">
        <is>
          <t>ATIVA</t>
        </is>
      </c>
      <c r="AM69" s="17" t="inlineStr">
        <is>
          <t>https://marquesadmjudicial.com.br/sgc/download.php?file=files/processo_documento/processo_documento18581929042026_1_.pdf&amp;nome=3º Edital - Relação de Credores e PRJ</t>
        </is>
      </c>
      <c r="AN69" s="18" t="inlineStr">
        <is>
          <t>p1 r46</t>
        </is>
      </c>
      <c r="AO69" s="18" t="inlineStr">
        <is>
          <t>p1: R$ 2.916.553,74</t>
        </is>
      </c>
      <c r="AP69" s="18" t="inlineStr">
        <is>
          <t>AJ_LIST</t>
        </is>
      </c>
      <c r="AQ69" s="18" t="inlineStr">
        <is>
          <t>2025-09-12</t>
        </is>
      </c>
      <c r="AR69" s="18" t="inlineStr">
        <is>
          <t>OK_NO_TOTALS</t>
        </is>
      </c>
      <c r="AS69" s="18" t="inlineStr">
        <is>
          <t>ROWS:p1r46 UNRECONCILED_SOURCE</t>
        </is>
      </c>
      <c r="AT69" s="18" t="inlineStr">
        <is>
          <t>9846e4c0bb37</t>
        </is>
      </c>
    </row>
    <row r="70">
      <c r="A70" s="9" t="n">
        <v>69</v>
      </c>
      <c r="B70" s="9" t="inlineStr">
        <is>
          <t>NEW</t>
        </is>
      </c>
      <c r="C70" s="9" t="inlineStr"/>
      <c r="D70" s="9" t="n">
        <v>0</v>
      </c>
      <c r="E70" s="9" t="inlineStr"/>
      <c r="F70" s="9" t="inlineStr"/>
      <c r="G70" s="9" t="inlineStr"/>
      <c r="H70" s="9" t="inlineStr"/>
      <c r="I70" t="inlineStr">
        <is>
          <t>NNC NORTE E NORDESTE COMMODITIES LTDA</t>
        </is>
      </c>
      <c r="J70" t="inlineStr">
        <is>
          <t>NNC NORTE E NORDESTE COMMODITIES LTDA</t>
        </is>
      </c>
      <c r="K70" t="inlineStr">
        <is>
          <t>40910399</t>
        </is>
      </c>
      <c r="L70" t="inlineStr">
        <is>
          <t>40910399000162</t>
        </is>
      </c>
      <c r="M70" s="10" t="n">
        <v>2859701.32</v>
      </c>
      <c r="N70" t="n">
        <v>1</v>
      </c>
      <c r="O70" s="11" t="inlineStr">
        <is>
          <t>B</t>
        </is>
      </c>
      <c r="P70" s="11" t="inlineStr">
        <is>
          <t>ACTIVE</t>
        </is>
      </c>
      <c r="Q70" s="12" t="n">
        <v>46030</v>
      </c>
      <c r="R70" s="11">
        <f>IF(Q70="","",ROUND((TODAY()-Q70)/365.25,1))</f>
        <v/>
      </c>
      <c r="S70" s="13">
        <f>IFERROR(VLOOKUP(O70,Assumptions!$A$7:$F$11,2,FALSE),0.25)</f>
        <v/>
      </c>
      <c r="T70" s="14">
        <f>IF(O70="A",MAX(1,IFERROR(VLOOKUP(O70,Assumptions!$A$7:$F$11,3,FALSE),3)+IFERROR(VLOOKUP(O70,Assumptions!$A$7:$F$11,4,FALSE),8)/2-MAX(0,IF(R70="",0,R70)-IFERROR(VLOOKUP(O70,Assumptions!$A$7:$F$11,5,FALSE),1.5))),IFERROR(VLOOKUP(O70,Assumptions!$A$7:$F$11,5,FALSE),2.5)+IFERROR(VLOOKUP(O70,Assumptions!$A$7:$F$11,3,FALSE),3)+IFERROR(VLOOKUP(O70,Assumptions!$A$7:$F$11,4,FALSE),8)/2)</f>
        <v/>
      </c>
      <c r="U70" s="15">
        <f>M70*S70/(1+Assumptions!$B$3)^T70</f>
        <v/>
      </c>
      <c r="V70" s="11">
        <f>IF(M70=0,"",ROUND(U70/M70*100,1))</f>
        <v/>
      </c>
      <c r="W70" s="16">
        <f>U70*Assumptions!$B$4</f>
        <v/>
      </c>
      <c r="X70" s="11">
        <f>IF(M70=0,"",ROUND(W70/M70*100,1))</f>
        <v/>
      </c>
      <c r="Y70" t="inlineStr">
        <is>
          <t>GRUPO FERRARI (ALEX, ALEXANDRE , ANDRIELLE FERRARI MANTELLI, ARCIR LUIS, ERICA SANTOS ASSIS LIMA, FERNANDO MANTELLI, IDELSI, TALITA LEITE SILVA, AGROPECUARIA FERRARI LTDA E FERRARI ARMAZENS GERAIS)</t>
        </is>
      </c>
      <c r="Z70" t="inlineStr">
        <is>
          <t>5011369-81.2026.8.09.0093</t>
        </is>
      </c>
      <c r="AA70" t="inlineStr">
        <is>
          <t>TJGO</t>
        </is>
      </c>
      <c r="AB70" t="inlineStr">
        <is>
          <t>scalzilliaj.com.br</t>
        </is>
      </c>
      <c r="AC70" t="inlineStr">
        <is>
          <t>OZILDE LOPES</t>
        </is>
      </c>
      <c r="AD70" t="inlineStr">
        <is>
          <t>Administrador</t>
        </is>
      </c>
      <c r="AE70" t="inlineStr">
        <is>
          <t>(37) 3271-9801</t>
        </is>
      </c>
      <c r="AF70" t="inlineStr"/>
      <c r="AG70" t="inlineStr"/>
      <c r="AH70" t="inlineStr">
        <is>
          <t>MA</t>
        </is>
      </c>
      <c r="AI70" t="inlineStr">
        <is>
          <t>BALSAS</t>
        </is>
      </c>
      <c r="AJ70" t="inlineStr">
        <is>
          <t>Comércio atacadista de cereais e leguminosas beneficiados</t>
        </is>
      </c>
      <c r="AK70" t="inlineStr">
        <is>
          <t>DEMAIS</t>
        </is>
      </c>
      <c r="AL70" t="inlineStr">
        <is>
          <t>ATIVA</t>
        </is>
      </c>
      <c r="AM70" s="17" t="inlineStr">
        <is>
          <t>https://scalzilliaj.com.br/sgc/download.php?file=files/processo_documento/processo_documento11421222052026_1_.pdf&amp;nome=08. Lista de credores do edital do art. 52, §1º da LREF</t>
        </is>
      </c>
      <c r="AN70" s="18" t="inlineStr">
        <is>
          <t>p3 r9</t>
        </is>
      </c>
      <c r="AO70" s="18" t="inlineStr">
        <is>
          <t>p3: R$ 2.859.701,32</t>
        </is>
      </c>
      <c r="AP70" s="18" t="inlineStr">
        <is>
          <t>UNKNOWN</t>
        </is>
      </c>
      <c r="AQ70" s="18" t="inlineStr"/>
      <c r="AR70" s="18" t="inlineStr">
        <is>
          <t>OK_NO_TOTALS</t>
        </is>
      </c>
      <c r="AS70" s="18" t="inlineStr">
        <is>
          <t>ROWS:p3r9 UNRECONCILED_SOURCE</t>
        </is>
      </c>
      <c r="AT70" s="18" t="inlineStr">
        <is>
          <t>c536a2fa4da3</t>
        </is>
      </c>
    </row>
    <row r="71">
      <c r="A71" s="9" t="n">
        <v>70</v>
      </c>
      <c r="B71" s="9" t="inlineStr">
        <is>
          <t>NEW</t>
        </is>
      </c>
      <c r="C71" s="9" t="inlineStr"/>
      <c r="D71" s="9" t="n">
        <v>0</v>
      </c>
      <c r="E71" s="9" t="inlineStr"/>
      <c r="F71" s="9" t="inlineStr"/>
      <c r="G71" s="9" t="inlineStr"/>
      <c r="H71" s="9" t="inlineStr"/>
      <c r="I71" t="inlineStr">
        <is>
          <t>SPORT CLUB CORINTHIANS PAULISTA</t>
        </is>
      </c>
      <c r="J71" t="inlineStr">
        <is>
          <t>SPORT CLUB CORINTHIANS PAULISTA, CPF/CNPJ Nº</t>
        </is>
      </c>
      <c r="K71" t="inlineStr">
        <is>
          <t>61902722</t>
        </is>
      </c>
      <c r="L71" t="inlineStr">
        <is>
          <t>61902722000126</t>
        </is>
      </c>
      <c r="M71" s="10" t="n">
        <v>2823611.8</v>
      </c>
      <c r="N71" t="n">
        <v>1</v>
      </c>
      <c r="O71" s="11" t="inlineStr">
        <is>
          <t>C</t>
        </is>
      </c>
      <c r="P71" s="11" t="inlineStr">
        <is>
          <t>ACTIVE</t>
        </is>
      </c>
      <c r="Q71" s="12" t="n">
        <v>44966</v>
      </c>
      <c r="R71" s="11">
        <f>IF(Q71="","",ROUND((TODAY()-Q71)/365.25,1))</f>
        <v/>
      </c>
      <c r="S71" s="13">
        <f>IFERROR(VLOOKUP(O71,Assumptions!$A$7:$F$11,2,FALSE),0.25)</f>
        <v/>
      </c>
      <c r="T71" s="14">
        <f>IF(O71="A",MAX(1,IFERROR(VLOOKUP(O71,Assumptions!$A$7:$F$11,3,FALSE),3)+IFERROR(VLOOKUP(O71,Assumptions!$A$7:$F$11,4,FALSE),8)/2-MAX(0,IF(R71="",0,R71)-IFERROR(VLOOKUP(O71,Assumptions!$A$7:$F$11,5,FALSE),1.5))),IFERROR(VLOOKUP(O71,Assumptions!$A$7:$F$11,5,FALSE),2.5)+IFERROR(VLOOKUP(O71,Assumptions!$A$7:$F$11,3,FALSE),3)+IFERROR(VLOOKUP(O71,Assumptions!$A$7:$F$11,4,FALSE),8)/2)</f>
        <v/>
      </c>
      <c r="U71" s="15">
        <f>M71*S71/(1+Assumptions!$B$3)^T71</f>
        <v/>
      </c>
      <c r="V71" s="11">
        <f>IF(M71=0,"",ROUND(U71/M71*100,1))</f>
        <v/>
      </c>
      <c r="W71" s="16">
        <f>U71*Assumptions!$B$4</f>
        <v/>
      </c>
      <c r="X71" s="11">
        <f>IF(M71=0,"",ROUND(W71/M71*100,1))</f>
        <v/>
      </c>
      <c r="Y71" t="inlineStr">
        <is>
          <t>CLUBE NÁUTICO CAPIBARIBE</t>
        </is>
      </c>
      <c r="Z71" t="inlineStr">
        <is>
          <t>0011283-80.2023.8.17.2001</t>
        </is>
      </c>
      <c r="AA71" t="inlineStr">
        <is>
          <t>TJPE</t>
        </is>
      </c>
      <c r="AB71" t="inlineStr">
        <is>
          <t>lrflideres.com.br</t>
        </is>
      </c>
      <c r="AC71" t="inlineStr">
        <is>
          <t>OSMAR STABILE</t>
        </is>
      </c>
      <c r="AD71" t="inlineStr">
        <is>
          <t>Presidente</t>
        </is>
      </c>
      <c r="AE71" t="inlineStr"/>
      <c r="AF71" t="inlineStr"/>
      <c r="AG71" t="inlineStr"/>
      <c r="AH71" t="inlineStr">
        <is>
          <t>SP</t>
        </is>
      </c>
      <c r="AI71" t="inlineStr">
        <is>
          <t>SAO PAULO</t>
        </is>
      </c>
      <c r="AJ71" t="inlineStr">
        <is>
          <t>Clubes sociais, esportivos e similares</t>
        </is>
      </c>
      <c r="AK71" t="inlineStr">
        <is>
          <t>DEMAIS</t>
        </is>
      </c>
      <c r="AL71" t="inlineStr">
        <is>
          <t>ATIVA</t>
        </is>
      </c>
      <c r="AM71" s="17" t="inlineStr">
        <is>
          <t>https://lrflideres.com.br/wp-content/plugins/download-attachments/includes/download.php?id=5589</t>
        </is>
      </c>
      <c r="AN71" s="18" t="inlineStr">
        <is>
          <t>p12 r44</t>
        </is>
      </c>
      <c r="AO71" s="18" t="inlineStr">
        <is>
          <t>p12: R$ 2.823.611,80</t>
        </is>
      </c>
      <c r="AP71" s="18" t="inlineStr">
        <is>
          <t>AJ_LIST</t>
        </is>
      </c>
      <c r="AQ71" s="18" t="inlineStr">
        <is>
          <t>2023-11-27</t>
        </is>
      </c>
      <c r="AR71" s="18" t="inlineStr">
        <is>
          <t>QUARANTINED</t>
        </is>
      </c>
      <c r="AS71" s="18" t="inlineStr">
        <is>
          <t>PARTIAL_DOC_CLASS_III_RECONCILED ROWS:p12r44</t>
        </is>
      </c>
      <c r="AT71" s="18" t="inlineStr">
        <is>
          <t>677be5783c06</t>
        </is>
      </c>
    </row>
    <row r="72">
      <c r="A72" s="9" t="n">
        <v>71</v>
      </c>
      <c r="B72" s="9" t="inlineStr">
        <is>
          <t>NEW</t>
        </is>
      </c>
      <c r="C72" s="9" t="inlineStr"/>
      <c r="D72" s="9" t="n">
        <v>0</v>
      </c>
      <c r="E72" s="9" t="inlineStr"/>
      <c r="F72" s="9" t="inlineStr"/>
      <c r="G72" s="9" t="inlineStr"/>
      <c r="H72" s="9" t="inlineStr"/>
      <c r="I72" t="inlineStr">
        <is>
          <t>CARGILL AGRICOLA S A</t>
        </is>
      </c>
      <c r="J72" t="inlineStr">
        <is>
          <t>CARGILL AGRICOLA S.A</t>
        </is>
      </c>
      <c r="K72" t="inlineStr">
        <is>
          <t>60498706</t>
        </is>
      </c>
      <c r="L72" t="inlineStr">
        <is>
          <t>60498706006600</t>
        </is>
      </c>
      <c r="M72" s="10" t="n">
        <v>2748939.47</v>
      </c>
      <c r="N72" t="n">
        <v>4</v>
      </c>
      <c r="O72" s="11" t="inlineStr">
        <is>
          <t>B</t>
        </is>
      </c>
      <c r="P72" s="11" t="inlineStr">
        <is>
          <t>ACTIVE</t>
        </is>
      </c>
      <c r="Q72" s="12" t="n">
        <v>46079</v>
      </c>
      <c r="R72" s="11">
        <f>IF(Q72="","",ROUND((TODAY()-Q72)/365.25,1))</f>
        <v/>
      </c>
      <c r="S72" s="13">
        <f>IFERROR(VLOOKUP(O72,Assumptions!$A$7:$F$11,2,FALSE),0.25)</f>
        <v/>
      </c>
      <c r="T72" s="14">
        <f>IF(O72="A",MAX(1,IFERROR(VLOOKUP(O72,Assumptions!$A$7:$F$11,3,FALSE),3)+IFERROR(VLOOKUP(O72,Assumptions!$A$7:$F$11,4,FALSE),8)/2-MAX(0,IF(R72="",0,R72)-IFERROR(VLOOKUP(O72,Assumptions!$A$7:$F$11,5,FALSE),1.5))),IFERROR(VLOOKUP(O72,Assumptions!$A$7:$F$11,5,FALSE),2.5)+IFERROR(VLOOKUP(O72,Assumptions!$A$7:$F$11,3,FALSE),3)+IFERROR(VLOOKUP(O72,Assumptions!$A$7:$F$11,4,FALSE),8)/2)</f>
        <v/>
      </c>
      <c r="U72" s="15">
        <f>M72*S72/(1+Assumptions!$B$3)^T72</f>
        <v/>
      </c>
      <c r="V72" s="11">
        <f>IF(M72=0,"",ROUND(U72/M72*100,1))</f>
        <v/>
      </c>
      <c r="W72" s="16">
        <f>U72*Assumptions!$B$4</f>
        <v/>
      </c>
      <c r="X72" s="11">
        <f>IF(M72=0,"",ROUND(W72/M72*100,1))</f>
        <v/>
      </c>
      <c r="Y72" t="inlineStr">
        <is>
          <t>Grupo GE (Condomínio Agropecuário GE)</t>
        </is>
      </c>
      <c r="Z72" t="inlineStr">
        <is>
          <t>5164979-18.2026.8.09.0110</t>
        </is>
      </c>
      <c r="AA72" t="inlineStr">
        <is>
          <t>TJGO</t>
        </is>
      </c>
      <c r="AB72" t="inlineStr">
        <is>
          <t>stenius.com.br</t>
        </is>
      </c>
      <c r="AC72" t="inlineStr">
        <is>
          <t>PAULO HUMBERTO ALVES DE SOUSA</t>
        </is>
      </c>
      <c r="AD72" t="inlineStr">
        <is>
          <t>Presidente</t>
        </is>
      </c>
      <c r="AE72" t="inlineStr">
        <is>
          <t>(11) 5099-3311</t>
        </is>
      </c>
      <c r="AF72" t="inlineStr"/>
      <c r="AG72" t="inlineStr"/>
      <c r="AH72" t="inlineStr">
        <is>
          <t>SP</t>
        </is>
      </c>
      <c r="AI72" t="inlineStr">
        <is>
          <t>SAO PAULO</t>
        </is>
      </c>
      <c r="AJ72" t="inlineStr">
        <is>
          <t>Fabricação de óleos vegetais refinados, exceto óleo de milho</t>
        </is>
      </c>
      <c r="AK72" t="inlineStr">
        <is>
          <t>DEMAIS</t>
        </is>
      </c>
      <c r="AL72" t="inlineStr">
        <is>
          <t>ATIVA</t>
        </is>
      </c>
      <c r="AM72" s="17" t="inlineStr">
        <is>
          <t>https://stenius.com.br/wp-content/uploads/2026/07/EDITAL-1-RELACAO-DE-CREDORES-GRUPO-GE.pdf</t>
        </is>
      </c>
      <c r="AN72" s="18" t="inlineStr">
        <is>
          <t>p5 r10; p5 r11; p5 r12; p5 r13; p5 r14; p5 r15; p5 r16; p5 r17</t>
        </is>
      </c>
      <c r="AO72" s="18" t="inlineStr">
        <is>
          <t>p5: R$ 518.664,47; p5: R$ 1.308.950,00; p5: R$ 1.308.950,00; p5: R$ 682.325,00; p5: R$ 682.325,00; p5: R$ 239.000,00; p5: R$ 239.000,00; p5: R$ 239.000,00</t>
        </is>
      </c>
      <c r="AP72" s="18" t="inlineStr">
        <is>
          <t>DEBTOR_LIST</t>
        </is>
      </c>
      <c r="AQ72" s="18" t="inlineStr">
        <is>
          <t>2026-07-01</t>
        </is>
      </c>
      <c r="AR72" s="18" t="inlineStr">
        <is>
          <t>OK_NO_TOTALS</t>
        </is>
      </c>
      <c r="AS72" s="18" t="inlineStr">
        <is>
          <t>ROWS:p5r10,p5r11,p5r13,p5r15 UNRECONCILED_SOURCE</t>
        </is>
      </c>
      <c r="AT72" s="18" t="inlineStr">
        <is>
          <t>9eb5be419208</t>
        </is>
      </c>
    </row>
    <row r="73">
      <c r="A73" s="9" t="n">
        <v>72</v>
      </c>
      <c r="B73" s="9" t="inlineStr">
        <is>
          <t>NEW</t>
        </is>
      </c>
      <c r="C73" s="9" t="inlineStr"/>
      <c r="D73" s="9" t="n">
        <v>0</v>
      </c>
      <c r="E73" s="9" t="inlineStr"/>
      <c r="F73" s="9" t="inlineStr"/>
      <c r="G73" s="9" t="inlineStr"/>
      <c r="H73" s="9" t="inlineStr"/>
      <c r="I73" t="inlineStr">
        <is>
          <t>VR BENEFICIOS E SERVICOS DE PROCESSAMENTO INSTITUICAO DE PAGAMENTO S.A.</t>
        </is>
      </c>
      <c r="J73" t="inlineStr">
        <is>
          <t>VR BENEFÍCIOS E SERVIÇOS DE</t>
        </is>
      </c>
      <c r="K73" t="inlineStr">
        <is>
          <t>02535864</t>
        </is>
      </c>
      <c r="L73" t="inlineStr">
        <is>
          <t>02535864000133</t>
        </is>
      </c>
      <c r="M73" s="10" t="n">
        <v>2731258.45</v>
      </c>
      <c r="N73" t="n">
        <v>1</v>
      </c>
      <c r="O73" s="11" t="inlineStr">
        <is>
          <t>D</t>
        </is>
      </c>
      <c r="P73" s="11" t="inlineStr"/>
      <c r="Q73" s="12" t="inlineStr"/>
      <c r="R73" s="11">
        <f>IF(Q73="","",ROUND((TODAY()-Q73)/365.25,1))</f>
        <v/>
      </c>
      <c r="S73" s="13">
        <f>IFERROR(VLOOKUP(O73,Assumptions!$A$7:$F$11,2,FALSE),0.25)</f>
        <v/>
      </c>
      <c r="T73" s="14">
        <f>IF(O73="A",MAX(1,IFERROR(VLOOKUP(O73,Assumptions!$A$7:$F$11,3,FALSE),3)+IFERROR(VLOOKUP(O73,Assumptions!$A$7:$F$11,4,FALSE),8)/2-MAX(0,IF(R73="",0,R73)-IFERROR(VLOOKUP(O73,Assumptions!$A$7:$F$11,5,FALSE),1.5))),IFERROR(VLOOKUP(O73,Assumptions!$A$7:$F$11,5,FALSE),2.5)+IFERROR(VLOOKUP(O73,Assumptions!$A$7:$F$11,3,FALSE),3)+IFERROR(VLOOKUP(O73,Assumptions!$A$7:$F$11,4,FALSE),8)/2)</f>
        <v/>
      </c>
      <c r="U73" s="15">
        <f>M73*S73/(1+Assumptions!$B$3)^T73</f>
        <v/>
      </c>
      <c r="V73" s="11">
        <f>IF(M73=0,"",ROUND(U73/M73*100,1))</f>
        <v/>
      </c>
      <c r="W73" s="16">
        <f>U73*Assumptions!$B$4</f>
        <v/>
      </c>
      <c r="X73" s="11">
        <f>IF(M73=0,"",ROUND(W73/M73*100,1))</f>
        <v/>
      </c>
      <c r="Y73" t="inlineStr">
        <is>
          <t>EQUIP SEG INTELIGÊNCIA EM SEGURANÇA LTDA. E EQUIP SEG SERVIÇOS ESPECIALIZADOS LTDA.</t>
        </is>
      </c>
      <c r="Z73" t="inlineStr">
        <is>
          <t>0033736-15.2023.8.16.0185</t>
        </is>
      </c>
      <c r="AA73" t="inlineStr"/>
      <c r="AB73" t="inlineStr">
        <is>
          <t>bbsadvogados.com.br</t>
        </is>
      </c>
      <c r="AC73" t="inlineStr">
        <is>
          <t>ANDRE TAKEMOTO</t>
        </is>
      </c>
      <c r="AD73" t="inlineStr">
        <is>
          <t>Diretor</t>
        </is>
      </c>
      <c r="AE73" t="inlineStr">
        <is>
          <t>(11) 4134-4100</t>
        </is>
      </c>
      <c r="AF73" t="inlineStr"/>
      <c r="AG73" t="inlineStr"/>
      <c r="AH73" t="inlineStr">
        <is>
          <t>SP</t>
        </is>
      </c>
      <c r="AI73" t="inlineStr">
        <is>
          <t>SAO PAULO</t>
        </is>
      </c>
      <c r="AJ73" t="inlineStr">
        <is>
          <t>Emissão de vales-alimentação, vales-transporte e similares</t>
        </is>
      </c>
      <c r="AK73" t="inlineStr">
        <is>
          <t>DEMAIS</t>
        </is>
      </c>
      <c r="AL73" t="inlineStr">
        <is>
          <t>ATIVA</t>
        </is>
      </c>
      <c r="AM73" s="17" t="inlineStr">
        <is>
          <t>https://bbsadvogados.com.br/wp-content/uploads/2025/04/Equipseg-Edital-Relacao-de-Credores-da-Administradora-Judicial-art.-7o2o-da-LRF.pdf</t>
        </is>
      </c>
      <c r="AN73" s="18" t="inlineStr">
        <is>
          <t>p42 r8</t>
        </is>
      </c>
      <c r="AO73" s="18" t="inlineStr">
        <is>
          <t>p42: R$ 2.731.258,45</t>
        </is>
      </c>
      <c r="AP73" s="18" t="inlineStr">
        <is>
          <t>AJ_LIST</t>
        </is>
      </c>
      <c r="AQ73" s="18" t="inlineStr">
        <is>
          <t>2025-04-08</t>
        </is>
      </c>
      <c r="AR73" s="18" t="inlineStr">
        <is>
          <t>OK_NO_TOTALS</t>
        </is>
      </c>
      <c r="AS73" s="18" t="inlineStr">
        <is>
          <t>ROWS:p42r8 UNRECONCILED_SOURCE</t>
        </is>
      </c>
      <c r="AT73" s="18" t="inlineStr">
        <is>
          <t>b9895d3bab05</t>
        </is>
      </c>
    </row>
    <row r="74">
      <c r="A74" s="9" t="n">
        <v>73</v>
      </c>
      <c r="B74" s="9" t="inlineStr">
        <is>
          <t>NEW</t>
        </is>
      </c>
      <c r="C74" s="9" t="inlineStr"/>
      <c r="D74" s="9" t="n">
        <v>0</v>
      </c>
      <c r="E74" s="9" t="inlineStr"/>
      <c r="F74" s="9" t="inlineStr"/>
      <c r="G74" s="9" t="inlineStr"/>
      <c r="H74" s="9" t="inlineStr"/>
      <c r="I74" t="inlineStr">
        <is>
          <t>MAXLIFT LOCADORA DE EQUIPAMENTOS LTDA.</t>
        </is>
      </c>
      <c r="J74" t="inlineStr">
        <is>
          <t>Maxlift Locadora de Equipamentos Ltda</t>
        </is>
      </c>
      <c r="K74" t="inlineStr">
        <is>
          <t>08992890</t>
        </is>
      </c>
      <c r="L74" t="inlineStr">
        <is>
          <t>08992890000177</t>
        </is>
      </c>
      <c r="M74" s="10" t="n">
        <v>2680302.42</v>
      </c>
      <c r="N74" t="n">
        <v>1</v>
      </c>
      <c r="O74" s="11" t="inlineStr">
        <is>
          <t>B</t>
        </is>
      </c>
      <c r="P74" s="11" t="inlineStr"/>
      <c r="Q74" s="12" t="n">
        <v>45756</v>
      </c>
      <c r="R74" s="11">
        <f>IF(Q74="","",ROUND((TODAY()-Q74)/365.25,1))</f>
        <v/>
      </c>
      <c r="S74" s="13">
        <f>IFERROR(VLOOKUP(O74,Assumptions!$A$7:$F$11,2,FALSE),0.25)</f>
        <v/>
      </c>
      <c r="T74" s="14">
        <f>IF(O74="A",MAX(1,IFERROR(VLOOKUP(O74,Assumptions!$A$7:$F$11,3,FALSE),3)+IFERROR(VLOOKUP(O74,Assumptions!$A$7:$F$11,4,FALSE),8)/2-MAX(0,IF(R74="",0,R74)-IFERROR(VLOOKUP(O74,Assumptions!$A$7:$F$11,5,FALSE),1.5))),IFERROR(VLOOKUP(O74,Assumptions!$A$7:$F$11,5,FALSE),2.5)+IFERROR(VLOOKUP(O74,Assumptions!$A$7:$F$11,3,FALSE),3)+IFERROR(VLOOKUP(O74,Assumptions!$A$7:$F$11,4,FALSE),8)/2)</f>
        <v/>
      </c>
      <c r="U74" s="15">
        <f>M74*S74/(1+Assumptions!$B$3)^T74</f>
        <v/>
      </c>
      <c r="V74" s="11">
        <f>IF(M74=0,"",ROUND(U74/M74*100,1))</f>
        <v/>
      </c>
      <c r="W74" s="16">
        <f>U74*Assumptions!$B$4</f>
        <v/>
      </c>
      <c r="X74" s="11">
        <f>IF(M74=0,"",ROUND(W74/M74*100,1))</f>
        <v/>
      </c>
      <c r="Y74" t="inlineStr">
        <is>
          <t>GRUPO EGESA (EGESA ENG S.A, EGESUR PART E EMP S.A, MATRIX INFRA LTDA, BEMVIVER ENG AMBIENTAL E SERV LTDA, DKF CONST E EMP LTDA, EGEPEL LTDA, ETR ASSESSORIA EMP E PART LTDA, MVT ENG E SERV LTDA, PARQUES DO VALE LTDA, ELMO RIBEIRO E ANA RIBEIRO)</t>
        </is>
      </c>
      <c r="Z74" t="inlineStr">
        <is>
          <t>5088952-81.2025.8.13.0024</t>
        </is>
      </c>
      <c r="AA74" t="inlineStr">
        <is>
          <t>TJMG</t>
        </is>
      </c>
      <c r="AB74" t="inlineStr">
        <is>
          <t>scalzilliaj.com.br</t>
        </is>
      </c>
      <c r="AC74" t="inlineStr">
        <is>
          <t>MARIA RACHEL LUNA DI CAVALCANTI</t>
        </is>
      </c>
      <c r="AD74" t="inlineStr">
        <is>
          <t>Sócio-Administrador</t>
        </is>
      </c>
      <c r="AE74" t="inlineStr">
        <is>
          <t>(11) 4191-4480</t>
        </is>
      </c>
      <c r="AF74" t="inlineStr">
        <is>
          <t>(11) 4152-2907</t>
        </is>
      </c>
      <c r="AG74" t="inlineStr"/>
      <c r="AH74" t="inlineStr">
        <is>
          <t>SP</t>
        </is>
      </c>
      <c r="AI74" t="inlineStr">
        <is>
          <t>SAO PAULO</t>
        </is>
      </c>
      <c r="AJ74" t="inlineStr">
        <is>
          <t>Aluguel de outras máquinas e equipamentos comerciais e industriais não especificados anteriormente, sem operador</t>
        </is>
      </c>
      <c r="AK74" t="inlineStr">
        <is>
          <t>DEMAIS</t>
        </is>
      </c>
      <c r="AL74" t="inlineStr">
        <is>
          <t>ATIVA</t>
        </is>
      </c>
      <c r="AM74" s="17" t="inlineStr">
        <is>
          <t>https://scalzilliaj.com.br/sgc/download.php?file=files/processo_documento/processo_documento09514021082025_1_.pdf&amp;nome=04 - Relação de credores das Recuperandas</t>
        </is>
      </c>
      <c r="AN74" s="18" t="inlineStr">
        <is>
          <t>p69 r16</t>
        </is>
      </c>
      <c r="AO74" s="18" t="inlineStr">
        <is>
          <t>p69: R$ 2.680.302,42</t>
        </is>
      </c>
      <c r="AP74" s="18" t="inlineStr">
        <is>
          <t>DEBTOR_LIST</t>
        </is>
      </c>
      <c r="AQ74" s="18" t="inlineStr"/>
      <c r="AR74" s="18" t="inlineStr">
        <is>
          <t>OK</t>
        </is>
      </c>
      <c r="AS74" s="18" t="inlineStr">
        <is>
          <t>ROWS:p69r16 VALUE_COL:Valor_Atualizado CASE_NUMBER_CORRECTED CASE_FROM_PORTAL</t>
        </is>
      </c>
      <c r="AT74" s="18" t="inlineStr">
        <is>
          <t>24ed98480a57</t>
        </is>
      </c>
    </row>
    <row r="75">
      <c r="A75" s="9" t="n">
        <v>74</v>
      </c>
      <c r="B75" s="9" t="inlineStr">
        <is>
          <t>NEW</t>
        </is>
      </c>
      <c r="C75" s="9" t="inlineStr"/>
      <c r="D75" s="9" t="n">
        <v>0</v>
      </c>
      <c r="E75" s="9" t="inlineStr"/>
      <c r="F75" s="9" t="inlineStr"/>
      <c r="G75" s="9" t="inlineStr"/>
      <c r="H75" s="9" t="inlineStr"/>
      <c r="I75" t="inlineStr">
        <is>
          <t>GALVANI ENGENHARIA E PARTICIPACOES LTDA</t>
        </is>
      </c>
      <c r="J75" t="inlineStr">
        <is>
          <t>Galvani Mineração e Participações Ltda</t>
        </is>
      </c>
      <c r="K75" t="inlineStr">
        <is>
          <t>09422727</t>
        </is>
      </c>
      <c r="L75" t="inlineStr">
        <is>
          <t>09422727000131</t>
        </is>
      </c>
      <c r="M75" s="10" t="n">
        <v>2654550.86</v>
      </c>
      <c r="N75" t="n">
        <v>2</v>
      </c>
      <c r="O75" s="11" t="inlineStr">
        <is>
          <t>B</t>
        </is>
      </c>
      <c r="P75" s="11" t="inlineStr"/>
      <c r="Q75" s="12" t="n">
        <v>45756</v>
      </c>
      <c r="R75" s="11">
        <f>IF(Q75="","",ROUND((TODAY()-Q75)/365.25,1))</f>
        <v/>
      </c>
      <c r="S75" s="13">
        <f>IFERROR(VLOOKUP(O75,Assumptions!$A$7:$F$11,2,FALSE),0.25)</f>
        <v/>
      </c>
      <c r="T75" s="14">
        <f>IF(O75="A",MAX(1,IFERROR(VLOOKUP(O75,Assumptions!$A$7:$F$11,3,FALSE),3)+IFERROR(VLOOKUP(O75,Assumptions!$A$7:$F$11,4,FALSE),8)/2-MAX(0,IF(R75="",0,R75)-IFERROR(VLOOKUP(O75,Assumptions!$A$7:$F$11,5,FALSE),1.5))),IFERROR(VLOOKUP(O75,Assumptions!$A$7:$F$11,5,FALSE),2.5)+IFERROR(VLOOKUP(O75,Assumptions!$A$7:$F$11,3,FALSE),3)+IFERROR(VLOOKUP(O75,Assumptions!$A$7:$F$11,4,FALSE),8)/2)</f>
        <v/>
      </c>
      <c r="U75" s="15">
        <f>M75*S75/(1+Assumptions!$B$3)^T75</f>
        <v/>
      </c>
      <c r="V75" s="11">
        <f>IF(M75=0,"",ROUND(U75/M75*100,1))</f>
        <v/>
      </c>
      <c r="W75" s="16">
        <f>U75*Assumptions!$B$4</f>
        <v/>
      </c>
      <c r="X75" s="11">
        <f>IF(M75=0,"",ROUND(W75/M75*100,1))</f>
        <v/>
      </c>
      <c r="Y75" t="inlineStr">
        <is>
          <t>GRUPO EGESA (EGESA ENG S.A, EGESUR PART E EMP S.A, MATRIX INFRA LTDA, BEMVIVER ENG AMBIENTAL E SERV LTDA, DKF CONST E EMP LTDA, EGEPEL LTDA, ETR ASSESSORIA EMP E PART LTDA, MVT ENG E SERV LTDA, PARQUES DO VALE LTDA, ELMO RIBEIRO E ANA RIBEIRO)</t>
        </is>
      </c>
      <c r="Z75" t="inlineStr">
        <is>
          <t>5088952-81.2025.8.13.0024</t>
        </is>
      </c>
      <c r="AA75" t="inlineStr">
        <is>
          <t>TJMG</t>
        </is>
      </c>
      <c r="AB75" t="inlineStr">
        <is>
          <t>scalzilliaj.com.br</t>
        </is>
      </c>
      <c r="AC75" t="inlineStr">
        <is>
          <t>SERGIO GALVANI</t>
        </is>
      </c>
      <c r="AD75" t="inlineStr">
        <is>
          <t>Sócio-Administrador</t>
        </is>
      </c>
      <c r="AE75" t="inlineStr">
        <is>
          <t>(19) 3844-9900</t>
        </is>
      </c>
      <c r="AF75" t="inlineStr">
        <is>
          <t>(19) 3844-9667</t>
        </is>
      </c>
      <c r="AG75" t="inlineStr"/>
      <c r="AH75" t="inlineStr">
        <is>
          <t>SP</t>
        </is>
      </c>
      <c r="AI75" t="inlineStr">
        <is>
          <t>PAULINIA</t>
        </is>
      </c>
      <c r="AJ75" t="inlineStr">
        <is>
          <t>Obras de urbanização - ruas, praças e calçadas</t>
        </is>
      </c>
      <c r="AK75" t="inlineStr">
        <is>
          <t>DEMAIS</t>
        </is>
      </c>
      <c r="AL75" t="inlineStr">
        <is>
          <t>ATIVA</t>
        </is>
      </c>
      <c r="AM75" s="17" t="inlineStr">
        <is>
          <t>https://scalzilliaj.com.br/sgc/download.php?file=files/processo_documento/processo_documento09514021082025_1_.pdf&amp;nome=04 - Relação de credores das Recuperandas</t>
        </is>
      </c>
      <c r="AN75" s="18" t="inlineStr">
        <is>
          <t>p67 r2; p67 r3</t>
        </is>
      </c>
      <c r="AO75" s="18" t="inlineStr">
        <is>
          <t>p67: R$ 2.209.334,79; p67: R$ 445.216,07</t>
        </is>
      </c>
      <c r="AP75" s="18" t="inlineStr">
        <is>
          <t>DEBTOR_LIST</t>
        </is>
      </c>
      <c r="AQ75" s="18" t="inlineStr"/>
      <c r="AR75" s="18" t="inlineStr">
        <is>
          <t>OK</t>
        </is>
      </c>
      <c r="AS75" s="18" t="inlineStr">
        <is>
          <t>ROWS:p67r2,p67r3 VALUE_COL:Valor_Atualizado CASE_NUMBER_CORRECTED CASE_FROM_PORTAL</t>
        </is>
      </c>
      <c r="AT75" s="18" t="inlineStr">
        <is>
          <t>24ed98480a57</t>
        </is>
      </c>
    </row>
    <row r="76">
      <c r="A76" s="9" t="n">
        <v>75</v>
      </c>
      <c r="B76" s="9" t="inlineStr">
        <is>
          <t>NEW</t>
        </is>
      </c>
      <c r="C76" s="9" t="inlineStr"/>
      <c r="D76" s="9" t="n">
        <v>0</v>
      </c>
      <c r="E76" s="9" t="inlineStr"/>
      <c r="F76" s="9" t="inlineStr"/>
      <c r="G76" s="9" t="inlineStr"/>
      <c r="H76" s="9" t="inlineStr"/>
      <c r="I76" t="inlineStr">
        <is>
          <t>FLEXIVEL INDUSTRIA E COMERCIO LTDA</t>
        </is>
      </c>
      <c r="J76" t="inlineStr">
        <is>
          <t>FLEXIVEL IND COM LTDA</t>
        </is>
      </c>
      <c r="K76" t="inlineStr">
        <is>
          <t>03076832</t>
        </is>
      </c>
      <c r="L76" t="inlineStr">
        <is>
          <t>03076832000180</t>
        </is>
      </c>
      <c r="M76" s="10" t="n">
        <v>2550639.65</v>
      </c>
      <c r="N76" t="n">
        <v>1</v>
      </c>
      <c r="O76" s="11" t="inlineStr">
        <is>
          <t>D</t>
        </is>
      </c>
      <c r="P76" s="11" t="inlineStr"/>
      <c r="Q76" s="12" t="inlineStr"/>
      <c r="R76" s="11">
        <f>IF(Q76="","",ROUND((TODAY()-Q76)/365.25,1))</f>
        <v/>
      </c>
      <c r="S76" s="13">
        <f>IFERROR(VLOOKUP(O76,Assumptions!$A$7:$F$11,2,FALSE),0.25)</f>
        <v/>
      </c>
      <c r="T76" s="14">
        <f>IF(O76="A",MAX(1,IFERROR(VLOOKUP(O76,Assumptions!$A$7:$F$11,3,FALSE),3)+IFERROR(VLOOKUP(O76,Assumptions!$A$7:$F$11,4,FALSE),8)/2-MAX(0,IF(R76="",0,R76)-IFERROR(VLOOKUP(O76,Assumptions!$A$7:$F$11,5,FALSE),1.5))),IFERROR(VLOOKUP(O76,Assumptions!$A$7:$F$11,5,FALSE),2.5)+IFERROR(VLOOKUP(O76,Assumptions!$A$7:$F$11,3,FALSE),3)+IFERROR(VLOOKUP(O76,Assumptions!$A$7:$F$11,4,FALSE),8)/2)</f>
        <v/>
      </c>
      <c r="U76" s="15">
        <f>M76*S76/(1+Assumptions!$B$3)^T76</f>
        <v/>
      </c>
      <c r="V76" s="11">
        <f>IF(M76=0,"",ROUND(U76/M76*100,1))</f>
        <v/>
      </c>
      <c r="W76" s="16">
        <f>U76*Assumptions!$B$4</f>
        <v/>
      </c>
      <c r="X76" s="11">
        <f>IF(M76=0,"",ROUND(W76/M76*100,1))</f>
        <v/>
      </c>
      <c r="Y76" t="inlineStr">
        <is>
          <t>Mannes</t>
        </is>
      </c>
      <c r="Z76" t="inlineStr">
        <is>
          <t>0005010-50.2013.8.24.0026</t>
        </is>
      </c>
      <c r="AA76" t="inlineStr"/>
      <c r="AB76" t="inlineStr">
        <is>
          <t>administradorajudicialgs.com.br</t>
        </is>
      </c>
      <c r="AC76" t="inlineStr">
        <is>
          <t>ANGELA VILMA GADOTTI JUNKES</t>
        </is>
      </c>
      <c r="AD76" t="inlineStr">
        <is>
          <t>Administrador</t>
        </is>
      </c>
      <c r="AE76" t="inlineStr">
        <is>
          <t>(47) 3270-1900</t>
        </is>
      </c>
      <c r="AF76" t="inlineStr"/>
      <c r="AG76" t="inlineStr"/>
      <c r="AH76" t="inlineStr">
        <is>
          <t>SC</t>
        </is>
      </c>
      <c r="AI76" t="inlineStr">
        <is>
          <t>JARAGUA DO SUL</t>
        </is>
      </c>
      <c r="AJ76" t="inlineStr">
        <is>
          <t>Fabricação de outros produtos químicos não especificados anteriormente</t>
        </is>
      </c>
      <c r="AK76" t="inlineStr">
        <is>
          <t>DEMAIS</t>
        </is>
      </c>
      <c r="AL76" t="inlineStr">
        <is>
          <t>ATIVA</t>
        </is>
      </c>
      <c r="AM76" s="17" t="inlineStr">
        <is>
          <t>https://administradorajudicialgs.com.br/wp-content/uploads/2024/12/relacao-de-credores-da-falida.pdf</t>
        </is>
      </c>
      <c r="AN76" s="18" t="inlineStr">
        <is>
          <t>p14 r49</t>
        </is>
      </c>
      <c r="AO76" s="18" t="inlineStr">
        <is>
          <t>p14: R$ 2.550.639,65</t>
        </is>
      </c>
      <c r="AP76" s="18" t="inlineStr">
        <is>
          <t>OTHER</t>
        </is>
      </c>
      <c r="AQ76" s="18" t="inlineStr">
        <is>
          <t>2025-03-25</t>
        </is>
      </c>
      <c r="AR76" s="18" t="inlineStr">
        <is>
          <t>OK_NO_TOTALS</t>
        </is>
      </c>
      <c r="AS76" s="18" t="inlineStr">
        <is>
          <t>ROWS:p14r49 UNRECONCILED_SOURCE CASE_NUMBER_CORRECTED</t>
        </is>
      </c>
      <c r="AT76" s="18" t="inlineStr">
        <is>
          <t>ea17ba43b261</t>
        </is>
      </c>
    </row>
    <row r="77">
      <c r="A77" s="9" t="n">
        <v>76</v>
      </c>
      <c r="B77" s="9" t="inlineStr">
        <is>
          <t>NEW</t>
        </is>
      </c>
      <c r="C77" s="9" t="inlineStr"/>
      <c r="D77" s="9" t="n">
        <v>0</v>
      </c>
      <c r="E77" s="9" t="inlineStr"/>
      <c r="F77" s="9" t="inlineStr"/>
      <c r="G77" s="9" t="inlineStr"/>
      <c r="H77" s="9" t="inlineStr"/>
      <c r="I77" t="inlineStr">
        <is>
          <t>CROMO INDUSTRIA QUIMICA S.A.</t>
        </is>
      </c>
      <c r="J77" t="inlineStr">
        <is>
          <t>CROMO INDUSTRIA QUIMICA S.A</t>
        </is>
      </c>
      <c r="K77" t="inlineStr">
        <is>
          <t>31281962</t>
        </is>
      </c>
      <c r="L77" t="inlineStr">
        <is>
          <t>31281962000190, 31281962000270</t>
        </is>
      </c>
      <c r="M77" s="10" t="n">
        <v>2406485.64</v>
      </c>
      <c r="N77" t="n">
        <v>1</v>
      </c>
      <c r="O77" s="11" t="inlineStr">
        <is>
          <t>B</t>
        </is>
      </c>
      <c r="P77" s="11" t="inlineStr">
        <is>
          <t>ACTIVE</t>
        </is>
      </c>
      <c r="Q77" s="12" t="n">
        <v>45845</v>
      </c>
      <c r="R77" s="11">
        <f>IF(Q77="","",ROUND((TODAY()-Q77)/365.25,1))</f>
        <v/>
      </c>
      <c r="S77" s="13">
        <f>IFERROR(VLOOKUP(O77,Assumptions!$A$7:$F$11,2,FALSE),0.25)</f>
        <v/>
      </c>
      <c r="T77" s="14">
        <f>IF(O77="A",MAX(1,IFERROR(VLOOKUP(O77,Assumptions!$A$7:$F$11,3,FALSE),3)+IFERROR(VLOOKUP(O77,Assumptions!$A$7:$F$11,4,FALSE),8)/2-MAX(0,IF(R77="",0,R77)-IFERROR(VLOOKUP(O77,Assumptions!$A$7:$F$11,5,FALSE),1.5))),IFERROR(VLOOKUP(O77,Assumptions!$A$7:$F$11,5,FALSE),2.5)+IFERROR(VLOOKUP(O77,Assumptions!$A$7:$F$11,3,FALSE),3)+IFERROR(VLOOKUP(O77,Assumptions!$A$7:$F$11,4,FALSE),8)/2)</f>
        <v/>
      </c>
      <c r="U77" s="15">
        <f>M77*S77/(1+Assumptions!$B$3)^T77</f>
        <v/>
      </c>
      <c r="V77" s="11">
        <f>IF(M77=0,"",ROUND(U77/M77*100,1))</f>
        <v/>
      </c>
      <c r="W77" s="16">
        <f>U77*Assumptions!$B$4</f>
        <v/>
      </c>
      <c r="X77" s="11">
        <f>IF(M77=0,"",ROUND(W77/M77*100,1))</f>
        <v/>
      </c>
      <c r="Y77" t="inlineStr">
        <is>
          <t>SOJAL COMERCIAL AGRICOLA LTDA e OUTROS</t>
        </is>
      </c>
      <c r="Z77" t="inlineStr">
        <is>
          <t>0804401-51.2025.8.14.0039</t>
        </is>
      </c>
      <c r="AA77" t="inlineStr">
        <is>
          <t>TJPA</t>
        </is>
      </c>
      <c r="AB77" t="inlineStr">
        <is>
          <t>lrflideres.com.br</t>
        </is>
      </c>
      <c r="AC77" t="inlineStr">
        <is>
          <t>JOSIR NEULS</t>
        </is>
      </c>
      <c r="AD77" t="inlineStr">
        <is>
          <t>Presidente</t>
        </is>
      </c>
      <c r="AE77" t="inlineStr">
        <is>
          <t>(11) 4130-8138</t>
        </is>
      </c>
      <c r="AF77" t="inlineStr"/>
      <c r="AG77" t="inlineStr"/>
      <c r="AH77" t="inlineStr">
        <is>
          <t>RS</t>
        </is>
      </c>
      <c r="AI77" t="inlineStr">
        <is>
          <t>ESTRELA</t>
        </is>
      </c>
      <c r="AJ77" t="inlineStr">
        <is>
          <t>Fabricação de outros produtos químicos não especificados anteriormente</t>
        </is>
      </c>
      <c r="AK77" t="inlineStr">
        <is>
          <t>DEMAIS</t>
        </is>
      </c>
      <c r="AL77" t="inlineStr">
        <is>
          <t>ATIVA</t>
        </is>
      </c>
      <c r="AM77" s="17" t="inlineStr">
        <is>
          <t>https://lrflideres.com.br/wp-content/plugins/download-attachments/includes/download.php?id=6879</t>
        </is>
      </c>
      <c r="AN77" s="18" t="inlineStr">
        <is>
          <t>p1 r11</t>
        </is>
      </c>
      <c r="AO77" s="18" t="inlineStr">
        <is>
          <t>p1: R$ 2.406.485,64</t>
        </is>
      </c>
      <c r="AP77" s="18" t="inlineStr">
        <is>
          <t>AJ_LIST</t>
        </is>
      </c>
      <c r="AQ77" s="18" t="inlineStr">
        <is>
          <t>2026-01-15</t>
        </is>
      </c>
      <c r="AR77" s="18" t="inlineStr">
        <is>
          <t>OK</t>
        </is>
      </c>
      <c r="AS77" s="18" t="inlineStr">
        <is>
          <t>ROWS:p1r11</t>
        </is>
      </c>
      <c r="AT77" s="18" t="inlineStr">
        <is>
          <t>c56751547323</t>
        </is>
      </c>
    </row>
    <row r="78">
      <c r="A78" s="9" t="n">
        <v>77</v>
      </c>
      <c r="B78" s="9" t="inlineStr">
        <is>
          <t>NEW</t>
        </is>
      </c>
      <c r="C78" s="9" t="inlineStr"/>
      <c r="D78" s="9" t="n">
        <v>0</v>
      </c>
      <c r="E78" s="9" t="inlineStr"/>
      <c r="F78" s="9" t="inlineStr"/>
      <c r="G78" s="9" t="inlineStr"/>
      <c r="H78" s="9" t="inlineStr"/>
      <c r="I78" t="inlineStr">
        <is>
          <t>TRESBOMM COMERCIO E EXPORTACAO DE GRAOS LTDA EM RECUPERACAO JUDICIAL</t>
        </is>
      </c>
      <c r="J78" t="inlineStr">
        <is>
          <t>2.30TRESBOMM COMERCIO E EXPORTACAO DE GRAOS LTDA</t>
        </is>
      </c>
      <c r="K78" t="inlineStr">
        <is>
          <t>15660513</t>
        </is>
      </c>
      <c r="L78" t="inlineStr">
        <is>
          <t>15660513000104</t>
        </is>
      </c>
      <c r="M78" s="10" t="n">
        <v>2398511.33</v>
      </c>
      <c r="N78" t="n">
        <v>1</v>
      </c>
      <c r="O78" s="11" t="inlineStr">
        <is>
          <t>B</t>
        </is>
      </c>
      <c r="P78" s="11" t="inlineStr">
        <is>
          <t>ACTIVE</t>
        </is>
      </c>
      <c r="Q78" s="12" t="n">
        <v>45534</v>
      </c>
      <c r="R78" s="11">
        <f>IF(Q78="","",ROUND((TODAY()-Q78)/365.25,1))</f>
        <v/>
      </c>
      <c r="S78" s="13">
        <f>IFERROR(VLOOKUP(O78,Assumptions!$A$7:$F$11,2,FALSE),0.25)</f>
        <v/>
      </c>
      <c r="T78" s="14">
        <f>IF(O78="A",MAX(1,IFERROR(VLOOKUP(O78,Assumptions!$A$7:$F$11,3,FALSE),3)+IFERROR(VLOOKUP(O78,Assumptions!$A$7:$F$11,4,FALSE),8)/2-MAX(0,IF(R78="",0,R78)-IFERROR(VLOOKUP(O78,Assumptions!$A$7:$F$11,5,FALSE),1.5))),IFERROR(VLOOKUP(O78,Assumptions!$A$7:$F$11,5,FALSE),2.5)+IFERROR(VLOOKUP(O78,Assumptions!$A$7:$F$11,3,FALSE),3)+IFERROR(VLOOKUP(O78,Assumptions!$A$7:$F$11,4,FALSE),8)/2)</f>
        <v/>
      </c>
      <c r="U78" s="15">
        <f>M78*S78/(1+Assumptions!$B$3)^T78</f>
        <v/>
      </c>
      <c r="V78" s="11">
        <f>IF(M78=0,"",ROUND(U78/M78*100,1))</f>
        <v/>
      </c>
      <c r="W78" s="16">
        <f>U78*Assumptions!$B$4</f>
        <v/>
      </c>
      <c r="X78" s="11">
        <f>IF(M78=0,"",ROUND(W78/M78*100,1))</f>
        <v/>
      </c>
      <c r="Y78" t="inlineStr">
        <is>
          <t>SUINOCULTURA KUNZLER</t>
        </is>
      </c>
      <c r="Z78" t="inlineStr">
        <is>
          <t>5009149-92.2024.8.24.0019</t>
        </is>
      </c>
      <c r="AA78" t="inlineStr">
        <is>
          <t>TJSC</t>
        </is>
      </c>
      <c r="AB78" t="inlineStr">
        <is>
          <t>rlg-aj.com.br</t>
        </is>
      </c>
      <c r="AC78" t="inlineStr">
        <is>
          <t>ERI CESAR TRES</t>
        </is>
      </c>
      <c r="AD78" t="inlineStr">
        <is>
          <t>Sócio-Administrador</t>
        </is>
      </c>
      <c r="AE78" t="inlineStr">
        <is>
          <t>(44) 3649-1240</t>
        </is>
      </c>
      <c r="AF78" t="inlineStr"/>
      <c r="AG78" t="inlineStr"/>
      <c r="AH78" t="inlineStr">
        <is>
          <t>PR</t>
        </is>
      </c>
      <c r="AI78" t="inlineStr">
        <is>
          <t>PALOTINA</t>
        </is>
      </c>
      <c r="AJ78" t="inlineStr">
        <is>
          <t>Comércio atacadista de matérias-primas agrícolas não especificadas anteriormente</t>
        </is>
      </c>
      <c r="AK78" t="inlineStr">
        <is>
          <t>DEMAIS</t>
        </is>
      </c>
      <c r="AL78" t="inlineStr">
        <is>
          <t>ATIVA</t>
        </is>
      </c>
      <c r="AM78" s="17" t="inlineStr">
        <is>
          <t>https://rlg-aj.com.br/wp-content/uploads/2024/11/07.-Relação-de-credores.pdf</t>
        </is>
      </c>
      <c r="AN78" s="18" t="inlineStr">
        <is>
          <t>p1 r36</t>
        </is>
      </c>
      <c r="AO78" s="18" t="inlineStr">
        <is>
          <t>p1: R$ 2.398.511,33</t>
        </is>
      </c>
      <c r="AP78" s="18" t="inlineStr">
        <is>
          <t>UNKNOWN</t>
        </is>
      </c>
      <c r="AQ78" s="18" t="inlineStr"/>
      <c r="AR78" s="18" t="inlineStr">
        <is>
          <t>OK_NO_TOTALS</t>
        </is>
      </c>
      <c r="AS78" s="18" t="inlineStr">
        <is>
          <t>ROWS:p1r36 UNRECONCILED_SOURCE</t>
        </is>
      </c>
      <c r="AT78" s="18" t="inlineStr">
        <is>
          <t>a62ac8ee0458</t>
        </is>
      </c>
    </row>
    <row r="79">
      <c r="A79" s="9" t="n">
        <v>78</v>
      </c>
      <c r="B79" s="9" t="inlineStr">
        <is>
          <t>NEW</t>
        </is>
      </c>
      <c r="C79" s="9" t="inlineStr"/>
      <c r="D79" s="9" t="n">
        <v>0</v>
      </c>
      <c r="E79" s="9" t="inlineStr"/>
      <c r="F79" s="9" t="inlineStr"/>
      <c r="G79" s="9" t="inlineStr"/>
      <c r="H79" s="9" t="inlineStr"/>
      <c r="I79" t="inlineStr">
        <is>
          <t>ITM LATIN AMERICA INDUSTRIA DE PECAS PARA TRATORES LTDA.</t>
        </is>
      </c>
      <c r="J79" t="inlineStr">
        <is>
          <t>PENDENTE DE REGULARIZAÇÃO</t>
        </is>
      </c>
      <c r="K79" t="inlineStr">
        <is>
          <t>61352050</t>
        </is>
      </c>
      <c r="L79" t="inlineStr">
        <is>
          <t>61352050000122</t>
        </is>
      </c>
      <c r="M79" s="10" t="n">
        <v>2360226.69</v>
      </c>
      <c r="N79" t="n">
        <v>1</v>
      </c>
      <c r="O79" s="11" t="inlineStr">
        <is>
          <t>B</t>
        </is>
      </c>
      <c r="P79" s="11" t="inlineStr"/>
      <c r="Q79" s="12" t="inlineStr"/>
      <c r="R79" s="11">
        <f>IF(Q79="","",ROUND((TODAY()-Q79)/365.25,1))</f>
        <v/>
      </c>
      <c r="S79" s="13">
        <f>IFERROR(VLOOKUP(O79,Assumptions!$A$7:$F$11,2,FALSE),0.25)</f>
        <v/>
      </c>
      <c r="T79" s="14">
        <f>IF(O79="A",MAX(1,IFERROR(VLOOKUP(O79,Assumptions!$A$7:$F$11,3,FALSE),3)+IFERROR(VLOOKUP(O79,Assumptions!$A$7:$F$11,4,FALSE),8)/2-MAX(0,IF(R79="",0,R79)-IFERROR(VLOOKUP(O79,Assumptions!$A$7:$F$11,5,FALSE),1.5))),IFERROR(VLOOKUP(O79,Assumptions!$A$7:$F$11,5,FALSE),2.5)+IFERROR(VLOOKUP(O79,Assumptions!$A$7:$F$11,3,FALSE),3)+IFERROR(VLOOKUP(O79,Assumptions!$A$7:$F$11,4,FALSE),8)/2)</f>
        <v/>
      </c>
      <c r="U79" s="15">
        <f>M79*S79/(1+Assumptions!$B$3)^T79</f>
        <v/>
      </c>
      <c r="V79" s="11">
        <f>IF(M79=0,"",ROUND(U79/M79*100,1))</f>
        <v/>
      </c>
      <c r="W79" s="16">
        <f>U79*Assumptions!$B$4</f>
        <v/>
      </c>
      <c r="X79" s="11">
        <f>IF(M79=0,"",ROUND(W79/M79*100,1))</f>
        <v/>
      </c>
      <c r="Y79" t="inlineStr">
        <is>
          <t>Grupo Rech</t>
        </is>
      </c>
      <c r="Z79" t="inlineStr">
        <is>
          <t>5057720-48.2025.8.24.0023</t>
        </is>
      </c>
      <c r="AA79" t="inlineStr"/>
      <c r="AB79" t="inlineStr">
        <is>
          <t>credibilita.com.br</t>
        </is>
      </c>
      <c r="AC79" t="inlineStr">
        <is>
          <t>ANDERSON FLAVIANO DE MIRANDA</t>
        </is>
      </c>
      <c r="AD79" t="inlineStr">
        <is>
          <t>Administrador</t>
        </is>
      </c>
      <c r="AE79" t="inlineStr">
        <is>
          <t>(11) 4417-7700</t>
        </is>
      </c>
      <c r="AF79" t="inlineStr"/>
      <c r="AG79" t="inlineStr"/>
      <c r="AH79" t="inlineStr">
        <is>
          <t>SP</t>
        </is>
      </c>
      <c r="AI79" t="inlineStr">
        <is>
          <t>ATIBAIA</t>
        </is>
      </c>
      <c r="AJ79" t="inlineStr">
        <is>
          <t>Fabricação de outras peças e acessórios para veículos automotores não especificadas anteriormente</t>
        </is>
      </c>
      <c r="AK79" t="inlineStr">
        <is>
          <t>DEMAIS</t>
        </is>
      </c>
      <c r="AL79" t="inlineStr">
        <is>
          <t>ATIVA</t>
        </is>
      </c>
      <c r="AM79" s="17" t="inlineStr">
        <is>
          <t>https://credibilita.com.br/wp-content/uploads/2025/09/Relacao-Credores-29.04.2026.pdf</t>
        </is>
      </c>
      <c r="AN79" s="18" t="inlineStr">
        <is>
          <t>p1 r29</t>
        </is>
      </c>
      <c r="AO79" s="18" t="inlineStr">
        <is>
          <t>p1: R$ 2.360.226,69</t>
        </is>
      </c>
      <c r="AP79" s="18" t="inlineStr">
        <is>
          <t>QUORUM_LIST</t>
        </is>
      </c>
      <c r="AQ79" s="18" t="inlineStr"/>
      <c r="AR79" s="18" t="inlineStr">
        <is>
          <t>OK_NO_TOTALS</t>
        </is>
      </c>
      <c r="AS79" s="18" t="inlineStr">
        <is>
          <t>ROWS:p1r29 UNRECONCILED_SOURCE VALUE_COL:Valor_Após_Analise CASE_NUMBER_CORRECTED</t>
        </is>
      </c>
      <c r="AT79" s="18" t="inlineStr">
        <is>
          <t>cf92cff797d2</t>
        </is>
      </c>
    </row>
    <row r="80">
      <c r="A80" s="9" t="n">
        <v>79</v>
      </c>
      <c r="B80" s="9" t="inlineStr">
        <is>
          <t>NEW</t>
        </is>
      </c>
      <c r="C80" s="9" t="inlineStr"/>
      <c r="D80" s="9" t="n">
        <v>0</v>
      </c>
      <c r="E80" s="9" t="inlineStr"/>
      <c r="F80" s="9" t="inlineStr"/>
      <c r="G80" s="9" t="inlineStr"/>
      <c r="H80" s="9" t="inlineStr"/>
      <c r="I80" t="inlineStr">
        <is>
          <t>BIOTRONIK COMERCIAL MEDICA LTDA.</t>
        </is>
      </c>
      <c r="J80" t="inlineStr">
        <is>
          <t>BIOTRONIK COMERCIAL MEDICA LTDA (</t>
        </is>
      </c>
      <c r="K80" t="inlineStr">
        <is>
          <t>50595271</t>
        </is>
      </c>
      <c r="L80" t="inlineStr">
        <is>
          <t>50595271000105</t>
        </is>
      </c>
      <c r="M80" s="10" t="n">
        <v>2311648.44</v>
      </c>
      <c r="N80" t="n">
        <v>1</v>
      </c>
      <c r="O80" s="11" t="inlineStr">
        <is>
          <t>C</t>
        </is>
      </c>
      <c r="P80" s="11" t="inlineStr">
        <is>
          <t>ACTIVE</t>
        </is>
      </c>
      <c r="Q80" s="12" t="n">
        <v>44735</v>
      </c>
      <c r="R80" s="11">
        <f>IF(Q80="","",ROUND((TODAY()-Q80)/365.25,1))</f>
        <v/>
      </c>
      <c r="S80" s="13">
        <f>IFERROR(VLOOKUP(O80,Assumptions!$A$7:$F$11,2,FALSE),0.25)</f>
        <v/>
      </c>
      <c r="T80" s="14">
        <f>IF(O80="A",MAX(1,IFERROR(VLOOKUP(O80,Assumptions!$A$7:$F$11,3,FALSE),3)+IFERROR(VLOOKUP(O80,Assumptions!$A$7:$F$11,4,FALSE),8)/2-MAX(0,IF(R80="",0,R80)-IFERROR(VLOOKUP(O80,Assumptions!$A$7:$F$11,5,FALSE),1.5))),IFERROR(VLOOKUP(O80,Assumptions!$A$7:$F$11,5,FALSE),2.5)+IFERROR(VLOOKUP(O80,Assumptions!$A$7:$F$11,3,FALSE),3)+IFERROR(VLOOKUP(O80,Assumptions!$A$7:$F$11,4,FALSE),8)/2)</f>
        <v/>
      </c>
      <c r="U80" s="15">
        <f>M80*S80/(1+Assumptions!$B$3)^T80</f>
        <v/>
      </c>
      <c r="V80" s="11">
        <f>IF(M80=0,"",ROUND(U80/M80*100,1))</f>
        <v/>
      </c>
      <c r="W80" s="16">
        <f>U80*Assumptions!$B$4</f>
        <v/>
      </c>
      <c r="X80" s="11">
        <f>IF(M80=0,"",ROUND(W80/M80*100,1))</f>
        <v/>
      </c>
      <c r="Y80" t="inlineStr">
        <is>
          <t>ASSOCIAÇÃO DE CARIDADE SANTA CASA DO RIO GRANDE</t>
        </is>
      </c>
      <c r="Z80" t="inlineStr">
        <is>
          <t>5012306-16.2022.8.21.0023</t>
        </is>
      </c>
      <c r="AA80" t="inlineStr">
        <is>
          <t>TJRS</t>
        </is>
      </c>
      <c r="AB80" t="inlineStr">
        <is>
          <t>scalzilliaj.com.br</t>
        </is>
      </c>
      <c r="AC80" t="inlineStr">
        <is>
          <t>CARLOS EDUARDO CAUTERUCCI FIGUEIREDO</t>
        </is>
      </c>
      <c r="AD80" t="inlineStr">
        <is>
          <t>Administrador</t>
        </is>
      </c>
      <c r="AE80" t="inlineStr">
        <is>
          <t>(11) 5694-7755</t>
        </is>
      </c>
      <c r="AF80" t="inlineStr"/>
      <c r="AG80" t="inlineStr"/>
      <c r="AH80" t="inlineStr">
        <is>
          <t>SP</t>
        </is>
      </c>
      <c r="AI80" t="inlineStr">
        <is>
          <t>SAO PAULO</t>
        </is>
      </c>
      <c r="AJ80" t="inlineStr">
        <is>
          <t>Comércio atacadista de instrumentos e materiais para uso médico, cirúrgico, hospitalar e de laboratórios</t>
        </is>
      </c>
      <c r="AK80" t="inlineStr">
        <is>
          <t>DEMAIS</t>
        </is>
      </c>
      <c r="AL80" t="inlineStr">
        <is>
          <t>ATIVA</t>
        </is>
      </c>
      <c r="AM80" s="17" t="inlineStr">
        <is>
          <t>https://scalzilliaj.com.br/sgc/download.php?file=files/processo_documento/processo_documento09120721032023_1_.pdf&amp;nome=15 - Edital do art. 7º, §2º e 53 da Lei 11.101/2005 (segunda lista de credores e recebimento do plano))</t>
        </is>
      </c>
      <c r="AN80" s="18" t="inlineStr">
        <is>
          <t>p26 r10</t>
        </is>
      </c>
      <c r="AO80" s="18" t="inlineStr">
        <is>
          <t>p26: R$ 2.311.648,44</t>
        </is>
      </c>
      <c r="AP80" s="18" t="inlineStr">
        <is>
          <t>AJ_LIST</t>
        </is>
      </c>
      <c r="AQ80" s="18" t="inlineStr">
        <is>
          <t>2023-03-21</t>
        </is>
      </c>
      <c r="AR80" s="18" t="inlineStr">
        <is>
          <t>OK_NO_TOTALS</t>
        </is>
      </c>
      <c r="AS80" s="18" t="inlineStr">
        <is>
          <t>ROWS:p26r10 UNRECONCILED_SOURCE</t>
        </is>
      </c>
      <c r="AT80" s="18" t="inlineStr">
        <is>
          <t>ebfb999b457c</t>
        </is>
      </c>
    </row>
    <row r="81">
      <c r="A81" s="9" t="n">
        <v>80</v>
      </c>
      <c r="B81" s="9" t="inlineStr">
        <is>
          <t>NEW</t>
        </is>
      </c>
      <c r="C81" s="9" t="inlineStr"/>
      <c r="D81" s="9" t="n">
        <v>0</v>
      </c>
      <c r="E81" s="9" t="inlineStr"/>
      <c r="F81" s="9" t="inlineStr"/>
      <c r="G81" s="9" t="inlineStr"/>
      <c r="H81" s="9" t="inlineStr"/>
      <c r="I81" t="inlineStr">
        <is>
          <t>RAIZEN S.A.</t>
        </is>
      </c>
      <c r="J81" t="inlineStr">
        <is>
          <t>RODOVIA CASTELO BRANCO,2186, KM 21,5 - BARUERI-SP - CEP 06463-420</t>
        </is>
      </c>
      <c r="K81" t="inlineStr">
        <is>
          <t>33453598</t>
        </is>
      </c>
      <c r="L81" t="inlineStr">
        <is>
          <t>33453598017794</t>
        </is>
      </c>
      <c r="M81" s="10" t="n">
        <v>2280760.72</v>
      </c>
      <c r="N81" t="n">
        <v>1</v>
      </c>
      <c r="O81" s="11" t="inlineStr">
        <is>
          <t>U</t>
        </is>
      </c>
      <c r="P81" s="11" t="inlineStr"/>
      <c r="Q81" s="12" t="inlineStr"/>
      <c r="R81" s="11">
        <f>IF(Q81="","",ROUND((TODAY()-Q81)/365.25,1))</f>
        <v/>
      </c>
      <c r="S81" s="13">
        <f>IFERROR(VLOOKUP(O81,Assumptions!$A$7:$F$11,2,FALSE),0.25)</f>
        <v/>
      </c>
      <c r="T81" s="14">
        <f>IF(O81="A",MAX(1,IFERROR(VLOOKUP(O81,Assumptions!$A$7:$F$11,3,FALSE),3)+IFERROR(VLOOKUP(O81,Assumptions!$A$7:$F$11,4,FALSE),8)/2-MAX(0,IF(R81="",0,R81)-IFERROR(VLOOKUP(O81,Assumptions!$A$7:$F$11,5,FALSE),1.5))),IFERROR(VLOOKUP(O81,Assumptions!$A$7:$F$11,5,FALSE),2.5)+IFERROR(VLOOKUP(O81,Assumptions!$A$7:$F$11,3,FALSE),3)+IFERROR(VLOOKUP(O81,Assumptions!$A$7:$F$11,4,FALSE),8)/2)</f>
        <v/>
      </c>
      <c r="U81" s="15">
        <f>M81*S81/(1+Assumptions!$B$3)^T81</f>
        <v/>
      </c>
      <c r="V81" s="11">
        <f>IF(M81=0,"",ROUND(U81/M81*100,1))</f>
        <v/>
      </c>
      <c r="W81" s="16">
        <f>U81*Assumptions!$B$4</f>
        <v/>
      </c>
      <c r="X81" s="11">
        <f>IF(M81=0,"",ROUND(W81/M81*100,1))</f>
        <v/>
      </c>
      <c r="Y81" t="inlineStr">
        <is>
          <t>Base</t>
        </is>
      </c>
      <c r="Z81" t="inlineStr">
        <is>
          <t>(not found in document)</t>
        </is>
      </c>
      <c r="AA81" t="inlineStr"/>
      <c r="AB81" t="inlineStr">
        <is>
          <t>ajruiz.com.br</t>
        </is>
      </c>
      <c r="AC81" t="inlineStr">
        <is>
          <t>NELSON ROSEIRA GOMES NETO</t>
        </is>
      </c>
      <c r="AD81" t="inlineStr">
        <is>
          <t>Presidente</t>
        </is>
      </c>
      <c r="AE81" t="inlineStr">
        <is>
          <t>(19) 3423-8000</t>
        </is>
      </c>
      <c r="AF81" t="inlineStr"/>
      <c r="AG81" t="inlineStr"/>
      <c r="AH81" t="inlineStr">
        <is>
          <t>RJ</t>
        </is>
      </c>
      <c r="AI81" t="inlineStr">
        <is>
          <t>RIO DE JANEIRO</t>
        </is>
      </c>
      <c r="AJ81" t="inlineStr">
        <is>
          <t>Comércio atacadista de álcool carburante, biodiesel, gasolina e demais derivados de petróleo, exceto lubrificantes, não realizado por transportador re</t>
        </is>
      </c>
      <c r="AK81" t="inlineStr">
        <is>
          <t>DEMAIS</t>
        </is>
      </c>
      <c r="AL81" t="inlineStr">
        <is>
          <t>ATIVA</t>
        </is>
      </c>
      <c r="AM81" s="17" t="inlineStr">
        <is>
          <t>https://ajruiz.com.br/sites/default/files/public/arquivos-processos/2023-11/4_relacao_de_credores_analitica_art._51_iii_da_lre.pdf</t>
        </is>
      </c>
      <c r="AN81" s="18" t="inlineStr">
        <is>
          <t>p3 r49</t>
        </is>
      </c>
      <c r="AO81" s="18" t="inlineStr">
        <is>
          <t>p3: R$ 2.280.760,72</t>
        </is>
      </c>
      <c r="AP81" s="18" t="inlineStr">
        <is>
          <t>UNKNOWN</t>
        </is>
      </c>
      <c r="AQ81" s="18" t="inlineStr"/>
      <c r="AR81" s="18" t="inlineStr">
        <is>
          <t>OK</t>
        </is>
      </c>
      <c r="AS81" s="18" t="inlineStr">
        <is>
          <t>ROWS:p3r49 CASE_NUMBER_CORRECTED</t>
        </is>
      </c>
      <c r="AT81" s="18" t="inlineStr">
        <is>
          <t>2407a56c3502</t>
        </is>
      </c>
    </row>
    <row r="82">
      <c r="A82" s="9" t="n">
        <v>81</v>
      </c>
      <c r="B82" s="9" t="inlineStr">
        <is>
          <t>NEW</t>
        </is>
      </c>
      <c r="C82" s="9" t="inlineStr"/>
      <c r="D82" s="9" t="n">
        <v>0</v>
      </c>
      <c r="E82" s="9" t="inlineStr"/>
      <c r="F82" s="9" t="inlineStr"/>
      <c r="G82" s="9" t="inlineStr"/>
      <c r="H82" s="9" t="inlineStr"/>
      <c r="I82" t="inlineStr">
        <is>
          <t>ASK CRIOS PRODUTOS QUIMICOS DO BRASIL LTDA</t>
        </is>
      </c>
      <c r="J82" t="inlineStr">
        <is>
          <t>SI Group Crios Resinas e S.A.</t>
        </is>
      </c>
      <c r="K82" t="inlineStr">
        <is>
          <t>44246528</t>
        </is>
      </c>
      <c r="L82" t="inlineStr">
        <is>
          <t>44246528000110</t>
        </is>
      </c>
      <c r="M82" s="10" t="n">
        <v>2270274.68</v>
      </c>
      <c r="N82" t="n">
        <v>1</v>
      </c>
      <c r="O82" s="11" t="inlineStr">
        <is>
          <t>C</t>
        </is>
      </c>
      <c r="P82" s="11" t="inlineStr">
        <is>
          <t>ACTIVE</t>
        </is>
      </c>
      <c r="Q82" s="12" t="n">
        <v>44218</v>
      </c>
      <c r="R82" s="11">
        <f>IF(Q82="","",ROUND((TODAY()-Q82)/365.25,1))</f>
        <v/>
      </c>
      <c r="S82" s="13">
        <f>IFERROR(VLOOKUP(O82,Assumptions!$A$7:$F$11,2,FALSE),0.25)</f>
        <v/>
      </c>
      <c r="T82" s="14">
        <f>IF(O82="A",MAX(1,IFERROR(VLOOKUP(O82,Assumptions!$A$7:$F$11,3,FALSE),3)+IFERROR(VLOOKUP(O82,Assumptions!$A$7:$F$11,4,FALSE),8)/2-MAX(0,IF(R82="",0,R82)-IFERROR(VLOOKUP(O82,Assumptions!$A$7:$F$11,5,FALSE),1.5))),IFERROR(VLOOKUP(O82,Assumptions!$A$7:$F$11,5,FALSE),2.5)+IFERROR(VLOOKUP(O82,Assumptions!$A$7:$F$11,3,FALSE),3)+IFERROR(VLOOKUP(O82,Assumptions!$A$7:$F$11,4,FALSE),8)/2)</f>
        <v/>
      </c>
      <c r="U82" s="15">
        <f>M82*S82/(1+Assumptions!$B$3)^T82</f>
        <v/>
      </c>
      <c r="V82" s="11">
        <f>IF(M82=0,"",ROUND(U82/M82*100,1))</f>
        <v/>
      </c>
      <c r="W82" s="16">
        <f>U82*Assumptions!$B$4</f>
        <v/>
      </c>
      <c r="X82" s="11">
        <f>IF(M82=0,"",ROUND(W82/M82*100,1))</f>
        <v/>
      </c>
      <c r="Y82" t="inlineStr">
        <is>
          <t>FORMAPLAN FORMAS PLANEJADAS INDÚSTRIA E COMÉRCIO LTDA</t>
        </is>
      </c>
      <c r="Z82" t="inlineStr">
        <is>
          <t>0000410-68.2021.8.16.0174</t>
        </is>
      </c>
      <c r="AA82" t="inlineStr">
        <is>
          <t>TJPR</t>
        </is>
      </c>
      <c r="AB82" t="inlineStr">
        <is>
          <t>marquesadmjudicial.com.br</t>
        </is>
      </c>
      <c r="AC82" t="inlineStr">
        <is>
          <t>LUIS ROBERTO OLIVEIRA DEGASPARI</t>
        </is>
      </c>
      <c r="AD82" t="inlineStr">
        <is>
          <t>Administrador</t>
        </is>
      </c>
      <c r="AE82" t="inlineStr">
        <is>
          <t>(19) 9953-9805</t>
        </is>
      </c>
      <c r="AF82" t="inlineStr"/>
      <c r="AG82" t="inlineStr"/>
      <c r="AH82" t="inlineStr">
        <is>
          <t>SP</t>
        </is>
      </c>
      <c r="AI82" t="inlineStr">
        <is>
          <t>RIO CLARO</t>
        </is>
      </c>
      <c r="AJ82" t="inlineStr">
        <is>
          <t>Fabricação de resinas termofixas</t>
        </is>
      </c>
      <c r="AK82" t="inlineStr">
        <is>
          <t>DEMAIS</t>
        </is>
      </c>
      <c r="AL82" t="inlineStr">
        <is>
          <t>ATIVA</t>
        </is>
      </c>
      <c r="AM82" s="17" t="inlineStr">
        <is>
          <t>https://marquesadmjudicial.com.br/sgc/download.php?file=files/processo_documento/processo_documento15232121112024_1_.pdf&amp;nome=Relação de Credores</t>
        </is>
      </c>
      <c r="AN82" s="18" t="inlineStr">
        <is>
          <t>p15 r19</t>
        </is>
      </c>
      <c r="AO82" s="18" t="inlineStr">
        <is>
          <t>p15: R$ 2.270.274,68</t>
        </is>
      </c>
      <c r="AP82" s="18" t="inlineStr">
        <is>
          <t>AJ_LIST</t>
        </is>
      </c>
      <c r="AQ82" s="18" t="inlineStr">
        <is>
          <t>2021-01-22</t>
        </is>
      </c>
      <c r="AR82" s="18" t="inlineStr">
        <is>
          <t>QUARANTINED</t>
        </is>
      </c>
      <c r="AS82" s="18" t="inlineStr">
        <is>
          <t>PARTIAL_DOC_CLASS_III_RECONCILED ROWS:p15r19</t>
        </is>
      </c>
      <c r="AT82" s="18" t="inlineStr">
        <is>
          <t>b1a9f73b4c11</t>
        </is>
      </c>
    </row>
    <row r="83">
      <c r="A83" s="9" t="n">
        <v>82</v>
      </c>
      <c r="B83" s="9" t="inlineStr">
        <is>
          <t>NEW</t>
        </is>
      </c>
      <c r="C83" s="9" t="inlineStr"/>
      <c r="D83" s="9" t="n">
        <v>0</v>
      </c>
      <c r="E83" s="9" t="inlineStr"/>
      <c r="F83" s="9" t="inlineStr"/>
      <c r="G83" s="9" t="inlineStr"/>
      <c r="H83" s="9" t="inlineStr"/>
      <c r="I83" t="inlineStr">
        <is>
          <t>ESMALTEC S/A</t>
        </is>
      </c>
      <c r="J83" t="inlineStr">
        <is>
          <t>02.948.030/0002-30</t>
        </is>
      </c>
      <c r="K83" t="inlineStr">
        <is>
          <t>02948030</t>
        </is>
      </c>
      <c r="L83" t="inlineStr">
        <is>
          <t>02948030000230</t>
        </is>
      </c>
      <c r="M83" s="10" t="n">
        <v>2210242.75</v>
      </c>
      <c r="N83" t="n">
        <v>1</v>
      </c>
      <c r="O83" s="11" t="inlineStr">
        <is>
          <t>C</t>
        </is>
      </c>
      <c r="P83" s="11" t="inlineStr">
        <is>
          <t>ACTIVE</t>
        </is>
      </c>
      <c r="Q83" s="12" t="n">
        <v>43894</v>
      </c>
      <c r="R83" s="11">
        <f>IF(Q83="","",ROUND((TODAY()-Q83)/365.25,1))</f>
        <v/>
      </c>
      <c r="S83" s="13">
        <f>IFERROR(VLOOKUP(O83,Assumptions!$A$7:$F$11,2,FALSE),0.25)</f>
        <v/>
      </c>
      <c r="T83" s="14">
        <f>IF(O83="A",MAX(1,IFERROR(VLOOKUP(O83,Assumptions!$A$7:$F$11,3,FALSE),3)+IFERROR(VLOOKUP(O83,Assumptions!$A$7:$F$11,4,FALSE),8)/2-MAX(0,IF(R83="",0,R83)-IFERROR(VLOOKUP(O83,Assumptions!$A$7:$F$11,5,FALSE),1.5))),IFERROR(VLOOKUP(O83,Assumptions!$A$7:$F$11,5,FALSE),2.5)+IFERROR(VLOOKUP(O83,Assumptions!$A$7:$F$11,3,FALSE),3)+IFERROR(VLOOKUP(O83,Assumptions!$A$7:$F$11,4,FALSE),8)/2)</f>
        <v/>
      </c>
      <c r="U83" s="15">
        <f>M83*S83/(1+Assumptions!$B$3)^T83</f>
        <v/>
      </c>
      <c r="V83" s="11">
        <f>IF(M83=0,"",ROUND(U83/M83*100,1))</f>
        <v/>
      </c>
      <c r="W83" s="16">
        <f>U83*Assumptions!$B$4</f>
        <v/>
      </c>
      <c r="X83" s="11">
        <f>IF(M83=0,"",ROUND(W83/M83*100,1))</f>
        <v/>
      </c>
      <c r="Y83" t="inlineStr">
        <is>
          <t>CREDIMÓVEIS NOVOLAR LTDA.</t>
        </is>
      </c>
      <c r="Z83" t="inlineStr">
        <is>
          <t>0007565-40.2020.8.17.2370</t>
        </is>
      </c>
      <c r="AA83" t="inlineStr">
        <is>
          <t>TJPE</t>
        </is>
      </c>
      <c r="AB83" t="inlineStr">
        <is>
          <t>recuperacaojudicial.squarespace.com</t>
        </is>
      </c>
      <c r="AC83" t="inlineStr">
        <is>
          <t>CARLOS HENRIQUE STELLA ROTELLA</t>
        </is>
      </c>
      <c r="AD83" t="inlineStr">
        <is>
          <t>Presidente</t>
        </is>
      </c>
      <c r="AE83" t="inlineStr">
        <is>
          <t>(85) 3466-8540</t>
        </is>
      </c>
      <c r="AF83" t="inlineStr"/>
      <c r="AG83" t="inlineStr"/>
      <c r="AH83" t="inlineStr">
        <is>
          <t>CE</t>
        </is>
      </c>
      <c r="AI83" t="inlineStr">
        <is>
          <t>FORTALEZA</t>
        </is>
      </c>
      <c r="AJ83" t="inlineStr">
        <is>
          <t>Fabricação de fogões, refrigeradores e máquinas de lavar e secar para uso doméstico, peças e acessórios</t>
        </is>
      </c>
      <c r="AK83" t="inlineStr">
        <is>
          <t>DEMAIS</t>
        </is>
      </c>
      <c r="AL83" t="inlineStr">
        <is>
          <t>ATIVA</t>
        </is>
      </c>
      <c r="AM83" s="17" t="inlineStr">
        <is>
          <t>https://recuperacaojudicial.squarespace.com/s/RJ-Credimoveis-QGC-01082025.pdf</t>
        </is>
      </c>
      <c r="AN83" s="18" t="inlineStr">
        <is>
          <t>p15 r42</t>
        </is>
      </c>
      <c r="AO83" s="18" t="inlineStr">
        <is>
          <t>p15: R$ 2.210.242,75</t>
        </is>
      </c>
      <c r="AP83" s="18" t="inlineStr">
        <is>
          <t>QGC</t>
        </is>
      </c>
      <c r="AQ83" s="18" t="inlineStr">
        <is>
          <t>2026-01-28</t>
        </is>
      </c>
      <c r="AR83" s="18" t="inlineStr">
        <is>
          <t>OK</t>
        </is>
      </c>
      <c r="AS83" s="18" t="inlineStr">
        <is>
          <t>ROWS:p15r42</t>
        </is>
      </c>
      <c r="AT83" s="18" t="inlineStr">
        <is>
          <t>849d4fe5adce</t>
        </is>
      </c>
    </row>
    <row r="84">
      <c r="A84" s="9" t="n">
        <v>83</v>
      </c>
      <c r="B84" s="9" t="inlineStr">
        <is>
          <t>NEW</t>
        </is>
      </c>
      <c r="C84" s="9" t="inlineStr"/>
      <c r="D84" s="9" t="n">
        <v>0</v>
      </c>
      <c r="E84" s="9" t="inlineStr"/>
      <c r="F84" s="9" t="inlineStr"/>
      <c r="G84" s="9" t="inlineStr"/>
      <c r="H84" s="9" t="inlineStr"/>
      <c r="I84" t="inlineStr">
        <is>
          <t>FALCON DISTRIBUICAO, ARMAZENAMENTO E TRANSPORTES S.A.</t>
        </is>
      </c>
      <c r="J84" t="inlineStr">
        <is>
          <t>Falcon Distribuição, Armazenamento e Transportes S/A</t>
        </is>
      </c>
      <c r="K84" t="inlineStr">
        <is>
          <t>23191831</t>
        </is>
      </c>
      <c r="L84" t="inlineStr">
        <is>
          <t>23191831000193</t>
        </is>
      </c>
      <c r="M84" s="10" t="n">
        <v>2199541.23</v>
      </c>
      <c r="N84" t="n">
        <v>1</v>
      </c>
      <c r="O84" s="11" t="inlineStr">
        <is>
          <t>C</t>
        </is>
      </c>
      <c r="P84" s="11" t="inlineStr">
        <is>
          <t>ACTIVE</t>
        </is>
      </c>
      <c r="Q84" s="12" t="n">
        <v>44987</v>
      </c>
      <c r="R84" s="11">
        <f>IF(Q84="","",ROUND((TODAY()-Q84)/365.25,1))</f>
        <v/>
      </c>
      <c r="S84" s="13">
        <f>IFERROR(VLOOKUP(O84,Assumptions!$A$7:$F$11,2,FALSE),0.25)</f>
        <v/>
      </c>
      <c r="T84" s="14">
        <f>IF(O84="A",MAX(1,IFERROR(VLOOKUP(O84,Assumptions!$A$7:$F$11,3,FALSE),3)+IFERROR(VLOOKUP(O84,Assumptions!$A$7:$F$11,4,FALSE),8)/2-MAX(0,IF(R84="",0,R84)-IFERROR(VLOOKUP(O84,Assumptions!$A$7:$F$11,5,FALSE),1.5))),IFERROR(VLOOKUP(O84,Assumptions!$A$7:$F$11,5,FALSE),2.5)+IFERROR(VLOOKUP(O84,Assumptions!$A$7:$F$11,3,FALSE),3)+IFERROR(VLOOKUP(O84,Assumptions!$A$7:$F$11,4,FALSE),8)/2)</f>
        <v/>
      </c>
      <c r="U84" s="15">
        <f>M84*S84/(1+Assumptions!$B$3)^T84</f>
        <v/>
      </c>
      <c r="V84" s="11">
        <f>IF(M84=0,"",ROUND(U84/M84*100,1))</f>
        <v/>
      </c>
      <c r="W84" s="16">
        <f>U84*Assumptions!$B$4</f>
        <v/>
      </c>
      <c r="X84" s="11">
        <f>IF(M84=0,"",ROUND(W84/M84*100,1))</f>
        <v/>
      </c>
      <c r="Y84" t="inlineStr">
        <is>
          <t>GRUPO DP4</t>
        </is>
      </c>
      <c r="Z84" t="inlineStr">
        <is>
          <t>0005010-98.2023.8.16.0001</t>
        </is>
      </c>
      <c r="AA84" t="inlineStr">
        <is>
          <t>TJPR</t>
        </is>
      </c>
      <c r="AB84" t="inlineStr">
        <is>
          <t>marquesadmjudicial.com.br</t>
        </is>
      </c>
      <c r="AC84" t="inlineStr">
        <is>
          <t>ADRIANO DE CONTI BERNARDI</t>
        </is>
      </c>
      <c r="AD84" t="inlineStr">
        <is>
          <t>Diretor</t>
        </is>
      </c>
      <c r="AE84" t="inlineStr">
        <is>
          <t>(11) 9177-5953</t>
        </is>
      </c>
      <c r="AF84" t="inlineStr"/>
      <c r="AG84" t="inlineStr"/>
      <c r="AH84" t="inlineStr">
        <is>
          <t>GO</t>
        </is>
      </c>
      <c r="AI84" t="inlineStr">
        <is>
          <t>GOIANIA</t>
        </is>
      </c>
      <c r="AJ84" t="inlineStr">
        <is>
          <t>Comércio atacadista de produtos de higiene pessoal</t>
        </is>
      </c>
      <c r="AK84" t="inlineStr">
        <is>
          <t>DEMAIS</t>
        </is>
      </c>
      <c r="AL84" t="inlineStr">
        <is>
          <t>ATIVA</t>
        </is>
      </c>
      <c r="AM84" s="17" t="inlineStr">
        <is>
          <t>https://marquesadmjudicial.com.br/sgc/download.php?file=files/processo_documento/processo_documento15293208032024_1_.pdf&amp;nome=Relação Nominal de Credores da AJ-Sintética</t>
        </is>
      </c>
      <c r="AN84" s="18" t="inlineStr">
        <is>
          <t>p25 r5</t>
        </is>
      </c>
      <c r="AO84" s="18" t="inlineStr">
        <is>
          <t>p25: R$ 2.199.541,23</t>
        </is>
      </c>
      <c r="AP84" s="18" t="inlineStr">
        <is>
          <t>AJ_LIST</t>
        </is>
      </c>
      <c r="AQ84" s="18" t="inlineStr">
        <is>
          <t>2023-03-02</t>
        </is>
      </c>
      <c r="AR84" s="18" t="inlineStr">
        <is>
          <t>QUARANTINED</t>
        </is>
      </c>
      <c r="AS84" s="18" t="inlineStr">
        <is>
          <t>PARTIAL_DOC_CLASS_III_RECONCILED ROWS:p25r5</t>
        </is>
      </c>
      <c r="AT84" s="18" t="inlineStr">
        <is>
          <t>b465a5d11eec</t>
        </is>
      </c>
    </row>
    <row r="85">
      <c r="A85" s="9" t="n">
        <v>84</v>
      </c>
      <c r="B85" s="9" t="inlineStr">
        <is>
          <t>NEW</t>
        </is>
      </c>
      <c r="C85" s="9" t="inlineStr"/>
      <c r="D85" s="9" t="n">
        <v>0</v>
      </c>
      <c r="E85" s="9" t="inlineStr"/>
      <c r="F85" s="9" t="inlineStr"/>
      <c r="G85" s="9" t="inlineStr"/>
      <c r="H85" s="9" t="inlineStr"/>
      <c r="I85" t="inlineStr">
        <is>
          <t>STRATURA ASFALTOS LTDA.</t>
        </is>
      </c>
      <c r="J85" t="inlineStr">
        <is>
          <t>STRATURA ASFALTOS S.A.</t>
        </is>
      </c>
      <c r="K85" t="inlineStr">
        <is>
          <t>59128553</t>
        </is>
      </c>
      <c r="L85" t="inlineStr">
        <is>
          <t>59128553002110</t>
        </is>
      </c>
      <c r="M85" s="10" t="n">
        <v>2146226.53</v>
      </c>
      <c r="N85" t="n">
        <v>1</v>
      </c>
      <c r="O85" s="11" t="inlineStr">
        <is>
          <t>C</t>
        </is>
      </c>
      <c r="P85" s="11" t="inlineStr">
        <is>
          <t>ACTIVE</t>
        </is>
      </c>
      <c r="Q85" s="12" t="n">
        <v>43838</v>
      </c>
      <c r="R85" s="11">
        <f>IF(Q85="","",ROUND((TODAY()-Q85)/365.25,1))</f>
        <v/>
      </c>
      <c r="S85" s="13">
        <f>IFERROR(VLOOKUP(O85,Assumptions!$A$7:$F$11,2,FALSE),0.25)</f>
        <v/>
      </c>
      <c r="T85" s="14">
        <f>IF(O85="A",MAX(1,IFERROR(VLOOKUP(O85,Assumptions!$A$7:$F$11,3,FALSE),3)+IFERROR(VLOOKUP(O85,Assumptions!$A$7:$F$11,4,FALSE),8)/2-MAX(0,IF(R85="",0,R85)-IFERROR(VLOOKUP(O85,Assumptions!$A$7:$F$11,5,FALSE),1.5))),IFERROR(VLOOKUP(O85,Assumptions!$A$7:$F$11,5,FALSE),2.5)+IFERROR(VLOOKUP(O85,Assumptions!$A$7:$F$11,3,FALSE),3)+IFERROR(VLOOKUP(O85,Assumptions!$A$7:$F$11,4,FALSE),8)/2)</f>
        <v/>
      </c>
      <c r="U85" s="15">
        <f>M85*S85/(1+Assumptions!$B$3)^T85</f>
        <v/>
      </c>
      <c r="V85" s="11">
        <f>IF(M85=0,"",ROUND(U85/M85*100,1))</f>
        <v/>
      </c>
      <c r="W85" s="16">
        <f>U85*Assumptions!$B$4</f>
        <v/>
      </c>
      <c r="X85" s="11">
        <f>IF(M85=0,"",ROUND(W85/M85*100,1))</f>
        <v/>
      </c>
      <c r="Y85" t="inlineStr">
        <is>
          <t>CONSTRUTORA ANDRADE GUEDES LTDA</t>
        </is>
      </c>
      <c r="Z85" t="inlineStr">
        <is>
          <t>0000880-57.2020.8.17.2001</t>
        </is>
      </c>
      <c r="AA85" t="inlineStr">
        <is>
          <t>TJPE</t>
        </is>
      </c>
      <c r="AB85" t="inlineStr">
        <is>
          <t>diligence.adm.br</t>
        </is>
      </c>
      <c r="AC85" t="inlineStr">
        <is>
          <t>CARLOS ALBERTO DE AQUINO PINHEIRO JUNIOR</t>
        </is>
      </c>
      <c r="AD85" t="inlineStr">
        <is>
          <t>Administrador</t>
        </is>
      </c>
      <c r="AE85" t="inlineStr">
        <is>
          <t>(11) 3513-4260</t>
        </is>
      </c>
      <c r="AF85" t="inlineStr"/>
      <c r="AG85" t="inlineStr"/>
      <c r="AH85" t="inlineStr">
        <is>
          <t>SP</t>
        </is>
      </c>
      <c r="AI85" t="inlineStr">
        <is>
          <t>SAO PAULO</t>
        </is>
      </c>
      <c r="AJ85" t="inlineStr">
        <is>
          <t>Serviços combinados de escritório e apoio administrativo</t>
        </is>
      </c>
      <c r="AK85" t="inlineStr">
        <is>
          <t>DEMAIS</t>
        </is>
      </c>
      <c r="AL85" t="inlineStr">
        <is>
          <t>ATIVA</t>
        </is>
      </c>
      <c r="AM85" s="17" t="inlineStr">
        <is>
          <t>https://diligence.adm.br/wp-content/plugins/download-attachments/includes/download.php?id=4599</t>
        </is>
      </c>
      <c r="AN85" s="18" t="inlineStr">
        <is>
          <t>p10 r77</t>
        </is>
      </c>
      <c r="AO85" s="18" t="inlineStr">
        <is>
          <t>p10: R$ 2.146.226,53</t>
        </is>
      </c>
      <c r="AP85" s="18" t="inlineStr">
        <is>
          <t>AJ_LIST</t>
        </is>
      </c>
      <c r="AQ85" s="18" t="inlineStr">
        <is>
          <t>2024-06-25</t>
        </is>
      </c>
      <c r="AR85" s="18" t="inlineStr">
        <is>
          <t>OK_NO_TOTALS</t>
        </is>
      </c>
      <c r="AS85" s="18" t="inlineStr">
        <is>
          <t>ALT_VALUE:R$1.615.549,86 ALT_VALUE:R$530.676,67 ROWS:p10r77 UNRECONCILED_SOURCE VALUE_COL:2ª_Lista</t>
        </is>
      </c>
      <c r="AT85" s="18" t="inlineStr">
        <is>
          <t>44ecd0afa707</t>
        </is>
      </c>
    </row>
    <row r="86">
      <c r="A86" s="9" t="n">
        <v>85</v>
      </c>
      <c r="B86" s="9" t="inlineStr">
        <is>
          <t>NEW</t>
        </is>
      </c>
      <c r="C86" s="9" t="inlineStr"/>
      <c r="D86" s="9" t="n">
        <v>0</v>
      </c>
      <c r="E86" s="9" t="inlineStr"/>
      <c r="F86" s="9" t="inlineStr"/>
      <c r="G86" s="9" t="inlineStr"/>
      <c r="H86" s="9" t="inlineStr"/>
      <c r="I86" t="inlineStr">
        <is>
          <t>VENTISOL DA AMAZONIA INDUSTRIA DE APARELHOS ELETRICOS LTDA</t>
        </is>
      </c>
      <c r="J86" t="inlineStr">
        <is>
          <t>Rua Azaleia, 2421, Distrito Industrial, Manaus - CEP 69075845</t>
        </is>
      </c>
      <c r="K86" t="inlineStr">
        <is>
          <t>17417928</t>
        </is>
      </c>
      <c r="L86" t="inlineStr">
        <is>
          <t>17417928000179</t>
        </is>
      </c>
      <c r="M86" s="10" t="n">
        <v>2121705.89</v>
      </c>
      <c r="N86" t="n">
        <v>1</v>
      </c>
      <c r="O86" s="11" t="inlineStr">
        <is>
          <t>C</t>
        </is>
      </c>
      <c r="P86" s="11" t="inlineStr"/>
      <c r="Q86" s="12" t="inlineStr"/>
      <c r="R86" s="11">
        <f>IF(Q86="","",ROUND((TODAY()-Q86)/365.25,1))</f>
        <v/>
      </c>
      <c r="S86" s="13">
        <f>IFERROR(VLOOKUP(O86,Assumptions!$A$7:$F$11,2,FALSE),0.25)</f>
        <v/>
      </c>
      <c r="T86" s="14">
        <f>IF(O86="A",MAX(1,IFERROR(VLOOKUP(O86,Assumptions!$A$7:$F$11,3,FALSE),3)+IFERROR(VLOOKUP(O86,Assumptions!$A$7:$F$11,4,FALSE),8)/2-MAX(0,IF(R86="",0,R86)-IFERROR(VLOOKUP(O86,Assumptions!$A$7:$F$11,5,FALSE),1.5))),IFERROR(VLOOKUP(O86,Assumptions!$A$7:$F$11,5,FALSE),2.5)+IFERROR(VLOOKUP(O86,Assumptions!$A$7:$F$11,3,FALSE),3)+IFERROR(VLOOKUP(O86,Assumptions!$A$7:$F$11,4,FALSE),8)/2)</f>
        <v/>
      </c>
      <c r="U86" s="15">
        <f>M86*S86/(1+Assumptions!$B$3)^T86</f>
        <v/>
      </c>
      <c r="V86" s="11">
        <f>IF(M86=0,"",ROUND(U86/M86*100,1))</f>
        <v/>
      </c>
      <c r="W86" s="16">
        <f>U86*Assumptions!$B$4</f>
        <v/>
      </c>
      <c r="X86" s="11">
        <f>IF(M86=0,"",ROUND(W86/M86*100,1))</f>
        <v/>
      </c>
      <c r="Y86" t="inlineStr">
        <is>
          <t>REAL DISTRIBUIDORA ÚNICA RIO COMÉRCIO DE REFRIGERAÇÃO LTDA.</t>
        </is>
      </c>
      <c r="Z86" t="inlineStr">
        <is>
          <t>0873061-47.2023.8.19.0001</t>
        </is>
      </c>
      <c r="AA86" t="inlineStr"/>
      <c r="AB86" t="inlineStr">
        <is>
          <t>inova-aj.com.br</t>
        </is>
      </c>
      <c r="AC86" t="inlineStr">
        <is>
          <t>ALEXIS SUREN TCHOLAKIAN MORALES</t>
        </is>
      </c>
      <c r="AD86" t="inlineStr">
        <is>
          <t>Sócio-Administrador</t>
        </is>
      </c>
      <c r="AE86" t="inlineStr">
        <is>
          <t>(92) 3029-1000</t>
        </is>
      </c>
      <c r="AF86" t="inlineStr"/>
      <c r="AG86" t="inlineStr"/>
      <c r="AH86" t="inlineStr">
        <is>
          <t>AM</t>
        </is>
      </c>
      <c r="AI86" t="inlineStr">
        <is>
          <t>MANAUS</t>
        </is>
      </c>
      <c r="AJ86" t="inlineStr">
        <is>
          <t>Fabricação de aparelhos e equipamentos de ar condicionado para uso industrial</t>
        </is>
      </c>
      <c r="AK86" t="inlineStr">
        <is>
          <t>DEMAIS</t>
        </is>
      </c>
      <c r="AL86" t="inlineStr">
        <is>
          <t>ATIVA</t>
        </is>
      </c>
      <c r="AM86" s="17" t="inlineStr">
        <is>
          <t>https://inova-aj.com.br/wp-content/uploads/2026/08/1a-Relacao-de-Credores-Real.pdf</t>
        </is>
      </c>
      <c r="AN86" s="18" t="inlineStr">
        <is>
          <t>p2 r16</t>
        </is>
      </c>
      <c r="AO86" s="18" t="inlineStr">
        <is>
          <t>p2: R$ 2.121.705,89</t>
        </is>
      </c>
      <c r="AP86" s="18" t="inlineStr">
        <is>
          <t>AJ_LIST</t>
        </is>
      </c>
      <c r="AQ86" s="18" t="inlineStr">
        <is>
          <t>2023-06-05</t>
        </is>
      </c>
      <c r="AR86" s="18" t="inlineStr">
        <is>
          <t>OK</t>
        </is>
      </c>
      <c r="AS86" s="18" t="inlineStr">
        <is>
          <t>ALT_VALUE:R$1.542.709,43 ROWS:p2r16</t>
        </is>
      </c>
      <c r="AT86" s="18" t="inlineStr">
        <is>
          <t>8eb5d0d64353</t>
        </is>
      </c>
    </row>
    <row r="87">
      <c r="A87" s="9" t="n">
        <v>86</v>
      </c>
      <c r="B87" s="9" t="inlineStr">
        <is>
          <t>NEW</t>
        </is>
      </c>
      <c r="C87" s="9" t="inlineStr"/>
      <c r="D87" s="9" t="n">
        <v>0</v>
      </c>
      <c r="E87" s="9" t="inlineStr"/>
      <c r="F87" s="9" t="inlineStr"/>
      <c r="G87" s="9" t="inlineStr"/>
      <c r="H87" s="9" t="inlineStr"/>
      <c r="I87" t="inlineStr">
        <is>
          <t>FRONTEIRA COMERCIO E REPRESENTACAO DE PRODUTOS AGROPECUARIOS LTDA</t>
        </is>
      </c>
      <c r="J87" t="inlineStr">
        <is>
          <t>Nutrien Solucoes Agricolas</t>
        </is>
      </c>
      <c r="K87" t="inlineStr">
        <is>
          <t>36854495</t>
        </is>
      </c>
      <c r="L87" t="inlineStr">
        <is>
          <t>36854495002298</t>
        </is>
      </c>
      <c r="M87" s="10" t="n">
        <v>2120225.1</v>
      </c>
      <c r="N87" t="n">
        <v>1</v>
      </c>
      <c r="O87" s="11" t="inlineStr">
        <is>
          <t>B</t>
        </is>
      </c>
      <c r="P87" s="11" t="inlineStr">
        <is>
          <t>ACTIVE</t>
        </is>
      </c>
      <c r="Q87" s="12" t="n">
        <v>46130</v>
      </c>
      <c r="R87" s="11">
        <f>IF(Q87="","",ROUND((TODAY()-Q87)/365.25,1))</f>
        <v/>
      </c>
      <c r="S87" s="13">
        <f>IFERROR(VLOOKUP(O87,Assumptions!$A$7:$F$11,2,FALSE),0.25)</f>
        <v/>
      </c>
      <c r="T87" s="14">
        <f>IF(O87="A",MAX(1,IFERROR(VLOOKUP(O87,Assumptions!$A$7:$F$11,3,FALSE),3)+IFERROR(VLOOKUP(O87,Assumptions!$A$7:$F$11,4,FALSE),8)/2-MAX(0,IF(R87="",0,R87)-IFERROR(VLOOKUP(O87,Assumptions!$A$7:$F$11,5,FALSE),1.5))),IFERROR(VLOOKUP(O87,Assumptions!$A$7:$F$11,5,FALSE),2.5)+IFERROR(VLOOKUP(O87,Assumptions!$A$7:$F$11,3,FALSE),3)+IFERROR(VLOOKUP(O87,Assumptions!$A$7:$F$11,4,FALSE),8)/2)</f>
        <v/>
      </c>
      <c r="U87" s="15">
        <f>M87*S87/(1+Assumptions!$B$3)^T87</f>
        <v/>
      </c>
      <c r="V87" s="11">
        <f>IF(M87=0,"",ROUND(U87/M87*100,1))</f>
        <v/>
      </c>
      <c r="W87" s="16">
        <f>U87*Assumptions!$B$4</f>
        <v/>
      </c>
      <c r="X87" s="11">
        <f>IF(M87=0,"",ROUND(W87/M87*100,1))</f>
        <v/>
      </c>
      <c r="Y87" t="inlineStr">
        <is>
          <t>GRUPO 3E</t>
        </is>
      </c>
      <c r="Z87" t="inlineStr">
        <is>
          <t>5341375-33.2026.8.09.0049</t>
        </is>
      </c>
      <c r="AA87" t="inlineStr">
        <is>
          <t>TJGO</t>
        </is>
      </c>
      <c r="AB87" t="inlineStr">
        <is>
          <t>stenius.com.br</t>
        </is>
      </c>
      <c r="AC87" t="inlineStr">
        <is>
          <t>CARLOS EDUARDO FAZZIO DE BRITO</t>
        </is>
      </c>
      <c r="AD87" t="inlineStr">
        <is>
          <t>Administrador</t>
        </is>
      </c>
      <c r="AE87" t="inlineStr">
        <is>
          <t>(11) 5400-0021</t>
        </is>
      </c>
      <c r="AF87" t="inlineStr"/>
      <c r="AG87" t="inlineStr"/>
      <c r="AH87" t="inlineStr">
        <is>
          <t>GO</t>
        </is>
      </c>
      <c r="AI87" t="inlineStr">
        <is>
          <t>RIO VERDE</t>
        </is>
      </c>
      <c r="AJ87" t="inlineStr">
        <is>
          <t>Comércio atacadista de mercadorias em geral, com predominância de insumos agropecuários</t>
        </is>
      </c>
      <c r="AK87" t="inlineStr">
        <is>
          <t>DEMAIS</t>
        </is>
      </c>
      <c r="AL87" t="inlineStr">
        <is>
          <t>ATIVA</t>
        </is>
      </c>
      <c r="AM87" s="17" t="inlineStr">
        <is>
          <t>https://stenius.com.br/wp-content/uploads/2026/06/EDITAL-GRUPO-3E.pdf</t>
        </is>
      </c>
      <c r="AN87" s="18" t="inlineStr">
        <is>
          <t>p16 r31</t>
        </is>
      </c>
      <c r="AO87" s="18" t="inlineStr">
        <is>
          <t>p16: R$ 2.120.225,10</t>
        </is>
      </c>
      <c r="AP87" s="18" t="inlineStr">
        <is>
          <t>DEBTOR_LIST</t>
        </is>
      </c>
      <c r="AQ87" s="18" t="inlineStr">
        <is>
          <t>2026-06-22</t>
        </is>
      </c>
      <c r="AR87" s="18" t="inlineStr">
        <is>
          <t>OK_NO_TOTALS</t>
        </is>
      </c>
      <c r="AS87" s="18" t="inlineStr">
        <is>
          <t>ROWS:p16r31 UNRECONCILED_SOURCE</t>
        </is>
      </c>
      <c r="AT87" s="18" t="inlineStr">
        <is>
          <t>8e8832093a15</t>
        </is>
      </c>
    </row>
    <row r="88">
      <c r="A88" s="9" t="n">
        <v>87</v>
      </c>
      <c r="B88" s="9" t="inlineStr">
        <is>
          <t>NEW</t>
        </is>
      </c>
      <c r="C88" s="9" t="inlineStr"/>
      <c r="D88" s="9" t="n">
        <v>0</v>
      </c>
      <c r="E88" s="9" t="inlineStr"/>
      <c r="F88" s="9" t="inlineStr"/>
      <c r="G88" s="9" t="inlineStr"/>
      <c r="H88" s="9" t="inlineStr"/>
      <c r="I88" t="inlineStr">
        <is>
          <t>SRJ INDUSTRIA COMERCIO E EXPORTACAO DE CONFECCOES LTDA</t>
        </is>
      </c>
      <c r="J88" t="inlineStr">
        <is>
          <t>SRJ INDUSTRIA COMERCIO E EXPORTACAO DE CONFECCOES LTDA</t>
        </is>
      </c>
      <c r="K88" t="inlineStr">
        <is>
          <t>05554669</t>
        </is>
      </c>
      <c r="L88" t="inlineStr">
        <is>
          <t>05554669000149</t>
        </is>
      </c>
      <c r="M88" s="10" t="n">
        <v>2113920</v>
      </c>
      <c r="N88" t="n">
        <v>1</v>
      </c>
      <c r="O88" s="11" t="inlineStr">
        <is>
          <t>C</t>
        </is>
      </c>
      <c r="P88" s="11" t="inlineStr">
        <is>
          <t>ACTIVE</t>
        </is>
      </c>
      <c r="Q88" s="12" t="n">
        <v>44571</v>
      </c>
      <c r="R88" s="11">
        <f>IF(Q88="","",ROUND((TODAY()-Q88)/365.25,1))</f>
        <v/>
      </c>
      <c r="S88" s="13">
        <f>IFERROR(VLOOKUP(O88,Assumptions!$A$7:$F$11,2,FALSE),0.25)</f>
        <v/>
      </c>
      <c r="T88" s="14">
        <f>IF(O88="A",MAX(1,IFERROR(VLOOKUP(O88,Assumptions!$A$7:$F$11,3,FALSE),3)+IFERROR(VLOOKUP(O88,Assumptions!$A$7:$F$11,4,FALSE),8)/2-MAX(0,IF(R88="",0,R88)-IFERROR(VLOOKUP(O88,Assumptions!$A$7:$F$11,5,FALSE),1.5))),IFERROR(VLOOKUP(O88,Assumptions!$A$7:$F$11,5,FALSE),2.5)+IFERROR(VLOOKUP(O88,Assumptions!$A$7:$F$11,3,FALSE),3)+IFERROR(VLOOKUP(O88,Assumptions!$A$7:$F$11,4,FALSE),8)/2)</f>
        <v/>
      </c>
      <c r="U88" s="15">
        <f>M88*S88/(1+Assumptions!$B$3)^T88</f>
        <v/>
      </c>
      <c r="V88" s="11">
        <f>IF(M88=0,"",ROUND(U88/M88*100,1))</f>
        <v/>
      </c>
      <c r="W88" s="16">
        <f>U88*Assumptions!$B$4</f>
        <v/>
      </c>
      <c r="X88" s="11">
        <f>IF(M88=0,"",ROUND(W88/M88*100,1))</f>
        <v/>
      </c>
      <c r="Y88" t="inlineStr">
        <is>
          <t>GRUPO CATTAN</t>
        </is>
      </c>
      <c r="Z88" t="inlineStr">
        <is>
          <t>0002484-82.2022.8.17.2001</t>
        </is>
      </c>
      <c r="AA88" t="inlineStr">
        <is>
          <t>TJPE</t>
        </is>
      </c>
      <c r="AB88" t="inlineStr">
        <is>
          <t>lrflideres.com.br</t>
        </is>
      </c>
      <c r="AC88" t="inlineStr">
        <is>
          <t>JOAQUIM COELHO DE MAGALHAES</t>
        </is>
      </c>
      <c r="AD88" t="inlineStr">
        <is>
          <t>Administrador</t>
        </is>
      </c>
      <c r="AE88" t="inlineStr"/>
      <c r="AF88" t="inlineStr"/>
      <c r="AG88" t="inlineStr"/>
      <c r="AH88" t="inlineStr">
        <is>
          <t>PE</t>
        </is>
      </c>
      <c r="AI88" t="inlineStr">
        <is>
          <t>CARUARU</t>
        </is>
      </c>
      <c r="AJ88" t="inlineStr">
        <is>
          <t>Confecção de peças de vestuário, exceto roupas íntimas e as confeccionadas sob medida</t>
        </is>
      </c>
      <c r="AK88" t="inlineStr">
        <is>
          <t>DEMAIS</t>
        </is>
      </c>
      <c r="AL88" t="inlineStr">
        <is>
          <t>ATIVA</t>
        </is>
      </c>
      <c r="AM88" s="17" t="inlineStr">
        <is>
          <t>https://lrflideres.com.br/wp-content/plugins/download-attachments/includes/download.php?id=4023</t>
        </is>
      </c>
      <c r="AN88" s="18" t="inlineStr">
        <is>
          <t>p4 r92; p7 r121</t>
        </is>
      </c>
      <c r="AO88" s="18" t="inlineStr">
        <is>
          <t>p4: R$ 2.113.920,00; p7: R$ 2.113.920,00</t>
        </is>
      </c>
      <c r="AP88" s="18" t="inlineStr">
        <is>
          <t>DEBTOR_LIST</t>
        </is>
      </c>
      <c r="AQ88" s="18" t="inlineStr"/>
      <c r="AR88" s="18" t="inlineStr">
        <is>
          <t>QUARANTINED</t>
        </is>
      </c>
      <c r="AS88" s="18" t="inlineStr">
        <is>
          <t>PARTIAL_DOC_CLASS_III_RECONCILED ROWS:p4r92</t>
        </is>
      </c>
      <c r="AT88" s="18" t="inlineStr">
        <is>
          <t>f3b6182e3aa2</t>
        </is>
      </c>
    </row>
    <row r="89">
      <c r="A89" s="9" t="n">
        <v>88</v>
      </c>
      <c r="B89" s="9" t="inlineStr">
        <is>
          <t>NEW</t>
        </is>
      </c>
      <c r="C89" s="9" t="inlineStr"/>
      <c r="D89" s="9" t="n">
        <v>0</v>
      </c>
      <c r="E89" s="9" t="inlineStr"/>
      <c r="F89" s="9" t="inlineStr"/>
      <c r="G89" s="9" t="inlineStr"/>
      <c r="H89" s="9" t="inlineStr"/>
      <c r="I89" t="inlineStr">
        <is>
          <t>ADM DO BRASIL LTDA</t>
        </is>
      </c>
      <c r="J89" t="inlineStr">
        <is>
          <t>2.15ADM DO BRASIL LTDA</t>
        </is>
      </c>
      <c r="K89" t="inlineStr">
        <is>
          <t>02003402</t>
        </is>
      </c>
      <c r="L89" t="inlineStr">
        <is>
          <t>02003402004677</t>
        </is>
      </c>
      <c r="M89" s="10" t="n">
        <v>2086675.04</v>
      </c>
      <c r="N89" t="n">
        <v>1</v>
      </c>
      <c r="O89" s="11" t="inlineStr">
        <is>
          <t>B</t>
        </is>
      </c>
      <c r="P89" s="11" t="inlineStr">
        <is>
          <t>ACTIVE</t>
        </is>
      </c>
      <c r="Q89" s="12" t="n">
        <v>45534</v>
      </c>
      <c r="R89" s="11">
        <f>IF(Q89="","",ROUND((TODAY()-Q89)/365.25,1))</f>
        <v/>
      </c>
      <c r="S89" s="13">
        <f>IFERROR(VLOOKUP(O89,Assumptions!$A$7:$F$11,2,FALSE),0.25)</f>
        <v/>
      </c>
      <c r="T89" s="14">
        <f>IF(O89="A",MAX(1,IFERROR(VLOOKUP(O89,Assumptions!$A$7:$F$11,3,FALSE),3)+IFERROR(VLOOKUP(O89,Assumptions!$A$7:$F$11,4,FALSE),8)/2-MAX(0,IF(R89="",0,R89)-IFERROR(VLOOKUP(O89,Assumptions!$A$7:$F$11,5,FALSE),1.5))),IFERROR(VLOOKUP(O89,Assumptions!$A$7:$F$11,5,FALSE),2.5)+IFERROR(VLOOKUP(O89,Assumptions!$A$7:$F$11,3,FALSE),3)+IFERROR(VLOOKUP(O89,Assumptions!$A$7:$F$11,4,FALSE),8)/2)</f>
        <v/>
      </c>
      <c r="U89" s="15">
        <f>M89*S89/(1+Assumptions!$B$3)^T89</f>
        <v/>
      </c>
      <c r="V89" s="11">
        <f>IF(M89=0,"",ROUND(U89/M89*100,1))</f>
        <v/>
      </c>
      <c r="W89" s="16">
        <f>U89*Assumptions!$B$4</f>
        <v/>
      </c>
      <c r="X89" s="11">
        <f>IF(M89=0,"",ROUND(W89/M89*100,1))</f>
        <v/>
      </c>
      <c r="Y89" t="inlineStr">
        <is>
          <t>SUINOCULTURA KUNZLER</t>
        </is>
      </c>
      <c r="Z89" t="inlineStr">
        <is>
          <t>5009149-92.2024.8.24.0019</t>
        </is>
      </c>
      <c r="AA89" t="inlineStr">
        <is>
          <t>TJSC</t>
        </is>
      </c>
      <c r="AB89" t="inlineStr">
        <is>
          <t>rlg-aj.com.br</t>
        </is>
      </c>
      <c r="AC89" t="inlineStr">
        <is>
          <t>ANDREIELI RIBEIRO PINTO</t>
        </is>
      </c>
      <c r="AD89" t="inlineStr">
        <is>
          <t>Administrador</t>
        </is>
      </c>
      <c r="AE89" t="inlineStr">
        <is>
          <t>(11) 5185-3500</t>
        </is>
      </c>
      <c r="AF89" t="inlineStr">
        <is>
          <t>(11) 5185-3649</t>
        </is>
      </c>
      <c r="AG89" t="inlineStr"/>
      <c r="AH89" t="inlineStr">
        <is>
          <t>ES</t>
        </is>
      </c>
      <c r="AI89" t="inlineStr">
        <is>
          <t>VITORIA</t>
        </is>
      </c>
      <c r="AJ89" t="inlineStr">
        <is>
          <t>Comércio atacadista de matérias-primas agrícolas não especificadas anteriormente</t>
        </is>
      </c>
      <c r="AK89" t="inlineStr">
        <is>
          <t>DEMAIS</t>
        </is>
      </c>
      <c r="AL89" t="inlineStr">
        <is>
          <t>ATIVA</t>
        </is>
      </c>
      <c r="AM89" s="17" t="inlineStr">
        <is>
          <t>https://rlg-aj.com.br/wp-content/uploads/2024/11/07.-Relação-de-credores.pdf</t>
        </is>
      </c>
      <c r="AN89" s="18" t="inlineStr">
        <is>
          <t>p1 r21</t>
        </is>
      </c>
      <c r="AO89" s="18" t="inlineStr">
        <is>
          <t>p1: R$ 2.086.675,04</t>
        </is>
      </c>
      <c r="AP89" s="18" t="inlineStr">
        <is>
          <t>UNKNOWN</t>
        </is>
      </c>
      <c r="AQ89" s="18" t="inlineStr"/>
      <c r="AR89" s="18" t="inlineStr">
        <is>
          <t>OK_NO_TOTALS</t>
        </is>
      </c>
      <c r="AS89" s="18" t="inlineStr">
        <is>
          <t>ROWS:p1r21 UNRECONCILED_SOURCE</t>
        </is>
      </c>
      <c r="AT89" s="18" t="inlineStr">
        <is>
          <t>a62ac8ee0458</t>
        </is>
      </c>
    </row>
    <row r="90">
      <c r="A90" s="9" t="n">
        <v>89</v>
      </c>
      <c r="B90" s="9" t="inlineStr">
        <is>
          <t>NEW</t>
        </is>
      </c>
      <c r="C90" s="9" t="inlineStr"/>
      <c r="D90" s="9" t="n">
        <v>0</v>
      </c>
      <c r="E90" s="9" t="inlineStr"/>
      <c r="F90" s="9" t="inlineStr"/>
      <c r="G90" s="9" t="inlineStr"/>
      <c r="H90" s="9" t="inlineStr"/>
      <c r="I90" t="inlineStr">
        <is>
          <t>TRES TENTOS AGROINDUSTRIAL S/A</t>
        </is>
      </c>
      <c r="J90" t="inlineStr">
        <is>
          <t>2.14TRES TENTOS AGROINDUSTRIAL S/A</t>
        </is>
      </c>
      <c r="K90" t="inlineStr">
        <is>
          <t>94813102</t>
        </is>
      </c>
      <c r="L90" t="inlineStr">
        <is>
          <t>94813102000846</t>
        </is>
      </c>
      <c r="M90" s="10" t="n">
        <v>2076705.8</v>
      </c>
      <c r="N90" t="n">
        <v>1</v>
      </c>
      <c r="O90" s="11" t="inlineStr">
        <is>
          <t>B</t>
        </is>
      </c>
      <c r="P90" s="11" t="inlineStr">
        <is>
          <t>ACTIVE</t>
        </is>
      </c>
      <c r="Q90" s="12" t="n">
        <v>45534</v>
      </c>
      <c r="R90" s="11">
        <f>IF(Q90="","",ROUND((TODAY()-Q90)/365.25,1))</f>
        <v/>
      </c>
      <c r="S90" s="13">
        <f>IFERROR(VLOOKUP(O90,Assumptions!$A$7:$F$11,2,FALSE),0.25)</f>
        <v/>
      </c>
      <c r="T90" s="14">
        <f>IF(O90="A",MAX(1,IFERROR(VLOOKUP(O90,Assumptions!$A$7:$F$11,3,FALSE),3)+IFERROR(VLOOKUP(O90,Assumptions!$A$7:$F$11,4,FALSE),8)/2-MAX(0,IF(R90="",0,R90)-IFERROR(VLOOKUP(O90,Assumptions!$A$7:$F$11,5,FALSE),1.5))),IFERROR(VLOOKUP(O90,Assumptions!$A$7:$F$11,5,FALSE),2.5)+IFERROR(VLOOKUP(O90,Assumptions!$A$7:$F$11,3,FALSE),3)+IFERROR(VLOOKUP(O90,Assumptions!$A$7:$F$11,4,FALSE),8)/2)</f>
        <v/>
      </c>
      <c r="U90" s="15">
        <f>M90*S90/(1+Assumptions!$B$3)^T90</f>
        <v/>
      </c>
      <c r="V90" s="11">
        <f>IF(M90=0,"",ROUND(U90/M90*100,1))</f>
        <v/>
      </c>
      <c r="W90" s="16">
        <f>U90*Assumptions!$B$4</f>
        <v/>
      </c>
      <c r="X90" s="11">
        <f>IF(M90=0,"",ROUND(W90/M90*100,1))</f>
        <v/>
      </c>
      <c r="Y90" t="inlineStr">
        <is>
          <t>SUINOCULTURA KUNZLER</t>
        </is>
      </c>
      <c r="Z90" t="inlineStr">
        <is>
          <t>5009149-92.2024.8.24.0019</t>
        </is>
      </c>
      <c r="AA90" t="inlineStr">
        <is>
          <t>TJSC</t>
        </is>
      </c>
      <c r="AB90" t="inlineStr">
        <is>
          <t>rlg-aj.com.br</t>
        </is>
      </c>
      <c r="AC90" t="inlineStr">
        <is>
          <t>JOAO MARCELO DUMONCEL</t>
        </is>
      </c>
      <c r="AD90" t="inlineStr">
        <is>
          <t>Presidente</t>
        </is>
      </c>
      <c r="AE90" t="inlineStr">
        <is>
          <t>(55) 3372-3700</t>
        </is>
      </c>
      <c r="AF90" t="inlineStr">
        <is>
          <t>(55) 3372-3718</t>
        </is>
      </c>
      <c r="AG90" t="inlineStr"/>
      <c r="AH90" t="inlineStr">
        <is>
          <t>RS</t>
        </is>
      </c>
      <c r="AI90" t="inlineStr">
        <is>
          <t>SANTA BARBARA DO SUL</t>
        </is>
      </c>
      <c r="AJ90" t="inlineStr">
        <is>
          <t>Comércio atacadista de cereais e leguminosas beneficiados</t>
        </is>
      </c>
      <c r="AK90" t="inlineStr">
        <is>
          <t>DEMAIS</t>
        </is>
      </c>
      <c r="AL90" t="inlineStr">
        <is>
          <t>ATIVA</t>
        </is>
      </c>
      <c r="AM90" s="17" t="inlineStr">
        <is>
          <t>https://rlg-aj.com.br/wp-content/uploads/2024/11/07.-Relação-de-credores.pdf</t>
        </is>
      </c>
      <c r="AN90" s="18" t="inlineStr">
        <is>
          <t>p1 r20</t>
        </is>
      </c>
      <c r="AO90" s="18" t="inlineStr">
        <is>
          <t>p1: R$ 2.076.705,80</t>
        </is>
      </c>
      <c r="AP90" s="18" t="inlineStr">
        <is>
          <t>UNKNOWN</t>
        </is>
      </c>
      <c r="AQ90" s="18" t="inlineStr"/>
      <c r="AR90" s="18" t="inlineStr">
        <is>
          <t>OK_NO_TOTALS</t>
        </is>
      </c>
      <c r="AS90" s="18" t="inlineStr">
        <is>
          <t>ROWS:p1r20 UNRECONCILED_SOURCE</t>
        </is>
      </c>
      <c r="AT90" s="18" t="inlineStr">
        <is>
          <t>a62ac8ee0458</t>
        </is>
      </c>
    </row>
    <row r="91">
      <c r="A91" s="9" t="n">
        <v>90</v>
      </c>
      <c r="B91" s="9" t="inlineStr">
        <is>
          <t>NEW</t>
        </is>
      </c>
      <c r="C91" s="9" t="inlineStr"/>
      <c r="D91" s="9" t="n">
        <v>0</v>
      </c>
      <c r="E91" s="9" t="inlineStr"/>
      <c r="F91" s="9" t="inlineStr"/>
      <c r="G91" s="9" t="inlineStr"/>
      <c r="H91" s="9" t="inlineStr"/>
      <c r="I91" t="inlineStr">
        <is>
          <t>SEMPRE AGTECH LTDA</t>
        </is>
      </c>
      <c r="J91" t="inlineStr">
        <is>
          <t>SEMPRE AGTECH LTDA</t>
        </is>
      </c>
      <c r="K91" t="inlineStr">
        <is>
          <t>09536120</t>
        </is>
      </c>
      <c r="L91" t="inlineStr">
        <is>
          <t>09536120000263</t>
        </is>
      </c>
      <c r="M91" s="10" t="n">
        <v>2037616.99</v>
      </c>
      <c r="N91" t="n">
        <v>1</v>
      </c>
      <c r="O91" s="11" t="inlineStr">
        <is>
          <t>B</t>
        </is>
      </c>
      <c r="P91" s="11" t="inlineStr">
        <is>
          <t>ACTIVE</t>
        </is>
      </c>
      <c r="Q91" s="12" t="n">
        <v>45845</v>
      </c>
      <c r="R91" s="11">
        <f>IF(Q91="","",ROUND((TODAY()-Q91)/365.25,1))</f>
        <v/>
      </c>
      <c r="S91" s="13">
        <f>IFERROR(VLOOKUP(O91,Assumptions!$A$7:$F$11,2,FALSE),0.25)</f>
        <v/>
      </c>
      <c r="T91" s="14">
        <f>IF(O91="A",MAX(1,IFERROR(VLOOKUP(O91,Assumptions!$A$7:$F$11,3,FALSE),3)+IFERROR(VLOOKUP(O91,Assumptions!$A$7:$F$11,4,FALSE),8)/2-MAX(0,IF(R91="",0,R91)-IFERROR(VLOOKUP(O91,Assumptions!$A$7:$F$11,5,FALSE),1.5))),IFERROR(VLOOKUP(O91,Assumptions!$A$7:$F$11,5,FALSE),2.5)+IFERROR(VLOOKUP(O91,Assumptions!$A$7:$F$11,3,FALSE),3)+IFERROR(VLOOKUP(O91,Assumptions!$A$7:$F$11,4,FALSE),8)/2)</f>
        <v/>
      </c>
      <c r="U91" s="15">
        <f>M91*S91/(1+Assumptions!$B$3)^T91</f>
        <v/>
      </c>
      <c r="V91" s="11">
        <f>IF(M91=0,"",ROUND(U91/M91*100,1))</f>
        <v/>
      </c>
      <c r="W91" s="16">
        <f>U91*Assumptions!$B$4</f>
        <v/>
      </c>
      <c r="X91" s="11">
        <f>IF(M91=0,"",ROUND(W91/M91*100,1))</f>
        <v/>
      </c>
      <c r="Y91" t="inlineStr">
        <is>
          <t>SOJAL COMERCIAL AGRICOLA LTDA e OUTROS</t>
        </is>
      </c>
      <c r="Z91" t="inlineStr">
        <is>
          <t>0804401-51.2025.8.14.0039</t>
        </is>
      </c>
      <c r="AA91" t="inlineStr">
        <is>
          <t>TJPA</t>
        </is>
      </c>
      <c r="AB91" t="inlineStr">
        <is>
          <t>lrflideres.com.br</t>
        </is>
      </c>
      <c r="AC91" t="inlineStr">
        <is>
          <t>FERNANDO JOAO PREZZOTTO</t>
        </is>
      </c>
      <c r="AD91" t="inlineStr">
        <is>
          <t>Sócio-Administrador</t>
        </is>
      </c>
      <c r="AE91" t="inlineStr">
        <is>
          <t>(49) 3441-8200</t>
        </is>
      </c>
      <c r="AF91" t="inlineStr"/>
      <c r="AG91" t="inlineStr"/>
      <c r="AH91" t="inlineStr">
        <is>
          <t>SC</t>
        </is>
      </c>
      <c r="AI91" t="inlineStr">
        <is>
          <t>CHAPECO</t>
        </is>
      </c>
      <c r="AJ91" t="inlineStr">
        <is>
          <t>Produção de sementes certificadas, exceto de forrageiras para pasto</t>
        </is>
      </c>
      <c r="AK91" t="inlineStr">
        <is>
          <t>DEMAIS</t>
        </is>
      </c>
      <c r="AL91" t="inlineStr">
        <is>
          <t>ATIVA</t>
        </is>
      </c>
      <c r="AM91" s="17" t="inlineStr">
        <is>
          <t>https://lrflideres.com.br/wp-content/plugins/download-attachments/includes/download.php?id=6879</t>
        </is>
      </c>
      <c r="AN91" s="18" t="inlineStr">
        <is>
          <t>p2 r7</t>
        </is>
      </c>
      <c r="AO91" s="18" t="inlineStr">
        <is>
          <t>p2: R$ 2.037.616,99</t>
        </is>
      </c>
      <c r="AP91" s="18" t="inlineStr">
        <is>
          <t>AJ_LIST</t>
        </is>
      </c>
      <c r="AQ91" s="18" t="inlineStr">
        <is>
          <t>2026-01-15</t>
        </is>
      </c>
      <c r="AR91" s="18" t="inlineStr">
        <is>
          <t>OK</t>
        </is>
      </c>
      <c r="AS91" s="18" t="inlineStr">
        <is>
          <t>ROWS:p2r7</t>
        </is>
      </c>
      <c r="AT91" s="18" t="inlineStr">
        <is>
          <t>c56751547323</t>
        </is>
      </c>
    </row>
    <row r="92">
      <c r="A92" s="9" t="n">
        <v>91</v>
      </c>
      <c r="B92" s="9" t="inlineStr">
        <is>
          <t>NEW</t>
        </is>
      </c>
      <c r="C92" s="9" t="inlineStr"/>
      <c r="D92" s="9" t="n">
        <v>0</v>
      </c>
      <c r="E92" s="9" t="inlineStr"/>
      <c r="F92" s="9" t="inlineStr"/>
      <c r="G92" s="9" t="inlineStr"/>
      <c r="H92" s="9" t="inlineStr"/>
      <c r="I92" t="inlineStr">
        <is>
          <t>FERTILIZANTES TOCANTINS S.A</t>
        </is>
      </c>
      <c r="J92" t="inlineStr">
        <is>
          <t>FERTILIZANTES TOCANTINS S.A</t>
        </is>
      </c>
      <c r="K92" t="inlineStr">
        <is>
          <t>05571228</t>
        </is>
      </c>
      <c r="L92" t="inlineStr">
        <is>
          <t>05571228000155</t>
        </is>
      </c>
      <c r="M92" s="10" t="n">
        <v>2016948.56</v>
      </c>
      <c r="N92" t="n">
        <v>1</v>
      </c>
      <c r="O92" s="11" t="inlineStr">
        <is>
          <t>B</t>
        </is>
      </c>
      <c r="P92" s="11" t="inlineStr">
        <is>
          <t>ACTIVE</t>
        </is>
      </c>
      <c r="Q92" s="12" t="n">
        <v>45845</v>
      </c>
      <c r="R92" s="11">
        <f>IF(Q92="","",ROUND((TODAY()-Q92)/365.25,1))</f>
        <v/>
      </c>
      <c r="S92" s="13">
        <f>IFERROR(VLOOKUP(O92,Assumptions!$A$7:$F$11,2,FALSE),0.25)</f>
        <v/>
      </c>
      <c r="T92" s="14">
        <f>IF(O92="A",MAX(1,IFERROR(VLOOKUP(O92,Assumptions!$A$7:$F$11,3,FALSE),3)+IFERROR(VLOOKUP(O92,Assumptions!$A$7:$F$11,4,FALSE),8)/2-MAX(0,IF(R92="",0,R92)-IFERROR(VLOOKUP(O92,Assumptions!$A$7:$F$11,5,FALSE),1.5))),IFERROR(VLOOKUP(O92,Assumptions!$A$7:$F$11,5,FALSE),2.5)+IFERROR(VLOOKUP(O92,Assumptions!$A$7:$F$11,3,FALSE),3)+IFERROR(VLOOKUP(O92,Assumptions!$A$7:$F$11,4,FALSE),8)/2)</f>
        <v/>
      </c>
      <c r="U92" s="15">
        <f>M92*S92/(1+Assumptions!$B$3)^T92</f>
        <v/>
      </c>
      <c r="V92" s="11">
        <f>IF(M92=0,"",ROUND(U92/M92*100,1))</f>
        <v/>
      </c>
      <c r="W92" s="16">
        <f>U92*Assumptions!$B$4</f>
        <v/>
      </c>
      <c r="X92" s="11">
        <f>IF(M92=0,"",ROUND(W92/M92*100,1))</f>
        <v/>
      </c>
      <c r="Y92" t="inlineStr">
        <is>
          <t>SOJAL COMERCIAL AGRICOLA LTDA e OUTROS</t>
        </is>
      </c>
      <c r="Z92" t="inlineStr">
        <is>
          <t>0804401-51.2025.8.14.0039</t>
        </is>
      </c>
      <c r="AA92" t="inlineStr">
        <is>
          <t>TJPA</t>
        </is>
      </c>
      <c r="AB92" t="inlineStr">
        <is>
          <t>lrflideres.com.br</t>
        </is>
      </c>
      <c r="AC92" t="inlineStr">
        <is>
          <t>DMITRY CHERNYKH</t>
        </is>
      </c>
      <c r="AD92" t="inlineStr">
        <is>
          <t>Presidente</t>
        </is>
      </c>
      <c r="AE92" t="inlineStr">
        <is>
          <t>(62) 3414-6300</t>
        </is>
      </c>
      <c r="AF92" t="inlineStr"/>
      <c r="AG92" t="inlineStr"/>
      <c r="AH92" t="inlineStr">
        <is>
          <t>TO</t>
        </is>
      </c>
      <c r="AI92" t="inlineStr">
        <is>
          <t>PORTO NACIONAL</t>
        </is>
      </c>
      <c r="AJ92" t="inlineStr">
        <is>
          <t>Fabricação de adubos e fertilizantes, exceto organo-minerais</t>
        </is>
      </c>
      <c r="AK92" t="inlineStr">
        <is>
          <t>DEMAIS</t>
        </is>
      </c>
      <c r="AL92" t="inlineStr">
        <is>
          <t>ATIVA</t>
        </is>
      </c>
      <c r="AM92" s="17" t="inlineStr">
        <is>
          <t>https://lrflideres.com.br/wp-content/plugins/download-attachments/includes/download.php?id=6879</t>
        </is>
      </c>
      <c r="AN92" s="18" t="inlineStr">
        <is>
          <t>p2 r1</t>
        </is>
      </c>
      <c r="AO92" s="18" t="inlineStr">
        <is>
          <t>p2: R$ 2.016.948,56</t>
        </is>
      </c>
      <c r="AP92" s="18" t="inlineStr">
        <is>
          <t>AJ_LIST</t>
        </is>
      </c>
      <c r="AQ92" s="18" t="inlineStr">
        <is>
          <t>2026-01-15</t>
        </is>
      </c>
      <c r="AR92" s="18" t="inlineStr">
        <is>
          <t>OK</t>
        </is>
      </c>
      <c r="AS92" s="18" t="inlineStr">
        <is>
          <t>ROWS:p2r1</t>
        </is>
      </c>
      <c r="AT92" s="18" t="inlineStr">
        <is>
          <t>c56751547323</t>
        </is>
      </c>
    </row>
    <row r="93">
      <c r="A93" s="9" t="n">
        <v>92</v>
      </c>
      <c r="B93" s="9" t="inlineStr">
        <is>
          <t>NEW</t>
        </is>
      </c>
      <c r="C93" s="9" t="inlineStr"/>
      <c r="D93" s="9" t="n">
        <v>0</v>
      </c>
      <c r="E93" s="9" t="inlineStr"/>
      <c r="F93" s="9" t="inlineStr"/>
      <c r="G93" s="9" t="inlineStr"/>
      <c r="H93" s="9" t="inlineStr"/>
      <c r="I93" t="inlineStr">
        <is>
          <t>STRATURA ASFALTOS LTDA.</t>
        </is>
      </c>
      <c r="J93" t="inlineStr">
        <is>
          <t>Stratura Asfaltos S/A</t>
        </is>
      </c>
      <c r="K93" t="inlineStr">
        <is>
          <t>59128553</t>
        </is>
      </c>
      <c r="L93" t="inlineStr">
        <is>
          <t>59128553000177</t>
        </is>
      </c>
      <c r="M93" s="10" t="n">
        <v>2010640.78</v>
      </c>
      <c r="N93" t="n">
        <v>1</v>
      </c>
      <c r="O93" s="11" t="inlineStr">
        <is>
          <t>B</t>
        </is>
      </c>
      <c r="P93" s="11" t="inlineStr"/>
      <c r="Q93" s="12" t="n">
        <v>45756</v>
      </c>
      <c r="R93" s="11">
        <f>IF(Q93="","",ROUND((TODAY()-Q93)/365.25,1))</f>
        <v/>
      </c>
      <c r="S93" s="13">
        <f>IFERROR(VLOOKUP(O93,Assumptions!$A$7:$F$11,2,FALSE),0.25)</f>
        <v/>
      </c>
      <c r="T93" s="14">
        <f>IF(O93="A",MAX(1,IFERROR(VLOOKUP(O93,Assumptions!$A$7:$F$11,3,FALSE),3)+IFERROR(VLOOKUP(O93,Assumptions!$A$7:$F$11,4,FALSE),8)/2-MAX(0,IF(R93="",0,R93)-IFERROR(VLOOKUP(O93,Assumptions!$A$7:$F$11,5,FALSE),1.5))),IFERROR(VLOOKUP(O93,Assumptions!$A$7:$F$11,5,FALSE),2.5)+IFERROR(VLOOKUP(O93,Assumptions!$A$7:$F$11,3,FALSE),3)+IFERROR(VLOOKUP(O93,Assumptions!$A$7:$F$11,4,FALSE),8)/2)</f>
        <v/>
      </c>
      <c r="U93" s="15">
        <f>M93*S93/(1+Assumptions!$B$3)^T93</f>
        <v/>
      </c>
      <c r="V93" s="11">
        <f>IF(M93=0,"",ROUND(U93/M93*100,1))</f>
        <v/>
      </c>
      <c r="W93" s="16">
        <f>U93*Assumptions!$B$4</f>
        <v/>
      </c>
      <c r="X93" s="11">
        <f>IF(M93=0,"",ROUND(W93/M93*100,1))</f>
        <v/>
      </c>
      <c r="Y93" t="inlineStr">
        <is>
          <t>GRUPO EGESA (EGESA ENG S.A, EGESUR PART E EMP S.A, MATRIX INFRA LTDA, BEMVIVER ENG AMBIENTAL E SERV LTDA, DKF CONST E EMP LTDA, EGEPEL LTDA, ETR ASSESSORIA EMP E PART LTDA, MVT ENG E SERV LTDA, PARQUES DO VALE LTDA, ELMO RIBEIRO E ANA RIBEIRO)</t>
        </is>
      </c>
      <c r="Z93" t="inlineStr">
        <is>
          <t>5088952-81.2025.8.13.0024</t>
        </is>
      </c>
      <c r="AA93" t="inlineStr">
        <is>
          <t>TJMG</t>
        </is>
      </c>
      <c r="AB93" t="inlineStr">
        <is>
          <t>scalzilliaj.com.br</t>
        </is>
      </c>
      <c r="AC93" t="inlineStr">
        <is>
          <t>CARLOS ALBERTO DE AQUINO PINHEIRO JUNIOR</t>
        </is>
      </c>
      <c r="AD93" t="inlineStr">
        <is>
          <t>Administrador</t>
        </is>
      </c>
      <c r="AE93" t="inlineStr">
        <is>
          <t>(11) 3513-4260</t>
        </is>
      </c>
      <c r="AF93" t="inlineStr"/>
      <c r="AG93" t="inlineStr"/>
      <c r="AH93" t="inlineStr">
        <is>
          <t>SP</t>
        </is>
      </c>
      <c r="AI93" t="inlineStr">
        <is>
          <t>SAO PAULO</t>
        </is>
      </c>
      <c r="AJ93" t="inlineStr">
        <is>
          <t>Serviços combinados de escritório e apoio administrativo</t>
        </is>
      </c>
      <c r="AK93" t="inlineStr">
        <is>
          <t>DEMAIS</t>
        </is>
      </c>
      <c r="AL93" t="inlineStr">
        <is>
          <t>ATIVA</t>
        </is>
      </c>
      <c r="AM93" s="17" t="inlineStr">
        <is>
          <t>https://scalzilliaj.com.br/sgc/download.php?file=files/processo_documento/processo_documento09514021082025_1_.pdf&amp;nome=04 - Relação de credores das Recuperandas</t>
        </is>
      </c>
      <c r="AN93" s="18" t="inlineStr">
        <is>
          <t>p73 r13</t>
        </is>
      </c>
      <c r="AO93" s="18" t="inlineStr">
        <is>
          <t>p73: R$ 2.010.640,78</t>
        </is>
      </c>
      <c r="AP93" s="18" t="inlineStr">
        <is>
          <t>DEBTOR_LIST</t>
        </is>
      </c>
      <c r="AQ93" s="18" t="inlineStr"/>
      <c r="AR93" s="18" t="inlineStr">
        <is>
          <t>OK</t>
        </is>
      </c>
      <c r="AS93" s="18" t="inlineStr">
        <is>
          <t>ROWS:p73r13 VALUE_COL:Valor_Atualizado CASE_NUMBER_CORRECTED CASE_FROM_PORTAL</t>
        </is>
      </c>
      <c r="AT93" s="18" t="inlineStr">
        <is>
          <t>24ed98480a57</t>
        </is>
      </c>
    </row>
    <row r="94">
      <c r="A94" s="9" t="n">
        <v>93</v>
      </c>
      <c r="B94" s="9" t="inlineStr">
        <is>
          <t>NEW</t>
        </is>
      </c>
      <c r="C94" s="9" t="inlineStr"/>
      <c r="D94" s="9" t="n">
        <v>0</v>
      </c>
      <c r="E94" s="9" t="inlineStr"/>
      <c r="F94" s="9" t="inlineStr"/>
      <c r="G94" s="9" t="inlineStr"/>
      <c r="H94" s="9" t="inlineStr"/>
      <c r="I94" t="inlineStr">
        <is>
          <t>REICHENBACH EQUIPAMENTOS INDUSTRIA E COMERCIO LTDA</t>
        </is>
      </c>
      <c r="J94" t="inlineStr">
        <is>
          <t>REICHENBACH EQUIP IND.COM. LTDA</t>
        </is>
      </c>
      <c r="K94" t="inlineStr">
        <is>
          <t>71799001</t>
        </is>
      </c>
      <c r="L94" t="inlineStr">
        <is>
          <t>71799001000196</t>
        </is>
      </c>
      <c r="M94" s="10" t="n">
        <v>2002544.34</v>
      </c>
      <c r="N94" t="n">
        <v>1</v>
      </c>
      <c r="O94" s="11" t="inlineStr">
        <is>
          <t>C</t>
        </is>
      </c>
      <c r="P94" s="11" t="inlineStr">
        <is>
          <t>ACTIVE</t>
        </is>
      </c>
      <c r="Q94" s="12" t="n">
        <v>45068</v>
      </c>
      <c r="R94" s="11">
        <f>IF(Q94="","",ROUND((TODAY()-Q94)/365.25,1))</f>
        <v/>
      </c>
      <c r="S94" s="13">
        <f>IFERROR(VLOOKUP(O94,Assumptions!$A$7:$F$11,2,FALSE),0.25)</f>
        <v/>
      </c>
      <c r="T94" s="14">
        <f>IF(O94="A",MAX(1,IFERROR(VLOOKUP(O94,Assumptions!$A$7:$F$11,3,FALSE),3)+IFERROR(VLOOKUP(O94,Assumptions!$A$7:$F$11,4,FALSE),8)/2-MAX(0,IF(R94="",0,R94)-IFERROR(VLOOKUP(O94,Assumptions!$A$7:$F$11,5,FALSE),1.5))),IFERROR(VLOOKUP(O94,Assumptions!$A$7:$F$11,5,FALSE),2.5)+IFERROR(VLOOKUP(O94,Assumptions!$A$7:$F$11,3,FALSE),3)+IFERROR(VLOOKUP(O94,Assumptions!$A$7:$F$11,4,FALSE),8)/2)</f>
        <v/>
      </c>
      <c r="U94" s="15">
        <f>M94*S94/(1+Assumptions!$B$3)^T94</f>
        <v/>
      </c>
      <c r="V94" s="11">
        <f>IF(M94=0,"",ROUND(U94/M94*100,1))</f>
        <v/>
      </c>
      <c r="W94" s="16">
        <f>U94*Assumptions!$B$4</f>
        <v/>
      </c>
      <c r="X94" s="11">
        <f>IF(M94=0,"",ROUND(W94/M94*100,1))</f>
        <v/>
      </c>
      <c r="Y94" t="inlineStr">
        <is>
          <t>Grupo Conduscabos</t>
        </is>
      </c>
      <c r="Z94" t="inlineStr">
        <is>
          <t>8005129-09.2023.8.05.0039</t>
        </is>
      </c>
      <c r="AA94" t="inlineStr">
        <is>
          <t>TJBA</t>
        </is>
      </c>
      <c r="AB94" t="inlineStr">
        <is>
          <t>assistjud.com.br</t>
        </is>
      </c>
      <c r="AC94" t="inlineStr">
        <is>
          <t>ALLAN WERNER REICHENBACH</t>
        </is>
      </c>
      <c r="AD94" t="inlineStr">
        <is>
          <t>Sócio-Administrador</t>
        </is>
      </c>
      <c r="AE94" t="inlineStr">
        <is>
          <t>(11) 4181-5054</t>
        </is>
      </c>
      <c r="AF94" t="inlineStr"/>
      <c r="AG94" t="inlineStr"/>
      <c r="AH94" t="inlineStr">
        <is>
          <t>SP</t>
        </is>
      </c>
      <c r="AI94" t="inlineStr">
        <is>
          <t>CARAPICUIBA</t>
        </is>
      </c>
      <c r="AJ94" t="inlineStr">
        <is>
          <t>Fabricação de outras máquinas e equipamentos de uso geral não especificados anteriormente, peças e acessórios</t>
        </is>
      </c>
      <c r="AK94" t="inlineStr">
        <is>
          <t>DEMAIS</t>
        </is>
      </c>
      <c r="AL94" t="inlineStr">
        <is>
          <t>ATIVA</t>
        </is>
      </c>
      <c r="AM94" s="17" t="inlineStr">
        <is>
          <t>https://assistjud.com.br/wp-content/uploads/elementor/forms/65098c80a5824.pdf</t>
        </is>
      </c>
      <c r="AN94" s="18" t="inlineStr">
        <is>
          <t>p19 r6</t>
        </is>
      </c>
      <c r="AO94" s="18" t="inlineStr">
        <is>
          <t>p19: R$ 2.002.544,34</t>
        </is>
      </c>
      <c r="AP94" s="18" t="inlineStr">
        <is>
          <t>AJ_LIST</t>
        </is>
      </c>
      <c r="AQ94" s="18" t="inlineStr">
        <is>
          <t>2023-09-18</t>
        </is>
      </c>
      <c r="AR94" s="18" t="inlineStr">
        <is>
          <t>OK_NO_TOTALS</t>
        </is>
      </c>
      <c r="AS94" s="18" t="inlineStr">
        <is>
          <t>ROWS:p19r6 UNRECONCILED_SOURCE</t>
        </is>
      </c>
      <c r="AT94" s="18" t="inlineStr">
        <is>
          <t>a0ae32a59c29</t>
        </is>
      </c>
    </row>
    <row r="95">
      <c r="A95" s="9" t="n">
        <v>94</v>
      </c>
      <c r="B95" s="9" t="inlineStr">
        <is>
          <t>NEW</t>
        </is>
      </c>
      <c r="C95" s="9" t="inlineStr"/>
      <c r="D95" s="9" t="n">
        <v>0</v>
      </c>
      <c r="E95" s="9" t="inlineStr"/>
      <c r="F95" s="9" t="inlineStr"/>
      <c r="G95" s="9" t="inlineStr"/>
      <c r="H95" s="9" t="inlineStr"/>
      <c r="I95" t="inlineStr">
        <is>
          <t>AGRO INDUSTRIA NUTRIHORTO LTDA</t>
        </is>
      </c>
      <c r="J95" t="inlineStr">
        <is>
          <t>AGRO INDUSTRIA NUTRIHORTO LTDA</t>
        </is>
      </c>
      <c r="K95" t="inlineStr">
        <is>
          <t>29652131</t>
        </is>
      </c>
      <c r="L95" t="inlineStr">
        <is>
          <t>29652131000135</t>
        </is>
      </c>
      <c r="M95" s="10" t="n">
        <v>1993755.38</v>
      </c>
      <c r="N95" t="n">
        <v>1</v>
      </c>
      <c r="O95" s="11" t="inlineStr">
        <is>
          <t>C</t>
        </is>
      </c>
      <c r="P95" s="11" t="inlineStr">
        <is>
          <t>ACTIVE</t>
        </is>
      </c>
      <c r="Q95" s="12" t="n">
        <v>45264</v>
      </c>
      <c r="R95" s="11">
        <f>IF(Q95="","",ROUND((TODAY()-Q95)/365.25,1))</f>
        <v/>
      </c>
      <c r="S95" s="13">
        <f>IFERROR(VLOOKUP(O95,Assumptions!$A$7:$F$11,2,FALSE),0.25)</f>
        <v/>
      </c>
      <c r="T95" s="14">
        <f>IF(O95="A",MAX(1,IFERROR(VLOOKUP(O95,Assumptions!$A$7:$F$11,3,FALSE),3)+IFERROR(VLOOKUP(O95,Assumptions!$A$7:$F$11,4,FALSE),8)/2-MAX(0,IF(R95="",0,R95)-IFERROR(VLOOKUP(O95,Assumptions!$A$7:$F$11,5,FALSE),1.5))),IFERROR(VLOOKUP(O95,Assumptions!$A$7:$F$11,5,FALSE),2.5)+IFERROR(VLOOKUP(O95,Assumptions!$A$7:$F$11,3,FALSE),3)+IFERROR(VLOOKUP(O95,Assumptions!$A$7:$F$11,4,FALSE),8)/2)</f>
        <v/>
      </c>
      <c r="U95" s="15">
        <f>M95*S95/(1+Assumptions!$B$3)^T95</f>
        <v/>
      </c>
      <c r="V95" s="11">
        <f>IF(M95=0,"",ROUND(U95/M95*100,1))</f>
        <v/>
      </c>
      <c r="W95" s="16">
        <f>U95*Assumptions!$B$4</f>
        <v/>
      </c>
      <c r="X95" s="11">
        <f>IF(M95=0,"",ROUND(W95/M95*100,1))</f>
        <v/>
      </c>
      <c r="Y95" t="inlineStr">
        <is>
          <t>Alto Uruguai Indústria e Comércio de Óleos Ltda</t>
        </is>
      </c>
      <c r="Z95" t="inlineStr">
        <is>
          <t>5012743-51.2023.8.24.0019</t>
        </is>
      </c>
      <c r="AA95" t="inlineStr">
        <is>
          <t>TJSC</t>
        </is>
      </c>
      <c r="AB95" t="inlineStr">
        <is>
          <t>ajruiz.com.br</t>
        </is>
      </c>
      <c r="AC95" t="inlineStr">
        <is>
          <t>OZEDIO ZUCA JUNIOR</t>
        </is>
      </c>
      <c r="AD95" t="inlineStr">
        <is>
          <t>Sócio-Administrador</t>
        </is>
      </c>
      <c r="AE95" t="inlineStr">
        <is>
          <t>(19) 3199-1270</t>
        </is>
      </c>
      <c r="AF95" t="inlineStr"/>
      <c r="AG95" t="inlineStr"/>
      <c r="AH95" t="inlineStr">
        <is>
          <t>SP</t>
        </is>
      </c>
      <c r="AI95" t="inlineStr">
        <is>
          <t>MONTE MOR</t>
        </is>
      </c>
      <c r="AJ95" t="inlineStr">
        <is>
          <t>Recuperação de materiais não especificados anteriormente</t>
        </is>
      </c>
      <c r="AK95" t="inlineStr">
        <is>
          <t>DEMAIS</t>
        </is>
      </c>
      <c r="AL95" t="inlineStr">
        <is>
          <t>ATIVA</t>
        </is>
      </c>
      <c r="AM95" s="17" t="inlineStr">
        <is>
          <t>https://ajruiz.com.br/sites/default/files/public/arquivos-processos/2026-06/alto_uruguai_qgc_junho.2026.pdf</t>
        </is>
      </c>
      <c r="AN95" s="18" t="inlineStr">
        <is>
          <t>p1 r3</t>
        </is>
      </c>
      <c r="AO95" s="18" t="inlineStr">
        <is>
          <t>p1: R$ 1.993.755,38</t>
        </is>
      </c>
      <c r="AP95" s="18" t="inlineStr">
        <is>
          <t>UNKNOWN</t>
        </is>
      </c>
      <c r="AQ95" s="18" t="inlineStr"/>
      <c r="AR95" s="18" t="inlineStr">
        <is>
          <t>OK</t>
        </is>
      </c>
      <c r="AS95" s="18" t="inlineStr">
        <is>
          <t>ROWS:p1r3 VALUE_COL:Valor_Do_Crédito</t>
        </is>
      </c>
      <c r="AT95" s="18" t="inlineStr">
        <is>
          <t>75336e98f447</t>
        </is>
      </c>
    </row>
    <row r="96">
      <c r="A96" s="9" t="n">
        <v>95</v>
      </c>
      <c r="B96" s="9" t="inlineStr">
        <is>
          <t>NEW</t>
        </is>
      </c>
      <c r="C96" s="9" t="inlineStr"/>
      <c r="D96" s="9" t="n">
        <v>0</v>
      </c>
      <c r="E96" s="9" t="inlineStr"/>
      <c r="F96" s="9" t="inlineStr"/>
      <c r="G96" s="9" t="inlineStr"/>
      <c r="H96" s="9" t="inlineStr"/>
      <c r="I96" t="inlineStr">
        <is>
          <t>PROTEGO BRASIL VALVULAS E CORTA CHAMAS LTDA</t>
        </is>
      </c>
      <c r="J96" t="inlineStr">
        <is>
          <t>Protego Brasil Válvulas e Corya Chamas Ltda</t>
        </is>
      </c>
      <c r="K96" t="inlineStr">
        <is>
          <t>14325185</t>
        </is>
      </c>
      <c r="L96" t="inlineStr">
        <is>
          <t>14325185000119</t>
        </is>
      </c>
      <c r="M96" s="10" t="n">
        <v>1955788.12</v>
      </c>
      <c r="N96" t="n">
        <v>1</v>
      </c>
      <c r="O96" s="11" t="inlineStr">
        <is>
          <t>B</t>
        </is>
      </c>
      <c r="P96" s="11" t="inlineStr"/>
      <c r="Q96" s="12" t="n">
        <v>45756</v>
      </c>
      <c r="R96" s="11">
        <f>IF(Q96="","",ROUND((TODAY()-Q96)/365.25,1))</f>
        <v/>
      </c>
      <c r="S96" s="13">
        <f>IFERROR(VLOOKUP(O96,Assumptions!$A$7:$F$11,2,FALSE),0.25)</f>
        <v/>
      </c>
      <c r="T96" s="14">
        <f>IF(O96="A",MAX(1,IFERROR(VLOOKUP(O96,Assumptions!$A$7:$F$11,3,FALSE),3)+IFERROR(VLOOKUP(O96,Assumptions!$A$7:$F$11,4,FALSE),8)/2-MAX(0,IF(R96="",0,R96)-IFERROR(VLOOKUP(O96,Assumptions!$A$7:$F$11,5,FALSE),1.5))),IFERROR(VLOOKUP(O96,Assumptions!$A$7:$F$11,5,FALSE),2.5)+IFERROR(VLOOKUP(O96,Assumptions!$A$7:$F$11,3,FALSE),3)+IFERROR(VLOOKUP(O96,Assumptions!$A$7:$F$11,4,FALSE),8)/2)</f>
        <v/>
      </c>
      <c r="U96" s="15">
        <f>M96*S96/(1+Assumptions!$B$3)^T96</f>
        <v/>
      </c>
      <c r="V96" s="11">
        <f>IF(M96=0,"",ROUND(U96/M96*100,1))</f>
        <v/>
      </c>
      <c r="W96" s="16">
        <f>U96*Assumptions!$B$4</f>
        <v/>
      </c>
      <c r="X96" s="11">
        <f>IF(M96=0,"",ROUND(W96/M96*100,1))</f>
        <v/>
      </c>
      <c r="Y96" t="inlineStr">
        <is>
          <t>GRUPO EGESA (EGESA ENG S.A, EGESUR PART E EMP S.A, MATRIX INFRA LTDA, BEMVIVER ENG AMBIENTAL E SERV LTDA, DKF CONST E EMP LTDA, EGEPEL LTDA, ETR ASSESSORIA EMP E PART LTDA, MVT ENG E SERV LTDA, PARQUES DO VALE LTDA, ELMO RIBEIRO E ANA RIBEIRO)</t>
        </is>
      </c>
      <c r="Z96" t="inlineStr">
        <is>
          <t>5088952-81.2025.8.13.0024</t>
        </is>
      </c>
      <c r="AA96" t="inlineStr">
        <is>
          <t>TJMG</t>
        </is>
      </c>
      <c r="AB96" t="inlineStr">
        <is>
          <t>scalzilliaj.com.br</t>
        </is>
      </c>
      <c r="AC96" t="inlineStr">
        <is>
          <t>FRANCISCO HUBERTUS GROSSE SIESTRUP</t>
        </is>
      </c>
      <c r="AD96" t="inlineStr">
        <is>
          <t>Sócio-Administrador</t>
        </is>
      </c>
      <c r="AE96" t="inlineStr">
        <is>
          <t>(21) 2112-5700</t>
        </is>
      </c>
      <c r="AF96" t="inlineStr">
        <is>
          <t>(21) 2112-5717</t>
        </is>
      </c>
      <c r="AG96" t="inlineStr"/>
      <c r="AH96" t="inlineStr">
        <is>
          <t>RJ</t>
        </is>
      </c>
      <c r="AI96" t="inlineStr">
        <is>
          <t>RIO DE JANEIRO</t>
        </is>
      </c>
      <c r="AJ96" t="inlineStr">
        <is>
          <t>Fabricação de válvulas, registros e dispositivos semelhantes, peças e acessórios</t>
        </is>
      </c>
      <c r="AK96" t="inlineStr">
        <is>
          <t>DEMAIS</t>
        </is>
      </c>
      <c r="AL96" t="inlineStr">
        <is>
          <t>ATIVA</t>
        </is>
      </c>
      <c r="AM96" s="17" t="inlineStr">
        <is>
          <t>https://scalzilliaj.com.br/sgc/download.php?file=files/processo_documento/processo_documento09514021082025_1_.pdf&amp;nome=04 - Relação de credores das Recuperandas</t>
        </is>
      </c>
      <c r="AN96" s="18" t="inlineStr">
        <is>
          <t>p71 r18</t>
        </is>
      </c>
      <c r="AO96" s="18" t="inlineStr">
        <is>
          <t>p71: R$ 1.955.788,12</t>
        </is>
      </c>
      <c r="AP96" s="18" t="inlineStr">
        <is>
          <t>DEBTOR_LIST</t>
        </is>
      </c>
      <c r="AQ96" s="18" t="inlineStr"/>
      <c r="AR96" s="18" t="inlineStr">
        <is>
          <t>OK</t>
        </is>
      </c>
      <c r="AS96" s="18" t="inlineStr">
        <is>
          <t>ROWS:p71r18 VALUE_COL:Valor_Atualizado CASE_NUMBER_CORRECTED CASE_FROM_PORTAL</t>
        </is>
      </c>
      <c r="AT96" s="18" t="inlineStr">
        <is>
          <t>24ed98480a57</t>
        </is>
      </c>
    </row>
    <row r="97">
      <c r="A97" s="9" t="n">
        <v>96</v>
      </c>
      <c r="B97" s="9" t="inlineStr">
        <is>
          <t>NEW</t>
        </is>
      </c>
      <c r="C97" s="9" t="inlineStr"/>
      <c r="D97" s="9" t="n">
        <v>0</v>
      </c>
      <c r="E97" s="9" t="inlineStr"/>
      <c r="F97" s="9" t="inlineStr"/>
      <c r="G97" s="9" t="inlineStr"/>
      <c r="H97" s="9" t="inlineStr"/>
      <c r="I97" t="inlineStr">
        <is>
          <t>GEOLAB INDUSTRIA FARMACEUTICA S/A</t>
        </is>
      </c>
      <c r="J97" t="inlineStr">
        <is>
          <t>Geolab Industria Farmaceutica S/A</t>
        </is>
      </c>
      <c r="K97" t="inlineStr">
        <is>
          <t>03485572</t>
        </is>
      </c>
      <c r="L97" t="inlineStr">
        <is>
          <t>03485572000104</t>
        </is>
      </c>
      <c r="M97" s="10" t="n">
        <v>1918724.72</v>
      </c>
      <c r="N97" t="n">
        <v>1</v>
      </c>
      <c r="O97" s="11" t="inlineStr">
        <is>
          <t>C</t>
        </is>
      </c>
      <c r="P97" s="11" t="inlineStr">
        <is>
          <t>ACTIVE</t>
        </is>
      </c>
      <c r="Q97" s="12" t="n">
        <v>44987</v>
      </c>
      <c r="R97" s="11">
        <f>IF(Q97="","",ROUND((TODAY()-Q97)/365.25,1))</f>
        <v/>
      </c>
      <c r="S97" s="13">
        <f>IFERROR(VLOOKUP(O97,Assumptions!$A$7:$F$11,2,FALSE),0.25)</f>
        <v/>
      </c>
      <c r="T97" s="14">
        <f>IF(O97="A",MAX(1,IFERROR(VLOOKUP(O97,Assumptions!$A$7:$F$11,3,FALSE),3)+IFERROR(VLOOKUP(O97,Assumptions!$A$7:$F$11,4,FALSE),8)/2-MAX(0,IF(R97="",0,R97)-IFERROR(VLOOKUP(O97,Assumptions!$A$7:$F$11,5,FALSE),1.5))),IFERROR(VLOOKUP(O97,Assumptions!$A$7:$F$11,5,FALSE),2.5)+IFERROR(VLOOKUP(O97,Assumptions!$A$7:$F$11,3,FALSE),3)+IFERROR(VLOOKUP(O97,Assumptions!$A$7:$F$11,4,FALSE),8)/2)</f>
        <v/>
      </c>
      <c r="U97" s="15">
        <f>M97*S97/(1+Assumptions!$B$3)^T97</f>
        <v/>
      </c>
      <c r="V97" s="11">
        <f>IF(M97=0,"",ROUND(U97/M97*100,1))</f>
        <v/>
      </c>
      <c r="W97" s="16">
        <f>U97*Assumptions!$B$4</f>
        <v/>
      </c>
      <c r="X97" s="11">
        <f>IF(M97=0,"",ROUND(W97/M97*100,1))</f>
        <v/>
      </c>
      <c r="Y97" t="inlineStr">
        <is>
          <t>GRUPO DP4</t>
        </is>
      </c>
      <c r="Z97" t="inlineStr">
        <is>
          <t>0005010-98.2023.8.16.0001</t>
        </is>
      </c>
      <c r="AA97" t="inlineStr">
        <is>
          <t>TJPR</t>
        </is>
      </c>
      <c r="AB97" t="inlineStr">
        <is>
          <t>marquesadmjudicial.com.br</t>
        </is>
      </c>
      <c r="AC97" t="inlineStr">
        <is>
          <t>GEORGES HAJJAR JUNIOR</t>
        </is>
      </c>
      <c r="AD97" t="inlineStr">
        <is>
          <t>Presidente</t>
        </is>
      </c>
      <c r="AE97" t="inlineStr">
        <is>
          <t>(62) 4015-4000</t>
        </is>
      </c>
      <c r="AF97" t="inlineStr"/>
      <c r="AG97" t="inlineStr"/>
      <c r="AH97" t="inlineStr">
        <is>
          <t>GO</t>
        </is>
      </c>
      <c r="AI97" t="inlineStr">
        <is>
          <t>ANAPOLIS</t>
        </is>
      </c>
      <c r="AJ97" t="inlineStr">
        <is>
          <t>Fabricação de medicamentos alopáticos para uso humano</t>
        </is>
      </c>
      <c r="AK97" t="inlineStr">
        <is>
          <t>DEMAIS</t>
        </is>
      </c>
      <c r="AL97" t="inlineStr">
        <is>
          <t>ATIVA</t>
        </is>
      </c>
      <c r="AM97" s="17" t="inlineStr">
        <is>
          <t>https://marquesadmjudicial.com.br/sgc/download.php?file=files/processo_documento/processo_documento15293208032024_1_.pdf&amp;nome=Relação Nominal de Credores da AJ-Sintética</t>
        </is>
      </c>
      <c r="AN97" s="18" t="inlineStr">
        <is>
          <t>p26 r3</t>
        </is>
      </c>
      <c r="AO97" s="18" t="inlineStr">
        <is>
          <t>p26: R$ 1.918.724,72</t>
        </is>
      </c>
      <c r="AP97" s="18" t="inlineStr">
        <is>
          <t>AJ_LIST</t>
        </is>
      </c>
      <c r="AQ97" s="18" t="inlineStr">
        <is>
          <t>2023-03-02</t>
        </is>
      </c>
      <c r="AR97" s="18" t="inlineStr">
        <is>
          <t>QUARANTINED</t>
        </is>
      </c>
      <c r="AS97" s="18" t="inlineStr">
        <is>
          <t>PARTIAL_DOC_CLASS_III_RECONCILED ROWS:p26r3</t>
        </is>
      </c>
      <c r="AT97" s="18" t="inlineStr">
        <is>
          <t>b465a5d11eec</t>
        </is>
      </c>
    </row>
    <row r="98">
      <c r="A98" s="9" t="n">
        <v>97</v>
      </c>
      <c r="B98" s="9" t="inlineStr">
        <is>
          <t>NEW</t>
        </is>
      </c>
      <c r="C98" s="9" t="inlineStr"/>
      <c r="D98" s="9" t="n">
        <v>0</v>
      </c>
      <c r="E98" s="9" t="inlineStr"/>
      <c r="F98" s="9" t="inlineStr"/>
      <c r="G98" s="9" t="inlineStr"/>
      <c r="H98" s="9" t="inlineStr"/>
      <c r="I98" t="inlineStr">
        <is>
          <t>OLINDA INDUSTRIA E COMERCIO DE COLCHOES LTDA</t>
        </is>
      </c>
      <c r="J98" t="inlineStr">
        <is>
          <t>02.748.323/0001-93</t>
        </is>
      </c>
      <c r="K98" t="inlineStr">
        <is>
          <t>02748323</t>
        </is>
      </c>
      <c r="L98" t="inlineStr">
        <is>
          <t>02748323000193</t>
        </is>
      </c>
      <c r="M98" s="10" t="n">
        <v>1902217.38</v>
      </c>
      <c r="N98" t="n">
        <v>1</v>
      </c>
      <c r="O98" s="11" t="inlineStr">
        <is>
          <t>C</t>
        </is>
      </c>
      <c r="P98" s="11" t="inlineStr">
        <is>
          <t>ACTIVE</t>
        </is>
      </c>
      <c r="Q98" s="12" t="n">
        <v>43894</v>
      </c>
      <c r="R98" s="11">
        <f>IF(Q98="","",ROUND((TODAY()-Q98)/365.25,1))</f>
        <v/>
      </c>
      <c r="S98" s="13">
        <f>IFERROR(VLOOKUP(O98,Assumptions!$A$7:$F$11,2,FALSE),0.25)</f>
        <v/>
      </c>
      <c r="T98" s="14">
        <f>IF(O98="A",MAX(1,IFERROR(VLOOKUP(O98,Assumptions!$A$7:$F$11,3,FALSE),3)+IFERROR(VLOOKUP(O98,Assumptions!$A$7:$F$11,4,FALSE),8)/2-MAX(0,IF(R98="",0,R98)-IFERROR(VLOOKUP(O98,Assumptions!$A$7:$F$11,5,FALSE),1.5))),IFERROR(VLOOKUP(O98,Assumptions!$A$7:$F$11,5,FALSE),2.5)+IFERROR(VLOOKUP(O98,Assumptions!$A$7:$F$11,3,FALSE),3)+IFERROR(VLOOKUP(O98,Assumptions!$A$7:$F$11,4,FALSE),8)/2)</f>
        <v/>
      </c>
      <c r="U98" s="15">
        <f>M98*S98/(1+Assumptions!$B$3)^T98</f>
        <v/>
      </c>
      <c r="V98" s="11">
        <f>IF(M98=0,"",ROUND(U98/M98*100,1))</f>
        <v/>
      </c>
      <c r="W98" s="16">
        <f>U98*Assumptions!$B$4</f>
        <v/>
      </c>
      <c r="X98" s="11">
        <f>IF(M98=0,"",ROUND(W98/M98*100,1))</f>
        <v/>
      </c>
      <c r="Y98" t="inlineStr">
        <is>
          <t>CREDIMÓVEIS NOVOLAR LTDA.</t>
        </is>
      </c>
      <c r="Z98" t="inlineStr">
        <is>
          <t>0007565-40.2020.8.17.2370</t>
        </is>
      </c>
      <c r="AA98" t="inlineStr">
        <is>
          <t>TJPE</t>
        </is>
      </c>
      <c r="AB98" t="inlineStr">
        <is>
          <t>recuperacaojudicial.squarespace.com</t>
        </is>
      </c>
      <c r="AC98" t="inlineStr">
        <is>
          <t>ALEXANDRE MACEDO DIAS</t>
        </is>
      </c>
      <c r="AD98" t="inlineStr">
        <is>
          <t>Administrador</t>
        </is>
      </c>
      <c r="AE98" t="inlineStr">
        <is>
          <t>(81) 2128-5000</t>
        </is>
      </c>
      <c r="AF98" t="inlineStr"/>
      <c r="AG98" t="inlineStr"/>
      <c r="AH98" t="inlineStr">
        <is>
          <t>PE</t>
        </is>
      </c>
      <c r="AI98" t="inlineStr">
        <is>
          <t>OLINDA</t>
        </is>
      </c>
      <c r="AJ98" t="inlineStr">
        <is>
          <t>Fabricação de colchões</t>
        </is>
      </c>
      <c r="AK98" t="inlineStr">
        <is>
          <t>DEMAIS</t>
        </is>
      </c>
      <c r="AL98" t="inlineStr">
        <is>
          <t>ATIVA</t>
        </is>
      </c>
      <c r="AM98" s="17" t="inlineStr">
        <is>
          <t>https://recuperacaojudicial.squarespace.com/s/RJ-Credimoveis-QGC-01082025.pdf</t>
        </is>
      </c>
      <c r="AN98" s="18" t="inlineStr">
        <is>
          <t>p16 r36</t>
        </is>
      </c>
      <c r="AO98" s="18" t="inlineStr">
        <is>
          <t>p16: R$ 1.902.217,38</t>
        </is>
      </c>
      <c r="AP98" s="18" t="inlineStr">
        <is>
          <t>QGC</t>
        </is>
      </c>
      <c r="AQ98" s="18" t="inlineStr">
        <is>
          <t>2026-01-28</t>
        </is>
      </c>
      <c r="AR98" s="18" t="inlineStr">
        <is>
          <t>OK</t>
        </is>
      </c>
      <c r="AS98" s="18" t="inlineStr">
        <is>
          <t>ROWS:p16r36</t>
        </is>
      </c>
      <c r="AT98" s="18" t="inlineStr">
        <is>
          <t>849d4fe5adce</t>
        </is>
      </c>
    </row>
    <row r="99">
      <c r="A99" s="9" t="n">
        <v>98</v>
      </c>
      <c r="B99" s="9" t="inlineStr">
        <is>
          <t>NEW</t>
        </is>
      </c>
      <c r="C99" s="9" t="inlineStr"/>
      <c r="D99" s="9" t="n">
        <v>0</v>
      </c>
      <c r="E99" s="9" t="inlineStr"/>
      <c r="F99" s="9" t="inlineStr"/>
      <c r="G99" s="9" t="inlineStr"/>
      <c r="H99" s="9" t="inlineStr"/>
      <c r="I99" t="inlineStr">
        <is>
          <t>BECK ACOS MANUFATURADOS LTDA</t>
        </is>
      </c>
      <c r="J99" t="inlineStr">
        <is>
          <t>Beck Aços Manufaturados Ltda</t>
        </is>
      </c>
      <c r="K99" t="inlineStr">
        <is>
          <t>07651282</t>
        </is>
      </c>
      <c r="L99" t="inlineStr">
        <is>
          <t>07651282000136</t>
        </is>
      </c>
      <c r="M99" s="10" t="n">
        <v>1886828.69</v>
      </c>
      <c r="N99" t="n">
        <v>1</v>
      </c>
      <c r="O99" s="11" t="inlineStr">
        <is>
          <t>B</t>
        </is>
      </c>
      <c r="P99" s="11" t="inlineStr"/>
      <c r="Q99" s="12" t="n">
        <v>45756</v>
      </c>
      <c r="R99" s="11">
        <f>IF(Q99="","",ROUND((TODAY()-Q99)/365.25,1))</f>
        <v/>
      </c>
      <c r="S99" s="13">
        <f>IFERROR(VLOOKUP(O99,Assumptions!$A$7:$F$11,2,FALSE),0.25)</f>
        <v/>
      </c>
      <c r="T99" s="14">
        <f>IF(O99="A",MAX(1,IFERROR(VLOOKUP(O99,Assumptions!$A$7:$F$11,3,FALSE),3)+IFERROR(VLOOKUP(O99,Assumptions!$A$7:$F$11,4,FALSE),8)/2-MAX(0,IF(R99="",0,R99)-IFERROR(VLOOKUP(O99,Assumptions!$A$7:$F$11,5,FALSE),1.5))),IFERROR(VLOOKUP(O99,Assumptions!$A$7:$F$11,5,FALSE),2.5)+IFERROR(VLOOKUP(O99,Assumptions!$A$7:$F$11,3,FALSE),3)+IFERROR(VLOOKUP(O99,Assumptions!$A$7:$F$11,4,FALSE),8)/2)</f>
        <v/>
      </c>
      <c r="U99" s="15">
        <f>M99*S99/(1+Assumptions!$B$3)^T99</f>
        <v/>
      </c>
      <c r="V99" s="11">
        <f>IF(M99=0,"",ROUND(U99/M99*100,1))</f>
        <v/>
      </c>
      <c r="W99" s="16">
        <f>U99*Assumptions!$B$4</f>
        <v/>
      </c>
      <c r="X99" s="11">
        <f>IF(M99=0,"",ROUND(W99/M99*100,1))</f>
        <v/>
      </c>
      <c r="Y99" t="inlineStr">
        <is>
          <t>GRUPO EGESA (EGESA ENG S.A, EGESUR PART E EMP S.A, MATRIX INFRA LTDA, BEMVIVER ENG AMBIENTAL E SERV LTDA, DKF CONST E EMP LTDA, EGEPEL LTDA, ETR ASSESSORIA EMP E PART LTDA, MVT ENG E SERV LTDA, PARQUES DO VALE LTDA, ELMO RIBEIRO E ANA RIBEIRO)</t>
        </is>
      </c>
      <c r="Z99" t="inlineStr">
        <is>
          <t>5088952-81.2025.8.13.0024</t>
        </is>
      </c>
      <c r="AA99" t="inlineStr">
        <is>
          <t>TJMG</t>
        </is>
      </c>
      <c r="AB99" t="inlineStr">
        <is>
          <t>scalzilliaj.com.br</t>
        </is>
      </c>
      <c r="AC99" t="inlineStr">
        <is>
          <t>JOSE MAURICIO COSTA DE ALMEIDA</t>
        </is>
      </c>
      <c r="AD99" t="inlineStr">
        <is>
          <t>Sócio-Administrador</t>
        </is>
      </c>
      <c r="AE99" t="inlineStr">
        <is>
          <t>(31) 8896-6044</t>
        </is>
      </c>
      <c r="AF99" t="inlineStr">
        <is>
          <t>(31) 8896-7549</t>
        </is>
      </c>
      <c r="AG99" t="inlineStr"/>
      <c r="AH99" t="inlineStr">
        <is>
          <t>MG</t>
        </is>
      </c>
      <c r="AI99" t="inlineStr">
        <is>
          <t>VESPASIANO</t>
        </is>
      </c>
      <c r="AJ99" t="inlineStr">
        <is>
          <t>Fabricação de estruturas metálicas</t>
        </is>
      </c>
      <c r="AK99" t="inlineStr">
        <is>
          <t>DEMAIS</t>
        </is>
      </c>
      <c r="AL99" t="inlineStr">
        <is>
          <t>ATIVA</t>
        </is>
      </c>
      <c r="AM99" s="17" t="inlineStr">
        <is>
          <t>https://scalzilliaj.com.br/sgc/download.php?file=files/processo_documento/processo_documento09514021082025_1_.pdf&amp;nome=04 - Relação de credores das Recuperandas</t>
        </is>
      </c>
      <c r="AN99" s="18" t="inlineStr">
        <is>
          <t>p63 r7</t>
        </is>
      </c>
      <c r="AO99" s="18" t="inlineStr">
        <is>
          <t>p63: R$ 1.886.828,69</t>
        </is>
      </c>
      <c r="AP99" s="18" t="inlineStr">
        <is>
          <t>DEBTOR_LIST</t>
        </is>
      </c>
      <c r="AQ99" s="18" t="inlineStr"/>
      <c r="AR99" s="18" t="inlineStr">
        <is>
          <t>OK</t>
        </is>
      </c>
      <c r="AS99" s="18" t="inlineStr">
        <is>
          <t>ROWS:p63r7 VALUE_COL:Valor_Atualizado CASE_NUMBER_CORRECTED CASE_FROM_PORTAL</t>
        </is>
      </c>
      <c r="AT99" s="18" t="inlineStr">
        <is>
          <t>24ed98480a57</t>
        </is>
      </c>
    </row>
    <row r="100">
      <c r="A100" s="9" t="n">
        <v>99</v>
      </c>
      <c r="B100" s="9" t="inlineStr">
        <is>
          <t>NEW</t>
        </is>
      </c>
      <c r="C100" s="9" t="inlineStr"/>
      <c r="D100" s="9" t="n">
        <v>0</v>
      </c>
      <c r="E100" s="9" t="inlineStr"/>
      <c r="F100" s="9" t="inlineStr"/>
      <c r="G100" s="9" t="inlineStr"/>
      <c r="H100" s="9" t="inlineStr"/>
      <c r="I100" t="inlineStr">
        <is>
          <t>SOCIEDADE ESPORTIVA PALMEIRAS</t>
        </is>
      </c>
      <c r="J100" t="inlineStr">
        <is>
          <t>SOCIEDADE ESPORTIVA PALMEIRAS, CPF/CNPJ Nº</t>
        </is>
      </c>
      <c r="K100" t="inlineStr">
        <is>
          <t>61750345</t>
        </is>
      </c>
      <c r="L100" t="inlineStr">
        <is>
          <t>61750345000157</t>
        </is>
      </c>
      <c r="M100" s="10" t="n">
        <v>1867912.24</v>
      </c>
      <c r="N100" t="n">
        <v>1</v>
      </c>
      <c r="O100" s="11" t="inlineStr">
        <is>
          <t>C</t>
        </is>
      </c>
      <c r="P100" s="11" t="inlineStr">
        <is>
          <t>ACTIVE</t>
        </is>
      </c>
      <c r="Q100" s="12" t="n">
        <v>44966</v>
      </c>
      <c r="R100" s="11">
        <f>IF(Q100="","",ROUND((TODAY()-Q100)/365.25,1))</f>
        <v/>
      </c>
      <c r="S100" s="13">
        <f>IFERROR(VLOOKUP(O100,Assumptions!$A$7:$F$11,2,FALSE),0.25)</f>
        <v/>
      </c>
      <c r="T100" s="14">
        <f>IF(O100="A",MAX(1,IFERROR(VLOOKUP(O100,Assumptions!$A$7:$F$11,3,FALSE),3)+IFERROR(VLOOKUP(O100,Assumptions!$A$7:$F$11,4,FALSE),8)/2-MAX(0,IF(R100="",0,R100)-IFERROR(VLOOKUP(O100,Assumptions!$A$7:$F$11,5,FALSE),1.5))),IFERROR(VLOOKUP(O100,Assumptions!$A$7:$F$11,5,FALSE),2.5)+IFERROR(VLOOKUP(O100,Assumptions!$A$7:$F$11,3,FALSE),3)+IFERROR(VLOOKUP(O100,Assumptions!$A$7:$F$11,4,FALSE),8)/2)</f>
        <v/>
      </c>
      <c r="U100" s="15">
        <f>M100*S100/(1+Assumptions!$B$3)^T100</f>
        <v/>
      </c>
      <c r="V100" s="11">
        <f>IF(M100=0,"",ROUND(U100/M100*100,1))</f>
        <v/>
      </c>
      <c r="W100" s="16">
        <f>U100*Assumptions!$B$4</f>
        <v/>
      </c>
      <c r="X100" s="11">
        <f>IF(M100=0,"",ROUND(W100/M100*100,1))</f>
        <v/>
      </c>
      <c r="Y100" t="inlineStr">
        <is>
          <t>CLUBE NÁUTICO CAPIBARIBE</t>
        </is>
      </c>
      <c r="Z100" t="inlineStr">
        <is>
          <t>0011283-80.2023.8.17.2001</t>
        </is>
      </c>
      <c r="AA100" t="inlineStr">
        <is>
          <t>TJPE</t>
        </is>
      </c>
      <c r="AB100" t="inlineStr">
        <is>
          <t>lrflideres.com.br</t>
        </is>
      </c>
      <c r="AC100" t="inlineStr">
        <is>
          <t>LEILA MEJDALANI PEREIRA</t>
        </is>
      </c>
      <c r="AD100" t="inlineStr">
        <is>
          <t>Presidente</t>
        </is>
      </c>
      <c r="AE100" t="inlineStr">
        <is>
          <t>(11) 3874-6500</t>
        </is>
      </c>
      <c r="AF100" t="inlineStr">
        <is>
          <t>(11) 3679-7859</t>
        </is>
      </c>
      <c r="AG100" t="inlineStr"/>
      <c r="AH100" t="inlineStr">
        <is>
          <t>SP</t>
        </is>
      </c>
      <c r="AI100" t="inlineStr">
        <is>
          <t>SAO PAULO</t>
        </is>
      </c>
      <c r="AJ100" t="inlineStr">
        <is>
          <t>Clubes sociais, esportivos e similares</t>
        </is>
      </c>
      <c r="AK100" t="inlineStr">
        <is>
          <t>DEMAIS</t>
        </is>
      </c>
      <c r="AL100" t="inlineStr">
        <is>
          <t>ATIVA</t>
        </is>
      </c>
      <c r="AM100" s="17" t="inlineStr">
        <is>
          <t>https://lrflideres.com.br/wp-content/plugins/download-attachments/includes/download.php?id=5589</t>
        </is>
      </c>
      <c r="AN100" s="18" t="inlineStr">
        <is>
          <t>p12 r43</t>
        </is>
      </c>
      <c r="AO100" s="18" t="inlineStr">
        <is>
          <t>p12: R$ 1.867.912,24</t>
        </is>
      </c>
      <c r="AP100" s="18" t="inlineStr">
        <is>
          <t>AJ_LIST</t>
        </is>
      </c>
      <c r="AQ100" s="18" t="inlineStr">
        <is>
          <t>2023-11-27</t>
        </is>
      </c>
      <c r="AR100" s="18" t="inlineStr">
        <is>
          <t>QUARANTINED</t>
        </is>
      </c>
      <c r="AS100" s="18" t="inlineStr">
        <is>
          <t>PARTIAL_DOC_CLASS_III_RECONCILED ROWS:p12r43</t>
        </is>
      </c>
      <c r="AT100" s="18" t="inlineStr">
        <is>
          <t>677be5783c06</t>
        </is>
      </c>
    </row>
    <row r="101">
      <c r="A101" s="9" t="n">
        <v>100</v>
      </c>
      <c r="B101" s="9" t="inlineStr">
        <is>
          <t>NEW</t>
        </is>
      </c>
      <c r="C101" s="9" t="inlineStr"/>
      <c r="D101" s="9" t="n">
        <v>0</v>
      </c>
      <c r="E101" s="9" t="inlineStr"/>
      <c r="F101" s="9" t="inlineStr"/>
      <c r="G101" s="9" t="inlineStr"/>
      <c r="H101" s="9" t="inlineStr"/>
      <c r="I101" t="inlineStr">
        <is>
          <t>TECELAGEM JOLITEX LTDA</t>
        </is>
      </c>
      <c r="J101" t="inlineStr">
        <is>
          <t>TECELAGEM JOLITEX LTDA.</t>
        </is>
      </c>
      <c r="K101" t="inlineStr">
        <is>
          <t>43237254</t>
        </is>
      </c>
      <c r="L101" t="inlineStr">
        <is>
          <t>43237254000130</t>
        </is>
      </c>
      <c r="M101" s="10" t="n">
        <v>1828397.18</v>
      </c>
      <c r="N101" t="n">
        <v>1</v>
      </c>
      <c r="O101" s="11" t="inlineStr">
        <is>
          <t>D</t>
        </is>
      </c>
      <c r="P101" s="11" t="inlineStr"/>
      <c r="Q101" s="12" t="inlineStr"/>
      <c r="R101" s="11">
        <f>IF(Q101="","",ROUND((TODAY()-Q101)/365.25,1))</f>
        <v/>
      </c>
      <c r="S101" s="13">
        <f>IFERROR(VLOOKUP(O101,Assumptions!$A$7:$F$11,2,FALSE),0.25)</f>
        <v/>
      </c>
      <c r="T101" s="14">
        <f>IF(O101="A",MAX(1,IFERROR(VLOOKUP(O101,Assumptions!$A$7:$F$11,3,FALSE),3)+IFERROR(VLOOKUP(O101,Assumptions!$A$7:$F$11,4,FALSE),8)/2-MAX(0,IF(R101="",0,R101)-IFERROR(VLOOKUP(O101,Assumptions!$A$7:$F$11,5,FALSE),1.5))),IFERROR(VLOOKUP(O101,Assumptions!$A$7:$F$11,5,FALSE),2.5)+IFERROR(VLOOKUP(O101,Assumptions!$A$7:$F$11,3,FALSE),3)+IFERROR(VLOOKUP(O101,Assumptions!$A$7:$F$11,4,FALSE),8)/2)</f>
        <v/>
      </c>
      <c r="U101" s="15">
        <f>M101*S101/(1+Assumptions!$B$3)^T101</f>
        <v/>
      </c>
      <c r="V101" s="11">
        <f>IF(M101=0,"",ROUND(U101/M101*100,1))</f>
        <v/>
      </c>
      <c r="W101" s="16">
        <f>U101*Assumptions!$B$4</f>
        <v/>
      </c>
      <c r="X101" s="11">
        <f>IF(M101=0,"",ROUND(W101/M101*100,1))</f>
        <v/>
      </c>
      <c r="Y101" t="inlineStr">
        <is>
          <t>Mannes</t>
        </is>
      </c>
      <c r="Z101" t="inlineStr">
        <is>
          <t>0005010-50.2013.8.24.0026</t>
        </is>
      </c>
      <c r="AA101" t="inlineStr"/>
      <c r="AB101" t="inlineStr">
        <is>
          <t>administradorajudicialgs.com.br</t>
        </is>
      </c>
      <c r="AC101" t="inlineStr">
        <is>
          <t>LYGIA MARIA OLIVEIRA DAVID</t>
        </is>
      </c>
      <c r="AD101" t="inlineStr">
        <is>
          <t>Sócio-Administrador</t>
        </is>
      </c>
      <c r="AE101" t="inlineStr"/>
      <c r="AF101" t="inlineStr"/>
      <c r="AG101" t="inlineStr"/>
      <c r="AH101" t="inlineStr">
        <is>
          <t>SP</t>
        </is>
      </c>
      <c r="AI101" t="inlineStr">
        <is>
          <t>AMERICANA</t>
        </is>
      </c>
      <c r="AJ101" t="inlineStr">
        <is>
          <t>Preparação e fiação de fibras de algodão</t>
        </is>
      </c>
      <c r="AK101" t="inlineStr">
        <is>
          <t>DEMAIS</t>
        </is>
      </c>
      <c r="AL101" t="inlineStr">
        <is>
          <t>ATIVA</t>
        </is>
      </c>
      <c r="AM101" s="17" t="inlineStr">
        <is>
          <t>https://administradorajudicialgs.com.br/wp-content/uploads/2024/12/relacao-de-credores-da-falida.pdf</t>
        </is>
      </c>
      <c r="AN101" s="18" t="inlineStr">
        <is>
          <t>p18 r50</t>
        </is>
      </c>
      <c r="AO101" s="18" t="inlineStr">
        <is>
          <t>p18: R$ 1.828.397,18</t>
        </is>
      </c>
      <c r="AP101" s="18" t="inlineStr">
        <is>
          <t>OTHER</t>
        </is>
      </c>
      <c r="AQ101" s="18" t="inlineStr">
        <is>
          <t>2025-03-25</t>
        </is>
      </c>
      <c r="AR101" s="18" t="inlineStr">
        <is>
          <t>OK_NO_TOTALS</t>
        </is>
      </c>
      <c r="AS101" s="18" t="inlineStr">
        <is>
          <t>ROWS:p18r50 UNRECONCILED_SOURCE CASE_NUMBER_CORRECTED</t>
        </is>
      </c>
      <c r="AT101" s="18" t="inlineStr">
        <is>
          <t>ea17ba43b261</t>
        </is>
      </c>
    </row>
    <row r="102">
      <c r="A102" s="9" t="n">
        <v>101</v>
      </c>
      <c r="B102" s="9" t="inlineStr">
        <is>
          <t>NEW</t>
        </is>
      </c>
      <c r="C102" s="9" t="inlineStr"/>
      <c r="D102" s="9" t="n">
        <v>0</v>
      </c>
      <c r="E102" s="9" t="inlineStr"/>
      <c r="F102" s="9" t="inlineStr"/>
      <c r="G102" s="9" t="inlineStr"/>
      <c r="H102" s="9" t="inlineStr"/>
      <c r="I102" t="inlineStr">
        <is>
          <t>B S DISTRIBUIDORA DE PRODUTOS DE HIGIENE LTDA</t>
        </is>
      </c>
      <c r="J102" t="inlineStr">
        <is>
          <t>BS Distribuidora de Produtos de Higiene Ltda</t>
        </is>
      </c>
      <c r="K102" t="inlineStr">
        <is>
          <t>43587344</t>
        </is>
      </c>
      <c r="L102" t="inlineStr">
        <is>
          <t>43587344000828</t>
        </is>
      </c>
      <c r="M102" s="10" t="n">
        <v>1819744.46</v>
      </c>
      <c r="N102" t="n">
        <v>1</v>
      </c>
      <c r="O102" s="11" t="inlineStr">
        <is>
          <t>C</t>
        </is>
      </c>
      <c r="P102" s="11" t="inlineStr">
        <is>
          <t>ACTIVE</t>
        </is>
      </c>
      <c r="Q102" s="12" t="n">
        <v>44987</v>
      </c>
      <c r="R102" s="11">
        <f>IF(Q102="","",ROUND((TODAY()-Q102)/365.25,1))</f>
        <v/>
      </c>
      <c r="S102" s="13">
        <f>IFERROR(VLOOKUP(O102,Assumptions!$A$7:$F$11,2,FALSE),0.25)</f>
        <v/>
      </c>
      <c r="T102" s="14">
        <f>IF(O102="A",MAX(1,IFERROR(VLOOKUP(O102,Assumptions!$A$7:$F$11,3,FALSE),3)+IFERROR(VLOOKUP(O102,Assumptions!$A$7:$F$11,4,FALSE),8)/2-MAX(0,IF(R102="",0,R102)-IFERROR(VLOOKUP(O102,Assumptions!$A$7:$F$11,5,FALSE),1.5))),IFERROR(VLOOKUP(O102,Assumptions!$A$7:$F$11,5,FALSE),2.5)+IFERROR(VLOOKUP(O102,Assumptions!$A$7:$F$11,3,FALSE),3)+IFERROR(VLOOKUP(O102,Assumptions!$A$7:$F$11,4,FALSE),8)/2)</f>
        <v/>
      </c>
      <c r="U102" s="15">
        <f>M102*S102/(1+Assumptions!$B$3)^T102</f>
        <v/>
      </c>
      <c r="V102" s="11">
        <f>IF(M102=0,"",ROUND(U102/M102*100,1))</f>
        <v/>
      </c>
      <c r="W102" s="16">
        <f>U102*Assumptions!$B$4</f>
        <v/>
      </c>
      <c r="X102" s="11">
        <f>IF(M102=0,"",ROUND(W102/M102*100,1))</f>
        <v/>
      </c>
      <c r="Y102" t="inlineStr">
        <is>
          <t>GRUPO DP4</t>
        </is>
      </c>
      <c r="Z102" t="inlineStr">
        <is>
          <t>0005010-98.2023.8.16.0001</t>
        </is>
      </c>
      <c r="AA102" t="inlineStr">
        <is>
          <t>TJPR</t>
        </is>
      </c>
      <c r="AB102" t="inlineStr">
        <is>
          <t>marquesadmjudicial.com.br</t>
        </is>
      </c>
      <c r="AC102" t="inlineStr">
        <is>
          <t>ANA CAROLINA DE MORAES FRANZINE</t>
        </is>
      </c>
      <c r="AD102" t="inlineStr">
        <is>
          <t>Sócio-Administrador</t>
        </is>
      </c>
      <c r="AE102" t="inlineStr">
        <is>
          <t>(11) 5103-5350</t>
        </is>
      </c>
      <c r="AF102" t="inlineStr"/>
      <c r="AG102" t="inlineStr"/>
      <c r="AH102" t="inlineStr">
        <is>
          <t>SP</t>
        </is>
      </c>
      <c r="AI102" t="inlineStr">
        <is>
          <t>SAO PAULO</t>
        </is>
      </c>
      <c r="AJ102" t="inlineStr">
        <is>
          <t>Comércio atacadista de cosméticos e produtos de perfumaria</t>
        </is>
      </c>
      <c r="AK102" t="inlineStr">
        <is>
          <t>DEMAIS</t>
        </is>
      </c>
      <c r="AL102" t="inlineStr">
        <is>
          <t>ATIVA</t>
        </is>
      </c>
      <c r="AM102" s="17" t="inlineStr">
        <is>
          <t>https://marquesadmjudicial.com.br/sgc/download.php?file=files/processo_documento/processo_documento15293208032024_1_.pdf&amp;nome=Relação Nominal de Credores da AJ-Sintética</t>
        </is>
      </c>
      <c r="AN102" s="18" t="inlineStr">
        <is>
          <t>p20 r3</t>
        </is>
      </c>
      <c r="AO102" s="18" t="inlineStr">
        <is>
          <t>p20: R$ 1.819.744,46</t>
        </is>
      </c>
      <c r="AP102" s="18" t="inlineStr">
        <is>
          <t>AJ_LIST</t>
        </is>
      </c>
      <c r="AQ102" s="18" t="inlineStr">
        <is>
          <t>2023-03-02</t>
        </is>
      </c>
      <c r="AR102" s="18" t="inlineStr">
        <is>
          <t>QUARANTINED</t>
        </is>
      </c>
      <c r="AS102" s="18" t="inlineStr">
        <is>
          <t>PARTIAL_DOC_CLASS_III_RECONCILED ROWS:p20r3</t>
        </is>
      </c>
      <c r="AT102" s="18" t="inlineStr">
        <is>
          <t>b465a5d11eec</t>
        </is>
      </c>
    </row>
    <row r="103">
      <c r="A103" s="9" t="n">
        <v>102</v>
      </c>
      <c r="B103" s="9" t="inlineStr">
        <is>
          <t>NEW</t>
        </is>
      </c>
      <c r="C103" s="9" t="inlineStr"/>
      <c r="D103" s="9" t="n">
        <v>0</v>
      </c>
      <c r="E103" s="9" t="inlineStr"/>
      <c r="F103" s="9" t="inlineStr"/>
      <c r="G103" s="9" t="inlineStr"/>
      <c r="H103" s="9" t="inlineStr"/>
      <c r="I103" t="inlineStr">
        <is>
          <t>FMC QUIMICA DO BRASIL LTDA.</t>
        </is>
      </c>
      <c r="J103" t="inlineStr">
        <is>
          <t>FMC QUÍMICA DO BRASIL LTDA</t>
        </is>
      </c>
      <c r="K103" t="inlineStr">
        <is>
          <t>04136367</t>
        </is>
      </c>
      <c r="L103" t="inlineStr">
        <is>
          <t>04136367000279</t>
        </is>
      </c>
      <c r="M103" s="10" t="n">
        <v>1785400</v>
      </c>
      <c r="N103" t="n">
        <v>1</v>
      </c>
      <c r="O103" s="11" t="inlineStr">
        <is>
          <t>B</t>
        </is>
      </c>
      <c r="P103" s="11" t="inlineStr">
        <is>
          <t>ACTIVE</t>
        </is>
      </c>
      <c r="Q103" s="12" t="n">
        <v>46030</v>
      </c>
      <c r="R103" s="11">
        <f>IF(Q103="","",ROUND((TODAY()-Q103)/365.25,1))</f>
        <v/>
      </c>
      <c r="S103" s="13">
        <f>IFERROR(VLOOKUP(O103,Assumptions!$A$7:$F$11,2,FALSE),0.25)</f>
        <v/>
      </c>
      <c r="T103" s="14">
        <f>IF(O103="A",MAX(1,IFERROR(VLOOKUP(O103,Assumptions!$A$7:$F$11,3,FALSE),3)+IFERROR(VLOOKUP(O103,Assumptions!$A$7:$F$11,4,FALSE),8)/2-MAX(0,IF(R103="",0,R103)-IFERROR(VLOOKUP(O103,Assumptions!$A$7:$F$11,5,FALSE),1.5))),IFERROR(VLOOKUP(O103,Assumptions!$A$7:$F$11,5,FALSE),2.5)+IFERROR(VLOOKUP(O103,Assumptions!$A$7:$F$11,3,FALSE),3)+IFERROR(VLOOKUP(O103,Assumptions!$A$7:$F$11,4,FALSE),8)/2)</f>
        <v/>
      </c>
      <c r="U103" s="15">
        <f>M103*S103/(1+Assumptions!$B$3)^T103</f>
        <v/>
      </c>
      <c r="V103" s="11">
        <f>IF(M103=0,"",ROUND(U103/M103*100,1))</f>
        <v/>
      </c>
      <c r="W103" s="16">
        <f>U103*Assumptions!$B$4</f>
        <v/>
      </c>
      <c r="X103" s="11">
        <f>IF(M103=0,"",ROUND(W103/M103*100,1))</f>
        <v/>
      </c>
      <c r="Y103" t="inlineStr">
        <is>
          <t>GRUPO FERRARI (ALEX, ALEXANDRE , ANDRIELLE FERRARI MANTELLI, ARCIR LUIS, ERICA SANTOS ASSIS LIMA, FERNANDO MANTELLI, IDELSI, TALITA LEITE SILVA, AGROPECUARIA FERRARI LTDA E FERRARI ARMAZENS GERAIS)</t>
        </is>
      </c>
      <c r="Z103" t="inlineStr">
        <is>
          <t>5011369-81.2026.8.09.0093</t>
        </is>
      </c>
      <c r="AA103" t="inlineStr">
        <is>
          <t>TJGO</t>
        </is>
      </c>
      <c r="AB103" t="inlineStr">
        <is>
          <t>scalzilliaj.com.br</t>
        </is>
      </c>
      <c r="AC103" t="inlineStr">
        <is>
          <t>FABIANA REGINA BUENO COIMBRA</t>
        </is>
      </c>
      <c r="AD103" t="inlineStr">
        <is>
          <t>Administrador</t>
        </is>
      </c>
      <c r="AE103" t="inlineStr">
        <is>
          <t>(19) 2042-4500</t>
        </is>
      </c>
      <c r="AF103" t="inlineStr"/>
      <c r="AG103" t="inlineStr"/>
      <c r="AH103" t="inlineStr">
        <is>
          <t>SP</t>
        </is>
      </c>
      <c r="AI103" t="inlineStr">
        <is>
          <t>CAMPINAS</t>
        </is>
      </c>
      <c r="AJ103" t="inlineStr">
        <is>
          <t>Comércio atacadista de alimentos para animais</t>
        </is>
      </c>
      <c r="AK103" t="inlineStr">
        <is>
          <t>DEMAIS</t>
        </is>
      </c>
      <c r="AL103" t="inlineStr">
        <is>
          <t>ATIVA</t>
        </is>
      </c>
      <c r="AM103" s="17" t="inlineStr">
        <is>
          <t>https://scalzilliaj.com.br/sgc/download.php?file=files/processo_documento/processo_documento11421222052026_1_.pdf&amp;nome=08. Lista de credores do edital do art. 52, §1º da LREF</t>
        </is>
      </c>
      <c r="AN103" s="18" t="inlineStr">
        <is>
          <t>p3 r10</t>
        </is>
      </c>
      <c r="AO103" s="18" t="inlineStr">
        <is>
          <t>p3: R$ 1.785.400,00</t>
        </is>
      </c>
      <c r="AP103" s="18" t="inlineStr">
        <is>
          <t>UNKNOWN</t>
        </is>
      </c>
      <c r="AQ103" s="18" t="inlineStr"/>
      <c r="AR103" s="18" t="inlineStr">
        <is>
          <t>OK_NO_TOTALS</t>
        </is>
      </c>
      <c r="AS103" s="18" t="inlineStr">
        <is>
          <t>ROWS:p3r10 UNRECONCILED_SOURCE</t>
        </is>
      </c>
      <c r="AT103" s="18" t="inlineStr">
        <is>
          <t>c536a2fa4da3</t>
        </is>
      </c>
    </row>
    <row r="104">
      <c r="A104" s="9" t="n">
        <v>103</v>
      </c>
      <c r="B104" s="9" t="inlineStr">
        <is>
          <t>NEW</t>
        </is>
      </c>
      <c r="C104" s="9" t="inlineStr"/>
      <c r="D104" s="9" t="n">
        <v>0</v>
      </c>
      <c r="E104" s="9" t="inlineStr"/>
      <c r="F104" s="9" t="inlineStr"/>
      <c r="G104" s="9" t="inlineStr"/>
      <c r="H104" s="9" t="inlineStr"/>
      <c r="I104" t="inlineStr">
        <is>
          <t>CAMBUCI S/A</t>
        </is>
      </c>
      <c r="J104" t="inlineStr">
        <is>
          <t>CAMBUCI S/A, CPF/CNPJ Nº</t>
        </is>
      </c>
      <c r="K104" t="inlineStr">
        <is>
          <t>61088894</t>
        </is>
      </c>
      <c r="L104" t="inlineStr">
        <is>
          <t>61088894000108</t>
        </is>
      </c>
      <c r="M104" s="10" t="n">
        <v>1782661.24</v>
      </c>
      <c r="N104" t="n">
        <v>1</v>
      </c>
      <c r="O104" s="11" t="inlineStr">
        <is>
          <t>C</t>
        </is>
      </c>
      <c r="P104" s="11" t="inlineStr">
        <is>
          <t>ACTIVE</t>
        </is>
      </c>
      <c r="Q104" s="12" t="n">
        <v>44966</v>
      </c>
      <c r="R104" s="11">
        <f>IF(Q104="","",ROUND((TODAY()-Q104)/365.25,1))</f>
        <v/>
      </c>
      <c r="S104" s="13">
        <f>IFERROR(VLOOKUP(O104,Assumptions!$A$7:$F$11,2,FALSE),0.25)</f>
        <v/>
      </c>
      <c r="T104" s="14">
        <f>IF(O104="A",MAX(1,IFERROR(VLOOKUP(O104,Assumptions!$A$7:$F$11,3,FALSE),3)+IFERROR(VLOOKUP(O104,Assumptions!$A$7:$F$11,4,FALSE),8)/2-MAX(0,IF(R104="",0,R104)-IFERROR(VLOOKUP(O104,Assumptions!$A$7:$F$11,5,FALSE),1.5))),IFERROR(VLOOKUP(O104,Assumptions!$A$7:$F$11,5,FALSE),2.5)+IFERROR(VLOOKUP(O104,Assumptions!$A$7:$F$11,3,FALSE),3)+IFERROR(VLOOKUP(O104,Assumptions!$A$7:$F$11,4,FALSE),8)/2)</f>
        <v/>
      </c>
      <c r="U104" s="15">
        <f>M104*S104/(1+Assumptions!$B$3)^T104</f>
        <v/>
      </c>
      <c r="V104" s="11">
        <f>IF(M104=0,"",ROUND(U104/M104*100,1))</f>
        <v/>
      </c>
      <c r="W104" s="16">
        <f>U104*Assumptions!$B$4</f>
        <v/>
      </c>
      <c r="X104" s="11">
        <f>IF(M104=0,"",ROUND(W104/M104*100,1))</f>
        <v/>
      </c>
      <c r="Y104" t="inlineStr">
        <is>
          <t>CLUBE NÁUTICO CAPIBARIBE</t>
        </is>
      </c>
      <c r="Z104" t="inlineStr">
        <is>
          <t>0011283-80.2023.8.17.2001</t>
        </is>
      </c>
      <c r="AA104" t="inlineStr">
        <is>
          <t>TJPE</t>
        </is>
      </c>
      <c r="AB104" t="inlineStr">
        <is>
          <t>lrflideres.com.br</t>
        </is>
      </c>
      <c r="AC104" t="inlineStr">
        <is>
          <t>ALEXANDRE SCHULER</t>
        </is>
      </c>
      <c r="AD104" t="inlineStr">
        <is>
          <t>Presidente</t>
        </is>
      </c>
      <c r="AE104" t="inlineStr">
        <is>
          <t>(11) 4713-9500</t>
        </is>
      </c>
      <c r="AF104" t="inlineStr"/>
      <c r="AG104" t="inlineStr"/>
      <c r="AH104" t="inlineStr">
        <is>
          <t>SP</t>
        </is>
      </c>
      <c r="AI104" t="inlineStr">
        <is>
          <t>SAO PAULO</t>
        </is>
      </c>
      <c r="AJ104" t="inlineStr">
        <is>
          <t>Fabricação de artefatos de couro não especificados anteriormente</t>
        </is>
      </c>
      <c r="AK104" t="inlineStr">
        <is>
          <t>DEMAIS</t>
        </is>
      </c>
      <c r="AL104" t="inlineStr">
        <is>
          <t>ATIVA</t>
        </is>
      </c>
      <c r="AM104" s="17" t="inlineStr">
        <is>
          <t>https://lrflideres.com.br/wp-content/plugins/download-attachments/includes/download.php?id=5589</t>
        </is>
      </c>
      <c r="AN104" s="18" t="inlineStr">
        <is>
          <t>p11 r68</t>
        </is>
      </c>
      <c r="AO104" s="18" t="inlineStr">
        <is>
          <t>p11: R$ 1.782.661,24</t>
        </is>
      </c>
      <c r="AP104" s="18" t="inlineStr">
        <is>
          <t>AJ_LIST</t>
        </is>
      </c>
      <c r="AQ104" s="18" t="inlineStr">
        <is>
          <t>2023-11-27</t>
        </is>
      </c>
      <c r="AR104" s="18" t="inlineStr">
        <is>
          <t>QUARANTINED</t>
        </is>
      </c>
      <c r="AS104" s="18" t="inlineStr">
        <is>
          <t>PARTIAL_DOC_CLASS_III_RECONCILED ROWS:p11r68</t>
        </is>
      </c>
      <c r="AT104" s="18" t="inlineStr">
        <is>
          <t>677be5783c06</t>
        </is>
      </c>
    </row>
    <row r="105">
      <c r="A105" s="9" t="n">
        <v>104</v>
      </c>
      <c r="B105" s="9" t="inlineStr">
        <is>
          <t>NEW</t>
        </is>
      </c>
      <c r="C105" s="9" t="inlineStr"/>
      <c r="D105" s="9" t="n">
        <v>0</v>
      </c>
      <c r="E105" s="9" t="inlineStr"/>
      <c r="F105" s="9" t="inlineStr"/>
      <c r="G105" s="9" t="inlineStr"/>
      <c r="H105" s="9" t="inlineStr"/>
      <c r="I105" t="inlineStr">
        <is>
          <t>COMERCIO E EXPORTACAO DE CEREAIS RIO ELIAS LTDA.</t>
        </is>
      </c>
      <c r="J105" t="inlineStr">
        <is>
          <t>2.25COMERCIO E EXPORTACAO DE CEREAIS RIO ELIAS LTDA</t>
        </is>
      </c>
      <c r="K105" t="inlineStr">
        <is>
          <t>05056082</t>
        </is>
      </c>
      <c r="L105" t="inlineStr">
        <is>
          <t>05056082000100</t>
        </is>
      </c>
      <c r="M105" s="10" t="n">
        <v>1771559.5</v>
      </c>
      <c r="N105" t="n">
        <v>1</v>
      </c>
      <c r="O105" s="11" t="inlineStr">
        <is>
          <t>B</t>
        </is>
      </c>
      <c r="P105" s="11" t="inlineStr">
        <is>
          <t>ACTIVE</t>
        </is>
      </c>
      <c r="Q105" s="12" t="n">
        <v>45534</v>
      </c>
      <c r="R105" s="11">
        <f>IF(Q105="","",ROUND((TODAY()-Q105)/365.25,1))</f>
        <v/>
      </c>
      <c r="S105" s="13">
        <f>IFERROR(VLOOKUP(O105,Assumptions!$A$7:$F$11,2,FALSE),0.25)</f>
        <v/>
      </c>
      <c r="T105" s="14">
        <f>IF(O105="A",MAX(1,IFERROR(VLOOKUP(O105,Assumptions!$A$7:$F$11,3,FALSE),3)+IFERROR(VLOOKUP(O105,Assumptions!$A$7:$F$11,4,FALSE),8)/2-MAX(0,IF(R105="",0,R105)-IFERROR(VLOOKUP(O105,Assumptions!$A$7:$F$11,5,FALSE),1.5))),IFERROR(VLOOKUP(O105,Assumptions!$A$7:$F$11,5,FALSE),2.5)+IFERROR(VLOOKUP(O105,Assumptions!$A$7:$F$11,3,FALSE),3)+IFERROR(VLOOKUP(O105,Assumptions!$A$7:$F$11,4,FALSE),8)/2)</f>
        <v/>
      </c>
      <c r="U105" s="15">
        <f>M105*S105/(1+Assumptions!$B$3)^T105</f>
        <v/>
      </c>
      <c r="V105" s="11">
        <f>IF(M105=0,"",ROUND(U105/M105*100,1))</f>
        <v/>
      </c>
      <c r="W105" s="16">
        <f>U105*Assumptions!$B$4</f>
        <v/>
      </c>
      <c r="X105" s="11">
        <f>IF(M105=0,"",ROUND(W105/M105*100,1))</f>
        <v/>
      </c>
      <c r="Y105" t="inlineStr">
        <is>
          <t>SUINOCULTURA KUNZLER</t>
        </is>
      </c>
      <c r="Z105" t="inlineStr">
        <is>
          <t>5009149-92.2024.8.24.0019</t>
        </is>
      </c>
      <c r="AA105" t="inlineStr">
        <is>
          <t>TJSC</t>
        </is>
      </c>
      <c r="AB105" t="inlineStr">
        <is>
          <t>rlg-aj.com.br</t>
        </is>
      </c>
      <c r="AC105" t="inlineStr">
        <is>
          <t>ALECIO MARCIO ANDREIS</t>
        </is>
      </c>
      <c r="AD105" t="inlineStr">
        <is>
          <t>Sócio-Administrador</t>
        </is>
      </c>
      <c r="AE105" t="inlineStr">
        <is>
          <t>(46) 3234-1344</t>
        </is>
      </c>
      <c r="AF105" t="inlineStr"/>
      <c r="AG105" t="inlineStr"/>
      <c r="AH105" t="inlineStr">
        <is>
          <t>PR</t>
        </is>
      </c>
      <c r="AI105" t="inlineStr">
        <is>
          <t>BOM SUCESSO DO SUL</t>
        </is>
      </c>
      <c r="AJ105" t="inlineStr">
        <is>
          <t>Comércio atacadista de cereais e leguminosas beneficiados</t>
        </is>
      </c>
      <c r="AK105" t="inlineStr">
        <is>
          <t>DEMAIS</t>
        </is>
      </c>
      <c r="AL105" t="inlineStr">
        <is>
          <t>ATIVA</t>
        </is>
      </c>
      <c r="AM105" s="17" t="inlineStr">
        <is>
          <t>https://rlg-aj.com.br/wp-content/uploads/2024/11/07.-Relação-de-credores.pdf</t>
        </is>
      </c>
      <c r="AN105" s="18" t="inlineStr">
        <is>
          <t>p1 r31</t>
        </is>
      </c>
      <c r="AO105" s="18" t="inlineStr">
        <is>
          <t>p1: R$ 1.771.559,50</t>
        </is>
      </c>
      <c r="AP105" s="18" t="inlineStr">
        <is>
          <t>UNKNOWN</t>
        </is>
      </c>
      <c r="AQ105" s="18" t="inlineStr"/>
      <c r="AR105" s="18" t="inlineStr">
        <is>
          <t>OK_NO_TOTALS</t>
        </is>
      </c>
      <c r="AS105" s="18" t="inlineStr">
        <is>
          <t>ROWS:p1r31 UNRECONCILED_SOURCE</t>
        </is>
      </c>
      <c r="AT105" s="18" t="inlineStr">
        <is>
          <t>a62ac8ee0458</t>
        </is>
      </c>
    </row>
    <row r="106">
      <c r="A106" s="9" t="n">
        <v>105</v>
      </c>
      <c r="B106" s="9" t="inlineStr">
        <is>
          <t>NEW</t>
        </is>
      </c>
      <c r="C106" s="9" t="inlineStr"/>
      <c r="D106" s="9" t="n">
        <v>0</v>
      </c>
      <c r="E106" s="9" t="inlineStr"/>
      <c r="F106" s="9" t="inlineStr"/>
      <c r="G106" s="9" t="inlineStr"/>
      <c r="H106" s="9" t="inlineStr"/>
      <c r="I106" t="inlineStr">
        <is>
          <t>PARQUE DAS ESTRELAS EMPREENDIMENTOS IMOBILIARIOS LTDA</t>
        </is>
      </c>
      <c r="J106" t="inlineStr">
        <is>
          <t>Parque Das Estrelas Empreendimentos Imobiliarios</t>
        </is>
      </c>
      <c r="K106" t="inlineStr">
        <is>
          <t>33676928</t>
        </is>
      </c>
      <c r="L106" t="inlineStr">
        <is>
          <t>33676928000140</t>
        </is>
      </c>
      <c r="M106" s="10" t="n">
        <v>1701742.63</v>
      </c>
      <c r="N106" t="n">
        <v>1</v>
      </c>
      <c r="O106" s="11" t="inlineStr">
        <is>
          <t>B</t>
        </is>
      </c>
      <c r="P106" s="11" t="inlineStr">
        <is>
          <t>ACTIVE</t>
        </is>
      </c>
      <c r="Q106" s="12" t="n">
        <v>46130</v>
      </c>
      <c r="R106" s="11">
        <f>IF(Q106="","",ROUND((TODAY()-Q106)/365.25,1))</f>
        <v/>
      </c>
      <c r="S106" s="13">
        <f>IFERROR(VLOOKUP(O106,Assumptions!$A$7:$F$11,2,FALSE),0.25)</f>
        <v/>
      </c>
      <c r="T106" s="14">
        <f>IF(O106="A",MAX(1,IFERROR(VLOOKUP(O106,Assumptions!$A$7:$F$11,3,FALSE),3)+IFERROR(VLOOKUP(O106,Assumptions!$A$7:$F$11,4,FALSE),8)/2-MAX(0,IF(R106="",0,R106)-IFERROR(VLOOKUP(O106,Assumptions!$A$7:$F$11,5,FALSE),1.5))),IFERROR(VLOOKUP(O106,Assumptions!$A$7:$F$11,5,FALSE),2.5)+IFERROR(VLOOKUP(O106,Assumptions!$A$7:$F$11,3,FALSE),3)+IFERROR(VLOOKUP(O106,Assumptions!$A$7:$F$11,4,FALSE),8)/2)</f>
        <v/>
      </c>
      <c r="U106" s="15">
        <f>M106*S106/(1+Assumptions!$B$3)^T106</f>
        <v/>
      </c>
      <c r="V106" s="11">
        <f>IF(M106=0,"",ROUND(U106/M106*100,1))</f>
        <v/>
      </c>
      <c r="W106" s="16">
        <f>U106*Assumptions!$B$4</f>
        <v/>
      </c>
      <c r="X106" s="11">
        <f>IF(M106=0,"",ROUND(W106/M106*100,1))</f>
        <v/>
      </c>
      <c r="Y106" t="inlineStr">
        <is>
          <t>GRUPO 3E</t>
        </is>
      </c>
      <c r="Z106" t="inlineStr">
        <is>
          <t>5341375-33.2026.8.09.0049</t>
        </is>
      </c>
      <c r="AA106" t="inlineStr">
        <is>
          <t>TJGO</t>
        </is>
      </c>
      <c r="AB106" t="inlineStr">
        <is>
          <t>stenius.com.br</t>
        </is>
      </c>
      <c r="AC106" t="inlineStr">
        <is>
          <t>GUSTAVO DINIZ RAMOS</t>
        </is>
      </c>
      <c r="AD106" t="inlineStr">
        <is>
          <t>Administrador</t>
        </is>
      </c>
      <c r="AE106" t="inlineStr">
        <is>
          <t>(62) 9255-6106</t>
        </is>
      </c>
      <c r="AF106" t="inlineStr">
        <is>
          <t>(62) 9255-6101</t>
        </is>
      </c>
      <c r="AG106" t="inlineStr"/>
      <c r="AH106" t="inlineStr">
        <is>
          <t>GO</t>
        </is>
      </c>
      <c r="AI106" t="inlineStr">
        <is>
          <t>GOIANESIA</t>
        </is>
      </c>
      <c r="AJ106" t="inlineStr">
        <is>
          <t>Compra e venda de imóveis próprios</t>
        </is>
      </c>
      <c r="AK106" t="inlineStr">
        <is>
          <t>DEMAIS</t>
        </is>
      </c>
      <c r="AL106" t="inlineStr">
        <is>
          <t>ATIVA</t>
        </is>
      </c>
      <c r="AM106" s="17" t="inlineStr">
        <is>
          <t>https://stenius.com.br/wp-content/uploads/2026/06/EDITAL-GRUPO-3E.pdf</t>
        </is>
      </c>
      <c r="AN106" s="18" t="inlineStr">
        <is>
          <t>p16 r39</t>
        </is>
      </c>
      <c r="AO106" s="18" t="inlineStr">
        <is>
          <t>p16: R$ 1.701.742,63</t>
        </is>
      </c>
      <c r="AP106" s="18" t="inlineStr">
        <is>
          <t>DEBTOR_LIST</t>
        </is>
      </c>
      <c r="AQ106" s="18" t="inlineStr">
        <is>
          <t>2026-06-22</t>
        </is>
      </c>
      <c r="AR106" s="18" t="inlineStr">
        <is>
          <t>OK_NO_TOTALS</t>
        </is>
      </c>
      <c r="AS106" s="18" t="inlineStr">
        <is>
          <t>ROWS:p16r39 UNRECONCILED_SOURCE</t>
        </is>
      </c>
      <c r="AT106" s="18" t="inlineStr">
        <is>
          <t>8e8832093a15</t>
        </is>
      </c>
    </row>
    <row r="107">
      <c r="A107" s="9" t="n">
        <v>106</v>
      </c>
      <c r="B107" s="9" t="inlineStr">
        <is>
          <t>NEW</t>
        </is>
      </c>
      <c r="C107" s="9" t="inlineStr"/>
      <c r="D107" s="9" t="n">
        <v>0</v>
      </c>
      <c r="E107" s="9" t="inlineStr"/>
      <c r="F107" s="9" t="inlineStr"/>
      <c r="G107" s="9" t="inlineStr"/>
      <c r="H107" s="9" t="inlineStr"/>
      <c r="I107" t="inlineStr">
        <is>
          <t>GERMED FARMACEUTICA LTDA</t>
        </is>
      </c>
      <c r="J107" t="inlineStr">
        <is>
          <t>Germed Farmaceutica Ltda</t>
        </is>
      </c>
      <c r="K107" t="inlineStr">
        <is>
          <t>45992062</t>
        </is>
      </c>
      <c r="L107" t="inlineStr">
        <is>
          <t>45992062000165</t>
        </is>
      </c>
      <c r="M107" s="10" t="n">
        <v>1695831.1</v>
      </c>
      <c r="N107" t="n">
        <v>1</v>
      </c>
      <c r="O107" s="11" t="inlineStr">
        <is>
          <t>C</t>
        </is>
      </c>
      <c r="P107" s="11" t="inlineStr">
        <is>
          <t>ACTIVE</t>
        </is>
      </c>
      <c r="Q107" s="12" t="n">
        <v>44987</v>
      </c>
      <c r="R107" s="11">
        <f>IF(Q107="","",ROUND((TODAY()-Q107)/365.25,1))</f>
        <v/>
      </c>
      <c r="S107" s="13">
        <f>IFERROR(VLOOKUP(O107,Assumptions!$A$7:$F$11,2,FALSE),0.25)</f>
        <v/>
      </c>
      <c r="T107" s="14">
        <f>IF(O107="A",MAX(1,IFERROR(VLOOKUP(O107,Assumptions!$A$7:$F$11,3,FALSE),3)+IFERROR(VLOOKUP(O107,Assumptions!$A$7:$F$11,4,FALSE),8)/2-MAX(0,IF(R107="",0,R107)-IFERROR(VLOOKUP(O107,Assumptions!$A$7:$F$11,5,FALSE),1.5))),IFERROR(VLOOKUP(O107,Assumptions!$A$7:$F$11,5,FALSE),2.5)+IFERROR(VLOOKUP(O107,Assumptions!$A$7:$F$11,3,FALSE),3)+IFERROR(VLOOKUP(O107,Assumptions!$A$7:$F$11,4,FALSE),8)/2)</f>
        <v/>
      </c>
      <c r="U107" s="15">
        <f>M107*S107/(1+Assumptions!$B$3)^T107</f>
        <v/>
      </c>
      <c r="V107" s="11">
        <f>IF(M107=0,"",ROUND(U107/M107*100,1))</f>
        <v/>
      </c>
      <c r="W107" s="16">
        <f>U107*Assumptions!$B$4</f>
        <v/>
      </c>
      <c r="X107" s="11">
        <f>IF(M107=0,"",ROUND(W107/M107*100,1))</f>
        <v/>
      </c>
      <c r="Y107" t="inlineStr">
        <is>
          <t>GRUPO DP4</t>
        </is>
      </c>
      <c r="Z107" t="inlineStr">
        <is>
          <t>0005010-98.2023.8.16.0001</t>
        </is>
      </c>
      <c r="AA107" t="inlineStr">
        <is>
          <t>TJPR</t>
        </is>
      </c>
      <c r="AB107" t="inlineStr">
        <is>
          <t>marquesadmjudicial.com.br</t>
        </is>
      </c>
      <c r="AC107" t="inlineStr">
        <is>
          <t>GUSTAVO ANDRE REGIS DUTRA SVENSSON</t>
        </is>
      </c>
      <c r="AD107" t="inlineStr">
        <is>
          <t>Administrador</t>
        </is>
      </c>
      <c r="AE107" t="inlineStr">
        <is>
          <t>(19) 3887-9800</t>
        </is>
      </c>
      <c r="AF107" t="inlineStr"/>
      <c r="AG107" t="inlineStr"/>
      <c r="AH107" t="inlineStr">
        <is>
          <t>SP</t>
        </is>
      </c>
      <c r="AI107" t="inlineStr">
        <is>
          <t>HORTOLANDIA</t>
        </is>
      </c>
      <c r="AJ107" t="inlineStr">
        <is>
          <t>Fabricação de medicamentos alopáticos para uso humano</t>
        </is>
      </c>
      <c r="AK107" t="inlineStr">
        <is>
          <t>DEMAIS</t>
        </is>
      </c>
      <c r="AL107" t="inlineStr">
        <is>
          <t>ATIVA</t>
        </is>
      </c>
      <c r="AM107" s="17" t="inlineStr">
        <is>
          <t>https://marquesadmjudicial.com.br/sgc/download.php?file=files/processo_documento/processo_documento15293208032024_1_.pdf&amp;nome=Relação Nominal de Credores da AJ-Sintética</t>
        </is>
      </c>
      <c r="AN107" s="18" t="inlineStr">
        <is>
          <t>p26 r5</t>
        </is>
      </c>
      <c r="AO107" s="18" t="inlineStr">
        <is>
          <t>p26: R$ 1.695.831,10</t>
        </is>
      </c>
      <c r="AP107" s="18" t="inlineStr">
        <is>
          <t>AJ_LIST</t>
        </is>
      </c>
      <c r="AQ107" s="18" t="inlineStr">
        <is>
          <t>2023-03-02</t>
        </is>
      </c>
      <c r="AR107" s="18" t="inlineStr">
        <is>
          <t>QUARANTINED</t>
        </is>
      </c>
      <c r="AS107" s="18" t="inlineStr">
        <is>
          <t>PARTIAL_DOC_CLASS_III_RECONCILED ROWS:p26r5</t>
        </is>
      </c>
      <c r="AT107" s="18" t="inlineStr">
        <is>
          <t>b465a5d11eec</t>
        </is>
      </c>
    </row>
    <row r="108">
      <c r="A108" s="9" t="n">
        <v>107</v>
      </c>
      <c r="B108" s="9" t="inlineStr">
        <is>
          <t>NEW</t>
        </is>
      </c>
      <c r="C108" s="9" t="inlineStr"/>
      <c r="D108" s="9" t="n">
        <v>0</v>
      </c>
      <c r="E108" s="9" t="inlineStr"/>
      <c r="F108" s="9" t="inlineStr"/>
      <c r="G108" s="9" t="inlineStr"/>
      <c r="H108" s="9" t="inlineStr"/>
      <c r="I108" t="inlineStr">
        <is>
          <t>VENTUROSO, VALENTINI &amp; CIA LTDA</t>
        </is>
      </c>
      <c r="J108" t="inlineStr">
        <is>
          <t>SIM</t>
        </is>
      </c>
      <c r="K108" t="inlineStr">
        <is>
          <t>59850115</t>
        </is>
      </c>
      <c r="L108" t="inlineStr">
        <is>
          <t>59850115000118</t>
        </is>
      </c>
      <c r="M108" s="10" t="n">
        <v>1687942.83</v>
      </c>
      <c r="N108" t="n">
        <v>1</v>
      </c>
      <c r="O108" s="11" t="inlineStr">
        <is>
          <t>B</t>
        </is>
      </c>
      <c r="P108" s="11" t="inlineStr"/>
      <c r="Q108" s="12" t="inlineStr"/>
      <c r="R108" s="11">
        <f>IF(Q108="","",ROUND((TODAY()-Q108)/365.25,1))</f>
        <v/>
      </c>
      <c r="S108" s="13">
        <f>IFERROR(VLOOKUP(O108,Assumptions!$A$7:$F$11,2,FALSE),0.25)</f>
        <v/>
      </c>
      <c r="T108" s="14">
        <f>IF(O108="A",MAX(1,IFERROR(VLOOKUP(O108,Assumptions!$A$7:$F$11,3,FALSE),3)+IFERROR(VLOOKUP(O108,Assumptions!$A$7:$F$11,4,FALSE),8)/2-MAX(0,IF(R108="",0,R108)-IFERROR(VLOOKUP(O108,Assumptions!$A$7:$F$11,5,FALSE),1.5))),IFERROR(VLOOKUP(O108,Assumptions!$A$7:$F$11,5,FALSE),2.5)+IFERROR(VLOOKUP(O108,Assumptions!$A$7:$F$11,3,FALSE),3)+IFERROR(VLOOKUP(O108,Assumptions!$A$7:$F$11,4,FALSE),8)/2)</f>
        <v/>
      </c>
      <c r="U108" s="15">
        <f>M108*S108/(1+Assumptions!$B$3)^T108</f>
        <v/>
      </c>
      <c r="V108" s="11">
        <f>IF(M108=0,"",ROUND(U108/M108*100,1))</f>
        <v/>
      </c>
      <c r="W108" s="16">
        <f>U108*Assumptions!$B$4</f>
        <v/>
      </c>
      <c r="X108" s="11">
        <f>IF(M108=0,"",ROUND(W108/M108*100,1))</f>
        <v/>
      </c>
      <c r="Y108" t="inlineStr">
        <is>
          <t>Grupo Rech</t>
        </is>
      </c>
      <c r="Z108" t="inlineStr">
        <is>
          <t>5057720-48.2025.8.24.0023</t>
        </is>
      </c>
      <c r="AA108" t="inlineStr"/>
      <c r="AB108" t="inlineStr">
        <is>
          <t>credibilita.com.br</t>
        </is>
      </c>
      <c r="AC108" t="inlineStr">
        <is>
          <t>CARLOS EDUARDO VALENTINI</t>
        </is>
      </c>
      <c r="AD108" t="inlineStr">
        <is>
          <t>Administrador</t>
        </is>
      </c>
      <c r="AE108" t="inlineStr">
        <is>
          <t>(16) 3810-1704</t>
        </is>
      </c>
      <c r="AF108" t="inlineStr">
        <is>
          <t>(16) 3810-1727</t>
        </is>
      </c>
      <c r="AG108" t="inlineStr"/>
      <c r="AH108" t="inlineStr">
        <is>
          <t>SP</t>
        </is>
      </c>
      <c r="AI108" t="inlineStr">
        <is>
          <t>SAO JOAQUIM DA BARRA</t>
        </is>
      </c>
      <c r="AJ108" t="inlineStr">
        <is>
          <t>Fabricação de equipamentos de transmissão para fins industriais, exceto rolamentos</t>
        </is>
      </c>
      <c r="AK108" t="inlineStr">
        <is>
          <t>DEMAIS</t>
        </is>
      </c>
      <c r="AL108" t="inlineStr">
        <is>
          <t>ATIVA</t>
        </is>
      </c>
      <c r="AM108" s="17" t="inlineStr">
        <is>
          <t>https://credibilita.com.br/wp-content/uploads/2025/09/Relacao-Credores-29.04.2026.pdf</t>
        </is>
      </c>
      <c r="AN108" s="18" t="inlineStr">
        <is>
          <t>p2 r24</t>
        </is>
      </c>
      <c r="AO108" s="18" t="inlineStr">
        <is>
          <t>p2: R$ 1.687.942,83</t>
        </is>
      </c>
      <c r="AP108" s="18" t="inlineStr">
        <is>
          <t>QUORUM_LIST</t>
        </is>
      </c>
      <c r="AQ108" s="18" t="inlineStr"/>
      <c r="AR108" s="18" t="inlineStr">
        <is>
          <t>OK_NO_TOTALS</t>
        </is>
      </c>
      <c r="AS108" s="18" t="inlineStr">
        <is>
          <t>ROWS:p2r24 UNRECONCILED_SOURCE VALUE_COL:Valor_Após_Analise CASE_NUMBER_CORRECTED</t>
        </is>
      </c>
      <c r="AT108" s="18" t="inlineStr">
        <is>
          <t>cf92cff797d2</t>
        </is>
      </c>
    </row>
    <row r="109">
      <c r="A109" s="9" t="n">
        <v>108</v>
      </c>
      <c r="B109" s="9" t="inlineStr">
        <is>
          <t>NEW</t>
        </is>
      </c>
      <c r="C109" s="9" t="inlineStr"/>
      <c r="D109" s="9" t="n">
        <v>0</v>
      </c>
      <c r="E109" s="9" t="inlineStr"/>
      <c r="F109" s="9" t="inlineStr"/>
      <c r="G109" s="9" t="inlineStr"/>
      <c r="H109" s="9" t="inlineStr"/>
      <c r="I109" t="inlineStr">
        <is>
          <t>AGRO SAFRA INDUSTRIA E COMERCIO DE ADUBOS LTDA</t>
        </is>
      </c>
      <c r="J109" t="inlineStr">
        <is>
          <t>COM. ADUBOS LTDA</t>
        </is>
      </c>
      <c r="K109" t="inlineStr">
        <is>
          <t>47827332</t>
        </is>
      </c>
      <c r="L109" t="inlineStr">
        <is>
          <t>00000000000191, 47827332000108, 60746948000112, 60906724001445</t>
        </is>
      </c>
      <c r="M109" s="10" t="n">
        <v>1685996.32</v>
      </c>
      <c r="N109" t="n">
        <v>1</v>
      </c>
      <c r="O109" s="11" t="inlineStr">
        <is>
          <t>B</t>
        </is>
      </c>
      <c r="P109" s="11" t="inlineStr">
        <is>
          <t>ACTIVE</t>
        </is>
      </c>
      <c r="Q109" s="12" t="n">
        <v>45604</v>
      </c>
      <c r="R109" s="11">
        <f>IF(Q109="","",ROUND((TODAY()-Q109)/365.25,1))</f>
        <v/>
      </c>
      <c r="S109" s="13">
        <f>IFERROR(VLOOKUP(O109,Assumptions!$A$7:$F$11,2,FALSE),0.25)</f>
        <v/>
      </c>
      <c r="T109" s="14">
        <f>IF(O109="A",MAX(1,IFERROR(VLOOKUP(O109,Assumptions!$A$7:$F$11,3,FALSE),3)+IFERROR(VLOOKUP(O109,Assumptions!$A$7:$F$11,4,FALSE),8)/2-MAX(0,IF(R109="",0,R109)-IFERROR(VLOOKUP(O109,Assumptions!$A$7:$F$11,5,FALSE),1.5))),IFERROR(VLOOKUP(O109,Assumptions!$A$7:$F$11,5,FALSE),2.5)+IFERROR(VLOOKUP(O109,Assumptions!$A$7:$F$11,3,FALSE),3)+IFERROR(VLOOKUP(O109,Assumptions!$A$7:$F$11,4,FALSE),8)/2)</f>
        <v/>
      </c>
      <c r="U109" s="15">
        <f>M109*S109/(1+Assumptions!$B$3)^T109</f>
        <v/>
      </c>
      <c r="V109" s="11">
        <f>IF(M109=0,"",ROUND(U109/M109*100,1))</f>
        <v/>
      </c>
      <c r="W109" s="16">
        <f>U109*Assumptions!$B$4</f>
        <v/>
      </c>
      <c r="X109" s="11">
        <f>IF(M109=0,"",ROUND(W109/M109*100,1))</f>
        <v/>
      </c>
      <c r="Y109" t="inlineStr">
        <is>
          <t>GRUPO AGRO SAFRA</t>
        </is>
      </c>
      <c r="Z109" t="inlineStr">
        <is>
          <t>1003322-70.2024.8.26.0260</t>
        </is>
      </c>
      <c r="AA109" t="inlineStr">
        <is>
          <t>TJSP</t>
        </is>
      </c>
      <c r="AB109" t="inlineStr">
        <is>
          <t>vivanteaj.com.br</t>
        </is>
      </c>
      <c r="AC109" t="inlineStr">
        <is>
          <t>INEIDE TERESINHA ROSSI ISAAC</t>
        </is>
      </c>
      <c r="AD109" t="inlineStr">
        <is>
          <t>Sócio-Administrador</t>
        </is>
      </c>
      <c r="AE109" t="inlineStr">
        <is>
          <t>(01) 13687-5766</t>
        </is>
      </c>
      <c r="AF109" t="inlineStr"/>
      <c r="AG109" t="inlineStr"/>
      <c r="AH109" t="inlineStr">
        <is>
          <t>SP</t>
        </is>
      </c>
      <c r="AI109" t="inlineStr">
        <is>
          <t>OSASCO</t>
        </is>
      </c>
      <c r="AJ109" t="inlineStr">
        <is>
          <t>Fabricação de adubos e fertilizantes, exceto organo-minerais</t>
        </is>
      </c>
      <c r="AK109" t="inlineStr">
        <is>
          <t>DEMAIS</t>
        </is>
      </c>
      <c r="AL109" t="inlineStr">
        <is>
          <t>ATIVA</t>
        </is>
      </c>
      <c r="AM109" s="17" t="inlineStr">
        <is>
          <t>https://vivanteaj.com.br/wp-content/uploads/2025/02/2a-lista-de-credores-Agro-Safra-e-outros.pdf</t>
        </is>
      </c>
      <c r="AN109" s="18" t="inlineStr">
        <is>
          <t>p3 r2</t>
        </is>
      </c>
      <c r="AO109" s="18" t="inlineStr">
        <is>
          <t>p3: R$ 1.685.996,32</t>
        </is>
      </c>
      <c r="AP109" s="18" t="inlineStr">
        <is>
          <t>UNKNOWN</t>
        </is>
      </c>
      <c r="AQ109" s="18" t="inlineStr"/>
      <c r="AR109" s="18" t="inlineStr">
        <is>
          <t>OK_NO_TOTALS</t>
        </is>
      </c>
      <c r="AS109" s="18" t="inlineStr">
        <is>
          <t>LONG_CHUNK MULTI_ROOT ROWS:p3r2 UNRECONCILED_SOURCE</t>
        </is>
      </c>
      <c r="AT109" s="18" t="inlineStr">
        <is>
          <t>710a314c1bca</t>
        </is>
      </c>
    </row>
    <row r="110">
      <c r="A110" s="9" t="n">
        <v>109</v>
      </c>
      <c r="B110" s="9" t="inlineStr">
        <is>
          <t>NEW</t>
        </is>
      </c>
      <c r="C110" s="9" t="inlineStr"/>
      <c r="D110" s="9" t="n">
        <v>0</v>
      </c>
      <c r="E110" s="9" t="inlineStr"/>
      <c r="F110" s="9" t="inlineStr"/>
      <c r="G110" s="9" t="inlineStr"/>
      <c r="H110" s="9" t="inlineStr"/>
      <c r="I110" t="inlineStr">
        <is>
          <t>COMPANHIA NITRO QUIMICA BRASILEIRA</t>
        </is>
      </c>
      <c r="J110" t="inlineStr">
        <is>
          <t>COMPANHIA NITRO QUIMICA BRASILEIRA</t>
        </is>
      </c>
      <c r="K110" t="inlineStr">
        <is>
          <t>61150348</t>
        </is>
      </c>
      <c r="L110" t="inlineStr">
        <is>
          <t>61150348000150</t>
        </is>
      </c>
      <c r="M110" s="10" t="n">
        <v>1666504.92</v>
      </c>
      <c r="N110" t="n">
        <v>1</v>
      </c>
      <c r="O110" s="11" t="inlineStr">
        <is>
          <t>B</t>
        </is>
      </c>
      <c r="P110" s="11" t="inlineStr">
        <is>
          <t>ACTIVE</t>
        </is>
      </c>
      <c r="Q110" s="12" t="n">
        <v>46030</v>
      </c>
      <c r="R110" s="11">
        <f>IF(Q110="","",ROUND((TODAY()-Q110)/365.25,1))</f>
        <v/>
      </c>
      <c r="S110" s="13">
        <f>IFERROR(VLOOKUP(O110,Assumptions!$A$7:$F$11,2,FALSE),0.25)</f>
        <v/>
      </c>
      <c r="T110" s="14">
        <f>IF(O110="A",MAX(1,IFERROR(VLOOKUP(O110,Assumptions!$A$7:$F$11,3,FALSE),3)+IFERROR(VLOOKUP(O110,Assumptions!$A$7:$F$11,4,FALSE),8)/2-MAX(0,IF(R110="",0,R110)-IFERROR(VLOOKUP(O110,Assumptions!$A$7:$F$11,5,FALSE),1.5))),IFERROR(VLOOKUP(O110,Assumptions!$A$7:$F$11,5,FALSE),2.5)+IFERROR(VLOOKUP(O110,Assumptions!$A$7:$F$11,3,FALSE),3)+IFERROR(VLOOKUP(O110,Assumptions!$A$7:$F$11,4,FALSE),8)/2)</f>
        <v/>
      </c>
      <c r="U110" s="15">
        <f>M110*S110/(1+Assumptions!$B$3)^T110</f>
        <v/>
      </c>
      <c r="V110" s="11">
        <f>IF(M110=0,"",ROUND(U110/M110*100,1))</f>
        <v/>
      </c>
      <c r="W110" s="16">
        <f>U110*Assumptions!$B$4</f>
        <v/>
      </c>
      <c r="X110" s="11">
        <f>IF(M110=0,"",ROUND(W110/M110*100,1))</f>
        <v/>
      </c>
      <c r="Y110" t="inlineStr">
        <is>
          <t>GRUPO FERRARI (ALEX, ALEXANDRE , ANDRIELLE FERRARI MANTELLI, ARCIR LUIS, ERICA SANTOS ASSIS LIMA, FERNANDO MANTELLI, IDELSI, TALITA LEITE SILVA, AGROPECUARIA FERRARI LTDA E FERRARI ARMAZENS GERAIS)</t>
        </is>
      </c>
      <c r="Z110" t="inlineStr">
        <is>
          <t>5011369-81.2026.8.09.0093</t>
        </is>
      </c>
      <c r="AA110" t="inlineStr">
        <is>
          <t>TJGO</t>
        </is>
      </c>
      <c r="AB110" t="inlineStr">
        <is>
          <t>scalzilliaj.com.br</t>
        </is>
      </c>
      <c r="AC110" t="inlineStr">
        <is>
          <t>FRANCISCO JOSE CARRARA FAVA</t>
        </is>
      </c>
      <c r="AD110" t="inlineStr">
        <is>
          <t>Diretor</t>
        </is>
      </c>
      <c r="AE110" t="inlineStr">
        <is>
          <t>(11) 2246-3214</t>
        </is>
      </c>
      <c r="AF110" t="inlineStr">
        <is>
          <t>(11) 2246-3329</t>
        </is>
      </c>
      <c r="AG110" t="inlineStr"/>
      <c r="AH110" t="inlineStr">
        <is>
          <t>SP</t>
        </is>
      </c>
      <c r="AI110" t="inlineStr">
        <is>
          <t>SAO PAULO</t>
        </is>
      </c>
      <c r="AJ110" t="inlineStr">
        <is>
          <t>Fabricação de outros produtos químicos inorgânicos não especificados anteriormente</t>
        </is>
      </c>
      <c r="AK110" t="inlineStr">
        <is>
          <t>DEMAIS</t>
        </is>
      </c>
      <c r="AL110" t="inlineStr">
        <is>
          <t>ATIVA</t>
        </is>
      </c>
      <c r="AM110" s="17" t="inlineStr">
        <is>
          <t>https://scalzilliaj.com.br/sgc/download.php?file=files/processo_documento/processo_documento11421222052026_1_.pdf&amp;nome=08. Lista de credores do edital do art. 52, §1º da LREF</t>
        </is>
      </c>
      <c r="AN110" s="18" t="inlineStr">
        <is>
          <t>p4 r1</t>
        </is>
      </c>
      <c r="AO110" s="18" t="inlineStr">
        <is>
          <t>p4: R$ 1.666.504,92</t>
        </is>
      </c>
      <c r="AP110" s="18" t="inlineStr">
        <is>
          <t>UNKNOWN</t>
        </is>
      </c>
      <c r="AQ110" s="18" t="inlineStr"/>
      <c r="AR110" s="18" t="inlineStr">
        <is>
          <t>OK_NO_TOTALS</t>
        </is>
      </c>
      <c r="AS110" s="18" t="inlineStr">
        <is>
          <t>ROWS:p4r1 UNRECONCILED_SOURCE</t>
        </is>
      </c>
      <c r="AT110" s="18" t="inlineStr">
        <is>
          <t>c536a2fa4da3</t>
        </is>
      </c>
    </row>
    <row r="111">
      <c r="A111" s="9" t="n">
        <v>110</v>
      </c>
      <c r="B111" s="9" t="inlineStr">
        <is>
          <t>NEW</t>
        </is>
      </c>
      <c r="C111" s="9" t="inlineStr"/>
      <c r="D111" s="9" t="n">
        <v>0</v>
      </c>
      <c r="E111" s="9" t="inlineStr"/>
      <c r="F111" s="9" t="inlineStr"/>
      <c r="G111" s="9" t="inlineStr"/>
      <c r="H111" s="9" t="inlineStr"/>
      <c r="I111" t="inlineStr">
        <is>
          <t>DEFESA FLORESTAL LTDA</t>
        </is>
      </c>
      <c r="J111" t="inlineStr">
        <is>
          <t>Defesa Florestal Ltda</t>
        </is>
      </c>
      <c r="K111" t="inlineStr">
        <is>
          <t>20286415</t>
        </is>
      </c>
      <c r="L111" t="inlineStr">
        <is>
          <t>20286415000180</t>
        </is>
      </c>
      <c r="M111" s="10" t="n">
        <v>1645536</v>
      </c>
      <c r="N111" t="n">
        <v>1</v>
      </c>
      <c r="O111" s="11" t="inlineStr">
        <is>
          <t>B</t>
        </is>
      </c>
      <c r="P111" s="11" t="inlineStr"/>
      <c r="Q111" s="12" t="n">
        <v>45756</v>
      </c>
      <c r="R111" s="11">
        <f>IF(Q111="","",ROUND((TODAY()-Q111)/365.25,1))</f>
        <v/>
      </c>
      <c r="S111" s="13">
        <f>IFERROR(VLOOKUP(O111,Assumptions!$A$7:$F$11,2,FALSE),0.25)</f>
        <v/>
      </c>
      <c r="T111" s="14">
        <f>IF(O111="A",MAX(1,IFERROR(VLOOKUP(O111,Assumptions!$A$7:$F$11,3,FALSE),3)+IFERROR(VLOOKUP(O111,Assumptions!$A$7:$F$11,4,FALSE),8)/2-MAX(0,IF(R111="",0,R111)-IFERROR(VLOOKUP(O111,Assumptions!$A$7:$F$11,5,FALSE),1.5))),IFERROR(VLOOKUP(O111,Assumptions!$A$7:$F$11,5,FALSE),2.5)+IFERROR(VLOOKUP(O111,Assumptions!$A$7:$F$11,3,FALSE),3)+IFERROR(VLOOKUP(O111,Assumptions!$A$7:$F$11,4,FALSE),8)/2)</f>
        <v/>
      </c>
      <c r="U111" s="15">
        <f>M111*S111/(1+Assumptions!$B$3)^T111</f>
        <v/>
      </c>
      <c r="V111" s="11">
        <f>IF(M111=0,"",ROUND(U111/M111*100,1))</f>
        <v/>
      </c>
      <c r="W111" s="16">
        <f>U111*Assumptions!$B$4</f>
        <v/>
      </c>
      <c r="X111" s="11">
        <f>IF(M111=0,"",ROUND(W111/M111*100,1))</f>
        <v/>
      </c>
      <c r="Y111" t="inlineStr">
        <is>
          <t>GRUPO EGESA (EGESA ENG S.A, EGESUR PART E EMP S.A, MATRIX INFRA LTDA, BEMVIVER ENG AMBIENTAL E SERV LTDA, DKF CONST E EMP LTDA, EGEPEL LTDA, ETR ASSESSORIA EMP E PART LTDA, MVT ENG E SERV LTDA, PARQUES DO VALE LTDA, ELMO RIBEIRO E ANA RIBEIRO)</t>
        </is>
      </c>
      <c r="Z111" t="inlineStr">
        <is>
          <t>5088952-81.2025.8.13.0024</t>
        </is>
      </c>
      <c r="AA111" t="inlineStr">
        <is>
          <t>TJMG</t>
        </is>
      </c>
      <c r="AB111" t="inlineStr">
        <is>
          <t>scalzilliaj.com.br</t>
        </is>
      </c>
      <c r="AC111" t="inlineStr">
        <is>
          <t>ALOISIO RODRIGUES PEREIRA</t>
        </is>
      </c>
      <c r="AD111" t="inlineStr">
        <is>
          <t>Sócio-Administrador</t>
        </is>
      </c>
      <c r="AE111" t="inlineStr"/>
      <c r="AF111" t="inlineStr"/>
      <c r="AG111" t="inlineStr"/>
      <c r="AH111" t="inlineStr">
        <is>
          <t>MG</t>
        </is>
      </c>
      <c r="AI111" t="inlineStr">
        <is>
          <t>VICOSA</t>
        </is>
      </c>
      <c r="AJ111" t="inlineStr">
        <is>
          <t>Serviços de preparação do terreno não especificados anteriormente</t>
        </is>
      </c>
      <c r="AK111" t="inlineStr">
        <is>
          <t>DEMAIS</t>
        </is>
      </c>
      <c r="AL111" t="inlineStr">
        <is>
          <t>ATIVA</t>
        </is>
      </c>
      <c r="AM111" s="17" t="inlineStr">
        <is>
          <t>https://scalzilliaj.com.br/sgc/download.php?file=files/processo_documento/processo_documento09514021082025_1_.pdf&amp;nome=04 - Relação de credores das Recuperandas</t>
        </is>
      </c>
      <c r="AN111" s="18" t="inlineStr">
        <is>
          <t>p65 r2</t>
        </is>
      </c>
      <c r="AO111" s="18" t="inlineStr">
        <is>
          <t>p65: R$ 1.645.536,00</t>
        </is>
      </c>
      <c r="AP111" s="18" t="inlineStr">
        <is>
          <t>DEBTOR_LIST</t>
        </is>
      </c>
      <c r="AQ111" s="18" t="inlineStr"/>
      <c r="AR111" s="18" t="inlineStr">
        <is>
          <t>OK</t>
        </is>
      </c>
      <c r="AS111" s="18" t="inlineStr">
        <is>
          <t>ROWS:p65r2 VALUE_COL:Valor_Atualizado CASE_NUMBER_CORRECTED CASE_FROM_PORTAL</t>
        </is>
      </c>
      <c r="AT111" s="18" t="inlineStr">
        <is>
          <t>24ed98480a57</t>
        </is>
      </c>
    </row>
    <row r="112">
      <c r="A112" s="9" t="n">
        <v>111</v>
      </c>
      <c r="B112" s="9" t="inlineStr">
        <is>
          <t>NEW</t>
        </is>
      </c>
      <c r="C112" s="9" t="inlineStr"/>
      <c r="D112" s="9" t="n">
        <v>0</v>
      </c>
      <c r="E112" s="9" t="inlineStr"/>
      <c r="F112" s="9" t="inlineStr"/>
      <c r="G112" s="9" t="inlineStr"/>
      <c r="H112" s="9" t="inlineStr"/>
      <c r="I112" t="inlineStr">
        <is>
          <t>DACARTO INDUSTRIA E COMERCIO DE PLASTICOS LTDA</t>
        </is>
      </c>
      <c r="J112" t="inlineStr">
        <is>
          <t>DACARTO BENVIC LTDA</t>
        </is>
      </c>
      <c r="K112" t="inlineStr">
        <is>
          <t>62143847</t>
        </is>
      </c>
      <c r="L112" t="inlineStr">
        <is>
          <t>62143847000182, 62143847000263</t>
        </is>
      </c>
      <c r="M112" s="10" t="n">
        <v>1624039.19</v>
      </c>
      <c r="N112" t="n">
        <v>2</v>
      </c>
      <c r="O112" s="11" t="inlineStr">
        <is>
          <t>C</t>
        </is>
      </c>
      <c r="P112" s="11" t="inlineStr">
        <is>
          <t>ACTIVE</t>
        </is>
      </c>
      <c r="Q112" s="12" t="n">
        <v>45068</v>
      </c>
      <c r="R112" s="11">
        <f>IF(Q112="","",ROUND((TODAY()-Q112)/365.25,1))</f>
        <v/>
      </c>
      <c r="S112" s="13">
        <f>IFERROR(VLOOKUP(O112,Assumptions!$A$7:$F$11,2,FALSE),0.25)</f>
        <v/>
      </c>
      <c r="T112" s="14">
        <f>IF(O112="A",MAX(1,IFERROR(VLOOKUP(O112,Assumptions!$A$7:$F$11,3,FALSE),3)+IFERROR(VLOOKUP(O112,Assumptions!$A$7:$F$11,4,FALSE),8)/2-MAX(0,IF(R112="",0,R112)-IFERROR(VLOOKUP(O112,Assumptions!$A$7:$F$11,5,FALSE),1.5))),IFERROR(VLOOKUP(O112,Assumptions!$A$7:$F$11,5,FALSE),2.5)+IFERROR(VLOOKUP(O112,Assumptions!$A$7:$F$11,3,FALSE),3)+IFERROR(VLOOKUP(O112,Assumptions!$A$7:$F$11,4,FALSE),8)/2)</f>
        <v/>
      </c>
      <c r="U112" s="15">
        <f>M112*S112/(1+Assumptions!$B$3)^T112</f>
        <v/>
      </c>
      <c r="V112" s="11">
        <f>IF(M112=0,"",ROUND(U112/M112*100,1))</f>
        <v/>
      </c>
      <c r="W112" s="16">
        <f>U112*Assumptions!$B$4</f>
        <v/>
      </c>
      <c r="X112" s="11">
        <f>IF(M112=0,"",ROUND(W112/M112*100,1))</f>
        <v/>
      </c>
      <c r="Y112" t="inlineStr">
        <is>
          <t>Grupo Conduscabos</t>
        </is>
      </c>
      <c r="Z112" t="inlineStr">
        <is>
          <t>8005129-09.2023.8.05.0039</t>
        </is>
      </c>
      <c r="AA112" t="inlineStr">
        <is>
          <t>TJBA</t>
        </is>
      </c>
      <c r="AB112" t="inlineStr">
        <is>
          <t>assistjud.com.br</t>
        </is>
      </c>
      <c r="AC112" t="inlineStr">
        <is>
          <t>AMILTON DAL POZ DE ALMEIDA</t>
        </is>
      </c>
      <c r="AD112" t="inlineStr">
        <is>
          <t>Administrador</t>
        </is>
      </c>
      <c r="AE112" t="inlineStr">
        <is>
          <t>(11) 3658-9459</t>
        </is>
      </c>
      <c r="AF112" t="inlineStr"/>
      <c r="AG112" t="inlineStr"/>
      <c r="AH112" t="inlineStr">
        <is>
          <t>SP</t>
        </is>
      </c>
      <c r="AI112" t="inlineStr">
        <is>
          <t>OSASCO</t>
        </is>
      </c>
      <c r="AJ112" t="inlineStr">
        <is>
          <t>Fabricação de artefatos de material plástico para outros usos não especificados anteriormente</t>
        </is>
      </c>
      <c r="AK112" t="inlineStr">
        <is>
          <t>DEMAIS</t>
        </is>
      </c>
      <c r="AL112" t="inlineStr">
        <is>
          <t>ATIVA</t>
        </is>
      </c>
      <c r="AM112" s="17" t="inlineStr">
        <is>
          <t>https://assistjud.com.br/wp-content/uploads/elementor/forms/65098c80a5824.pdf</t>
        </is>
      </c>
      <c r="AN112" s="18" t="inlineStr">
        <is>
          <t>p6 r12; p6 r13</t>
        </is>
      </c>
      <c r="AO112" s="18" t="inlineStr">
        <is>
          <t>p6: R$ 534.318,75; p6: R$ 1.089.720,44</t>
        </is>
      </c>
      <c r="AP112" s="18" t="inlineStr">
        <is>
          <t>AJ_LIST</t>
        </is>
      </c>
      <c r="AQ112" s="18" t="inlineStr">
        <is>
          <t>2023-09-18</t>
        </is>
      </c>
      <c r="AR112" s="18" t="inlineStr">
        <is>
          <t>OK_NO_TOTALS</t>
        </is>
      </c>
      <c r="AS112" s="18" t="inlineStr">
        <is>
          <t>ROWS:p6r12,p6r13 UNRECONCILED_SOURCE</t>
        </is>
      </c>
      <c r="AT112" s="18" t="inlineStr">
        <is>
          <t>a0ae32a59c29</t>
        </is>
      </c>
    </row>
    <row r="113">
      <c r="A113" s="9" t="n">
        <v>112</v>
      </c>
      <c r="B113" s="9" t="inlineStr">
        <is>
          <t>NEW</t>
        </is>
      </c>
      <c r="C113" s="9" t="inlineStr"/>
      <c r="D113" s="9" t="n">
        <v>0</v>
      </c>
      <c r="E113" s="9" t="inlineStr"/>
      <c r="F113" s="9" t="inlineStr"/>
      <c r="G113" s="9" t="inlineStr"/>
      <c r="H113" s="9" t="inlineStr"/>
      <c r="I113" t="inlineStr">
        <is>
          <t>FARMAX S.A.</t>
        </is>
      </c>
      <c r="J113" t="inlineStr">
        <is>
          <t>Farmax S.A.</t>
        </is>
      </c>
      <c r="K113" t="inlineStr">
        <is>
          <t>21759758</t>
        </is>
      </c>
      <c r="L113" t="inlineStr">
        <is>
          <t>21759758000188</t>
        </is>
      </c>
      <c r="M113" s="10" t="n">
        <v>1610365.54</v>
      </c>
      <c r="N113" t="n">
        <v>1</v>
      </c>
      <c r="O113" s="11" t="inlineStr">
        <is>
          <t>C</t>
        </is>
      </c>
      <c r="P113" s="11" t="inlineStr">
        <is>
          <t>ACTIVE</t>
        </is>
      </c>
      <c r="Q113" s="12" t="n">
        <v>44987</v>
      </c>
      <c r="R113" s="11">
        <f>IF(Q113="","",ROUND((TODAY()-Q113)/365.25,1))</f>
        <v/>
      </c>
      <c r="S113" s="13">
        <f>IFERROR(VLOOKUP(O113,Assumptions!$A$7:$F$11,2,FALSE),0.25)</f>
        <v/>
      </c>
      <c r="T113" s="14">
        <f>IF(O113="A",MAX(1,IFERROR(VLOOKUP(O113,Assumptions!$A$7:$F$11,3,FALSE),3)+IFERROR(VLOOKUP(O113,Assumptions!$A$7:$F$11,4,FALSE),8)/2-MAX(0,IF(R113="",0,R113)-IFERROR(VLOOKUP(O113,Assumptions!$A$7:$F$11,5,FALSE),1.5))),IFERROR(VLOOKUP(O113,Assumptions!$A$7:$F$11,5,FALSE),2.5)+IFERROR(VLOOKUP(O113,Assumptions!$A$7:$F$11,3,FALSE),3)+IFERROR(VLOOKUP(O113,Assumptions!$A$7:$F$11,4,FALSE),8)/2)</f>
        <v/>
      </c>
      <c r="U113" s="15">
        <f>M113*S113/(1+Assumptions!$B$3)^T113</f>
        <v/>
      </c>
      <c r="V113" s="11">
        <f>IF(M113=0,"",ROUND(U113/M113*100,1))</f>
        <v/>
      </c>
      <c r="W113" s="16">
        <f>U113*Assumptions!$B$4</f>
        <v/>
      </c>
      <c r="X113" s="11">
        <f>IF(M113=0,"",ROUND(W113/M113*100,1))</f>
        <v/>
      </c>
      <c r="Y113" t="inlineStr">
        <is>
          <t>GRUPO DP4</t>
        </is>
      </c>
      <c r="Z113" t="inlineStr">
        <is>
          <t>0005010-98.2023.8.16.0001</t>
        </is>
      </c>
      <c r="AA113" t="inlineStr">
        <is>
          <t>TJPR</t>
        </is>
      </c>
      <c r="AB113" t="inlineStr">
        <is>
          <t>marquesadmjudicial.com.br</t>
        </is>
      </c>
      <c r="AC113" t="inlineStr">
        <is>
          <t>LUIZ EDUARDO SALES CLAVIS</t>
        </is>
      </c>
      <c r="AD113" t="inlineStr">
        <is>
          <t>Administrador</t>
        </is>
      </c>
      <c r="AE113" t="inlineStr">
        <is>
          <t>(37) 2101-9696</t>
        </is>
      </c>
      <c r="AF113" t="inlineStr">
        <is>
          <t>(37) 2101-9603</t>
        </is>
      </c>
      <c r="AG113" t="inlineStr"/>
      <c r="AH113" t="inlineStr">
        <is>
          <t>MG</t>
        </is>
      </c>
      <c r="AI113" t="inlineStr">
        <is>
          <t>DIVINOPOLIS</t>
        </is>
      </c>
      <c r="AJ113" t="inlineStr">
        <is>
          <t>Fabricação de cosméticos, produtos de perfumaria e de higiene pessoal</t>
        </is>
      </c>
      <c r="AK113" t="inlineStr">
        <is>
          <t>DEMAIS</t>
        </is>
      </c>
      <c r="AL113" t="inlineStr">
        <is>
          <t>ATIVA</t>
        </is>
      </c>
      <c r="AM113" s="17" t="inlineStr">
        <is>
          <t>https://marquesadmjudicial.com.br/sgc/download.php?file=files/processo_documento/processo_documento15293208032024_1_.pdf&amp;nome=Relação Nominal de Credores da AJ-Sintética</t>
        </is>
      </c>
      <c r="AN113" s="18" t="inlineStr">
        <is>
          <t>p25 r6</t>
        </is>
      </c>
      <c r="AO113" s="18" t="inlineStr">
        <is>
          <t>p25: R$ 1.610.365,54</t>
        </is>
      </c>
      <c r="AP113" s="18" t="inlineStr">
        <is>
          <t>AJ_LIST</t>
        </is>
      </c>
      <c r="AQ113" s="18" t="inlineStr">
        <is>
          <t>2023-03-02</t>
        </is>
      </c>
      <c r="AR113" s="18" t="inlineStr">
        <is>
          <t>QUARANTINED</t>
        </is>
      </c>
      <c r="AS113" s="18" t="inlineStr">
        <is>
          <t>PARTIAL_DOC_CLASS_III_RECONCILED ROWS:p25r6</t>
        </is>
      </c>
      <c r="AT113" s="18" t="inlineStr">
        <is>
          <t>b465a5d11eec</t>
        </is>
      </c>
    </row>
    <row r="114">
      <c r="A114" s="9" t="n">
        <v>113</v>
      </c>
      <c r="B114" s="9" t="inlineStr">
        <is>
          <t>NEW</t>
        </is>
      </c>
      <c r="C114" s="9" t="inlineStr"/>
      <c r="D114" s="9" t="n">
        <v>0</v>
      </c>
      <c r="E114" s="9" t="inlineStr"/>
      <c r="F114" s="9" t="inlineStr"/>
      <c r="G114" s="9" t="inlineStr"/>
      <c r="H114" s="9" t="inlineStr"/>
      <c r="I114" t="inlineStr">
        <is>
          <t>ROCHE DIABETES CARE BRASIL LTDA</t>
        </is>
      </c>
      <c r="J114" t="inlineStr">
        <is>
          <t>Roche Diabetes Care Brasil Ltda</t>
        </is>
      </c>
      <c r="K114" t="inlineStr">
        <is>
          <t>23552212</t>
        </is>
      </c>
      <c r="L114" t="inlineStr">
        <is>
          <t>23552212000268</t>
        </is>
      </c>
      <c r="M114" s="10" t="n">
        <v>1608447.77</v>
      </c>
      <c r="N114" t="n">
        <v>1</v>
      </c>
      <c r="O114" s="11" t="inlineStr">
        <is>
          <t>C</t>
        </is>
      </c>
      <c r="P114" s="11" t="inlineStr">
        <is>
          <t>ACTIVE</t>
        </is>
      </c>
      <c r="Q114" s="12" t="n">
        <v>44987</v>
      </c>
      <c r="R114" s="11">
        <f>IF(Q114="","",ROUND((TODAY()-Q114)/365.25,1))</f>
        <v/>
      </c>
      <c r="S114" s="13">
        <f>IFERROR(VLOOKUP(O114,Assumptions!$A$7:$F$11,2,FALSE),0.25)</f>
        <v/>
      </c>
      <c r="T114" s="14">
        <f>IF(O114="A",MAX(1,IFERROR(VLOOKUP(O114,Assumptions!$A$7:$F$11,3,FALSE),3)+IFERROR(VLOOKUP(O114,Assumptions!$A$7:$F$11,4,FALSE),8)/2-MAX(0,IF(R114="",0,R114)-IFERROR(VLOOKUP(O114,Assumptions!$A$7:$F$11,5,FALSE),1.5))),IFERROR(VLOOKUP(O114,Assumptions!$A$7:$F$11,5,FALSE),2.5)+IFERROR(VLOOKUP(O114,Assumptions!$A$7:$F$11,3,FALSE),3)+IFERROR(VLOOKUP(O114,Assumptions!$A$7:$F$11,4,FALSE),8)/2)</f>
        <v/>
      </c>
      <c r="U114" s="15">
        <f>M114*S114/(1+Assumptions!$B$3)^T114</f>
        <v/>
      </c>
      <c r="V114" s="11">
        <f>IF(M114=0,"",ROUND(U114/M114*100,1))</f>
        <v/>
      </c>
      <c r="W114" s="16">
        <f>U114*Assumptions!$B$4</f>
        <v/>
      </c>
      <c r="X114" s="11">
        <f>IF(M114=0,"",ROUND(W114/M114*100,1))</f>
        <v/>
      </c>
      <c r="Y114" t="inlineStr">
        <is>
          <t>GRUPO DP4</t>
        </is>
      </c>
      <c r="Z114" t="inlineStr">
        <is>
          <t>0005010-98.2023.8.16.0001</t>
        </is>
      </c>
      <c r="AA114" t="inlineStr">
        <is>
          <t>TJPR</t>
        </is>
      </c>
      <c r="AB114" t="inlineStr">
        <is>
          <t>marquesadmjudicial.com.br</t>
        </is>
      </c>
      <c r="AC114" t="inlineStr">
        <is>
          <t>ANA TUNON ORRICO</t>
        </is>
      </c>
      <c r="AD114" t="inlineStr">
        <is>
          <t>Administrador</t>
        </is>
      </c>
      <c r="AE114" t="inlineStr">
        <is>
          <t>(11) 3719-8888</t>
        </is>
      </c>
      <c r="AF114" t="inlineStr"/>
      <c r="AG114" t="inlineStr"/>
      <c r="AH114" t="inlineStr">
        <is>
          <t>SP</t>
        </is>
      </c>
      <c r="AI114" t="inlineStr">
        <is>
          <t>SAO PAULO</t>
        </is>
      </c>
      <c r="AJ114" t="inlineStr">
        <is>
          <t>Serviços combinados de escritório e apoio administrativo</t>
        </is>
      </c>
      <c r="AK114" t="inlineStr">
        <is>
          <t>DEMAIS</t>
        </is>
      </c>
      <c r="AL114" t="inlineStr">
        <is>
          <t>ATIVA</t>
        </is>
      </c>
      <c r="AM114" s="17" t="inlineStr">
        <is>
          <t>https://marquesadmjudicial.com.br/sgc/download.php?file=files/processo_documento/processo_documento15293208032024_1_.pdf&amp;nome=Relação Nominal de Credores da AJ-Sintética</t>
        </is>
      </c>
      <c r="AN114" s="18" t="inlineStr">
        <is>
          <t>p30 r12</t>
        </is>
      </c>
      <c r="AO114" s="18" t="inlineStr">
        <is>
          <t>p30: R$ 1.608.447,77</t>
        </is>
      </c>
      <c r="AP114" s="18" t="inlineStr">
        <is>
          <t>AJ_LIST</t>
        </is>
      </c>
      <c r="AQ114" s="18" t="inlineStr">
        <is>
          <t>2023-03-02</t>
        </is>
      </c>
      <c r="AR114" s="18" t="inlineStr">
        <is>
          <t>QUARANTINED</t>
        </is>
      </c>
      <c r="AS114" s="18" t="inlineStr">
        <is>
          <t>PARTIAL_DOC_CLASS_III_RECONCILED ROWS:p30r12</t>
        </is>
      </c>
      <c r="AT114" s="18" t="inlineStr">
        <is>
          <t>b465a5d11eec</t>
        </is>
      </c>
    </row>
    <row r="115">
      <c r="A115" s="9" t="n">
        <v>114</v>
      </c>
      <c r="B115" s="9" t="inlineStr">
        <is>
          <t>NEW</t>
        </is>
      </c>
      <c r="C115" s="9" t="inlineStr"/>
      <c r="D115" s="9" t="n">
        <v>0</v>
      </c>
      <c r="E115" s="9" t="inlineStr"/>
      <c r="F115" s="9" t="inlineStr"/>
      <c r="G115" s="9" t="inlineStr"/>
      <c r="H115" s="9" t="inlineStr"/>
      <c r="I115" t="inlineStr">
        <is>
          <t>VIBRA ENERGIA S.A</t>
        </is>
      </c>
      <c r="J115" t="inlineStr">
        <is>
          <t>ROD. PRESIDENTE CASTELO BRANCO KM 20 S/N - BARUERI-SP - CEP 06463-400</t>
        </is>
      </c>
      <c r="K115" t="inlineStr">
        <is>
          <t>34274233</t>
        </is>
      </c>
      <c r="L115" t="inlineStr">
        <is>
          <t>34274233006488</t>
        </is>
      </c>
      <c r="M115" s="10" t="n">
        <v>1607742.88</v>
      </c>
      <c r="N115" t="n">
        <v>1</v>
      </c>
      <c r="O115" s="11" t="inlineStr">
        <is>
          <t>U</t>
        </is>
      </c>
      <c r="P115" s="11" t="inlineStr"/>
      <c r="Q115" s="12" t="inlineStr"/>
      <c r="R115" s="11">
        <f>IF(Q115="","",ROUND((TODAY()-Q115)/365.25,1))</f>
        <v/>
      </c>
      <c r="S115" s="13">
        <f>IFERROR(VLOOKUP(O115,Assumptions!$A$7:$F$11,2,FALSE),0.25)</f>
        <v/>
      </c>
      <c r="T115" s="14">
        <f>IF(O115="A",MAX(1,IFERROR(VLOOKUP(O115,Assumptions!$A$7:$F$11,3,FALSE),3)+IFERROR(VLOOKUP(O115,Assumptions!$A$7:$F$11,4,FALSE),8)/2-MAX(0,IF(R115="",0,R115)-IFERROR(VLOOKUP(O115,Assumptions!$A$7:$F$11,5,FALSE),1.5))),IFERROR(VLOOKUP(O115,Assumptions!$A$7:$F$11,5,FALSE),2.5)+IFERROR(VLOOKUP(O115,Assumptions!$A$7:$F$11,3,FALSE),3)+IFERROR(VLOOKUP(O115,Assumptions!$A$7:$F$11,4,FALSE),8)/2)</f>
        <v/>
      </c>
      <c r="U115" s="15">
        <f>M115*S115/(1+Assumptions!$B$3)^T115</f>
        <v/>
      </c>
      <c r="V115" s="11">
        <f>IF(M115=0,"",ROUND(U115/M115*100,1))</f>
        <v/>
      </c>
      <c r="W115" s="16">
        <f>U115*Assumptions!$B$4</f>
        <v/>
      </c>
      <c r="X115" s="11">
        <f>IF(M115=0,"",ROUND(W115/M115*100,1))</f>
        <v/>
      </c>
      <c r="Y115" t="inlineStr">
        <is>
          <t>Base</t>
        </is>
      </c>
      <c r="Z115" t="inlineStr">
        <is>
          <t>(not found in document)</t>
        </is>
      </c>
      <c r="AA115" t="inlineStr"/>
      <c r="AB115" t="inlineStr">
        <is>
          <t>ajruiz.com.br</t>
        </is>
      </c>
      <c r="AC115" t="inlineStr">
        <is>
          <t>ERNESTO PERES POUSADA JUNIOR</t>
        </is>
      </c>
      <c r="AD115" t="inlineStr">
        <is>
          <t>Presidente</t>
        </is>
      </c>
      <c r="AE115" t="inlineStr">
        <is>
          <t>(21) 2354-3151</t>
        </is>
      </c>
      <c r="AF115" t="inlineStr">
        <is>
          <t>(21) 2354-3146</t>
        </is>
      </c>
      <c r="AG115" t="inlineStr"/>
      <c r="AH115" t="inlineStr">
        <is>
          <t>RJ</t>
        </is>
      </c>
      <c r="AI115" t="inlineStr">
        <is>
          <t>RIO DE JANEIRO</t>
        </is>
      </c>
      <c r="AJ115" t="inlineStr">
        <is>
          <t>Comércio atacadista de álcool carburante, biodiesel, gasolina e demais derivados de petróleo, exceto lubrificantes, não realizado por transportador re</t>
        </is>
      </c>
      <c r="AK115" t="inlineStr">
        <is>
          <t>DEMAIS</t>
        </is>
      </c>
      <c r="AL115" t="inlineStr">
        <is>
          <t>ATIVA</t>
        </is>
      </c>
      <c r="AM115" s="17" t="inlineStr">
        <is>
          <t>https://ajruiz.com.br/sites/default/files/public/arquivos-processos/2023-11/4_relacao_de_credores_analitica_art._51_iii_da_lre.pdf</t>
        </is>
      </c>
      <c r="AN115" s="18" t="inlineStr">
        <is>
          <t>p3 r43</t>
        </is>
      </c>
      <c r="AO115" s="18" t="inlineStr">
        <is>
          <t>p3: R$ 1.607.742,88</t>
        </is>
      </c>
      <c r="AP115" s="18" t="inlineStr">
        <is>
          <t>UNKNOWN</t>
        </is>
      </c>
      <c r="AQ115" s="18" t="inlineStr"/>
      <c r="AR115" s="18" t="inlineStr">
        <is>
          <t>OK</t>
        </is>
      </c>
      <c r="AS115" s="18" t="inlineStr">
        <is>
          <t>ROWS:p3r43 CASE_NUMBER_CORRECTED</t>
        </is>
      </c>
      <c r="AT115" s="18" t="inlineStr">
        <is>
          <t>2407a56c3502</t>
        </is>
      </c>
    </row>
    <row r="116">
      <c r="A116" s="9" t="n">
        <v>115</v>
      </c>
      <c r="B116" s="9" t="inlineStr">
        <is>
          <t>NEW</t>
        </is>
      </c>
      <c r="C116" s="9" t="inlineStr"/>
      <c r="D116" s="9" t="n">
        <v>0</v>
      </c>
      <c r="E116" s="9" t="inlineStr"/>
      <c r="F116" s="9" t="inlineStr"/>
      <c r="G116" s="9" t="inlineStr"/>
      <c r="H116" s="9" t="inlineStr"/>
      <c r="I116" t="inlineStr">
        <is>
          <t>GRUPO MULTILASER S.A.</t>
        </is>
      </c>
      <c r="J116" t="inlineStr">
        <is>
          <t>59.717.553/0006-17</t>
        </is>
      </c>
      <c r="K116" t="inlineStr">
        <is>
          <t>59717553</t>
        </is>
      </c>
      <c r="L116" t="inlineStr">
        <is>
          <t>59717553000617</t>
        </is>
      </c>
      <c r="M116" s="10" t="n">
        <v>1603580.85</v>
      </c>
      <c r="N116" t="n">
        <v>1</v>
      </c>
      <c r="O116" s="11" t="inlineStr">
        <is>
          <t>C</t>
        </is>
      </c>
      <c r="P116" s="11" t="inlineStr">
        <is>
          <t>ACTIVE</t>
        </is>
      </c>
      <c r="Q116" s="12" t="n">
        <v>43894</v>
      </c>
      <c r="R116" s="11">
        <f>IF(Q116="","",ROUND((TODAY()-Q116)/365.25,1))</f>
        <v/>
      </c>
      <c r="S116" s="13">
        <f>IFERROR(VLOOKUP(O116,Assumptions!$A$7:$F$11,2,FALSE),0.25)</f>
        <v/>
      </c>
      <c r="T116" s="14">
        <f>IF(O116="A",MAX(1,IFERROR(VLOOKUP(O116,Assumptions!$A$7:$F$11,3,FALSE),3)+IFERROR(VLOOKUP(O116,Assumptions!$A$7:$F$11,4,FALSE),8)/2-MAX(0,IF(R116="",0,R116)-IFERROR(VLOOKUP(O116,Assumptions!$A$7:$F$11,5,FALSE),1.5))),IFERROR(VLOOKUP(O116,Assumptions!$A$7:$F$11,5,FALSE),2.5)+IFERROR(VLOOKUP(O116,Assumptions!$A$7:$F$11,3,FALSE),3)+IFERROR(VLOOKUP(O116,Assumptions!$A$7:$F$11,4,FALSE),8)/2)</f>
        <v/>
      </c>
      <c r="U116" s="15">
        <f>M116*S116/(1+Assumptions!$B$3)^T116</f>
        <v/>
      </c>
      <c r="V116" s="11">
        <f>IF(M116=0,"",ROUND(U116/M116*100,1))</f>
        <v/>
      </c>
      <c r="W116" s="16">
        <f>U116*Assumptions!$B$4</f>
        <v/>
      </c>
      <c r="X116" s="11">
        <f>IF(M116=0,"",ROUND(W116/M116*100,1))</f>
        <v/>
      </c>
      <c r="Y116" t="inlineStr">
        <is>
          <t>CREDIMÓVEIS NOVOLAR LTDA.</t>
        </is>
      </c>
      <c r="Z116" t="inlineStr">
        <is>
          <t>0007565-40.2020.8.17.2370</t>
        </is>
      </c>
      <c r="AA116" t="inlineStr">
        <is>
          <t>TJPE</t>
        </is>
      </c>
      <c r="AB116" t="inlineStr">
        <is>
          <t>recuperacaojudicial.squarespace.com</t>
        </is>
      </c>
      <c r="AC116" t="inlineStr">
        <is>
          <t>ANDRE POROGER</t>
        </is>
      </c>
      <c r="AD116" t="inlineStr">
        <is>
          <t>Presidente</t>
        </is>
      </c>
      <c r="AE116" t="inlineStr">
        <is>
          <t>(11) 3616-8600</t>
        </is>
      </c>
      <c r="AF116" t="inlineStr"/>
      <c r="AG116" t="inlineStr"/>
      <c r="AH116" t="inlineStr">
        <is>
          <t>SP</t>
        </is>
      </c>
      <c r="AI116" t="inlineStr">
        <is>
          <t>SAO PAULO</t>
        </is>
      </c>
      <c r="AJ116" t="inlineStr">
        <is>
          <t>Fabricação de periféricos para equipamentos de informática</t>
        </is>
      </c>
      <c r="AK116" t="inlineStr">
        <is>
          <t>DEMAIS</t>
        </is>
      </c>
      <c r="AL116" t="inlineStr">
        <is>
          <t>ATIVA</t>
        </is>
      </c>
      <c r="AM116" s="17" t="inlineStr">
        <is>
          <t>https://recuperacaojudicial.squarespace.com/s/RJ-Credimoveis-QGC-01082025.pdf</t>
        </is>
      </c>
      <c r="AN116" s="18" t="inlineStr">
        <is>
          <t>p16 r28</t>
        </is>
      </c>
      <c r="AO116" s="18" t="inlineStr">
        <is>
          <t>p16: R$ 1.603.580,85</t>
        </is>
      </c>
      <c r="AP116" s="18" t="inlineStr">
        <is>
          <t>QGC</t>
        </is>
      </c>
      <c r="AQ116" s="18" t="inlineStr">
        <is>
          <t>2026-01-28</t>
        </is>
      </c>
      <c r="AR116" s="18" t="inlineStr">
        <is>
          <t>OK</t>
        </is>
      </c>
      <c r="AS116" s="18" t="inlineStr">
        <is>
          <t>ROWS:p16r28</t>
        </is>
      </c>
      <c r="AT116" s="18" t="inlineStr">
        <is>
          <t>849d4fe5adce</t>
        </is>
      </c>
    </row>
    <row r="117">
      <c r="A117" s="9" t="n">
        <v>116</v>
      </c>
      <c r="B117" s="9" t="inlineStr">
        <is>
          <t>NEW</t>
        </is>
      </c>
      <c r="C117" s="9" t="inlineStr"/>
      <c r="D117" s="9" t="n">
        <v>0</v>
      </c>
      <c r="E117" s="9" t="inlineStr"/>
      <c r="F117" s="9" t="inlineStr"/>
      <c r="G117" s="9" t="inlineStr"/>
      <c r="H117" s="9" t="inlineStr"/>
      <c r="I117" t="inlineStr">
        <is>
          <t>P.U. ESPUMAS DO BRASIL LTDA</t>
        </is>
      </c>
      <c r="J117" t="inlineStr">
        <is>
          <t>P.R.III DO BRASIL LTDA.</t>
        </is>
      </c>
      <c r="K117" t="inlineStr">
        <is>
          <t>01494867</t>
        </is>
      </c>
      <c r="L117" t="inlineStr">
        <is>
          <t>01494867000103, 01494867000294</t>
        </is>
      </c>
      <c r="M117" s="10" t="n">
        <v>1560300.64</v>
      </c>
      <c r="N117" t="n">
        <v>2</v>
      </c>
      <c r="O117" s="11" t="inlineStr">
        <is>
          <t>D</t>
        </is>
      </c>
      <c r="P117" s="11" t="inlineStr"/>
      <c r="Q117" s="12" t="inlineStr"/>
      <c r="R117" s="11">
        <f>IF(Q117="","",ROUND((TODAY()-Q117)/365.25,1))</f>
        <v/>
      </c>
      <c r="S117" s="13">
        <f>IFERROR(VLOOKUP(O117,Assumptions!$A$7:$F$11,2,FALSE),0.25)</f>
        <v/>
      </c>
      <c r="T117" s="14">
        <f>IF(O117="A",MAX(1,IFERROR(VLOOKUP(O117,Assumptions!$A$7:$F$11,3,FALSE),3)+IFERROR(VLOOKUP(O117,Assumptions!$A$7:$F$11,4,FALSE),8)/2-MAX(0,IF(R117="",0,R117)-IFERROR(VLOOKUP(O117,Assumptions!$A$7:$F$11,5,FALSE),1.5))),IFERROR(VLOOKUP(O117,Assumptions!$A$7:$F$11,5,FALSE),2.5)+IFERROR(VLOOKUP(O117,Assumptions!$A$7:$F$11,3,FALSE),3)+IFERROR(VLOOKUP(O117,Assumptions!$A$7:$F$11,4,FALSE),8)/2)</f>
        <v/>
      </c>
      <c r="U117" s="15">
        <f>M117*S117/(1+Assumptions!$B$3)^T117</f>
        <v/>
      </c>
      <c r="V117" s="11">
        <f>IF(M117=0,"",ROUND(U117/M117*100,1))</f>
        <v/>
      </c>
      <c r="W117" s="16">
        <f>U117*Assumptions!$B$4</f>
        <v/>
      </c>
      <c r="X117" s="11">
        <f>IF(M117=0,"",ROUND(W117/M117*100,1))</f>
        <v/>
      </c>
      <c r="Y117" t="inlineStr">
        <is>
          <t>Mannes</t>
        </is>
      </c>
      <c r="Z117" t="inlineStr">
        <is>
          <t>0005010-50.2013.8.24.0026</t>
        </is>
      </c>
      <c r="AA117" t="inlineStr"/>
      <c r="AB117" t="inlineStr">
        <is>
          <t>administradorajudicialgs.com.br</t>
        </is>
      </c>
      <c r="AC117" t="inlineStr">
        <is>
          <t>GENESIO ALFREDO SAMPAIO LIMA</t>
        </is>
      </c>
      <c r="AD117" t="inlineStr">
        <is>
          <t>Administrador</t>
        </is>
      </c>
      <c r="AE117" t="inlineStr">
        <is>
          <t>(11) 3488-1904</t>
        </is>
      </c>
      <c r="AF117" t="inlineStr"/>
      <c r="AG117" t="inlineStr"/>
      <c r="AH117" t="inlineStr">
        <is>
          <t>SP</t>
        </is>
      </c>
      <c r="AI117" t="inlineStr">
        <is>
          <t>SAO PAULO</t>
        </is>
      </c>
      <c r="AJ117" t="inlineStr">
        <is>
          <t>Comércio atacadista de outros produtos químicos e petroquímicos não especificados anteriormente</t>
        </is>
      </c>
      <c r="AK117" t="inlineStr">
        <is>
          <t>DEMAIS</t>
        </is>
      </c>
      <c r="AL117" t="inlineStr">
        <is>
          <t>ATIVA</t>
        </is>
      </c>
      <c r="AM117" s="17" t="inlineStr">
        <is>
          <t>https://administradorajudicialgs.com.br/wp-content/uploads/2024/12/relacao-de-credores-da-falida.pdf</t>
        </is>
      </c>
      <c r="AN117" s="18" t="inlineStr">
        <is>
          <t>p17 r28; p17 r43</t>
        </is>
      </c>
      <c r="AO117" s="18" t="inlineStr">
        <is>
          <t>p17: R$ 945.704,67; p17: R$ 614.595,97</t>
        </is>
      </c>
      <c r="AP117" s="18" t="inlineStr">
        <is>
          <t>OTHER</t>
        </is>
      </c>
      <c r="AQ117" s="18" t="inlineStr">
        <is>
          <t>2025-03-25</t>
        </is>
      </c>
      <c r="AR117" s="18" t="inlineStr">
        <is>
          <t>OK_NO_TOTALS</t>
        </is>
      </c>
      <c r="AS117" s="18" t="inlineStr">
        <is>
          <t>ROWS:p17r28,p17r43 UNRECONCILED_SOURCE CASE_NUMBER_CORRECTED</t>
        </is>
      </c>
      <c r="AT117" s="18" t="inlineStr">
        <is>
          <t>ea17ba43b261</t>
        </is>
      </c>
    </row>
    <row r="118">
      <c r="A118" s="9" t="n">
        <v>117</v>
      </c>
      <c r="B118" s="9" t="inlineStr">
        <is>
          <t>NEW</t>
        </is>
      </c>
      <c r="C118" s="9" t="inlineStr"/>
      <c r="D118" s="9" t="n">
        <v>0</v>
      </c>
      <c r="E118" s="9" t="inlineStr"/>
      <c r="F118" s="9" t="inlineStr"/>
      <c r="G118" s="9" t="inlineStr"/>
      <c r="H118" s="9" t="inlineStr"/>
      <c r="I118" t="inlineStr">
        <is>
          <t>KARINA PLASTICOS LTDA</t>
        </is>
      </c>
      <c r="J118" t="inlineStr">
        <is>
          <t>KARINA IND E COM DE PLASTICOS LTDA</t>
        </is>
      </c>
      <c r="K118" t="inlineStr">
        <is>
          <t>51254159</t>
        </is>
      </c>
      <c r="L118" t="inlineStr">
        <is>
          <t>51254159000173</t>
        </is>
      </c>
      <c r="M118" s="10" t="n">
        <v>1557723.71</v>
      </c>
      <c r="N118" t="n">
        <v>1</v>
      </c>
      <c r="O118" s="11" t="inlineStr">
        <is>
          <t>C</t>
        </is>
      </c>
      <c r="P118" s="11" t="inlineStr">
        <is>
          <t>ACTIVE</t>
        </is>
      </c>
      <c r="Q118" s="12" t="n">
        <v>45068</v>
      </c>
      <c r="R118" s="11">
        <f>IF(Q118="","",ROUND((TODAY()-Q118)/365.25,1))</f>
        <v/>
      </c>
      <c r="S118" s="13">
        <f>IFERROR(VLOOKUP(O118,Assumptions!$A$7:$F$11,2,FALSE),0.25)</f>
        <v/>
      </c>
      <c r="T118" s="14">
        <f>IF(O118="A",MAX(1,IFERROR(VLOOKUP(O118,Assumptions!$A$7:$F$11,3,FALSE),3)+IFERROR(VLOOKUP(O118,Assumptions!$A$7:$F$11,4,FALSE),8)/2-MAX(0,IF(R118="",0,R118)-IFERROR(VLOOKUP(O118,Assumptions!$A$7:$F$11,5,FALSE),1.5))),IFERROR(VLOOKUP(O118,Assumptions!$A$7:$F$11,5,FALSE),2.5)+IFERROR(VLOOKUP(O118,Assumptions!$A$7:$F$11,3,FALSE),3)+IFERROR(VLOOKUP(O118,Assumptions!$A$7:$F$11,4,FALSE),8)/2)</f>
        <v/>
      </c>
      <c r="U118" s="15">
        <f>M118*S118/(1+Assumptions!$B$3)^T118</f>
        <v/>
      </c>
      <c r="V118" s="11">
        <f>IF(M118=0,"",ROUND(U118/M118*100,1))</f>
        <v/>
      </c>
      <c r="W118" s="16">
        <f>U118*Assumptions!$B$4</f>
        <v/>
      </c>
      <c r="X118" s="11">
        <f>IF(M118=0,"",ROUND(W118/M118*100,1))</f>
        <v/>
      </c>
      <c r="Y118" t="inlineStr">
        <is>
          <t>Grupo Conduscabos</t>
        </is>
      </c>
      <c r="Z118" t="inlineStr">
        <is>
          <t>8005129-09.2023.8.05.0039</t>
        </is>
      </c>
      <c r="AA118" t="inlineStr">
        <is>
          <t>TJBA</t>
        </is>
      </c>
      <c r="AB118" t="inlineStr">
        <is>
          <t>assistjud.com.br</t>
        </is>
      </c>
      <c r="AC118" t="inlineStr">
        <is>
          <t>DIANA GUEREKMEZIAN ATRA</t>
        </is>
      </c>
      <c r="AD118" t="inlineStr">
        <is>
          <t>Sócio-Administrador</t>
        </is>
      </c>
      <c r="AE118" t="inlineStr">
        <is>
          <t>(11) 2440-8477</t>
        </is>
      </c>
      <c r="AF118" t="inlineStr">
        <is>
          <t>(11) 2463-2920</t>
        </is>
      </c>
      <c r="AG118" t="inlineStr"/>
      <c r="AH118" t="inlineStr">
        <is>
          <t>SP</t>
        </is>
      </c>
      <c r="AI118" t="inlineStr">
        <is>
          <t>GUARULHOS</t>
        </is>
      </c>
      <c r="AJ118" t="inlineStr">
        <is>
          <t>Fabricação de resinas termoplásticas</t>
        </is>
      </c>
      <c r="AK118" t="inlineStr">
        <is>
          <t>DEMAIS</t>
        </is>
      </c>
      <c r="AL118" t="inlineStr">
        <is>
          <t>ATIVA</t>
        </is>
      </c>
      <c r="AM118" s="17" t="inlineStr">
        <is>
          <t>https://assistjud.com.br/wp-content/uploads/elementor/forms/65098c80a5824.pdf</t>
        </is>
      </c>
      <c r="AN118" s="18" t="inlineStr">
        <is>
          <t>p8 r5</t>
        </is>
      </c>
      <c r="AO118" s="18" t="inlineStr">
        <is>
          <t>p8: R$ 1.557.723,71</t>
        </is>
      </c>
      <c r="AP118" s="18" t="inlineStr">
        <is>
          <t>AJ_LIST</t>
        </is>
      </c>
      <c r="AQ118" s="18" t="inlineStr">
        <is>
          <t>2023-09-18</t>
        </is>
      </c>
      <c r="AR118" s="18" t="inlineStr">
        <is>
          <t>OK_NO_TOTALS</t>
        </is>
      </c>
      <c r="AS118" s="18" t="inlineStr">
        <is>
          <t>ROWS:p8r5 UNRECONCILED_SOURCE</t>
        </is>
      </c>
      <c r="AT118" s="18" t="inlineStr">
        <is>
          <t>a0ae32a59c29</t>
        </is>
      </c>
    </row>
    <row r="119">
      <c r="A119" s="9" t="n">
        <v>118</v>
      </c>
      <c r="B119" s="9" t="inlineStr">
        <is>
          <t>NEW</t>
        </is>
      </c>
      <c r="C119" s="9" t="inlineStr"/>
      <c r="D119" s="9" t="n">
        <v>0</v>
      </c>
      <c r="E119" s="9" t="inlineStr"/>
      <c r="F119" s="9" t="inlineStr"/>
      <c r="G119" s="9" t="inlineStr"/>
      <c r="H119" s="9" t="inlineStr"/>
      <c r="I119" t="inlineStr">
        <is>
          <t>RECYCLE BAG INDUSTRIA E SERVICOS LTDA</t>
        </is>
      </c>
      <c r="J119" t="inlineStr">
        <is>
          <t>RECYCLE BAG INDUSTRIA E SERVICOS EIRELI</t>
        </is>
      </c>
      <c r="K119" t="inlineStr">
        <is>
          <t>23141884</t>
        </is>
      </c>
      <c r="L119" t="inlineStr">
        <is>
          <t>23141884000108</t>
        </is>
      </c>
      <c r="M119" s="10" t="n">
        <v>1547270.31</v>
      </c>
      <c r="N119" t="n">
        <v>1</v>
      </c>
      <c r="O119" s="11" t="inlineStr">
        <is>
          <t>C</t>
        </is>
      </c>
      <c r="P119" s="11" t="inlineStr">
        <is>
          <t>ACTIVE</t>
        </is>
      </c>
      <c r="Q119" s="12" t="n">
        <v>45057</v>
      </c>
      <c r="R119" s="11">
        <f>IF(Q119="","",ROUND((TODAY()-Q119)/365.25,1))</f>
        <v/>
      </c>
      <c r="S119" s="13">
        <f>IFERROR(VLOOKUP(O119,Assumptions!$A$7:$F$11,2,FALSE),0.25)</f>
        <v/>
      </c>
      <c r="T119" s="14">
        <f>IF(O119="A",MAX(1,IFERROR(VLOOKUP(O119,Assumptions!$A$7:$F$11,3,FALSE),3)+IFERROR(VLOOKUP(O119,Assumptions!$A$7:$F$11,4,FALSE),8)/2-MAX(0,IF(R119="",0,R119)-IFERROR(VLOOKUP(O119,Assumptions!$A$7:$F$11,5,FALSE),1.5))),IFERROR(VLOOKUP(O119,Assumptions!$A$7:$F$11,5,FALSE),2.5)+IFERROR(VLOOKUP(O119,Assumptions!$A$7:$F$11,3,FALSE),3)+IFERROR(VLOOKUP(O119,Assumptions!$A$7:$F$11,4,FALSE),8)/2)</f>
        <v/>
      </c>
      <c r="U119" s="15">
        <f>M119*S119/(1+Assumptions!$B$3)^T119</f>
        <v/>
      </c>
      <c r="V119" s="11">
        <f>IF(M119=0,"",ROUND(U119/M119*100,1))</f>
        <v/>
      </c>
      <c r="W119" s="16">
        <f>U119*Assumptions!$B$4</f>
        <v/>
      </c>
      <c r="X119" s="11">
        <f>IF(M119=0,"",ROUND(W119/M119*100,1))</f>
        <v/>
      </c>
      <c r="Y119" t="inlineStr">
        <is>
          <t>TOP TEXTIL EMBALAGENS LTDA</t>
        </is>
      </c>
      <c r="Z119" t="inlineStr">
        <is>
          <t>5011460-87.2023.8.24.0020</t>
        </is>
      </c>
      <c r="AA119" t="inlineStr">
        <is>
          <t>TJSC</t>
        </is>
      </c>
      <c r="AB119" t="inlineStr">
        <is>
          <t>cataliseaj.com.br</t>
        </is>
      </c>
      <c r="AC119" t="inlineStr">
        <is>
          <t>LUIZA CRISTHINA MIRANDA CORREA</t>
        </is>
      </c>
      <c r="AD119" t="inlineStr">
        <is>
          <t>Sócio-Administrador</t>
        </is>
      </c>
      <c r="AE119" t="inlineStr">
        <is>
          <t>(33) 3339-1000</t>
        </is>
      </c>
      <c r="AF119" t="inlineStr"/>
      <c r="AG119" t="inlineStr"/>
      <c r="AH119" t="inlineStr">
        <is>
          <t>MG</t>
        </is>
      </c>
      <c r="AI119" t="inlineStr">
        <is>
          <t>MANHUACU</t>
        </is>
      </c>
      <c r="AJ119" t="inlineStr">
        <is>
          <t>Fabricação de outros produtos têxteis não especificados anteriormente</t>
        </is>
      </c>
      <c r="AK119" t="inlineStr">
        <is>
          <t>EMPRESA DE PEQUENO PORTE</t>
        </is>
      </c>
      <c r="AL119" t="inlineStr">
        <is>
          <t>ATIVA</t>
        </is>
      </c>
      <c r="AM119" s="17" t="inlineStr">
        <is>
          <t>https://cataliseaj.com.br/sgc/download.php?file=files/processo_documento/processo_documento15092204102024_1_.pdf&amp;nome=02. RELAÇÃO DE CREDORES</t>
        </is>
      </c>
      <c r="AN119" s="18" t="inlineStr">
        <is>
          <t>p3 r10</t>
        </is>
      </c>
      <c r="AO119" s="18" t="inlineStr">
        <is>
          <t>p3: R$ 1.547.270,31</t>
        </is>
      </c>
      <c r="AP119" s="18" t="inlineStr">
        <is>
          <t>DEBTOR_LIST</t>
        </is>
      </c>
      <c r="AQ119" s="18" t="inlineStr"/>
      <c r="AR119" s="18" t="inlineStr">
        <is>
          <t>OK_NO_TOTALS</t>
        </is>
      </c>
      <c r="AS119" s="18" t="inlineStr">
        <is>
          <t>ROWS:p3r10 UNRECONCILED_SOURCE</t>
        </is>
      </c>
      <c r="AT119" s="18" t="inlineStr">
        <is>
          <t>741aed48dd00</t>
        </is>
      </c>
    </row>
    <row r="120">
      <c r="A120" s="9" t="n">
        <v>119</v>
      </c>
      <c r="B120" s="9" t="inlineStr">
        <is>
          <t>NEW</t>
        </is>
      </c>
      <c r="C120" s="9" t="inlineStr"/>
      <c r="D120" s="9" t="n">
        <v>0</v>
      </c>
      <c r="E120" s="9" t="inlineStr"/>
      <c r="F120" s="9" t="inlineStr"/>
      <c r="G120" s="9" t="inlineStr"/>
      <c r="H120" s="9" t="inlineStr"/>
      <c r="I120" t="inlineStr">
        <is>
          <t>FML INCORPORADORA LTDA</t>
        </is>
      </c>
      <c r="J120" t="inlineStr">
        <is>
          <t>FML Incorcoporadora Ltda</t>
        </is>
      </c>
      <c r="K120" t="inlineStr">
        <is>
          <t>75724070</t>
        </is>
      </c>
      <c r="L120" t="inlineStr">
        <is>
          <t>75724070000191</t>
        </is>
      </c>
      <c r="M120" s="10" t="n">
        <v>1535860.08</v>
      </c>
      <c r="N120" t="n">
        <v>1</v>
      </c>
      <c r="O120" s="11" t="inlineStr">
        <is>
          <t>C</t>
        </is>
      </c>
      <c r="P120" s="11" t="inlineStr">
        <is>
          <t>ACTIVE</t>
        </is>
      </c>
      <c r="Q120" s="12" t="n">
        <v>44987</v>
      </c>
      <c r="R120" s="11">
        <f>IF(Q120="","",ROUND((TODAY()-Q120)/365.25,1))</f>
        <v/>
      </c>
      <c r="S120" s="13">
        <f>IFERROR(VLOOKUP(O120,Assumptions!$A$7:$F$11,2,FALSE),0.25)</f>
        <v/>
      </c>
      <c r="T120" s="14">
        <f>IF(O120="A",MAX(1,IFERROR(VLOOKUP(O120,Assumptions!$A$7:$F$11,3,FALSE),3)+IFERROR(VLOOKUP(O120,Assumptions!$A$7:$F$11,4,FALSE),8)/2-MAX(0,IF(R120="",0,R120)-IFERROR(VLOOKUP(O120,Assumptions!$A$7:$F$11,5,FALSE),1.5))),IFERROR(VLOOKUP(O120,Assumptions!$A$7:$F$11,5,FALSE),2.5)+IFERROR(VLOOKUP(O120,Assumptions!$A$7:$F$11,3,FALSE),3)+IFERROR(VLOOKUP(O120,Assumptions!$A$7:$F$11,4,FALSE),8)/2)</f>
        <v/>
      </c>
      <c r="U120" s="15">
        <f>M120*S120/(1+Assumptions!$B$3)^T120</f>
        <v/>
      </c>
      <c r="V120" s="11">
        <f>IF(M120=0,"",ROUND(U120/M120*100,1))</f>
        <v/>
      </c>
      <c r="W120" s="16">
        <f>U120*Assumptions!$B$4</f>
        <v/>
      </c>
      <c r="X120" s="11">
        <f>IF(M120=0,"",ROUND(W120/M120*100,1))</f>
        <v/>
      </c>
      <c r="Y120" t="inlineStr">
        <is>
          <t>GRUPO DP4</t>
        </is>
      </c>
      <c r="Z120" t="inlineStr">
        <is>
          <t>0005010-98.2023.8.16.0001</t>
        </is>
      </c>
      <c r="AA120" t="inlineStr">
        <is>
          <t>TJPR</t>
        </is>
      </c>
      <c r="AB120" t="inlineStr">
        <is>
          <t>marquesadmjudicial.com.br</t>
        </is>
      </c>
      <c r="AC120" t="inlineStr">
        <is>
          <t>JOSE CARLOS SALVADORI</t>
        </is>
      </c>
      <c r="AD120" t="inlineStr">
        <is>
          <t>Administrador</t>
        </is>
      </c>
      <c r="AE120" t="inlineStr">
        <is>
          <t>(41) 2169-2874</t>
        </is>
      </c>
      <c r="AF120" t="inlineStr">
        <is>
          <t>(41) 2169-2800</t>
        </is>
      </c>
      <c r="AG120" t="inlineStr"/>
      <c r="AH120" t="inlineStr">
        <is>
          <t>PR</t>
        </is>
      </c>
      <c r="AI120" t="inlineStr">
        <is>
          <t>CURITIBA</t>
        </is>
      </c>
      <c r="AJ120" t="inlineStr">
        <is>
          <t>Incorporação de empreendimentos imobiliários</t>
        </is>
      </c>
      <c r="AK120" t="inlineStr">
        <is>
          <t>DEMAIS</t>
        </is>
      </c>
      <c r="AL120" t="inlineStr">
        <is>
          <t>ATIVA</t>
        </is>
      </c>
      <c r="AM120" s="17" t="inlineStr">
        <is>
          <t>https://marquesadmjudicial.com.br/sgc/download.php?file=files/processo_documento/processo_documento15293208032024_1_.pdf&amp;nome=Relação Nominal de Credores da AJ-Sintética</t>
        </is>
      </c>
      <c r="AN120" s="18" t="inlineStr">
        <is>
          <t>p25 r10</t>
        </is>
      </c>
      <c r="AO120" s="18" t="inlineStr">
        <is>
          <t>p25: R$ 1.535.860,08</t>
        </is>
      </c>
      <c r="AP120" s="18" t="inlineStr">
        <is>
          <t>AJ_LIST</t>
        </is>
      </c>
      <c r="AQ120" s="18" t="inlineStr">
        <is>
          <t>2023-03-02</t>
        </is>
      </c>
      <c r="AR120" s="18" t="inlineStr">
        <is>
          <t>QUARANTINED</t>
        </is>
      </c>
      <c r="AS120" s="18" t="inlineStr">
        <is>
          <t>PARTIAL_DOC_CLASS_III_RECONCILED ROWS:p25r10</t>
        </is>
      </c>
      <c r="AT120" s="18" t="inlineStr">
        <is>
          <t>b465a5d11eec</t>
        </is>
      </c>
    </row>
    <row r="121">
      <c r="A121" s="9" t="n">
        <v>120</v>
      </c>
      <c r="B121" s="9" t="inlineStr">
        <is>
          <t>NEW</t>
        </is>
      </c>
      <c r="C121" s="9" t="inlineStr"/>
      <c r="D121" s="9" t="n">
        <v>0</v>
      </c>
      <c r="E121" s="9" t="inlineStr"/>
      <c r="F121" s="9" t="inlineStr"/>
      <c r="G121" s="9" t="inlineStr"/>
      <c r="H121" s="9" t="inlineStr"/>
      <c r="I121" t="inlineStr">
        <is>
          <t>MOJ CONSULTORIA E NEGOCIOS S/A</t>
        </is>
      </c>
      <c r="J121" t="inlineStr">
        <is>
          <t>MOJ CONSULTORIA E NEGOCIOS S/A</t>
        </is>
      </c>
      <c r="K121" t="inlineStr">
        <is>
          <t>21132562</t>
        </is>
      </c>
      <c r="L121" t="inlineStr">
        <is>
          <t>21132562000169</t>
        </is>
      </c>
      <c r="M121" s="10" t="n">
        <v>1528248.6</v>
      </c>
      <c r="N121" t="n">
        <v>1</v>
      </c>
      <c r="O121" s="11" t="inlineStr">
        <is>
          <t>B</t>
        </is>
      </c>
      <c r="P121" s="11" t="inlineStr">
        <is>
          <t>ACTIVE</t>
        </is>
      </c>
      <c r="Q121" s="12" t="n">
        <v>45877</v>
      </c>
      <c r="R121" s="11">
        <f>IF(Q121="","",ROUND((TODAY()-Q121)/365.25,1))</f>
        <v/>
      </c>
      <c r="S121" s="13">
        <f>IFERROR(VLOOKUP(O121,Assumptions!$A$7:$F$11,2,FALSE),0.25)</f>
        <v/>
      </c>
      <c r="T121" s="14">
        <f>IF(O121="A",MAX(1,IFERROR(VLOOKUP(O121,Assumptions!$A$7:$F$11,3,FALSE),3)+IFERROR(VLOOKUP(O121,Assumptions!$A$7:$F$11,4,FALSE),8)/2-MAX(0,IF(R121="",0,R121)-IFERROR(VLOOKUP(O121,Assumptions!$A$7:$F$11,5,FALSE),1.5))),IFERROR(VLOOKUP(O121,Assumptions!$A$7:$F$11,5,FALSE),2.5)+IFERROR(VLOOKUP(O121,Assumptions!$A$7:$F$11,3,FALSE),3)+IFERROR(VLOOKUP(O121,Assumptions!$A$7:$F$11,4,FALSE),8)/2)</f>
        <v/>
      </c>
      <c r="U121" s="15">
        <f>M121*S121/(1+Assumptions!$B$3)^T121</f>
        <v/>
      </c>
      <c r="V121" s="11">
        <f>IF(M121=0,"",ROUND(U121/M121*100,1))</f>
        <v/>
      </c>
      <c r="W121" s="16">
        <f>U121*Assumptions!$B$4</f>
        <v/>
      </c>
      <c r="X121" s="11">
        <f>IF(M121=0,"",ROUND(W121/M121*100,1))</f>
        <v/>
      </c>
      <c r="Y121" t="inlineStr">
        <is>
          <t>VENEZA SERVIÇOS ADMINISTRATIVOS LTDA.</t>
        </is>
      </c>
      <c r="Z121" t="inlineStr">
        <is>
          <t>3000117-40.2025.8.06.0512</t>
        </is>
      </c>
      <c r="AA121" t="inlineStr">
        <is>
          <t>TJCE</t>
        </is>
      </c>
      <c r="AB121" t="inlineStr">
        <is>
          <t>bugarimecoelho.com.br</t>
        </is>
      </c>
      <c r="AC121" t="inlineStr">
        <is>
          <t>ANA MARIA ALVES DA ROCHA NEVES</t>
        </is>
      </c>
      <c r="AD121" t="inlineStr">
        <is>
          <t>Diretor</t>
        </is>
      </c>
      <c r="AE121" t="inlineStr">
        <is>
          <t>(21) 4106-5038</t>
        </is>
      </c>
      <c r="AF121" t="inlineStr"/>
      <c r="AG121" t="inlineStr"/>
      <c r="AH121" t="inlineStr">
        <is>
          <t>RJ</t>
        </is>
      </c>
      <c r="AI121" t="inlineStr">
        <is>
          <t>RIO DE JANEIRO</t>
        </is>
      </c>
      <c r="AJ121" t="inlineStr">
        <is>
          <t>Atividades de produção cinematográfica, de vídeos e de programas de televisão não especificadas anteriormente</t>
        </is>
      </c>
      <c r="AK121" t="inlineStr">
        <is>
          <t>DEMAIS</t>
        </is>
      </c>
      <c r="AL121" t="inlineStr">
        <is>
          <t>ATIVA</t>
        </is>
      </c>
      <c r="AM121" s="17" t="inlineStr">
        <is>
          <t>https://bugarimecoelho.com.br/ws/media-library/b6b7ea42b9fa2afe30bc728fe00cd5c6/07---edital-do-processamento-da-recuperacao-judicial.pdf</t>
        </is>
      </c>
      <c r="AN121" s="18" t="inlineStr">
        <is>
          <t>p16 r10</t>
        </is>
      </c>
      <c r="AO121" s="18" t="inlineStr">
        <is>
          <t>p16: R$ 1.528.248,60</t>
        </is>
      </c>
      <c r="AP121" s="18" t="inlineStr">
        <is>
          <t>UNKNOWN</t>
        </is>
      </c>
      <c r="AQ121" s="18" t="inlineStr">
        <is>
          <t>2026-07-09</t>
        </is>
      </c>
      <c r="AR121" s="18" t="inlineStr">
        <is>
          <t>OK</t>
        </is>
      </c>
      <c r="AS121" s="18" t="inlineStr">
        <is>
          <t>ROWS:p16r10</t>
        </is>
      </c>
      <c r="AT121" s="18" t="inlineStr">
        <is>
          <t>73b45cbf1779</t>
        </is>
      </c>
    </row>
    <row r="122">
      <c r="A122" s="9" t="n">
        <v>121</v>
      </c>
      <c r="B122" s="9" t="inlineStr">
        <is>
          <t>NEW</t>
        </is>
      </c>
      <c r="C122" s="9" t="inlineStr"/>
      <c r="D122" s="9" t="n">
        <v>0</v>
      </c>
      <c r="E122" s="9" t="inlineStr"/>
      <c r="F122" s="9" t="inlineStr"/>
      <c r="G122" s="9" t="inlineStr"/>
      <c r="H122" s="9" t="inlineStr"/>
      <c r="I122" t="inlineStr">
        <is>
          <t>BELLOTA BRASIL LTDA</t>
        </is>
      </c>
      <c r="J122" t="inlineStr">
        <is>
          <t>SIM</t>
        </is>
      </c>
      <c r="K122" t="inlineStr">
        <is>
          <t>02588815</t>
        </is>
      </c>
      <c r="L122" t="inlineStr">
        <is>
          <t>02588815000169</t>
        </is>
      </c>
      <c r="M122" s="10" t="n">
        <v>1492675.94</v>
      </c>
      <c r="N122" t="n">
        <v>1</v>
      </c>
      <c r="O122" s="11" t="inlineStr">
        <is>
          <t>B</t>
        </is>
      </c>
      <c r="P122" s="11" t="inlineStr"/>
      <c r="Q122" s="12" t="inlineStr"/>
      <c r="R122" s="11">
        <f>IF(Q122="","",ROUND((TODAY()-Q122)/365.25,1))</f>
        <v/>
      </c>
      <c r="S122" s="13">
        <f>IFERROR(VLOOKUP(O122,Assumptions!$A$7:$F$11,2,FALSE),0.25)</f>
        <v/>
      </c>
      <c r="T122" s="14">
        <f>IF(O122="A",MAX(1,IFERROR(VLOOKUP(O122,Assumptions!$A$7:$F$11,3,FALSE),3)+IFERROR(VLOOKUP(O122,Assumptions!$A$7:$F$11,4,FALSE),8)/2-MAX(0,IF(R122="",0,R122)-IFERROR(VLOOKUP(O122,Assumptions!$A$7:$F$11,5,FALSE),1.5))),IFERROR(VLOOKUP(O122,Assumptions!$A$7:$F$11,5,FALSE),2.5)+IFERROR(VLOOKUP(O122,Assumptions!$A$7:$F$11,3,FALSE),3)+IFERROR(VLOOKUP(O122,Assumptions!$A$7:$F$11,4,FALSE),8)/2)</f>
        <v/>
      </c>
      <c r="U122" s="15">
        <f>M122*S122/(1+Assumptions!$B$3)^T122</f>
        <v/>
      </c>
      <c r="V122" s="11">
        <f>IF(M122=0,"",ROUND(U122/M122*100,1))</f>
        <v/>
      </c>
      <c r="W122" s="16">
        <f>U122*Assumptions!$B$4</f>
        <v/>
      </c>
      <c r="X122" s="11">
        <f>IF(M122=0,"",ROUND(W122/M122*100,1))</f>
        <v/>
      </c>
      <c r="Y122" t="inlineStr">
        <is>
          <t>Grupo Rech</t>
        </is>
      </c>
      <c r="Z122" t="inlineStr">
        <is>
          <t>5057720-48.2025.8.24.0023</t>
        </is>
      </c>
      <c r="AA122" t="inlineStr"/>
      <c r="AB122" t="inlineStr">
        <is>
          <t>credibilita.com.br</t>
        </is>
      </c>
      <c r="AC122" t="inlineStr">
        <is>
          <t>MARIANA ZARDO</t>
        </is>
      </c>
      <c r="AD122" t="inlineStr">
        <is>
          <t>Administrador</t>
        </is>
      </c>
      <c r="AE122" t="inlineStr">
        <is>
          <t>(47) 3301-8030</t>
        </is>
      </c>
      <c r="AF122" t="inlineStr"/>
      <c r="AG122" t="inlineStr"/>
      <c r="AH122" t="inlineStr">
        <is>
          <t>SC</t>
        </is>
      </c>
      <c r="AI122" t="inlineStr">
        <is>
          <t>INDAIAL</t>
        </is>
      </c>
      <c r="AJ122" t="inlineStr">
        <is>
          <t>Fabricação de máquinas e equipamentos para a agricultura e pecuária, peças e acessórios, exceto para irrigação</t>
        </is>
      </c>
      <c r="AK122" t="inlineStr">
        <is>
          <t>DEMAIS</t>
        </is>
      </c>
      <c r="AL122" t="inlineStr">
        <is>
          <t>ATIVA</t>
        </is>
      </c>
      <c r="AM122" s="17" t="inlineStr">
        <is>
          <t>https://credibilita.com.br/wp-content/uploads/2025/09/Relacao-Credores-29.04.2026.pdf</t>
        </is>
      </c>
      <c r="AN122" s="18" t="inlineStr">
        <is>
          <t>p1 r14</t>
        </is>
      </c>
      <c r="AO122" s="18" t="inlineStr">
        <is>
          <t>p1: R$ 1.492.675,94</t>
        </is>
      </c>
      <c r="AP122" s="18" t="inlineStr">
        <is>
          <t>QUORUM_LIST</t>
        </is>
      </c>
      <c r="AQ122" s="18" t="inlineStr"/>
      <c r="AR122" s="18" t="inlineStr">
        <is>
          <t>OK_NO_TOTALS</t>
        </is>
      </c>
      <c r="AS122" s="18" t="inlineStr">
        <is>
          <t>ROWS:p1r14 UNRECONCILED_SOURCE VALUE_COL:Valor_Após_Analise CASE_NUMBER_CORRECTED</t>
        </is>
      </c>
      <c r="AT122" s="18" t="inlineStr">
        <is>
          <t>cf92cff797d2</t>
        </is>
      </c>
    </row>
    <row r="123">
      <c r="A123" s="9" t="n">
        <v>122</v>
      </c>
      <c r="B123" s="9" t="inlineStr">
        <is>
          <t>NEW</t>
        </is>
      </c>
      <c r="C123" s="9" t="inlineStr"/>
      <c r="D123" s="9" t="n">
        <v>0</v>
      </c>
      <c r="E123" s="9" t="inlineStr"/>
      <c r="F123" s="9" t="inlineStr"/>
      <c r="G123" s="9" t="inlineStr"/>
      <c r="H123" s="9" t="inlineStr"/>
      <c r="I123" t="inlineStr">
        <is>
          <t>LEGGETT &amp; PLATT DO BRASIL LTDA</t>
        </is>
      </c>
      <c r="J123" t="inlineStr">
        <is>
          <t>LEGGETT &amp; PLATT DO BRASIL LTDA</t>
        </is>
      </c>
      <c r="K123" t="inlineStr">
        <is>
          <t>03213075</t>
        </is>
      </c>
      <c r="L123" t="inlineStr">
        <is>
          <t>03213075000572</t>
        </is>
      </c>
      <c r="M123" s="10" t="n">
        <v>1488789.48</v>
      </c>
      <c r="N123" t="n">
        <v>1</v>
      </c>
      <c r="O123" s="11" t="inlineStr">
        <is>
          <t>D</t>
        </is>
      </c>
      <c r="P123" s="11" t="inlineStr"/>
      <c r="Q123" s="12" t="inlineStr"/>
      <c r="R123" s="11">
        <f>IF(Q123="","",ROUND((TODAY()-Q123)/365.25,1))</f>
        <v/>
      </c>
      <c r="S123" s="13">
        <f>IFERROR(VLOOKUP(O123,Assumptions!$A$7:$F$11,2,FALSE),0.25)</f>
        <v/>
      </c>
      <c r="T123" s="14">
        <f>IF(O123="A",MAX(1,IFERROR(VLOOKUP(O123,Assumptions!$A$7:$F$11,3,FALSE),3)+IFERROR(VLOOKUP(O123,Assumptions!$A$7:$F$11,4,FALSE),8)/2-MAX(0,IF(R123="",0,R123)-IFERROR(VLOOKUP(O123,Assumptions!$A$7:$F$11,5,FALSE),1.5))),IFERROR(VLOOKUP(O123,Assumptions!$A$7:$F$11,5,FALSE),2.5)+IFERROR(VLOOKUP(O123,Assumptions!$A$7:$F$11,3,FALSE),3)+IFERROR(VLOOKUP(O123,Assumptions!$A$7:$F$11,4,FALSE),8)/2)</f>
        <v/>
      </c>
      <c r="U123" s="15">
        <f>M123*S123/(1+Assumptions!$B$3)^T123</f>
        <v/>
      </c>
      <c r="V123" s="11">
        <f>IF(M123=0,"",ROUND(U123/M123*100,1))</f>
        <v/>
      </c>
      <c r="W123" s="16">
        <f>U123*Assumptions!$B$4</f>
        <v/>
      </c>
      <c r="X123" s="11">
        <f>IF(M123=0,"",ROUND(W123/M123*100,1))</f>
        <v/>
      </c>
      <c r="Y123" t="inlineStr">
        <is>
          <t>Mannes</t>
        </is>
      </c>
      <c r="Z123" t="inlineStr">
        <is>
          <t>0005010-50.2013.8.24.0026</t>
        </is>
      </c>
      <c r="AA123" t="inlineStr"/>
      <c r="AB123" t="inlineStr">
        <is>
          <t>administradorajudicialgs.com.br</t>
        </is>
      </c>
      <c r="AC123" t="inlineStr">
        <is>
          <t>GUSTAVO GOULART LEMOS</t>
        </is>
      </c>
      <c r="AD123" t="inlineStr">
        <is>
          <t>Administrador</t>
        </is>
      </c>
      <c r="AE123" t="inlineStr">
        <is>
          <t>(11) 4894-6027</t>
        </is>
      </c>
      <c r="AF123" t="inlineStr"/>
      <c r="AG123" t="inlineStr"/>
      <c r="AH123" t="inlineStr">
        <is>
          <t>MG</t>
        </is>
      </c>
      <c r="AI123" t="inlineStr">
        <is>
          <t>CAMANDUCAIA</t>
        </is>
      </c>
      <c r="AJ123" t="inlineStr">
        <is>
          <t>Fabricação de outros produtos de metal não especificados anteriormente</t>
        </is>
      </c>
      <c r="AK123" t="inlineStr">
        <is>
          <t>DEMAIS</t>
        </is>
      </c>
      <c r="AL123" t="inlineStr">
        <is>
          <t>ATIVA</t>
        </is>
      </c>
      <c r="AM123" s="17" t="inlineStr">
        <is>
          <t>https://administradorajudicialgs.com.br/wp-content/uploads/2024/12/relacao-de-credores-da-falida.pdf</t>
        </is>
      </c>
      <c r="AN123" s="18" t="inlineStr">
        <is>
          <t>p16 r12</t>
        </is>
      </c>
      <c r="AO123" s="18" t="inlineStr">
        <is>
          <t>p16: R$ 1.488.789,48</t>
        </is>
      </c>
      <c r="AP123" s="18" t="inlineStr">
        <is>
          <t>OTHER</t>
        </is>
      </c>
      <c r="AQ123" s="18" t="inlineStr">
        <is>
          <t>2025-03-25</t>
        </is>
      </c>
      <c r="AR123" s="18" t="inlineStr">
        <is>
          <t>OK_NO_TOTALS</t>
        </is>
      </c>
      <c r="AS123" s="18" t="inlineStr">
        <is>
          <t>ROWS:p16r12 UNRECONCILED_SOURCE CASE_NUMBER_CORRECTED</t>
        </is>
      </c>
      <c r="AT123" s="18" t="inlineStr">
        <is>
          <t>ea17ba43b261</t>
        </is>
      </c>
    </row>
    <row r="124">
      <c r="A124" s="9" t="n">
        <v>123</v>
      </c>
      <c r="B124" s="9" t="inlineStr">
        <is>
          <t>NEW</t>
        </is>
      </c>
      <c r="C124" s="9" t="inlineStr"/>
      <c r="D124" s="9" t="n">
        <v>0</v>
      </c>
      <c r="E124" s="9" t="inlineStr"/>
      <c r="F124" s="9" t="inlineStr"/>
      <c r="G124" s="9" t="inlineStr"/>
      <c r="H124" s="9" t="inlineStr"/>
      <c r="I124" t="inlineStr">
        <is>
          <t>NATULAB LABORATORIO S.A</t>
        </is>
      </c>
      <c r="J124" t="inlineStr">
        <is>
          <t>Natulab Laboratório S/A</t>
        </is>
      </c>
      <c r="K124" t="inlineStr">
        <is>
          <t>02456955</t>
        </is>
      </c>
      <c r="L124" t="inlineStr">
        <is>
          <t>02456955000183</t>
        </is>
      </c>
      <c r="M124" s="10" t="n">
        <v>1481337.86</v>
      </c>
      <c r="N124" t="n">
        <v>1</v>
      </c>
      <c r="O124" s="11" t="inlineStr">
        <is>
          <t>C</t>
        </is>
      </c>
      <c r="P124" s="11" t="inlineStr">
        <is>
          <t>ACTIVE</t>
        </is>
      </c>
      <c r="Q124" s="12" t="n">
        <v>44987</v>
      </c>
      <c r="R124" s="11">
        <f>IF(Q124="","",ROUND((TODAY()-Q124)/365.25,1))</f>
        <v/>
      </c>
      <c r="S124" s="13">
        <f>IFERROR(VLOOKUP(O124,Assumptions!$A$7:$F$11,2,FALSE),0.25)</f>
        <v/>
      </c>
      <c r="T124" s="14">
        <f>IF(O124="A",MAX(1,IFERROR(VLOOKUP(O124,Assumptions!$A$7:$F$11,3,FALSE),3)+IFERROR(VLOOKUP(O124,Assumptions!$A$7:$F$11,4,FALSE),8)/2-MAX(0,IF(R124="",0,R124)-IFERROR(VLOOKUP(O124,Assumptions!$A$7:$F$11,5,FALSE),1.5))),IFERROR(VLOOKUP(O124,Assumptions!$A$7:$F$11,5,FALSE),2.5)+IFERROR(VLOOKUP(O124,Assumptions!$A$7:$F$11,3,FALSE),3)+IFERROR(VLOOKUP(O124,Assumptions!$A$7:$F$11,4,FALSE),8)/2)</f>
        <v/>
      </c>
      <c r="U124" s="15">
        <f>M124*S124/(1+Assumptions!$B$3)^T124</f>
        <v/>
      </c>
      <c r="V124" s="11">
        <f>IF(M124=0,"",ROUND(U124/M124*100,1))</f>
        <v/>
      </c>
      <c r="W124" s="16">
        <f>U124*Assumptions!$B$4</f>
        <v/>
      </c>
      <c r="X124" s="11">
        <f>IF(M124=0,"",ROUND(W124/M124*100,1))</f>
        <v/>
      </c>
      <c r="Y124" t="inlineStr">
        <is>
          <t>GRUPO DP4</t>
        </is>
      </c>
      <c r="Z124" t="inlineStr">
        <is>
          <t>0005010-98.2023.8.16.0001</t>
        </is>
      </c>
      <c r="AA124" t="inlineStr">
        <is>
          <t>TJPR</t>
        </is>
      </c>
      <c r="AB124" t="inlineStr">
        <is>
          <t>marquesadmjudicial.com.br</t>
        </is>
      </c>
      <c r="AC124" t="inlineStr">
        <is>
          <t>JOSE ROBERTO PEREIRA CARRICO</t>
        </is>
      </c>
      <c r="AD124" t="inlineStr">
        <is>
          <t>Diretor</t>
        </is>
      </c>
      <c r="AE124" t="inlineStr">
        <is>
          <t>(75) 3311-5555</t>
        </is>
      </c>
      <c r="AF124" t="inlineStr"/>
      <c r="AG124" t="inlineStr"/>
      <c r="AH124" t="inlineStr">
        <is>
          <t>BA</t>
        </is>
      </c>
      <c r="AI124" t="inlineStr">
        <is>
          <t>SANTO ANTONIO DE JESUS</t>
        </is>
      </c>
      <c r="AJ124" t="inlineStr">
        <is>
          <t>Fabricação de medicamentos alopáticos para uso humano</t>
        </is>
      </c>
      <c r="AK124" t="inlineStr">
        <is>
          <t>DEMAIS</t>
        </is>
      </c>
      <c r="AL124" t="inlineStr">
        <is>
          <t>ATIVA</t>
        </is>
      </c>
      <c r="AM124" s="17" t="inlineStr">
        <is>
          <t>https://marquesadmjudicial.com.br/sgc/download.php?file=files/processo_documento/processo_documento15293208032024_1_.pdf&amp;nome=Relação Nominal de Credores da AJ-Sintética</t>
        </is>
      </c>
      <c r="AN124" s="18" t="inlineStr">
        <is>
          <t>p29 r10</t>
        </is>
      </c>
      <c r="AO124" s="18" t="inlineStr">
        <is>
          <t>p29: R$ 1.481.337,86</t>
        </is>
      </c>
      <c r="AP124" s="18" t="inlineStr">
        <is>
          <t>AJ_LIST</t>
        </is>
      </c>
      <c r="AQ124" s="18" t="inlineStr">
        <is>
          <t>2023-03-02</t>
        </is>
      </c>
      <c r="AR124" s="18" t="inlineStr">
        <is>
          <t>QUARANTINED</t>
        </is>
      </c>
      <c r="AS124" s="18" t="inlineStr">
        <is>
          <t>PARTIAL_DOC_CLASS_III_RECONCILED ROWS:p29r10</t>
        </is>
      </c>
      <c r="AT124" s="18" t="inlineStr">
        <is>
          <t>b465a5d11eec</t>
        </is>
      </c>
    </row>
    <row r="125">
      <c r="A125" s="9" t="n">
        <v>124</v>
      </c>
      <c r="B125" s="9" t="inlineStr">
        <is>
          <t>NEW</t>
        </is>
      </c>
      <c r="C125" s="9" t="inlineStr"/>
      <c r="D125" s="9" t="n">
        <v>0</v>
      </c>
      <c r="E125" s="9" t="inlineStr"/>
      <c r="F125" s="9" t="inlineStr"/>
      <c r="G125" s="9" t="inlineStr"/>
      <c r="H125" s="9" t="inlineStr"/>
      <c r="I125" t="inlineStr">
        <is>
          <t>FERRONORTE INDUSTRIAL LTDA</t>
        </is>
      </c>
      <c r="J125" t="inlineStr">
        <is>
          <t>V ESTRUTURAL ARTERIAL SN, SN - ARTERIAL 02 KM 13, PEDRA MIUDA - 64038-100, TERESINA - PI</t>
        </is>
      </c>
      <c r="K125" t="inlineStr">
        <is>
          <t>03119889</t>
        </is>
      </c>
      <c r="L125" t="inlineStr">
        <is>
          <t>03119889000119</t>
        </is>
      </c>
      <c r="M125" s="10" t="n">
        <v>1452323.08</v>
      </c>
      <c r="N125" t="n">
        <v>1</v>
      </c>
      <c r="O125" s="11" t="inlineStr">
        <is>
          <t>C</t>
        </is>
      </c>
      <c r="P125" s="11" t="inlineStr"/>
      <c r="Q125" s="12" t="inlineStr"/>
      <c r="R125" s="11">
        <f>IF(Q125="","",ROUND((TODAY()-Q125)/365.25,1))</f>
        <v/>
      </c>
      <c r="S125" s="13">
        <f>IFERROR(VLOOKUP(O125,Assumptions!$A$7:$F$11,2,FALSE),0.25)</f>
        <v/>
      </c>
      <c r="T125" s="14">
        <f>IF(O125="A",MAX(1,IFERROR(VLOOKUP(O125,Assumptions!$A$7:$F$11,3,FALSE),3)+IFERROR(VLOOKUP(O125,Assumptions!$A$7:$F$11,4,FALSE),8)/2-MAX(0,IF(R125="",0,R125)-IFERROR(VLOOKUP(O125,Assumptions!$A$7:$F$11,5,FALSE),1.5))),IFERROR(VLOOKUP(O125,Assumptions!$A$7:$F$11,5,FALSE),2.5)+IFERROR(VLOOKUP(O125,Assumptions!$A$7:$F$11,3,FALSE),3)+IFERROR(VLOOKUP(O125,Assumptions!$A$7:$F$11,4,FALSE),8)/2)</f>
        <v/>
      </c>
      <c r="U125" s="15">
        <f>M125*S125/(1+Assumptions!$B$3)^T125</f>
        <v/>
      </c>
      <c r="V125" s="11">
        <f>IF(M125=0,"",ROUND(U125/M125*100,1))</f>
        <v/>
      </c>
      <c r="W125" s="16">
        <f>U125*Assumptions!$B$4</f>
        <v/>
      </c>
      <c r="X125" s="11">
        <f>IF(M125=0,"",ROUND(W125/M125*100,1))</f>
        <v/>
      </c>
      <c r="Y125" t="inlineStr">
        <is>
          <t>Roque Materiais para Construção</t>
        </is>
      </c>
      <c r="Z125" t="inlineStr">
        <is>
          <t>0802426-35.2019.8.10.0000</t>
        </is>
      </c>
      <c r="AA125" t="inlineStr"/>
      <c r="AB125" t="inlineStr">
        <is>
          <t>realbrasil.com.br</t>
        </is>
      </c>
      <c r="AC125" t="inlineStr">
        <is>
          <t>ANTONIO JOSE DO NASCIMENTO</t>
        </is>
      </c>
      <c r="AD125" t="inlineStr">
        <is>
          <t>Sócio-Administrador</t>
        </is>
      </c>
      <c r="AE125" t="inlineStr">
        <is>
          <t>(86) 3215-4950</t>
        </is>
      </c>
      <c r="AF125" t="inlineStr">
        <is>
          <t>(86) 8842-0763</t>
        </is>
      </c>
      <c r="AG125" t="inlineStr"/>
      <c r="AH125" t="inlineStr">
        <is>
          <t>PI</t>
        </is>
      </c>
      <c r="AI125" t="inlineStr">
        <is>
          <t>TERESINA</t>
        </is>
      </c>
      <c r="AJ125" t="inlineStr">
        <is>
          <t>Produção de relaminados, trefilados e perfilados de aço, exceto arames</t>
        </is>
      </c>
      <c r="AK125" t="inlineStr">
        <is>
          <t>DEMAIS</t>
        </is>
      </c>
      <c r="AL125" t="inlineStr">
        <is>
          <t>ATIVA</t>
        </is>
      </c>
      <c r="AM125" s="17" t="inlineStr">
        <is>
          <t>https://realbrasil.com.br/wp-content/uploads/2018/06/2_LISTA-DE-CREDORES-DA-RECUPERANDA_ROQUE.pdf</t>
        </is>
      </c>
      <c r="AN125" s="18" t="inlineStr">
        <is>
          <t>p2 r3</t>
        </is>
      </c>
      <c r="AO125" s="18" t="inlineStr">
        <is>
          <t>p2: R$ 1.452.323,08</t>
        </is>
      </c>
      <c r="AP125" s="18" t="inlineStr">
        <is>
          <t>UNKNOWN</t>
        </is>
      </c>
      <c r="AQ125" s="18" t="inlineStr"/>
      <c r="AR125" s="18" t="inlineStr">
        <is>
          <t>OK</t>
        </is>
      </c>
      <c r="AS125" s="18" t="inlineStr">
        <is>
          <t>ROWS:p2r3 VALUE_COL:Saldo_Total</t>
        </is>
      </c>
      <c r="AT125" s="18" t="inlineStr">
        <is>
          <t>d85bdfbfbdc8</t>
        </is>
      </c>
    </row>
    <row r="126">
      <c r="A126" s="9" t="n">
        <v>125</v>
      </c>
      <c r="B126" s="9" t="inlineStr">
        <is>
          <t>NEW</t>
        </is>
      </c>
      <c r="C126" s="9" t="inlineStr"/>
      <c r="D126" s="9" t="n">
        <v>0</v>
      </c>
      <c r="E126" s="9" t="inlineStr"/>
      <c r="F126" s="9" t="inlineStr"/>
      <c r="G126" s="9" t="inlineStr"/>
      <c r="H126" s="9" t="inlineStr"/>
      <c r="I126" t="inlineStr">
        <is>
          <t>JBT MAREL BRASIL LTDA</t>
        </is>
      </c>
      <c r="J126" t="inlineStr">
        <is>
          <t>Marel Brasil Comercial</t>
        </is>
      </c>
      <c r="K126" t="inlineStr">
        <is>
          <t>05013050</t>
        </is>
      </c>
      <c r="L126" t="inlineStr">
        <is>
          <t>05013050000127</t>
        </is>
      </c>
      <c r="M126" s="10" t="n">
        <v>1444276.42</v>
      </c>
      <c r="N126" t="n">
        <v>1</v>
      </c>
      <c r="O126" s="11" t="inlineStr">
        <is>
          <t>B</t>
        </is>
      </c>
      <c r="P126" s="11" t="inlineStr">
        <is>
          <t>ACTIVE</t>
        </is>
      </c>
      <c r="Q126" s="12" t="n">
        <v>46130</v>
      </c>
      <c r="R126" s="11">
        <f>IF(Q126="","",ROUND((TODAY()-Q126)/365.25,1))</f>
        <v/>
      </c>
      <c r="S126" s="13">
        <f>IFERROR(VLOOKUP(O126,Assumptions!$A$7:$F$11,2,FALSE),0.25)</f>
        <v/>
      </c>
      <c r="T126" s="14">
        <f>IF(O126="A",MAX(1,IFERROR(VLOOKUP(O126,Assumptions!$A$7:$F$11,3,FALSE),3)+IFERROR(VLOOKUP(O126,Assumptions!$A$7:$F$11,4,FALSE),8)/2-MAX(0,IF(R126="",0,R126)-IFERROR(VLOOKUP(O126,Assumptions!$A$7:$F$11,5,FALSE),1.5))),IFERROR(VLOOKUP(O126,Assumptions!$A$7:$F$11,5,FALSE),2.5)+IFERROR(VLOOKUP(O126,Assumptions!$A$7:$F$11,3,FALSE),3)+IFERROR(VLOOKUP(O126,Assumptions!$A$7:$F$11,4,FALSE),8)/2)</f>
        <v/>
      </c>
      <c r="U126" s="15">
        <f>M126*S126/(1+Assumptions!$B$3)^T126</f>
        <v/>
      </c>
      <c r="V126" s="11">
        <f>IF(M126=0,"",ROUND(U126/M126*100,1))</f>
        <v/>
      </c>
      <c r="W126" s="16">
        <f>U126*Assumptions!$B$4</f>
        <v/>
      </c>
      <c r="X126" s="11">
        <f>IF(M126=0,"",ROUND(W126/M126*100,1))</f>
        <v/>
      </c>
      <c r="Y126" t="inlineStr">
        <is>
          <t>GRUPO 3E</t>
        </is>
      </c>
      <c r="Z126" t="inlineStr">
        <is>
          <t>5341375-33.2026.8.09.0049</t>
        </is>
      </c>
      <c r="AA126" t="inlineStr">
        <is>
          <t>TJGO</t>
        </is>
      </c>
      <c r="AB126" t="inlineStr">
        <is>
          <t>stenius.com.br</t>
        </is>
      </c>
      <c r="AC126" t="inlineStr">
        <is>
          <t>GLAUBER RODRIGUES</t>
        </is>
      </c>
      <c r="AD126" t="inlineStr">
        <is>
          <t>Administrador</t>
        </is>
      </c>
      <c r="AE126" t="inlineStr">
        <is>
          <t>(16) 3301-2050</t>
        </is>
      </c>
      <c r="AF126" t="inlineStr"/>
      <c r="AG126" t="inlineStr"/>
      <c r="AH126" t="inlineStr">
        <is>
          <t>SP</t>
        </is>
      </c>
      <c r="AI126" t="inlineStr">
        <is>
          <t>CAMPINAS</t>
        </is>
      </c>
      <c r="AJ126" t="inlineStr">
        <is>
          <t>Fabricação de máquinas e equipamentos para as indústrias de alimentos, bebidas e fumo, peças e acessórios</t>
        </is>
      </c>
      <c r="AK126" t="inlineStr">
        <is>
          <t>DEMAIS</t>
        </is>
      </c>
      <c r="AL126" t="inlineStr">
        <is>
          <t>ATIVA</t>
        </is>
      </c>
      <c r="AM126" s="17" t="inlineStr">
        <is>
          <t>https://stenius.com.br/wp-content/uploads/2026/06/EDITAL-GRUPO-3E.pdf</t>
        </is>
      </c>
      <c r="AN126" s="18" t="inlineStr">
        <is>
          <t>p15 r54</t>
        </is>
      </c>
      <c r="AO126" s="18" t="inlineStr">
        <is>
          <t>p15: R$ 1.444.276,42</t>
        </is>
      </c>
      <c r="AP126" s="18" t="inlineStr">
        <is>
          <t>DEBTOR_LIST</t>
        </is>
      </c>
      <c r="AQ126" s="18" t="inlineStr">
        <is>
          <t>2026-06-22</t>
        </is>
      </c>
      <c r="AR126" s="18" t="inlineStr">
        <is>
          <t>OK_NO_TOTALS</t>
        </is>
      </c>
      <c r="AS126" s="18" t="inlineStr">
        <is>
          <t>ROWS:p15r54 UNRECONCILED_SOURCE</t>
        </is>
      </c>
      <c r="AT126" s="18" t="inlineStr">
        <is>
          <t>8e8832093a15</t>
        </is>
      </c>
    </row>
    <row r="127">
      <c r="A127" s="9" t="n">
        <v>126</v>
      </c>
      <c r="B127" s="9" t="inlineStr">
        <is>
          <t>NEW</t>
        </is>
      </c>
      <c r="C127" s="9" t="inlineStr"/>
      <c r="D127" s="9" t="n">
        <v>0</v>
      </c>
      <c r="E127" s="9" t="inlineStr"/>
      <c r="F127" s="9" t="inlineStr"/>
      <c r="G127" s="9" t="inlineStr"/>
      <c r="H127" s="9" t="inlineStr"/>
      <c r="I127" t="inlineStr">
        <is>
          <t>BBR AGRO SUPLEMENTOS LTDA EM RECUPERACAO JUDICIAL</t>
        </is>
      </c>
      <c r="J127" t="inlineStr">
        <is>
          <t>BBR Agro Suplementos Ltda</t>
        </is>
      </c>
      <c r="K127" t="inlineStr">
        <is>
          <t>31158176</t>
        </is>
      </c>
      <c r="L127" t="inlineStr">
        <is>
          <t>31158176000108</t>
        </is>
      </c>
      <c r="M127" s="10" t="n">
        <v>1437303</v>
      </c>
      <c r="N127" t="n">
        <v>1</v>
      </c>
      <c r="O127" s="11" t="inlineStr">
        <is>
          <t>C</t>
        </is>
      </c>
      <c r="P127" s="11" t="inlineStr">
        <is>
          <t>ACTIVE</t>
        </is>
      </c>
      <c r="Q127" s="12" t="n">
        <v>45275</v>
      </c>
      <c r="R127" s="11">
        <f>IF(Q127="","",ROUND((TODAY()-Q127)/365.25,1))</f>
        <v/>
      </c>
      <c r="S127" s="13">
        <f>IFERROR(VLOOKUP(O127,Assumptions!$A$7:$F$11,2,FALSE),0.25)</f>
        <v/>
      </c>
      <c r="T127" s="14">
        <f>IF(O127="A",MAX(1,IFERROR(VLOOKUP(O127,Assumptions!$A$7:$F$11,3,FALSE),3)+IFERROR(VLOOKUP(O127,Assumptions!$A$7:$F$11,4,FALSE),8)/2-MAX(0,IF(R127="",0,R127)-IFERROR(VLOOKUP(O127,Assumptions!$A$7:$F$11,5,FALSE),1.5))),IFERROR(VLOOKUP(O127,Assumptions!$A$7:$F$11,5,FALSE),2.5)+IFERROR(VLOOKUP(O127,Assumptions!$A$7:$F$11,3,FALSE),3)+IFERROR(VLOOKUP(O127,Assumptions!$A$7:$F$11,4,FALSE),8)/2)</f>
        <v/>
      </c>
      <c r="U127" s="15">
        <f>M127*S127/(1+Assumptions!$B$3)^T127</f>
        <v/>
      </c>
      <c r="V127" s="11">
        <f>IF(M127=0,"",ROUND(U127/M127*100,1))</f>
        <v/>
      </c>
      <c r="W127" s="16">
        <f>U127*Assumptions!$B$4</f>
        <v/>
      </c>
      <c r="X127" s="11">
        <f>IF(M127=0,"",ROUND(W127/M127*100,1))</f>
        <v/>
      </c>
      <c r="Y127" t="inlineStr">
        <is>
          <t>Grupo Agromeal</t>
        </is>
      </c>
      <c r="Z127" t="inlineStr">
        <is>
          <t>0003971-03.2023.8.16.0119</t>
        </is>
      </c>
      <c r="AA127" t="inlineStr">
        <is>
          <t>TJPR</t>
        </is>
      </c>
      <c r="AB127" t="inlineStr">
        <is>
          <t>marquesadmjudicial.com.br</t>
        </is>
      </c>
      <c r="AC127" t="inlineStr">
        <is>
          <t>MAYNARA MARCONDES BARRONE DE SOUSA</t>
        </is>
      </c>
      <c r="AD127" t="inlineStr">
        <is>
          <t>Sócio-Administrador</t>
        </is>
      </c>
      <c r="AE127" t="inlineStr">
        <is>
          <t>(43) 3122-0376</t>
        </is>
      </c>
      <c r="AF127" t="inlineStr"/>
      <c r="AG127" t="inlineStr"/>
      <c r="AH127" t="inlineStr">
        <is>
          <t>PR</t>
        </is>
      </c>
      <c r="AI127" t="inlineStr">
        <is>
          <t>APUCARANA</t>
        </is>
      </c>
      <c r="AJ127" t="inlineStr">
        <is>
          <t>Preparação de subprodutos do abate</t>
        </is>
      </c>
      <c r="AK127" t="inlineStr">
        <is>
          <t>DEMAIS</t>
        </is>
      </c>
      <c r="AL127" t="inlineStr">
        <is>
          <t>ATIVA</t>
        </is>
      </c>
      <c r="AM127" s="17" t="inlineStr">
        <is>
          <t>https://marquesadmjudicial.com.br/sgc/download.php?file=files/processo_documento/processo_documento17040729052024_1_.pdf&amp;nome=Relação Nominal de Credores AJ-Sintética</t>
        </is>
      </c>
      <c r="AN127" s="18" t="inlineStr">
        <is>
          <t>p10 r8</t>
        </is>
      </c>
      <c r="AO127" s="18" t="inlineStr">
        <is>
          <t>p10: R$ 1.437.303,00</t>
        </is>
      </c>
      <c r="AP127" s="18" t="inlineStr">
        <is>
          <t>AJ_LIST</t>
        </is>
      </c>
      <c r="AQ127" s="18" t="inlineStr">
        <is>
          <t>2024-05-27</t>
        </is>
      </c>
      <c r="AR127" s="18" t="inlineStr">
        <is>
          <t>QUARANTINED</t>
        </is>
      </c>
      <c r="AS127" s="18" t="inlineStr">
        <is>
          <t>PARTIAL_DOC_CLASS_III_RECONCILED ROWS:p10r8</t>
        </is>
      </c>
      <c r="AT127" s="18" t="inlineStr">
        <is>
          <t>1209dafe77b7</t>
        </is>
      </c>
    </row>
    <row r="128">
      <c r="A128" s="9" t="n">
        <v>127</v>
      </c>
      <c r="B128" s="9" t="inlineStr">
        <is>
          <t>NEW</t>
        </is>
      </c>
      <c r="C128" s="9" t="inlineStr"/>
      <c r="D128" s="9" t="n">
        <v>0</v>
      </c>
      <c r="E128" s="9" t="inlineStr"/>
      <c r="F128" s="9" t="inlineStr"/>
      <c r="G128" s="9" t="inlineStr"/>
      <c r="H128" s="9" t="inlineStr"/>
      <c r="I128" t="inlineStr">
        <is>
          <t>EUCATEX S A INDUSTRIA E COMERCIO</t>
        </is>
      </c>
      <c r="J128" t="inlineStr">
        <is>
          <t>RUA RIBEIRÃO PRETO, 811 - Salto-SP - CEP 13322-010</t>
        </is>
      </c>
      <c r="K128" t="inlineStr">
        <is>
          <t>56643018</t>
        </is>
      </c>
      <c r="L128" t="inlineStr">
        <is>
          <t>56643018000247</t>
        </is>
      </c>
      <c r="M128" s="10" t="n">
        <v>1400000</v>
      </c>
      <c r="N128" t="n">
        <v>1</v>
      </c>
      <c r="O128" s="11" t="inlineStr">
        <is>
          <t>U</t>
        </is>
      </c>
      <c r="P128" s="11" t="inlineStr"/>
      <c r="Q128" s="12" t="inlineStr"/>
      <c r="R128" s="11">
        <f>IF(Q128="","",ROUND((TODAY()-Q128)/365.25,1))</f>
        <v/>
      </c>
      <c r="S128" s="13">
        <f>IFERROR(VLOOKUP(O128,Assumptions!$A$7:$F$11,2,FALSE),0.25)</f>
        <v/>
      </c>
      <c r="T128" s="14">
        <f>IF(O128="A",MAX(1,IFERROR(VLOOKUP(O128,Assumptions!$A$7:$F$11,3,FALSE),3)+IFERROR(VLOOKUP(O128,Assumptions!$A$7:$F$11,4,FALSE),8)/2-MAX(0,IF(R128="",0,R128)-IFERROR(VLOOKUP(O128,Assumptions!$A$7:$F$11,5,FALSE),1.5))),IFERROR(VLOOKUP(O128,Assumptions!$A$7:$F$11,5,FALSE),2.5)+IFERROR(VLOOKUP(O128,Assumptions!$A$7:$F$11,3,FALSE),3)+IFERROR(VLOOKUP(O128,Assumptions!$A$7:$F$11,4,FALSE),8)/2)</f>
        <v/>
      </c>
      <c r="U128" s="15">
        <f>M128*S128/(1+Assumptions!$B$3)^T128</f>
        <v/>
      </c>
      <c r="V128" s="11">
        <f>IF(M128=0,"",ROUND(U128/M128*100,1))</f>
        <v/>
      </c>
      <c r="W128" s="16">
        <f>U128*Assumptions!$B$4</f>
        <v/>
      </c>
      <c r="X128" s="11">
        <f>IF(M128=0,"",ROUND(W128/M128*100,1))</f>
        <v/>
      </c>
      <c r="Y128" t="inlineStr">
        <is>
          <t>Base</t>
        </is>
      </c>
      <c r="Z128" t="inlineStr">
        <is>
          <t>(not found in document)</t>
        </is>
      </c>
      <c r="AA128" t="inlineStr"/>
      <c r="AB128" t="inlineStr">
        <is>
          <t>ajruiz.com.br</t>
        </is>
      </c>
      <c r="AC128" t="inlineStr">
        <is>
          <t>FLAVIO MALUF</t>
        </is>
      </c>
      <c r="AD128" t="inlineStr">
        <is>
          <t>Presidente</t>
        </is>
      </c>
      <c r="AE128" t="inlineStr">
        <is>
          <t>(11) 3049-2427</t>
        </is>
      </c>
      <c r="AF128" t="inlineStr"/>
      <c r="AG128" t="inlineStr"/>
      <c r="AH128" t="inlineStr">
        <is>
          <t>SP</t>
        </is>
      </c>
      <c r="AI128" t="inlineStr">
        <is>
          <t>SAO PAULO</t>
        </is>
      </c>
      <c r="AJ128" t="inlineStr">
        <is>
          <t>Fabricação de madeira laminada e de chapas de madeira compensada, prensada e aglomerada</t>
        </is>
      </c>
      <c r="AK128" t="inlineStr">
        <is>
          <t>DEMAIS</t>
        </is>
      </c>
      <c r="AL128" t="inlineStr">
        <is>
          <t>ATIVA</t>
        </is>
      </c>
      <c r="AM128" s="17" t="inlineStr">
        <is>
          <t>https://ajruiz.com.br/sites/default/files/public/arquivos-processos/2023-11/4_relacao_de_credores_analitica_art._51_iii_da_lre.pdf</t>
        </is>
      </c>
      <c r="AN128" s="18" t="inlineStr">
        <is>
          <t>p3 r6</t>
        </is>
      </c>
      <c r="AO128" s="18" t="inlineStr">
        <is>
          <t>p3: R$ 1.400.000,00</t>
        </is>
      </c>
      <c r="AP128" s="18" t="inlineStr">
        <is>
          <t>UNKNOWN</t>
        </is>
      </c>
      <c r="AQ128" s="18" t="inlineStr"/>
      <c r="AR128" s="18" t="inlineStr">
        <is>
          <t>OK</t>
        </is>
      </c>
      <c r="AS128" s="18" t="inlineStr">
        <is>
          <t>ROWS:p3r6 CASE_NUMBER_CORRECTED</t>
        </is>
      </c>
      <c r="AT128" s="18" t="inlineStr">
        <is>
          <t>2407a56c3502</t>
        </is>
      </c>
    </row>
    <row r="129">
      <c r="A129" s="9" t="n">
        <v>128</v>
      </c>
      <c r="B129" s="9" t="inlineStr">
        <is>
          <t>NEW</t>
        </is>
      </c>
      <c r="C129" s="9" t="inlineStr"/>
      <c r="D129" s="9" t="n">
        <v>0</v>
      </c>
      <c r="E129" s="9" t="inlineStr"/>
      <c r="F129" s="9" t="inlineStr"/>
      <c r="G129" s="9" t="inlineStr"/>
      <c r="H129" s="9" t="inlineStr"/>
      <c r="I129" t="inlineStr">
        <is>
          <t>DISCOMED COMERCIO DE PRODUTOS HOSPITALARES LTDA</t>
        </is>
      </c>
      <c r="J129" t="inlineStr">
        <is>
          <t>DISCOMED COMERCIO DE PRODUTOS HOSPITALARES LTDA (</t>
        </is>
      </c>
      <c r="K129" t="inlineStr">
        <is>
          <t>00417145</t>
        </is>
      </c>
      <c r="L129" t="inlineStr">
        <is>
          <t>00417145000192</t>
        </is>
      </c>
      <c r="M129" s="10" t="n">
        <v>1372648.38</v>
      </c>
      <c r="N129" t="n">
        <v>1</v>
      </c>
      <c r="O129" s="11" t="inlineStr">
        <is>
          <t>C</t>
        </is>
      </c>
      <c r="P129" s="11" t="inlineStr">
        <is>
          <t>ACTIVE</t>
        </is>
      </c>
      <c r="Q129" s="12" t="n">
        <v>44735</v>
      </c>
      <c r="R129" s="11">
        <f>IF(Q129="","",ROUND((TODAY()-Q129)/365.25,1))</f>
        <v/>
      </c>
      <c r="S129" s="13">
        <f>IFERROR(VLOOKUP(O129,Assumptions!$A$7:$F$11,2,FALSE),0.25)</f>
        <v/>
      </c>
      <c r="T129" s="14">
        <f>IF(O129="A",MAX(1,IFERROR(VLOOKUP(O129,Assumptions!$A$7:$F$11,3,FALSE),3)+IFERROR(VLOOKUP(O129,Assumptions!$A$7:$F$11,4,FALSE),8)/2-MAX(0,IF(R129="",0,R129)-IFERROR(VLOOKUP(O129,Assumptions!$A$7:$F$11,5,FALSE),1.5))),IFERROR(VLOOKUP(O129,Assumptions!$A$7:$F$11,5,FALSE),2.5)+IFERROR(VLOOKUP(O129,Assumptions!$A$7:$F$11,3,FALSE),3)+IFERROR(VLOOKUP(O129,Assumptions!$A$7:$F$11,4,FALSE),8)/2)</f>
        <v/>
      </c>
      <c r="U129" s="15">
        <f>M129*S129/(1+Assumptions!$B$3)^T129</f>
        <v/>
      </c>
      <c r="V129" s="11">
        <f>IF(M129=0,"",ROUND(U129/M129*100,1))</f>
        <v/>
      </c>
      <c r="W129" s="16">
        <f>U129*Assumptions!$B$4</f>
        <v/>
      </c>
      <c r="X129" s="11">
        <f>IF(M129=0,"",ROUND(W129/M129*100,1))</f>
        <v/>
      </c>
      <c r="Y129" t="inlineStr">
        <is>
          <t>ASSOCIAÇÃO DE CARIDADE SANTA CASA DO RIO GRANDE</t>
        </is>
      </c>
      <c r="Z129" t="inlineStr">
        <is>
          <t>5012306-16.2022.8.21.0023</t>
        </is>
      </c>
      <c r="AA129" t="inlineStr">
        <is>
          <t>TJRS</t>
        </is>
      </c>
      <c r="AB129" t="inlineStr">
        <is>
          <t>scalzilliaj.com.br</t>
        </is>
      </c>
      <c r="AC129" t="inlineStr">
        <is>
          <t>MARILIA SILVA SIEGLE DE AVILA</t>
        </is>
      </c>
      <c r="AD129" t="inlineStr">
        <is>
          <t>Sócio-Administrador</t>
        </is>
      </c>
      <c r="AE129" t="inlineStr"/>
      <c r="AF129" t="inlineStr"/>
      <c r="AG129" t="inlineStr"/>
      <c r="AH129" t="inlineStr">
        <is>
          <t>RS</t>
        </is>
      </c>
      <c r="AI129" t="inlineStr">
        <is>
          <t>PORTO ALEGRE</t>
        </is>
      </c>
      <c r="AJ129" t="inlineStr">
        <is>
          <t>Comércio atacadista de instrumentos e materiais para uso médico, cirúrgico, hospitalar e de laboratórios</t>
        </is>
      </c>
      <c r="AK129" t="inlineStr">
        <is>
          <t>DEMAIS</t>
        </is>
      </c>
      <c r="AL129" t="inlineStr">
        <is>
          <t>ATIVA</t>
        </is>
      </c>
      <c r="AM129" s="17" t="inlineStr">
        <is>
          <t>https://scalzilliaj.com.br/sgc/download.php?file=files/processo_documento/processo_documento09120721032023_1_.pdf&amp;nome=15 - Edital do art. 7º, §2º e 53 da Lei 11.101/2005 (segunda lista de credores e recebimento do plano))</t>
        </is>
      </c>
      <c r="AN129" s="18" t="inlineStr">
        <is>
          <t>p27 r9</t>
        </is>
      </c>
      <c r="AO129" s="18" t="inlineStr">
        <is>
          <t>p27: R$ 1.372.648,38</t>
        </is>
      </c>
      <c r="AP129" s="18" t="inlineStr">
        <is>
          <t>AJ_LIST</t>
        </is>
      </c>
      <c r="AQ129" s="18" t="inlineStr">
        <is>
          <t>2023-03-21</t>
        </is>
      </c>
      <c r="AR129" s="18" t="inlineStr">
        <is>
          <t>OK_NO_TOTALS</t>
        </is>
      </c>
      <c r="AS129" s="18" t="inlineStr">
        <is>
          <t>ROWS:p27r9 UNRECONCILED_SOURCE</t>
        </is>
      </c>
      <c r="AT129" s="18" t="inlineStr">
        <is>
          <t>ebfb999b457c</t>
        </is>
      </c>
    </row>
    <row r="130">
      <c r="A130" s="9" t="n">
        <v>129</v>
      </c>
      <c r="B130" s="9" t="inlineStr">
        <is>
          <t>NEW</t>
        </is>
      </c>
      <c r="C130" s="9" t="inlineStr"/>
      <c r="D130" s="9" t="n">
        <v>0</v>
      </c>
      <c r="E130" s="9" t="inlineStr"/>
      <c r="F130" s="9" t="inlineStr"/>
      <c r="G130" s="9" t="inlineStr"/>
      <c r="H130" s="9" t="inlineStr"/>
      <c r="I130" t="inlineStr">
        <is>
          <t>CASA BUGRE GOIAS COMERCIO E REPRESENTACAO LTDA</t>
        </is>
      </c>
      <c r="J130" t="inlineStr">
        <is>
          <t>CASA BUGRE GOIAS COMERCIO E REPRESENTACA</t>
        </is>
      </c>
      <c r="K130" t="inlineStr">
        <is>
          <t>20366728</t>
        </is>
      </c>
      <c r="L130" t="inlineStr">
        <is>
          <t>20366728000149</t>
        </is>
      </c>
      <c r="M130" s="10" t="n">
        <v>1367817.98</v>
      </c>
      <c r="N130" t="n">
        <v>1</v>
      </c>
      <c r="O130" s="11" t="inlineStr">
        <is>
          <t>B</t>
        </is>
      </c>
      <c r="P130" s="11" t="inlineStr">
        <is>
          <t>ACTIVE</t>
        </is>
      </c>
      <c r="Q130" s="12" t="n">
        <v>45845</v>
      </c>
      <c r="R130" s="11">
        <f>IF(Q130="","",ROUND((TODAY()-Q130)/365.25,1))</f>
        <v/>
      </c>
      <c r="S130" s="13">
        <f>IFERROR(VLOOKUP(O130,Assumptions!$A$7:$F$11,2,FALSE),0.25)</f>
        <v/>
      </c>
      <c r="T130" s="14">
        <f>IF(O130="A",MAX(1,IFERROR(VLOOKUP(O130,Assumptions!$A$7:$F$11,3,FALSE),3)+IFERROR(VLOOKUP(O130,Assumptions!$A$7:$F$11,4,FALSE),8)/2-MAX(0,IF(R130="",0,R130)-IFERROR(VLOOKUP(O130,Assumptions!$A$7:$F$11,5,FALSE),1.5))),IFERROR(VLOOKUP(O130,Assumptions!$A$7:$F$11,5,FALSE),2.5)+IFERROR(VLOOKUP(O130,Assumptions!$A$7:$F$11,3,FALSE),3)+IFERROR(VLOOKUP(O130,Assumptions!$A$7:$F$11,4,FALSE),8)/2)</f>
        <v/>
      </c>
      <c r="U130" s="15">
        <f>M130*S130/(1+Assumptions!$B$3)^T130</f>
        <v/>
      </c>
      <c r="V130" s="11">
        <f>IF(M130=0,"",ROUND(U130/M130*100,1))</f>
        <v/>
      </c>
      <c r="W130" s="16">
        <f>U130*Assumptions!$B$4</f>
        <v/>
      </c>
      <c r="X130" s="11">
        <f>IF(M130=0,"",ROUND(W130/M130*100,1))</f>
        <v/>
      </c>
      <c r="Y130" t="inlineStr">
        <is>
          <t>SOJAL COMERCIAL AGRICOLA LTDA e OUTROS</t>
        </is>
      </c>
      <c r="Z130" t="inlineStr">
        <is>
          <t>0804401-51.2025.8.14.0039</t>
        </is>
      </c>
      <c r="AA130" t="inlineStr">
        <is>
          <t>TJPA</t>
        </is>
      </c>
      <c r="AB130" t="inlineStr">
        <is>
          <t>lrflideres.com.br</t>
        </is>
      </c>
      <c r="AC130" t="inlineStr">
        <is>
          <t>FLAVIO DE MEDEIROS MAIA</t>
        </is>
      </c>
      <c r="AD130" t="inlineStr">
        <is>
          <t>Sócio-Administrador</t>
        </is>
      </c>
      <c r="AE130" t="inlineStr">
        <is>
          <t>(61) 3770-0199</t>
        </is>
      </c>
      <c r="AF130" t="inlineStr"/>
      <c r="AG130" t="inlineStr"/>
      <c r="AH130" t="inlineStr">
        <is>
          <t>GO</t>
        </is>
      </c>
      <c r="AI130" t="inlineStr">
        <is>
          <t>ANAPOLIS</t>
        </is>
      </c>
      <c r="AJ130" t="inlineStr">
        <is>
          <t>Comércio atacadista de sementes, flores, plantas e gramas</t>
        </is>
      </c>
      <c r="AK130" t="inlineStr">
        <is>
          <t>DEMAIS</t>
        </is>
      </c>
      <c r="AL130" t="inlineStr">
        <is>
          <t>ATIVA</t>
        </is>
      </c>
      <c r="AM130" s="17" t="inlineStr">
        <is>
          <t>https://lrflideres.com.br/wp-content/plugins/download-attachments/includes/download.php?id=6879</t>
        </is>
      </c>
      <c r="AN130" s="18" t="inlineStr">
        <is>
          <t>p1 r9</t>
        </is>
      </c>
      <c r="AO130" s="18" t="inlineStr">
        <is>
          <t>p1: R$ 1.367.817,98</t>
        </is>
      </c>
      <c r="AP130" s="18" t="inlineStr">
        <is>
          <t>AJ_LIST</t>
        </is>
      </c>
      <c r="AQ130" s="18" t="inlineStr">
        <is>
          <t>2026-01-15</t>
        </is>
      </c>
      <c r="AR130" s="18" t="inlineStr">
        <is>
          <t>OK</t>
        </is>
      </c>
      <c r="AS130" s="18" t="inlineStr">
        <is>
          <t>ROWS:p1r9</t>
        </is>
      </c>
      <c r="AT130" s="18" t="inlineStr">
        <is>
          <t>c56751547323</t>
        </is>
      </c>
    </row>
    <row r="131">
      <c r="A131" s="9" t="n">
        <v>130</v>
      </c>
      <c r="B131" s="9" t="inlineStr">
        <is>
          <t>NEW</t>
        </is>
      </c>
      <c r="C131" s="9" t="inlineStr"/>
      <c r="D131" s="9" t="n">
        <v>0</v>
      </c>
      <c r="E131" s="9" t="inlineStr"/>
      <c r="F131" s="9" t="inlineStr"/>
      <c r="G131" s="9" t="inlineStr"/>
      <c r="H131" s="9" t="inlineStr"/>
      <c r="I131" t="inlineStr">
        <is>
          <t>IBRAME INDUSTRIA BRASILEIRA DE METAIS S/A</t>
        </is>
      </c>
      <c r="J131" t="inlineStr">
        <is>
          <t>IBRAME INDUST RIA BRASILEIRA DE METAIS S</t>
        </is>
      </c>
      <c r="K131" t="inlineStr">
        <is>
          <t>60846599</t>
        </is>
      </c>
      <c r="L131" t="inlineStr">
        <is>
          <t>60846599000534</t>
        </is>
      </c>
      <c r="M131" s="10" t="n">
        <v>1359881.3</v>
      </c>
      <c r="N131" t="n">
        <v>2</v>
      </c>
      <c r="O131" s="11" t="inlineStr">
        <is>
          <t>C</t>
        </is>
      </c>
      <c r="P131" s="11" t="inlineStr">
        <is>
          <t>ACTIVE</t>
        </is>
      </c>
      <c r="Q131" s="12" t="n">
        <v>45068</v>
      </c>
      <c r="R131" s="11">
        <f>IF(Q131="","",ROUND((TODAY()-Q131)/365.25,1))</f>
        <v/>
      </c>
      <c r="S131" s="13">
        <f>IFERROR(VLOOKUP(O131,Assumptions!$A$7:$F$11,2,FALSE),0.25)</f>
        <v/>
      </c>
      <c r="T131" s="14">
        <f>IF(O131="A",MAX(1,IFERROR(VLOOKUP(O131,Assumptions!$A$7:$F$11,3,FALSE),3)+IFERROR(VLOOKUP(O131,Assumptions!$A$7:$F$11,4,FALSE),8)/2-MAX(0,IF(R131="",0,R131)-IFERROR(VLOOKUP(O131,Assumptions!$A$7:$F$11,5,FALSE),1.5))),IFERROR(VLOOKUP(O131,Assumptions!$A$7:$F$11,5,FALSE),2.5)+IFERROR(VLOOKUP(O131,Assumptions!$A$7:$F$11,3,FALSE),3)+IFERROR(VLOOKUP(O131,Assumptions!$A$7:$F$11,4,FALSE),8)/2)</f>
        <v/>
      </c>
      <c r="U131" s="15">
        <f>M131*S131/(1+Assumptions!$B$3)^T131</f>
        <v/>
      </c>
      <c r="V131" s="11">
        <f>IF(M131=0,"",ROUND(U131/M131*100,1))</f>
        <v/>
      </c>
      <c r="W131" s="16">
        <f>U131*Assumptions!$B$4</f>
        <v/>
      </c>
      <c r="X131" s="11">
        <f>IF(M131=0,"",ROUND(W131/M131*100,1))</f>
        <v/>
      </c>
      <c r="Y131" t="inlineStr">
        <is>
          <t>Grupo Conduscabos</t>
        </is>
      </c>
      <c r="Z131" t="inlineStr">
        <is>
          <t>8005129-09.2023.8.05.0039</t>
        </is>
      </c>
      <c r="AA131" t="inlineStr">
        <is>
          <t>TJBA</t>
        </is>
      </c>
      <c r="AB131" t="inlineStr">
        <is>
          <t>assistjud.com.br</t>
        </is>
      </c>
      <c r="AC131" t="inlineStr">
        <is>
          <t>LUIZ OSVALDO PASTORE</t>
        </is>
      </c>
      <c r="AD131" t="inlineStr">
        <is>
          <t>Presidente</t>
        </is>
      </c>
      <c r="AE131" t="inlineStr">
        <is>
          <t>(47) 2101-0049</t>
        </is>
      </c>
      <c r="AF131" t="inlineStr"/>
      <c r="AG131" t="inlineStr"/>
      <c r="AH131" t="inlineStr">
        <is>
          <t>ES</t>
        </is>
      </c>
      <c r="AI131" t="inlineStr">
        <is>
          <t>VITORIA</t>
        </is>
      </c>
      <c r="AJ131" t="inlineStr">
        <is>
          <t>Comércio atacadista de mercadorias em geral, sem predominância de alimentos ou de insumos agropecuários</t>
        </is>
      </c>
      <c r="AK131" t="inlineStr">
        <is>
          <t>DEMAIS</t>
        </is>
      </c>
      <c r="AL131" t="inlineStr">
        <is>
          <t>ATIVA</t>
        </is>
      </c>
      <c r="AM131" s="17" t="inlineStr">
        <is>
          <t>https://assistjud.com.br/wp-content/uploads/elementor/forms/65098c80a5824.pdf</t>
        </is>
      </c>
      <c r="AN131" s="18" t="inlineStr">
        <is>
          <t>p7 r11; p18 r3</t>
        </is>
      </c>
      <c r="AO131" s="18" t="inlineStr">
        <is>
          <t>p7: R$ 815.928,78; p18: R$ 543.952,52</t>
        </is>
      </c>
      <c r="AP131" s="18" t="inlineStr">
        <is>
          <t>AJ_LIST</t>
        </is>
      </c>
      <c r="AQ131" s="18" t="inlineStr">
        <is>
          <t>2023-09-18</t>
        </is>
      </c>
      <c r="AR131" s="18" t="inlineStr">
        <is>
          <t>OK_NO_TOTALS</t>
        </is>
      </c>
      <c r="AS131" s="18" t="inlineStr">
        <is>
          <t>ROWS:p7r11,p18r3 UNRECONCILED_SOURCE</t>
        </is>
      </c>
      <c r="AT131" s="18" t="inlineStr">
        <is>
          <t>a0ae32a59c29</t>
        </is>
      </c>
    </row>
    <row r="132">
      <c r="A132" s="9" t="n">
        <v>131</v>
      </c>
      <c r="B132" s="9" t="inlineStr">
        <is>
          <t>NEW</t>
        </is>
      </c>
      <c r="C132" s="9" t="inlineStr"/>
      <c r="D132" s="9" t="n">
        <v>0</v>
      </c>
      <c r="E132" s="9" t="inlineStr"/>
      <c r="F132" s="9" t="inlineStr"/>
      <c r="G132" s="9" t="inlineStr"/>
      <c r="H132" s="9" t="inlineStr"/>
      <c r="I132" t="inlineStr">
        <is>
          <t>IPIRANGA PRODUTOS DE PETROLEO S.A.</t>
        </is>
      </c>
      <c r="J132" t="inlineStr">
        <is>
          <t>IPIRANGA PRODUTOS DE PETROLEO S.A. (</t>
        </is>
      </c>
      <c r="K132" t="inlineStr">
        <is>
          <t>33337122</t>
        </is>
      </c>
      <c r="L132" t="inlineStr">
        <is>
          <t>33337122007130, 33337122020900</t>
        </is>
      </c>
      <c r="M132" s="10" t="n">
        <v>1352094</v>
      </c>
      <c r="N132" t="n">
        <v>2</v>
      </c>
      <c r="O132" s="11" t="inlineStr">
        <is>
          <t>C</t>
        </is>
      </c>
      <c r="P132" s="11" t="inlineStr">
        <is>
          <t>ACTIVE</t>
        </is>
      </c>
      <c r="Q132" s="12" t="n">
        <v>44020</v>
      </c>
      <c r="R132" s="11">
        <f>IF(Q132="","",ROUND((TODAY()-Q132)/365.25,1))</f>
        <v/>
      </c>
      <c r="S132" s="13">
        <f>IFERROR(VLOOKUP(O132,Assumptions!$A$7:$F$11,2,FALSE),0.25)</f>
        <v/>
      </c>
      <c r="T132" s="14">
        <f>IF(O132="A",MAX(1,IFERROR(VLOOKUP(O132,Assumptions!$A$7:$F$11,3,FALSE),3)+IFERROR(VLOOKUP(O132,Assumptions!$A$7:$F$11,4,FALSE),8)/2-MAX(0,IF(R132="",0,R132)-IFERROR(VLOOKUP(O132,Assumptions!$A$7:$F$11,5,FALSE),1.5))),IFERROR(VLOOKUP(O132,Assumptions!$A$7:$F$11,5,FALSE),2.5)+IFERROR(VLOOKUP(O132,Assumptions!$A$7:$F$11,3,FALSE),3)+IFERROR(VLOOKUP(O132,Assumptions!$A$7:$F$11,4,FALSE),8)/2)</f>
        <v/>
      </c>
      <c r="U132" s="15">
        <f>M132*S132/(1+Assumptions!$B$3)^T132</f>
        <v/>
      </c>
      <c r="V132" s="11">
        <f>IF(M132=0,"",ROUND(U132/M132*100,1))</f>
        <v/>
      </c>
      <c r="W132" s="16">
        <f>U132*Assumptions!$B$4</f>
        <v/>
      </c>
      <c r="X132" s="11">
        <f>IF(M132=0,"",ROUND(W132/M132*100,1))</f>
        <v/>
      </c>
      <c r="Y132" t="inlineStr">
        <is>
          <t>EMBRAC EMPRESA BRASILEIRA DE CARGAS LTDA.</t>
        </is>
      </c>
      <c r="Z132" t="inlineStr">
        <is>
          <t>1004204-09.2020.8.26.0604</t>
        </is>
      </c>
      <c r="AA132" t="inlineStr">
        <is>
          <t>TJSP</t>
        </is>
      </c>
      <c r="AB132" t="inlineStr">
        <is>
          <t>brasiltrustee.com.br</t>
        </is>
      </c>
      <c r="AC132" t="inlineStr">
        <is>
          <t>CARLOS FREDERICO RESENDE</t>
        </is>
      </c>
      <c r="AD132" t="inlineStr">
        <is>
          <t>Administrador</t>
        </is>
      </c>
      <c r="AE132" t="inlineStr">
        <is>
          <t>(21) 2574-5858</t>
        </is>
      </c>
      <c r="AF132" t="inlineStr"/>
      <c r="AG132" t="inlineStr"/>
      <c r="AH132" t="inlineStr">
        <is>
          <t>RJ</t>
        </is>
      </c>
      <c r="AI132" t="inlineStr">
        <is>
          <t>RIO DE JANEIRO</t>
        </is>
      </c>
      <c r="AJ132" t="inlineStr">
        <is>
          <t>Comércio atacadista de álcool carburante, biodiesel, gasolina e demais derivados de petróleo, exceto lubrificantes, não realizado por transportador re</t>
        </is>
      </c>
      <c r="AK132" t="inlineStr">
        <is>
          <t>DEMAIS</t>
        </is>
      </c>
      <c r="AL132" t="inlineStr">
        <is>
          <t>ATIVA</t>
        </is>
      </c>
      <c r="AM132" s="17" t="inlineStr">
        <is>
          <t>https://violet-wolf-754008.hostingersite.com/wp-content/uploads/recuperacoes-judiciais/Ebramec/2o-Edital-de-Credores.pdf</t>
        </is>
      </c>
      <c r="AN132" s="18" t="inlineStr">
        <is>
          <t>p2 r50; p2 r51; p6 r50; p6 r51</t>
        </is>
      </c>
      <c r="AO132" s="18" t="inlineStr">
        <is>
          <t>p2: R$ 808.506,00; p2: R$ 543.588,00; p6: R$ 808.506,00; p6: R$ 543.588,00</t>
        </is>
      </c>
      <c r="AP132" s="18" t="inlineStr">
        <is>
          <t>QGC</t>
        </is>
      </c>
      <c r="AQ132" s="18" t="inlineStr">
        <is>
          <t>2021-03-12</t>
        </is>
      </c>
      <c r="AR132" s="18" t="inlineStr">
        <is>
          <t>OK_NO_TOTALS</t>
        </is>
      </c>
      <c r="AS132" s="18" t="inlineStr">
        <is>
          <t>ROWS:p2r50,p2r51 UNRECONCILED_SOURCE</t>
        </is>
      </c>
      <c r="AT132" s="18" t="inlineStr">
        <is>
          <t>506c627084b6</t>
        </is>
      </c>
    </row>
    <row r="133">
      <c r="A133" s="9" t="n">
        <v>132</v>
      </c>
      <c r="B133" s="9" t="inlineStr">
        <is>
          <t>NEW</t>
        </is>
      </c>
      <c r="C133" s="9" t="inlineStr"/>
      <c r="D133" s="9" t="n">
        <v>0</v>
      </c>
      <c r="E133" s="9" t="inlineStr"/>
      <c r="F133" s="9" t="inlineStr"/>
      <c r="G133" s="9" t="inlineStr"/>
      <c r="H133" s="9" t="inlineStr"/>
      <c r="I133" t="inlineStr">
        <is>
          <t>MULTISAUDE FARMACEUTICA E NUTRICIONAL S/A</t>
        </is>
      </c>
      <c r="J133" t="inlineStr">
        <is>
          <t>Multisaude Farmaceutica E Nutricional S.A.</t>
        </is>
      </c>
      <c r="K133" t="inlineStr">
        <is>
          <t>07159913</t>
        </is>
      </c>
      <c r="L133" t="inlineStr">
        <is>
          <t>07159913000528</t>
        </is>
      </c>
      <c r="M133" s="10" t="n">
        <v>1349574.1</v>
      </c>
      <c r="N133" t="n">
        <v>1</v>
      </c>
      <c r="O133" s="11" t="inlineStr">
        <is>
          <t>C</t>
        </is>
      </c>
      <c r="P133" s="11" t="inlineStr">
        <is>
          <t>ACTIVE</t>
        </is>
      </c>
      <c r="Q133" s="12" t="n">
        <v>44987</v>
      </c>
      <c r="R133" s="11">
        <f>IF(Q133="","",ROUND((TODAY()-Q133)/365.25,1))</f>
        <v/>
      </c>
      <c r="S133" s="13">
        <f>IFERROR(VLOOKUP(O133,Assumptions!$A$7:$F$11,2,FALSE),0.25)</f>
        <v/>
      </c>
      <c r="T133" s="14">
        <f>IF(O133="A",MAX(1,IFERROR(VLOOKUP(O133,Assumptions!$A$7:$F$11,3,FALSE),3)+IFERROR(VLOOKUP(O133,Assumptions!$A$7:$F$11,4,FALSE),8)/2-MAX(0,IF(R133="",0,R133)-IFERROR(VLOOKUP(O133,Assumptions!$A$7:$F$11,5,FALSE),1.5))),IFERROR(VLOOKUP(O133,Assumptions!$A$7:$F$11,5,FALSE),2.5)+IFERROR(VLOOKUP(O133,Assumptions!$A$7:$F$11,3,FALSE),3)+IFERROR(VLOOKUP(O133,Assumptions!$A$7:$F$11,4,FALSE),8)/2)</f>
        <v/>
      </c>
      <c r="U133" s="15">
        <f>M133*S133/(1+Assumptions!$B$3)^T133</f>
        <v/>
      </c>
      <c r="V133" s="11">
        <f>IF(M133=0,"",ROUND(U133/M133*100,1))</f>
        <v/>
      </c>
      <c r="W133" s="16">
        <f>U133*Assumptions!$B$4</f>
        <v/>
      </c>
      <c r="X133" s="11">
        <f>IF(M133=0,"",ROUND(W133/M133*100,1))</f>
        <v/>
      </c>
      <c r="Y133" t="inlineStr">
        <is>
          <t>GRUPO DP4</t>
        </is>
      </c>
      <c r="Z133" t="inlineStr">
        <is>
          <t>0005010-98.2023.8.16.0001</t>
        </is>
      </c>
      <c r="AA133" t="inlineStr">
        <is>
          <t>TJPR</t>
        </is>
      </c>
      <c r="AB133" t="inlineStr">
        <is>
          <t>marquesadmjudicial.com.br</t>
        </is>
      </c>
      <c r="AC133" t="inlineStr">
        <is>
          <t>IGOR GEORGE FARIAS DE MEDEIROS</t>
        </is>
      </c>
      <c r="AD133" t="inlineStr">
        <is>
          <t>Presidente</t>
        </is>
      </c>
      <c r="AE133" t="inlineStr">
        <is>
          <t>(41) 3679-5858</t>
        </is>
      </c>
      <c r="AF133" t="inlineStr"/>
      <c r="AG133" t="inlineStr"/>
      <c r="AH133" t="inlineStr">
        <is>
          <t>PE</t>
        </is>
      </c>
      <c r="AI133" t="inlineStr">
        <is>
          <t>GOIANA</t>
        </is>
      </c>
      <c r="AJ133" t="inlineStr">
        <is>
          <t>Fabricação de medicamentos alopáticos para uso humano</t>
        </is>
      </c>
      <c r="AK133" t="inlineStr">
        <is>
          <t>DEMAIS</t>
        </is>
      </c>
      <c r="AL133" t="inlineStr">
        <is>
          <t>ATIVA</t>
        </is>
      </c>
      <c r="AM133" s="17" t="inlineStr">
        <is>
          <t>https://marquesadmjudicial.com.br/sgc/download.php?file=files/processo_documento/processo_documento15293208032024_1_.pdf&amp;nome=Relação Nominal de Credores da AJ-Sintética</t>
        </is>
      </c>
      <c r="AN133" s="18" t="inlineStr">
        <is>
          <t>p29 r9</t>
        </is>
      </c>
      <c r="AO133" s="18" t="inlineStr">
        <is>
          <t>p29: R$ 1.349.574,10</t>
        </is>
      </c>
      <c r="AP133" s="18" t="inlineStr">
        <is>
          <t>AJ_LIST</t>
        </is>
      </c>
      <c r="AQ133" s="18" t="inlineStr">
        <is>
          <t>2023-03-02</t>
        </is>
      </c>
      <c r="AR133" s="18" t="inlineStr">
        <is>
          <t>QUARANTINED</t>
        </is>
      </c>
      <c r="AS133" s="18" t="inlineStr">
        <is>
          <t>PARTIAL_DOC_CLASS_III_RECONCILED ROWS:p29r9</t>
        </is>
      </c>
      <c r="AT133" s="18" t="inlineStr">
        <is>
          <t>b465a5d11eec</t>
        </is>
      </c>
    </row>
    <row r="134">
      <c r="A134" s="9" t="n">
        <v>133</v>
      </c>
      <c r="B134" s="9" t="inlineStr">
        <is>
          <t>NEW</t>
        </is>
      </c>
      <c r="C134" s="9" t="inlineStr"/>
      <c r="D134" s="9" t="n">
        <v>0</v>
      </c>
      <c r="E134" s="9" t="inlineStr"/>
      <c r="F134" s="9" t="inlineStr"/>
      <c r="G134" s="9" t="inlineStr"/>
      <c r="H134" s="9" t="inlineStr"/>
      <c r="I134" t="inlineStr">
        <is>
          <t>STONEX COMERCIO E EXPORTACAO DE COMMODITIES LTDA.</t>
        </is>
      </c>
      <c r="J134" t="inlineStr">
        <is>
          <t>STONEX COMÉRCIO E EXPORTAÇÃO DE COMMODITIES LTDA.</t>
        </is>
      </c>
      <c r="K134" t="inlineStr">
        <is>
          <t>19684286</t>
        </is>
      </c>
      <c r="L134" t="inlineStr">
        <is>
          <t>19684286000280</t>
        </is>
      </c>
      <c r="M134" s="10" t="n">
        <v>1343951.77</v>
      </c>
      <c r="N134" t="n">
        <v>1</v>
      </c>
      <c r="O134" s="11" t="inlineStr">
        <is>
          <t>B</t>
        </is>
      </c>
      <c r="P134" s="11" t="inlineStr">
        <is>
          <t>ACTIVE</t>
        </is>
      </c>
      <c r="Q134" s="12" t="n">
        <v>46030</v>
      </c>
      <c r="R134" s="11">
        <f>IF(Q134="","",ROUND((TODAY()-Q134)/365.25,1))</f>
        <v/>
      </c>
      <c r="S134" s="13">
        <f>IFERROR(VLOOKUP(O134,Assumptions!$A$7:$F$11,2,FALSE),0.25)</f>
        <v/>
      </c>
      <c r="T134" s="14">
        <f>IF(O134="A",MAX(1,IFERROR(VLOOKUP(O134,Assumptions!$A$7:$F$11,3,FALSE),3)+IFERROR(VLOOKUP(O134,Assumptions!$A$7:$F$11,4,FALSE),8)/2-MAX(0,IF(R134="",0,R134)-IFERROR(VLOOKUP(O134,Assumptions!$A$7:$F$11,5,FALSE),1.5))),IFERROR(VLOOKUP(O134,Assumptions!$A$7:$F$11,5,FALSE),2.5)+IFERROR(VLOOKUP(O134,Assumptions!$A$7:$F$11,3,FALSE),3)+IFERROR(VLOOKUP(O134,Assumptions!$A$7:$F$11,4,FALSE),8)/2)</f>
        <v/>
      </c>
      <c r="U134" s="15">
        <f>M134*S134/(1+Assumptions!$B$3)^T134</f>
        <v/>
      </c>
      <c r="V134" s="11">
        <f>IF(M134=0,"",ROUND(U134/M134*100,1))</f>
        <v/>
      </c>
      <c r="W134" s="16">
        <f>U134*Assumptions!$B$4</f>
        <v/>
      </c>
      <c r="X134" s="11">
        <f>IF(M134=0,"",ROUND(W134/M134*100,1))</f>
        <v/>
      </c>
      <c r="Y134" t="inlineStr">
        <is>
          <t>GRUPO FERRARI (ALEX, ALEXANDRE , ANDRIELLE FERRARI MANTELLI, ARCIR LUIS, ERICA SANTOS ASSIS LIMA, FERNANDO MANTELLI, IDELSI, TALITA LEITE SILVA, AGROPECUARIA FERRARI LTDA E FERRARI ARMAZENS GERAIS)</t>
        </is>
      </c>
      <c r="Z134" t="inlineStr">
        <is>
          <t>5011369-81.2026.8.09.0093</t>
        </is>
      </c>
      <c r="AA134" t="inlineStr">
        <is>
          <t>TJGO</t>
        </is>
      </c>
      <c r="AB134" t="inlineStr">
        <is>
          <t>scalzilliaj.com.br</t>
        </is>
      </c>
      <c r="AC134" t="inlineStr">
        <is>
          <t>ARIEL GAGLIARDONE COELHO</t>
        </is>
      </c>
      <c r="AD134" t="inlineStr">
        <is>
          <t>Administrador</t>
        </is>
      </c>
      <c r="AE134" t="inlineStr">
        <is>
          <t>(11) 3509-5404</t>
        </is>
      </c>
      <c r="AF134" t="inlineStr"/>
      <c r="AG134" t="inlineStr"/>
      <c r="AH134" t="inlineStr">
        <is>
          <t>SP</t>
        </is>
      </c>
      <c r="AI134" t="inlineStr">
        <is>
          <t>CAMPINAS</t>
        </is>
      </c>
      <c r="AJ134" t="inlineStr">
        <is>
          <t>Comércio atacadista de algodão</t>
        </is>
      </c>
      <c r="AK134" t="inlineStr">
        <is>
          <t>DEMAIS</t>
        </is>
      </c>
      <c r="AL134" t="inlineStr">
        <is>
          <t>ATIVA</t>
        </is>
      </c>
      <c r="AM134" s="17" t="inlineStr">
        <is>
          <t>https://scalzilliaj.com.br/sgc/download.php?file=files/processo_documento/processo_documento11421222052026_1_.pdf&amp;nome=08. Lista de credores do edital do art. 52, §1º da LREF</t>
        </is>
      </c>
      <c r="AN134" s="18" t="inlineStr">
        <is>
          <t>p3 r11</t>
        </is>
      </c>
      <c r="AO134" s="18" t="inlineStr">
        <is>
          <t>p3: R$ 1.343.951,77</t>
        </is>
      </c>
      <c r="AP134" s="18" t="inlineStr">
        <is>
          <t>UNKNOWN</t>
        </is>
      </c>
      <c r="AQ134" s="18" t="inlineStr"/>
      <c r="AR134" s="18" t="inlineStr">
        <is>
          <t>OK_NO_TOTALS</t>
        </is>
      </c>
      <c r="AS134" s="18" t="inlineStr">
        <is>
          <t>ROWS:p3r11 UNRECONCILED_SOURCE</t>
        </is>
      </c>
      <c r="AT134" s="18" t="inlineStr">
        <is>
          <t>c536a2fa4da3</t>
        </is>
      </c>
    </row>
    <row r="135">
      <c r="A135" s="9" t="n">
        <v>134</v>
      </c>
      <c r="B135" s="9" t="inlineStr">
        <is>
          <t>NEW</t>
        </is>
      </c>
      <c r="C135" s="9" t="inlineStr"/>
      <c r="D135" s="9" t="n">
        <v>0</v>
      </c>
      <c r="E135" s="9" t="inlineStr"/>
      <c r="F135" s="9" t="inlineStr"/>
      <c r="G135" s="9" t="inlineStr"/>
      <c r="H135" s="9" t="inlineStr"/>
      <c r="I135" t="inlineStr">
        <is>
          <t>WHITE MARTINS GASES INDUSTRIAIS LTDA</t>
        </is>
      </c>
      <c r="J135" t="inlineStr">
        <is>
          <t>WHITE MARTINS GASES INDUSTRIAI (</t>
        </is>
      </c>
      <c r="K135" t="inlineStr">
        <is>
          <t>35820448</t>
        </is>
      </c>
      <c r="L135" t="inlineStr">
        <is>
          <t>35820448006410</t>
        </is>
      </c>
      <c r="M135" s="10" t="n">
        <v>1341862.73</v>
      </c>
      <c r="N135" t="n">
        <v>1</v>
      </c>
      <c r="O135" s="11" t="inlineStr">
        <is>
          <t>C</t>
        </is>
      </c>
      <c r="P135" s="11" t="inlineStr">
        <is>
          <t>ACTIVE</t>
        </is>
      </c>
      <c r="Q135" s="12" t="n">
        <v>44735</v>
      </c>
      <c r="R135" s="11">
        <f>IF(Q135="","",ROUND((TODAY()-Q135)/365.25,1))</f>
        <v/>
      </c>
      <c r="S135" s="13">
        <f>IFERROR(VLOOKUP(O135,Assumptions!$A$7:$F$11,2,FALSE),0.25)</f>
        <v/>
      </c>
      <c r="T135" s="14">
        <f>IF(O135="A",MAX(1,IFERROR(VLOOKUP(O135,Assumptions!$A$7:$F$11,3,FALSE),3)+IFERROR(VLOOKUP(O135,Assumptions!$A$7:$F$11,4,FALSE),8)/2-MAX(0,IF(R135="",0,R135)-IFERROR(VLOOKUP(O135,Assumptions!$A$7:$F$11,5,FALSE),1.5))),IFERROR(VLOOKUP(O135,Assumptions!$A$7:$F$11,5,FALSE),2.5)+IFERROR(VLOOKUP(O135,Assumptions!$A$7:$F$11,3,FALSE),3)+IFERROR(VLOOKUP(O135,Assumptions!$A$7:$F$11,4,FALSE),8)/2)</f>
        <v/>
      </c>
      <c r="U135" s="15">
        <f>M135*S135/(1+Assumptions!$B$3)^T135</f>
        <v/>
      </c>
      <c r="V135" s="11">
        <f>IF(M135=0,"",ROUND(U135/M135*100,1))</f>
        <v/>
      </c>
      <c r="W135" s="16">
        <f>U135*Assumptions!$B$4</f>
        <v/>
      </c>
      <c r="X135" s="11">
        <f>IF(M135=0,"",ROUND(W135/M135*100,1))</f>
        <v/>
      </c>
      <c r="Y135" t="inlineStr">
        <is>
          <t>ASSOCIAÇÃO DE CARIDADE SANTA CASA DO RIO GRANDE</t>
        </is>
      </c>
      <c r="Z135" t="inlineStr">
        <is>
          <t>5012306-16.2022.8.21.0023</t>
        </is>
      </c>
      <c r="AA135" t="inlineStr">
        <is>
          <t>TJRS</t>
        </is>
      </c>
      <c r="AB135" t="inlineStr">
        <is>
          <t>scalzilliaj.com.br</t>
        </is>
      </c>
      <c r="AC135" t="inlineStr">
        <is>
          <t>CARLOS FERREIRA DE MARCO</t>
        </is>
      </c>
      <c r="AD135" t="inlineStr">
        <is>
          <t>Administrador</t>
        </is>
      </c>
      <c r="AE135" t="inlineStr">
        <is>
          <t>(21) 3279-9000</t>
        </is>
      </c>
      <c r="AF135" t="inlineStr"/>
      <c r="AG135" t="inlineStr"/>
      <c r="AH135" t="inlineStr">
        <is>
          <t>RJ</t>
        </is>
      </c>
      <c r="AI135" t="inlineStr">
        <is>
          <t>RIO DE JANEIRO</t>
        </is>
      </c>
      <c r="AJ135" t="inlineStr">
        <is>
          <t>Atividades de consultoria em gestão empresarial, exceto consultoria técnica específica</t>
        </is>
      </c>
      <c r="AK135" t="inlineStr">
        <is>
          <t>DEMAIS</t>
        </is>
      </c>
      <c r="AL135" t="inlineStr">
        <is>
          <t>ATIVA</t>
        </is>
      </c>
      <c r="AM135" s="17" t="inlineStr">
        <is>
          <t>https://scalzilliaj.com.br/sgc/download.php?file=files/processo_documento/processo_documento09120721032023_1_.pdf&amp;nome=15 - Edital do art. 7º, §2º e 53 da Lei 11.101/2005 (segunda lista de credores e recebimento do plano))</t>
        </is>
      </c>
      <c r="AN135" s="18" t="inlineStr">
        <is>
          <t>p30 r37</t>
        </is>
      </c>
      <c r="AO135" s="18" t="inlineStr">
        <is>
          <t>p30: R$ 1.341.862,73</t>
        </is>
      </c>
      <c r="AP135" s="18" t="inlineStr">
        <is>
          <t>AJ_LIST</t>
        </is>
      </c>
      <c r="AQ135" s="18" t="inlineStr">
        <is>
          <t>2023-03-21</t>
        </is>
      </c>
      <c r="AR135" s="18" t="inlineStr">
        <is>
          <t>OK_NO_TOTALS</t>
        </is>
      </c>
      <c r="AS135" s="18" t="inlineStr">
        <is>
          <t>ROWS:p30r37 UNRECONCILED_SOURCE</t>
        </is>
      </c>
      <c r="AT135" s="18" t="inlineStr">
        <is>
          <t>ebfb999b457c</t>
        </is>
      </c>
    </row>
    <row r="136">
      <c r="A136" s="9" t="n">
        <v>135</v>
      </c>
      <c r="B136" s="9" t="inlineStr">
        <is>
          <t>NEW</t>
        </is>
      </c>
      <c r="C136" s="9" t="inlineStr"/>
      <c r="D136" s="9" t="n">
        <v>0</v>
      </c>
      <c r="E136" s="9" t="inlineStr"/>
      <c r="F136" s="9" t="inlineStr"/>
      <c r="G136" s="9" t="inlineStr"/>
      <c r="H136" s="9" t="inlineStr"/>
      <c r="I136" t="inlineStr">
        <is>
          <t>GERDAU ACOS LONGOS S.A.</t>
        </is>
      </c>
      <c r="J136" t="inlineStr">
        <is>
          <t>Gerdau Aços Longos S.A</t>
        </is>
      </c>
      <c r="K136" t="inlineStr">
        <is>
          <t>07358761</t>
        </is>
      </c>
      <c r="L136" t="inlineStr">
        <is>
          <t>07358761000169</t>
        </is>
      </c>
      <c r="M136" s="10" t="n">
        <v>1340193.75</v>
      </c>
      <c r="N136" t="n">
        <v>3</v>
      </c>
      <c r="O136" s="11" t="inlineStr">
        <is>
          <t>B</t>
        </is>
      </c>
      <c r="P136" s="11" t="inlineStr"/>
      <c r="Q136" s="12" t="n">
        <v>45756</v>
      </c>
      <c r="R136" s="11">
        <f>IF(Q136="","",ROUND((TODAY()-Q136)/365.25,1))</f>
        <v/>
      </c>
      <c r="S136" s="13">
        <f>IFERROR(VLOOKUP(O136,Assumptions!$A$7:$F$11,2,FALSE),0.25)</f>
        <v/>
      </c>
      <c r="T136" s="14">
        <f>IF(O136="A",MAX(1,IFERROR(VLOOKUP(O136,Assumptions!$A$7:$F$11,3,FALSE),3)+IFERROR(VLOOKUP(O136,Assumptions!$A$7:$F$11,4,FALSE),8)/2-MAX(0,IF(R136="",0,R136)-IFERROR(VLOOKUP(O136,Assumptions!$A$7:$F$11,5,FALSE),1.5))),IFERROR(VLOOKUP(O136,Assumptions!$A$7:$F$11,5,FALSE),2.5)+IFERROR(VLOOKUP(O136,Assumptions!$A$7:$F$11,3,FALSE),3)+IFERROR(VLOOKUP(O136,Assumptions!$A$7:$F$11,4,FALSE),8)/2)</f>
        <v/>
      </c>
      <c r="U136" s="15">
        <f>M136*S136/(1+Assumptions!$B$3)^T136</f>
        <v/>
      </c>
      <c r="V136" s="11">
        <f>IF(M136=0,"",ROUND(U136/M136*100,1))</f>
        <v/>
      </c>
      <c r="W136" s="16">
        <f>U136*Assumptions!$B$4</f>
        <v/>
      </c>
      <c r="X136" s="11">
        <f>IF(M136=0,"",ROUND(W136/M136*100,1))</f>
        <v/>
      </c>
      <c r="Y136" t="inlineStr">
        <is>
          <t>GRUPO EGESA (EGESA ENG S.A, EGESUR PART E EMP S.A, MATRIX INFRA LTDA, BEMVIVER ENG AMBIENTAL E SERV LTDA, DKF CONST E EMP LTDA, EGEPEL LTDA, ETR ASSESSORIA EMP E PART LTDA, MVT ENG E SERV LTDA, PARQUES DO VALE LTDA, ELMO RIBEIRO E ANA RIBEIRO)</t>
        </is>
      </c>
      <c r="Z136" t="inlineStr">
        <is>
          <t>5088952-81.2025.8.13.0024</t>
        </is>
      </c>
      <c r="AA136" t="inlineStr">
        <is>
          <t>TJMG</t>
        </is>
      </c>
      <c r="AB136" t="inlineStr">
        <is>
          <t>scalzilliaj.com.br</t>
        </is>
      </c>
      <c r="AC136" t="inlineStr">
        <is>
          <t>GUSTAVO WERNECK DA CUNHA</t>
        </is>
      </c>
      <c r="AD136" t="inlineStr">
        <is>
          <t>Presidente</t>
        </is>
      </c>
      <c r="AE136" t="inlineStr">
        <is>
          <t>(11) 3094-6600</t>
        </is>
      </c>
      <c r="AF136" t="inlineStr"/>
      <c r="AG136" t="inlineStr"/>
      <c r="AH136" t="inlineStr">
        <is>
          <t>RJ</t>
        </is>
      </c>
      <c r="AI136" t="inlineStr">
        <is>
          <t>RIO DE JANEIRO</t>
        </is>
      </c>
      <c r="AJ136" t="inlineStr">
        <is>
          <t>Produção de laminados longos de aço, exceto tubos</t>
        </is>
      </c>
      <c r="AK136" t="inlineStr">
        <is>
          <t>DEMAIS</t>
        </is>
      </c>
      <c r="AL136" t="inlineStr">
        <is>
          <t>ATIVA</t>
        </is>
      </c>
      <c r="AM136" s="17" t="inlineStr">
        <is>
          <t>https://scalzilliaj.com.br/sgc/download.php?file=files/processo_documento/processo_documento09514021082025_1_.pdf&amp;nome=04 - Relação de credores das Recuperandas</t>
        </is>
      </c>
      <c r="AN136" s="18" t="inlineStr">
        <is>
          <t>p67 r6; p67 r7; p67 r8</t>
        </is>
      </c>
      <c r="AO136" s="18" t="inlineStr">
        <is>
          <t>p67: R$ 697.078,05; p67: R$ 550.843,32; p67: R$ 92.272,38</t>
        </is>
      </c>
      <c r="AP136" s="18" t="inlineStr">
        <is>
          <t>DEBTOR_LIST</t>
        </is>
      </c>
      <c r="AQ136" s="18" t="inlineStr"/>
      <c r="AR136" s="18" t="inlineStr">
        <is>
          <t>OK</t>
        </is>
      </c>
      <c r="AS136" s="18" t="inlineStr">
        <is>
          <t>ROWS:p67r6,p67r7,p67r8 VALUE_COL:Valor_Atualizado CASE_NUMBER_CORRECTED CASE_FROM_PORTAL</t>
        </is>
      </c>
      <c r="AT136" s="18" t="inlineStr">
        <is>
          <t>24ed98480a57</t>
        </is>
      </c>
    </row>
    <row r="137">
      <c r="A137" s="9" t="n">
        <v>136</v>
      </c>
      <c r="B137" s="9" t="inlineStr">
        <is>
          <t>NEW</t>
        </is>
      </c>
      <c r="C137" s="9" t="inlineStr"/>
      <c r="D137" s="9" t="n">
        <v>0</v>
      </c>
      <c r="E137" s="9" t="inlineStr"/>
      <c r="F137" s="9" t="inlineStr"/>
      <c r="G137" s="9" t="inlineStr"/>
      <c r="H137" s="9" t="inlineStr"/>
      <c r="I137" t="inlineStr">
        <is>
          <t>HOHL MAQUINAS AGRICOLAS LTDA</t>
        </is>
      </c>
      <c r="J137" t="inlineStr">
        <is>
          <t>Hohl Maquinas Agricolas Ltda</t>
        </is>
      </c>
      <c r="K137" t="inlineStr">
        <is>
          <t>01608488</t>
        </is>
      </c>
      <c r="L137" t="inlineStr">
        <is>
          <t>01608488000954, 01608488001250</t>
        </is>
      </c>
      <c r="M137" s="10" t="n">
        <v>1324133.99</v>
      </c>
      <c r="N137" t="n">
        <v>2</v>
      </c>
      <c r="O137" s="11" t="inlineStr">
        <is>
          <t>B</t>
        </is>
      </c>
      <c r="P137" s="11" t="inlineStr">
        <is>
          <t>ACTIVE</t>
        </is>
      </c>
      <c r="Q137" s="12" t="n">
        <v>46130</v>
      </c>
      <c r="R137" s="11">
        <f>IF(Q137="","",ROUND((TODAY()-Q137)/365.25,1))</f>
        <v/>
      </c>
      <c r="S137" s="13">
        <f>IFERROR(VLOOKUP(O137,Assumptions!$A$7:$F$11,2,FALSE),0.25)</f>
        <v/>
      </c>
      <c r="T137" s="14">
        <f>IF(O137="A",MAX(1,IFERROR(VLOOKUP(O137,Assumptions!$A$7:$F$11,3,FALSE),3)+IFERROR(VLOOKUP(O137,Assumptions!$A$7:$F$11,4,FALSE),8)/2-MAX(0,IF(R137="",0,R137)-IFERROR(VLOOKUP(O137,Assumptions!$A$7:$F$11,5,FALSE),1.5))),IFERROR(VLOOKUP(O137,Assumptions!$A$7:$F$11,5,FALSE),2.5)+IFERROR(VLOOKUP(O137,Assumptions!$A$7:$F$11,3,FALSE),3)+IFERROR(VLOOKUP(O137,Assumptions!$A$7:$F$11,4,FALSE),8)/2)</f>
        <v/>
      </c>
      <c r="U137" s="15">
        <f>M137*S137/(1+Assumptions!$B$3)^T137</f>
        <v/>
      </c>
      <c r="V137" s="11">
        <f>IF(M137=0,"",ROUND(U137/M137*100,1))</f>
        <v/>
      </c>
      <c r="W137" s="16">
        <f>U137*Assumptions!$B$4</f>
        <v/>
      </c>
      <c r="X137" s="11">
        <f>IF(M137=0,"",ROUND(W137/M137*100,1))</f>
        <v/>
      </c>
      <c r="Y137" t="inlineStr">
        <is>
          <t>GRUPO 3E</t>
        </is>
      </c>
      <c r="Z137" t="inlineStr">
        <is>
          <t>5341375-33.2026.8.09.0049</t>
        </is>
      </c>
      <c r="AA137" t="inlineStr">
        <is>
          <t>TJGO</t>
        </is>
      </c>
      <c r="AB137" t="inlineStr">
        <is>
          <t>stenius.com.br</t>
        </is>
      </c>
      <c r="AC137" t="inlineStr">
        <is>
          <t>ALEXANDER HOHL</t>
        </is>
      </c>
      <c r="AD137" t="inlineStr">
        <is>
          <t>Sócio-Administrador</t>
        </is>
      </c>
      <c r="AE137" t="inlineStr">
        <is>
          <t>(62) 3142-6515</t>
        </is>
      </c>
      <c r="AF137" t="inlineStr"/>
      <c r="AG137" t="inlineStr"/>
      <c r="AH137" t="inlineStr">
        <is>
          <t>GO</t>
        </is>
      </c>
      <c r="AI137" t="inlineStr">
        <is>
          <t>GOIANIA</t>
        </is>
      </c>
      <c r="AJ137" t="inlineStr">
        <is>
          <t>Serviços combinados de escritório e apoio administrativo</t>
        </is>
      </c>
      <c r="AK137" t="inlineStr">
        <is>
          <t>DEMAIS</t>
        </is>
      </c>
      <c r="AL137" t="inlineStr">
        <is>
          <t>ATIVA</t>
        </is>
      </c>
      <c r="AM137" s="17" t="inlineStr">
        <is>
          <t>https://stenius.com.br/wp-content/uploads/2026/06/EDITAL-GRUPO-3E.pdf</t>
        </is>
      </c>
      <c r="AN137" s="18" t="inlineStr">
        <is>
          <t>p14 r39; p14 r40</t>
        </is>
      </c>
      <c r="AO137" s="18" t="inlineStr">
        <is>
          <t>p14: R$ 1.323.718,99; p14: R$ 415,00</t>
        </is>
      </c>
      <c r="AP137" s="18" t="inlineStr">
        <is>
          <t>DEBTOR_LIST</t>
        </is>
      </c>
      <c r="AQ137" s="18" t="inlineStr">
        <is>
          <t>2026-06-22</t>
        </is>
      </c>
      <c r="AR137" s="18" t="inlineStr">
        <is>
          <t>OK_NO_TOTALS</t>
        </is>
      </c>
      <c r="AS137" s="18" t="inlineStr">
        <is>
          <t>ROWS:p14r39,p14r40 UNRECONCILED_SOURCE</t>
        </is>
      </c>
      <c r="AT137" s="18" t="inlineStr">
        <is>
          <t>8e8832093a15</t>
        </is>
      </c>
    </row>
    <row r="138">
      <c r="A138" s="9" t="n">
        <v>137</v>
      </c>
      <c r="B138" s="9" t="inlineStr">
        <is>
          <t>NEW</t>
        </is>
      </c>
      <c r="C138" s="9" t="inlineStr"/>
      <c r="D138" s="9" t="n">
        <v>0</v>
      </c>
      <c r="E138" s="9" t="inlineStr"/>
      <c r="F138" s="9" t="inlineStr"/>
      <c r="G138" s="9" t="inlineStr"/>
      <c r="H138" s="9" t="inlineStr"/>
      <c r="I138" t="inlineStr">
        <is>
          <t>AGROCERES MULTIMIX NUTRICAO ANIMAL LTDA</t>
        </is>
      </c>
      <c r="J138" t="inlineStr">
        <is>
          <t>2.16AGROCERES MULTIMIX NUTRICAO ANIMAL LTDA</t>
        </is>
      </c>
      <c r="K138" t="inlineStr">
        <is>
          <t>28622744</t>
        </is>
      </c>
      <c r="L138" t="inlineStr">
        <is>
          <t>28622744000167</t>
        </is>
      </c>
      <c r="M138" s="10" t="n">
        <v>1268978.32</v>
      </c>
      <c r="N138" t="n">
        <v>1</v>
      </c>
      <c r="O138" s="11" t="inlineStr">
        <is>
          <t>B</t>
        </is>
      </c>
      <c r="P138" s="11" t="inlineStr">
        <is>
          <t>ACTIVE</t>
        </is>
      </c>
      <c r="Q138" s="12" t="n">
        <v>45534</v>
      </c>
      <c r="R138" s="11">
        <f>IF(Q138="","",ROUND((TODAY()-Q138)/365.25,1))</f>
        <v/>
      </c>
      <c r="S138" s="13">
        <f>IFERROR(VLOOKUP(O138,Assumptions!$A$7:$F$11,2,FALSE),0.25)</f>
        <v/>
      </c>
      <c r="T138" s="14">
        <f>IF(O138="A",MAX(1,IFERROR(VLOOKUP(O138,Assumptions!$A$7:$F$11,3,FALSE),3)+IFERROR(VLOOKUP(O138,Assumptions!$A$7:$F$11,4,FALSE),8)/2-MAX(0,IF(R138="",0,R138)-IFERROR(VLOOKUP(O138,Assumptions!$A$7:$F$11,5,FALSE),1.5))),IFERROR(VLOOKUP(O138,Assumptions!$A$7:$F$11,5,FALSE),2.5)+IFERROR(VLOOKUP(O138,Assumptions!$A$7:$F$11,3,FALSE),3)+IFERROR(VLOOKUP(O138,Assumptions!$A$7:$F$11,4,FALSE),8)/2)</f>
        <v/>
      </c>
      <c r="U138" s="15">
        <f>M138*S138/(1+Assumptions!$B$3)^T138</f>
        <v/>
      </c>
      <c r="V138" s="11">
        <f>IF(M138=0,"",ROUND(U138/M138*100,1))</f>
        <v/>
      </c>
      <c r="W138" s="16">
        <f>U138*Assumptions!$B$4</f>
        <v/>
      </c>
      <c r="X138" s="11">
        <f>IF(M138=0,"",ROUND(W138/M138*100,1))</f>
        <v/>
      </c>
      <c r="Y138" t="inlineStr">
        <is>
          <t>SUINOCULTURA KUNZLER</t>
        </is>
      </c>
      <c r="Z138" t="inlineStr">
        <is>
          <t>5009149-92.2024.8.24.0019</t>
        </is>
      </c>
      <c r="AA138" t="inlineStr">
        <is>
          <t>TJSC</t>
        </is>
      </c>
      <c r="AB138" t="inlineStr">
        <is>
          <t>rlg-aj.com.br</t>
        </is>
      </c>
      <c r="AC138" t="inlineStr">
        <is>
          <t>MARCELO ARAUJO RIBEIRAL</t>
        </is>
      </c>
      <c r="AD138" t="inlineStr">
        <is>
          <t>Sócio-Administrador</t>
        </is>
      </c>
      <c r="AE138" t="inlineStr">
        <is>
          <t>(19) 3526-8500</t>
        </is>
      </c>
      <c r="AF138" t="inlineStr"/>
      <c r="AG138" t="inlineStr"/>
      <c r="AH138" t="inlineStr">
        <is>
          <t>SP</t>
        </is>
      </c>
      <c r="AI138" t="inlineStr">
        <is>
          <t>RIO CLARO</t>
        </is>
      </c>
      <c r="AJ138" t="inlineStr">
        <is>
          <t>Fabricação de alimentos para animais</t>
        </is>
      </c>
      <c r="AK138" t="inlineStr">
        <is>
          <t>DEMAIS</t>
        </is>
      </c>
      <c r="AL138" t="inlineStr">
        <is>
          <t>ATIVA</t>
        </is>
      </c>
      <c r="AM138" s="17" t="inlineStr">
        <is>
          <t>https://rlg-aj.com.br/wp-content/uploads/2024/11/07.-Relação-de-credores.pdf</t>
        </is>
      </c>
      <c r="AN138" s="18" t="inlineStr">
        <is>
          <t>p1 r22</t>
        </is>
      </c>
      <c r="AO138" s="18" t="inlineStr">
        <is>
          <t>p1: R$ 1.268.978,32</t>
        </is>
      </c>
      <c r="AP138" s="18" t="inlineStr">
        <is>
          <t>UNKNOWN</t>
        </is>
      </c>
      <c r="AQ138" s="18" t="inlineStr"/>
      <c r="AR138" s="18" t="inlineStr">
        <is>
          <t>OK_NO_TOTALS</t>
        </is>
      </c>
      <c r="AS138" s="18" t="inlineStr">
        <is>
          <t>ROWS:p1r22 UNRECONCILED_SOURCE</t>
        </is>
      </c>
      <c r="AT138" s="18" t="inlineStr">
        <is>
          <t>a62ac8ee0458</t>
        </is>
      </c>
    </row>
    <row r="139">
      <c r="A139" s="9" t="n">
        <v>138</v>
      </c>
      <c r="B139" s="9" t="inlineStr">
        <is>
          <t>NEW</t>
        </is>
      </c>
      <c r="C139" s="9" t="inlineStr"/>
      <c r="D139" s="9" t="n">
        <v>0</v>
      </c>
      <c r="E139" s="9" t="inlineStr"/>
      <c r="F139" s="9" t="inlineStr"/>
      <c r="G139" s="9" t="inlineStr"/>
      <c r="H139" s="9" t="inlineStr"/>
      <c r="I139" t="inlineStr">
        <is>
          <t>PEDREIRA ARAGUAIA LTDA</t>
        </is>
      </c>
      <c r="J139" t="inlineStr">
        <is>
          <t>Pedreira Araguaia Ltda e Construtora N. Mamed Ltda</t>
        </is>
      </c>
      <c r="K139" t="inlineStr">
        <is>
          <t>00052803</t>
        </is>
      </c>
      <c r="L139" t="inlineStr">
        <is>
          <t>00052803000190</t>
        </is>
      </c>
      <c r="M139" s="10" t="n">
        <v>1261848.82</v>
      </c>
      <c r="N139" t="n">
        <v>1</v>
      </c>
      <c r="O139" s="11" t="inlineStr">
        <is>
          <t>B</t>
        </is>
      </c>
      <c r="P139" s="11" t="inlineStr"/>
      <c r="Q139" s="12" t="n">
        <v>45756</v>
      </c>
      <c r="R139" s="11">
        <f>IF(Q139="","",ROUND((TODAY()-Q139)/365.25,1))</f>
        <v/>
      </c>
      <c r="S139" s="13">
        <f>IFERROR(VLOOKUP(O139,Assumptions!$A$7:$F$11,2,FALSE),0.25)</f>
        <v/>
      </c>
      <c r="T139" s="14">
        <f>IF(O139="A",MAX(1,IFERROR(VLOOKUP(O139,Assumptions!$A$7:$F$11,3,FALSE),3)+IFERROR(VLOOKUP(O139,Assumptions!$A$7:$F$11,4,FALSE),8)/2-MAX(0,IF(R139="",0,R139)-IFERROR(VLOOKUP(O139,Assumptions!$A$7:$F$11,5,FALSE),1.5))),IFERROR(VLOOKUP(O139,Assumptions!$A$7:$F$11,5,FALSE),2.5)+IFERROR(VLOOKUP(O139,Assumptions!$A$7:$F$11,3,FALSE),3)+IFERROR(VLOOKUP(O139,Assumptions!$A$7:$F$11,4,FALSE),8)/2)</f>
        <v/>
      </c>
      <c r="U139" s="15">
        <f>M139*S139/(1+Assumptions!$B$3)^T139</f>
        <v/>
      </c>
      <c r="V139" s="11">
        <f>IF(M139=0,"",ROUND(U139/M139*100,1))</f>
        <v/>
      </c>
      <c r="W139" s="16">
        <f>U139*Assumptions!$B$4</f>
        <v/>
      </c>
      <c r="X139" s="11">
        <f>IF(M139=0,"",ROUND(W139/M139*100,1))</f>
        <v/>
      </c>
      <c r="Y139" t="inlineStr">
        <is>
          <t>GRUPO EGESA (EGESA ENG S.A, EGESUR PART E EMP S.A, MATRIX INFRA LTDA, BEMVIVER ENG AMBIENTAL E SERV LTDA, DKF CONST E EMP LTDA, EGEPEL LTDA, ETR ASSESSORIA EMP E PART LTDA, MVT ENG E SERV LTDA, PARQUES DO VALE LTDA, ELMO RIBEIRO E ANA RIBEIRO)</t>
        </is>
      </c>
      <c r="Z139" t="inlineStr">
        <is>
          <t>5088952-81.2025.8.13.0024</t>
        </is>
      </c>
      <c r="AA139" t="inlineStr">
        <is>
          <t>TJMG</t>
        </is>
      </c>
      <c r="AB139" t="inlineStr">
        <is>
          <t>scalzilliaj.com.br</t>
        </is>
      </c>
      <c r="AC139" t="inlineStr">
        <is>
          <t>NASSIM MAMED JUNIOR</t>
        </is>
      </c>
      <c r="AD139" t="inlineStr">
        <is>
          <t>Administrador</t>
        </is>
      </c>
      <c r="AE139" t="inlineStr">
        <is>
          <t>(62) 3284-8484</t>
        </is>
      </c>
      <c r="AF139" t="inlineStr"/>
      <c r="AG139" t="inlineStr"/>
      <c r="AH139" t="inlineStr">
        <is>
          <t>GO</t>
        </is>
      </c>
      <c r="AI139" t="inlineStr">
        <is>
          <t>APARECIDA DE GOIANIA</t>
        </is>
      </c>
      <c r="AJ139" t="inlineStr">
        <is>
          <t>Extração e britamento de pedras e outros materiais para construção e beneficiamento associado</t>
        </is>
      </c>
      <c r="AK139" t="inlineStr">
        <is>
          <t>DEMAIS</t>
        </is>
      </c>
      <c r="AL139" t="inlineStr">
        <is>
          <t>ATIVA</t>
        </is>
      </c>
      <c r="AM139" s="17" t="inlineStr">
        <is>
          <t>https://scalzilliaj.com.br/sgc/download.php?file=files/processo_documento/processo_documento09514021082025_1_.pdf&amp;nome=04 - Relação de credores das Recuperandas</t>
        </is>
      </c>
      <c r="AN139" s="18" t="inlineStr">
        <is>
          <t>p71 r6</t>
        </is>
      </c>
      <c r="AO139" s="18" t="inlineStr">
        <is>
          <t>p71: R$ 1.261.848,82</t>
        </is>
      </c>
      <c r="AP139" s="18" t="inlineStr">
        <is>
          <t>DEBTOR_LIST</t>
        </is>
      </c>
      <c r="AQ139" s="18" t="inlineStr"/>
      <c r="AR139" s="18" t="inlineStr">
        <is>
          <t>OK</t>
        </is>
      </c>
      <c r="AS139" s="18" t="inlineStr">
        <is>
          <t>ROWS:p71r6 VALUE_COL:Valor_Atualizado CASE_NUMBER_CORRECTED CASE_FROM_PORTAL</t>
        </is>
      </c>
      <c r="AT139" s="18" t="inlineStr">
        <is>
          <t>24ed98480a57</t>
        </is>
      </c>
    </row>
    <row r="140">
      <c r="A140" s="9" t="n">
        <v>139</v>
      </c>
      <c r="B140" s="9" t="inlineStr">
        <is>
          <t>NEW</t>
        </is>
      </c>
      <c r="C140" s="9" t="inlineStr"/>
      <c r="D140" s="9" t="n">
        <v>0</v>
      </c>
      <c r="E140" s="9" t="inlineStr"/>
      <c r="F140" s="9" t="inlineStr"/>
      <c r="G140" s="9" t="inlineStr"/>
      <c r="H140" s="9" t="inlineStr"/>
      <c r="I140" t="inlineStr">
        <is>
          <t>CAMINERO INDUSTRIA E COMERCIO DE OLEOS LTDA</t>
        </is>
      </c>
      <c r="J140" t="inlineStr">
        <is>
          <t>Caminero Industria E Comercio De Oleos Ltda</t>
        </is>
      </c>
      <c r="K140" t="inlineStr">
        <is>
          <t>00474698</t>
        </is>
      </c>
      <c r="L140" t="inlineStr">
        <is>
          <t>00474698000187</t>
        </is>
      </c>
      <c r="M140" s="10" t="n">
        <v>1251475.5</v>
      </c>
      <c r="N140" t="n">
        <v>1</v>
      </c>
      <c r="O140" s="11" t="inlineStr">
        <is>
          <t>C</t>
        </is>
      </c>
      <c r="P140" s="11" t="inlineStr">
        <is>
          <t>ACTIVE</t>
        </is>
      </c>
      <c r="Q140" s="12" t="n">
        <v>45275</v>
      </c>
      <c r="R140" s="11">
        <f>IF(Q140="","",ROUND((TODAY()-Q140)/365.25,1))</f>
        <v/>
      </c>
      <c r="S140" s="13">
        <f>IFERROR(VLOOKUP(O140,Assumptions!$A$7:$F$11,2,FALSE),0.25)</f>
        <v/>
      </c>
      <c r="T140" s="14">
        <f>IF(O140="A",MAX(1,IFERROR(VLOOKUP(O140,Assumptions!$A$7:$F$11,3,FALSE),3)+IFERROR(VLOOKUP(O140,Assumptions!$A$7:$F$11,4,FALSE),8)/2-MAX(0,IF(R140="",0,R140)-IFERROR(VLOOKUP(O140,Assumptions!$A$7:$F$11,5,FALSE),1.5))),IFERROR(VLOOKUP(O140,Assumptions!$A$7:$F$11,5,FALSE),2.5)+IFERROR(VLOOKUP(O140,Assumptions!$A$7:$F$11,3,FALSE),3)+IFERROR(VLOOKUP(O140,Assumptions!$A$7:$F$11,4,FALSE),8)/2)</f>
        <v/>
      </c>
      <c r="U140" s="15">
        <f>M140*S140/(1+Assumptions!$B$3)^T140</f>
        <v/>
      </c>
      <c r="V140" s="11">
        <f>IF(M140=0,"",ROUND(U140/M140*100,1))</f>
        <v/>
      </c>
      <c r="W140" s="16">
        <f>U140*Assumptions!$B$4</f>
        <v/>
      </c>
      <c r="X140" s="11">
        <f>IF(M140=0,"",ROUND(W140/M140*100,1))</f>
        <v/>
      </c>
      <c r="Y140" t="inlineStr">
        <is>
          <t>Grupo Agromeal</t>
        </is>
      </c>
      <c r="Z140" t="inlineStr">
        <is>
          <t>0003971-03.2023.8.16.0119</t>
        </is>
      </c>
      <c r="AA140" t="inlineStr">
        <is>
          <t>TJPR</t>
        </is>
      </c>
      <c r="AB140" t="inlineStr">
        <is>
          <t>marquesadmjudicial.com.br</t>
        </is>
      </c>
      <c r="AC140" t="inlineStr">
        <is>
          <t>DENILSON JORGE DO NASCIMENTO</t>
        </is>
      </c>
      <c r="AD140" t="inlineStr">
        <is>
          <t>Sócio-Administrador</t>
        </is>
      </c>
      <c r="AE140" t="inlineStr">
        <is>
          <t>(14) 3662-9499</t>
        </is>
      </c>
      <c r="AF140" t="inlineStr"/>
      <c r="AG140" t="inlineStr"/>
      <c r="AH140" t="inlineStr">
        <is>
          <t>SP</t>
        </is>
      </c>
      <c r="AI140" t="inlineStr">
        <is>
          <t>BARIRI</t>
        </is>
      </c>
      <c r="AJ140" t="inlineStr">
        <is>
          <t>Fabricação de margarina e outras gorduras vegetais e de óleos não-comestíveis de animais</t>
        </is>
      </c>
      <c r="AK140" t="inlineStr">
        <is>
          <t>DEMAIS</t>
        </is>
      </c>
      <c r="AL140" t="inlineStr">
        <is>
          <t>ATIVA</t>
        </is>
      </c>
      <c r="AM140" s="17" t="inlineStr">
        <is>
          <t>https://marquesadmjudicial.com.br/sgc/download.php?file=files/processo_documento/processo_documento17040729052024_1_.pdf&amp;nome=Relação Nominal de Credores AJ-Sintética</t>
        </is>
      </c>
      <c r="AN140" s="18" t="inlineStr">
        <is>
          <t>p10 r12</t>
        </is>
      </c>
      <c r="AO140" s="18" t="inlineStr">
        <is>
          <t>p10: R$ 1.251.475,50</t>
        </is>
      </c>
      <c r="AP140" s="18" t="inlineStr">
        <is>
          <t>AJ_LIST</t>
        </is>
      </c>
      <c r="AQ140" s="18" t="inlineStr">
        <is>
          <t>2024-05-27</t>
        </is>
      </c>
      <c r="AR140" s="18" t="inlineStr">
        <is>
          <t>QUARANTINED</t>
        </is>
      </c>
      <c r="AS140" s="18" t="inlineStr">
        <is>
          <t>PARTIAL_DOC_CLASS_III_RECONCILED ROWS:p10r12</t>
        </is>
      </c>
      <c r="AT140" s="18" t="inlineStr">
        <is>
          <t>1209dafe77b7</t>
        </is>
      </c>
    </row>
    <row r="141">
      <c r="A141" s="9" t="n">
        <v>140</v>
      </c>
      <c r="B141" s="9" t="inlineStr">
        <is>
          <t>NEW</t>
        </is>
      </c>
      <c r="C141" s="9" t="inlineStr"/>
      <c r="D141" s="9" t="n">
        <v>0</v>
      </c>
      <c r="E141" s="9" t="inlineStr"/>
      <c r="F141" s="9" t="inlineStr"/>
      <c r="G141" s="9" t="inlineStr"/>
      <c r="H141" s="9" t="inlineStr"/>
      <c r="I141" t="inlineStr">
        <is>
          <t>GOIAS RENDERING S/A</t>
        </is>
      </c>
      <c r="J141" t="inlineStr">
        <is>
          <t>Goias Rendering</t>
        </is>
      </c>
      <c r="K141" t="inlineStr">
        <is>
          <t>19357388</t>
        </is>
      </c>
      <c r="L141" t="inlineStr">
        <is>
          <t>19357388000100</t>
        </is>
      </c>
      <c r="M141" s="10" t="n">
        <v>1227904</v>
      </c>
      <c r="N141" t="n">
        <v>1</v>
      </c>
      <c r="O141" s="11" t="inlineStr">
        <is>
          <t>B</t>
        </is>
      </c>
      <c r="P141" s="11" t="inlineStr">
        <is>
          <t>ACTIVE</t>
        </is>
      </c>
      <c r="Q141" s="12" t="n">
        <v>46130</v>
      </c>
      <c r="R141" s="11">
        <f>IF(Q141="","",ROUND((TODAY()-Q141)/365.25,1))</f>
        <v/>
      </c>
      <c r="S141" s="13">
        <f>IFERROR(VLOOKUP(O141,Assumptions!$A$7:$F$11,2,FALSE),0.25)</f>
        <v/>
      </c>
      <c r="T141" s="14">
        <f>IF(O141="A",MAX(1,IFERROR(VLOOKUP(O141,Assumptions!$A$7:$F$11,3,FALSE),3)+IFERROR(VLOOKUP(O141,Assumptions!$A$7:$F$11,4,FALSE),8)/2-MAX(0,IF(R141="",0,R141)-IFERROR(VLOOKUP(O141,Assumptions!$A$7:$F$11,5,FALSE),1.5))),IFERROR(VLOOKUP(O141,Assumptions!$A$7:$F$11,5,FALSE),2.5)+IFERROR(VLOOKUP(O141,Assumptions!$A$7:$F$11,3,FALSE),3)+IFERROR(VLOOKUP(O141,Assumptions!$A$7:$F$11,4,FALSE),8)/2)</f>
        <v/>
      </c>
      <c r="U141" s="15">
        <f>M141*S141/(1+Assumptions!$B$3)^T141</f>
        <v/>
      </c>
      <c r="V141" s="11">
        <f>IF(M141=0,"",ROUND(U141/M141*100,1))</f>
        <v/>
      </c>
      <c r="W141" s="16">
        <f>U141*Assumptions!$B$4</f>
        <v/>
      </c>
      <c r="X141" s="11">
        <f>IF(M141=0,"",ROUND(W141/M141*100,1))</f>
        <v/>
      </c>
      <c r="Y141" t="inlineStr">
        <is>
          <t>GRUPO 3E</t>
        </is>
      </c>
      <c r="Z141" t="inlineStr">
        <is>
          <t>5341375-33.2026.8.09.0049</t>
        </is>
      </c>
      <c r="AA141" t="inlineStr">
        <is>
          <t>TJGO</t>
        </is>
      </c>
      <c r="AB141" t="inlineStr">
        <is>
          <t>stenius.com.br</t>
        </is>
      </c>
      <c r="AC141" t="inlineStr">
        <is>
          <t>JOSADACK ASSIS</t>
        </is>
      </c>
      <c r="AD141" t="inlineStr">
        <is>
          <t>Presidente</t>
        </is>
      </c>
      <c r="AE141" t="inlineStr">
        <is>
          <t>(62) 3110-8309</t>
        </is>
      </c>
      <c r="AF141" t="inlineStr"/>
      <c r="AG141" t="inlineStr"/>
      <c r="AH141" t="inlineStr">
        <is>
          <t>GO</t>
        </is>
      </c>
      <c r="AI141" t="inlineStr">
        <is>
          <t>TRINDADE</t>
        </is>
      </c>
      <c r="AJ141" t="inlineStr">
        <is>
          <t>Preparação de subprodutos do abate</t>
        </is>
      </c>
      <c r="AK141" t="inlineStr">
        <is>
          <t>DEMAIS</t>
        </is>
      </c>
      <c r="AL141" t="inlineStr">
        <is>
          <t>ATIVA</t>
        </is>
      </c>
      <c r="AM141" s="17" t="inlineStr">
        <is>
          <t>https://stenius.com.br/wp-content/uploads/2026/06/EDITAL-GRUPO-3E.pdf</t>
        </is>
      </c>
      <c r="AN141" s="18" t="inlineStr">
        <is>
          <t>p14 r13</t>
        </is>
      </c>
      <c r="AO141" s="18" t="inlineStr">
        <is>
          <t>p14: R$ 1.227.904,00</t>
        </is>
      </c>
      <c r="AP141" s="18" t="inlineStr">
        <is>
          <t>DEBTOR_LIST</t>
        </is>
      </c>
      <c r="AQ141" s="18" t="inlineStr">
        <is>
          <t>2026-06-22</t>
        </is>
      </c>
      <c r="AR141" s="18" t="inlineStr">
        <is>
          <t>OK_NO_TOTALS</t>
        </is>
      </c>
      <c r="AS141" s="18" t="inlineStr">
        <is>
          <t>ROWS:p14r13 UNRECONCILED_SOURCE</t>
        </is>
      </c>
      <c r="AT141" s="18" t="inlineStr">
        <is>
          <t>8e8832093a15</t>
        </is>
      </c>
    </row>
    <row r="142">
      <c r="A142" s="9" t="n">
        <v>141</v>
      </c>
      <c r="B142" s="9" t="inlineStr">
        <is>
          <t>NEW</t>
        </is>
      </c>
      <c r="C142" s="9" t="inlineStr"/>
      <c r="D142" s="9" t="n">
        <v>0</v>
      </c>
      <c r="E142" s="9" t="inlineStr"/>
      <c r="F142" s="9" t="inlineStr"/>
      <c r="G142" s="9" t="inlineStr"/>
      <c r="H142" s="9" t="inlineStr"/>
      <c r="I142" t="inlineStr">
        <is>
          <t>DIMACI MATERIAL CIRURGICO LTDA</t>
        </is>
      </c>
      <c r="J142" t="inlineStr">
        <is>
          <t>DIMACI MATERIAL CIRURGICO LTDA (</t>
        </is>
      </c>
      <c r="K142" t="inlineStr">
        <is>
          <t>90251109</t>
        </is>
      </c>
      <c r="L142" t="inlineStr">
        <is>
          <t>90251109000194</t>
        </is>
      </c>
      <c r="M142" s="10" t="n">
        <v>1222974.01</v>
      </c>
      <c r="N142" t="n">
        <v>1</v>
      </c>
      <c r="O142" s="11" t="inlineStr">
        <is>
          <t>C</t>
        </is>
      </c>
      <c r="P142" s="11" t="inlineStr">
        <is>
          <t>ACTIVE</t>
        </is>
      </c>
      <c r="Q142" s="12" t="n">
        <v>44735</v>
      </c>
      <c r="R142" s="11">
        <f>IF(Q142="","",ROUND((TODAY()-Q142)/365.25,1))</f>
        <v/>
      </c>
      <c r="S142" s="13">
        <f>IFERROR(VLOOKUP(O142,Assumptions!$A$7:$F$11,2,FALSE),0.25)</f>
        <v/>
      </c>
      <c r="T142" s="14">
        <f>IF(O142="A",MAX(1,IFERROR(VLOOKUP(O142,Assumptions!$A$7:$F$11,3,FALSE),3)+IFERROR(VLOOKUP(O142,Assumptions!$A$7:$F$11,4,FALSE),8)/2-MAX(0,IF(R142="",0,R142)-IFERROR(VLOOKUP(O142,Assumptions!$A$7:$F$11,5,FALSE),1.5))),IFERROR(VLOOKUP(O142,Assumptions!$A$7:$F$11,5,FALSE),2.5)+IFERROR(VLOOKUP(O142,Assumptions!$A$7:$F$11,3,FALSE),3)+IFERROR(VLOOKUP(O142,Assumptions!$A$7:$F$11,4,FALSE),8)/2)</f>
        <v/>
      </c>
      <c r="U142" s="15">
        <f>M142*S142/(1+Assumptions!$B$3)^T142</f>
        <v/>
      </c>
      <c r="V142" s="11">
        <f>IF(M142=0,"",ROUND(U142/M142*100,1))</f>
        <v/>
      </c>
      <c r="W142" s="16">
        <f>U142*Assumptions!$B$4</f>
        <v/>
      </c>
      <c r="X142" s="11">
        <f>IF(M142=0,"",ROUND(W142/M142*100,1))</f>
        <v/>
      </c>
      <c r="Y142" t="inlineStr">
        <is>
          <t>ASSOCIAÇÃO DE CARIDADE SANTA CASA DO RIO GRANDE</t>
        </is>
      </c>
      <c r="Z142" t="inlineStr">
        <is>
          <t>5012306-16.2022.8.21.0023</t>
        </is>
      </c>
      <c r="AA142" t="inlineStr">
        <is>
          <t>TJRS</t>
        </is>
      </c>
      <c r="AB142" t="inlineStr">
        <is>
          <t>scalzilliaj.com.br</t>
        </is>
      </c>
      <c r="AC142" t="inlineStr">
        <is>
          <t>CARLOS JUNIOR RIEDI</t>
        </is>
      </c>
      <c r="AD142" t="inlineStr">
        <is>
          <t>Sócio-Administrador</t>
        </is>
      </c>
      <c r="AE142" t="inlineStr">
        <is>
          <t>(51) 3330-6111</t>
        </is>
      </c>
      <c r="AF142" t="inlineStr"/>
      <c r="AG142" t="inlineStr"/>
      <c r="AH142" t="inlineStr">
        <is>
          <t>RS</t>
        </is>
      </c>
      <c r="AI142" t="inlineStr">
        <is>
          <t>ELDORADO DO SUL</t>
        </is>
      </c>
      <c r="AJ142" t="inlineStr">
        <is>
          <t>Comércio atacadista de medicamentos e drogas de uso humano</t>
        </is>
      </c>
      <c r="AK142" t="inlineStr">
        <is>
          <t>DEMAIS</t>
        </is>
      </c>
      <c r="AL142" t="inlineStr">
        <is>
          <t>ATIVA</t>
        </is>
      </c>
      <c r="AM142" s="17" t="inlineStr">
        <is>
          <t>https://scalzilliaj.com.br/sgc/download.php?file=files/processo_documento/processo_documento09120721032023_1_.pdf&amp;nome=15 - Edital do art. 7º, §2º e 53 da Lei 11.101/2005 (segunda lista de credores e recebimento do plano))</t>
        </is>
      </c>
      <c r="AN142" s="18" t="inlineStr">
        <is>
          <t>p27 r6</t>
        </is>
      </c>
      <c r="AO142" s="18" t="inlineStr">
        <is>
          <t>p27: R$ 1.222.974,01</t>
        </is>
      </c>
      <c r="AP142" s="18" t="inlineStr">
        <is>
          <t>AJ_LIST</t>
        </is>
      </c>
      <c r="AQ142" s="18" t="inlineStr">
        <is>
          <t>2023-03-21</t>
        </is>
      </c>
      <c r="AR142" s="18" t="inlineStr">
        <is>
          <t>OK_NO_TOTALS</t>
        </is>
      </c>
      <c r="AS142" s="18" t="inlineStr">
        <is>
          <t>ROWS:p27r6 UNRECONCILED_SOURCE</t>
        </is>
      </c>
      <c r="AT142" s="18" t="inlineStr">
        <is>
          <t>ebfb999b457c</t>
        </is>
      </c>
    </row>
    <row r="143">
      <c r="A143" s="9" t="n">
        <v>142</v>
      </c>
      <c r="B143" s="9" t="inlineStr">
        <is>
          <t>NEW</t>
        </is>
      </c>
      <c r="C143" s="9" t="inlineStr"/>
      <c r="D143" s="9" t="n">
        <v>0</v>
      </c>
      <c r="E143" s="9" t="inlineStr"/>
      <c r="F143" s="9" t="inlineStr"/>
      <c r="G143" s="9" t="inlineStr"/>
      <c r="H143" s="9" t="inlineStr"/>
      <c r="I143" t="inlineStr">
        <is>
          <t>GONCALVES &amp; TORTOLA S/A</t>
        </is>
      </c>
      <c r="J143" t="inlineStr">
        <is>
          <t>Goncalves &amp; Tortola S.A.</t>
        </is>
      </c>
      <c r="K143" t="inlineStr">
        <is>
          <t>85070068</t>
        </is>
      </c>
      <c r="L143" t="inlineStr">
        <is>
          <t>85070068001929, 85070068002577, 85070068002909, 85070068003387</t>
        </is>
      </c>
      <c r="M143" s="10" t="n">
        <v>1218354.25</v>
      </c>
      <c r="N143" t="n">
        <v>4</v>
      </c>
      <c r="O143" s="11" t="inlineStr">
        <is>
          <t>C</t>
        </is>
      </c>
      <c r="P143" s="11" t="inlineStr">
        <is>
          <t>ACTIVE</t>
        </is>
      </c>
      <c r="Q143" s="12" t="n">
        <v>45275</v>
      </c>
      <c r="R143" s="11">
        <f>IF(Q143="","",ROUND((TODAY()-Q143)/365.25,1))</f>
        <v/>
      </c>
      <c r="S143" s="13">
        <f>IFERROR(VLOOKUP(O143,Assumptions!$A$7:$F$11,2,FALSE),0.25)</f>
        <v/>
      </c>
      <c r="T143" s="14">
        <f>IF(O143="A",MAX(1,IFERROR(VLOOKUP(O143,Assumptions!$A$7:$F$11,3,FALSE),3)+IFERROR(VLOOKUP(O143,Assumptions!$A$7:$F$11,4,FALSE),8)/2-MAX(0,IF(R143="",0,R143)-IFERROR(VLOOKUP(O143,Assumptions!$A$7:$F$11,5,FALSE),1.5))),IFERROR(VLOOKUP(O143,Assumptions!$A$7:$F$11,5,FALSE),2.5)+IFERROR(VLOOKUP(O143,Assumptions!$A$7:$F$11,3,FALSE),3)+IFERROR(VLOOKUP(O143,Assumptions!$A$7:$F$11,4,FALSE),8)/2)</f>
        <v/>
      </c>
      <c r="U143" s="15">
        <f>M143*S143/(1+Assumptions!$B$3)^T143</f>
        <v/>
      </c>
      <c r="V143" s="11">
        <f>IF(M143=0,"",ROUND(U143/M143*100,1))</f>
        <v/>
      </c>
      <c r="W143" s="16">
        <f>U143*Assumptions!$B$4</f>
        <v/>
      </c>
      <c r="X143" s="11">
        <f>IF(M143=0,"",ROUND(W143/M143*100,1))</f>
        <v/>
      </c>
      <c r="Y143" t="inlineStr">
        <is>
          <t>Grupo Agromeal</t>
        </is>
      </c>
      <c r="Z143" t="inlineStr">
        <is>
          <t>0003971-03.2023.8.16.0119</t>
        </is>
      </c>
      <c r="AA143" t="inlineStr">
        <is>
          <t>TJPR</t>
        </is>
      </c>
      <c r="AB143" t="inlineStr">
        <is>
          <t>marquesadmjudicial.com.br</t>
        </is>
      </c>
      <c r="AC143" t="inlineStr">
        <is>
          <t>VINICIUS DEMORI MARTINI GONCALVES</t>
        </is>
      </c>
      <c r="AD143" t="inlineStr">
        <is>
          <t>Administrador</t>
        </is>
      </c>
      <c r="AE143" t="inlineStr">
        <is>
          <t>(44) 3218-3605</t>
        </is>
      </c>
      <c r="AF143" t="inlineStr"/>
      <c r="AG143" t="inlineStr"/>
      <c r="AH143" t="inlineStr">
        <is>
          <t>PR</t>
        </is>
      </c>
      <c r="AI143" t="inlineStr">
        <is>
          <t>MARINGA</t>
        </is>
      </c>
      <c r="AJ143" t="inlineStr">
        <is>
          <t>Abate de aves</t>
        </is>
      </c>
      <c r="AK143" t="inlineStr">
        <is>
          <t>DEMAIS</t>
        </is>
      </c>
      <c r="AL143" t="inlineStr">
        <is>
          <t>ATIVA</t>
        </is>
      </c>
      <c r="AM143" s="17" t="inlineStr">
        <is>
          <t>https://marquesadmjudicial.com.br/sgc/download.php?file=files/processo_documento/processo_documento17040729052024_1_.pdf&amp;nome=Relação Nominal de Credores AJ-Sintética</t>
        </is>
      </c>
      <c r="AN143" s="18" t="inlineStr">
        <is>
          <t>p11 r11; p11 r12; p11 r13; p11 r14</t>
        </is>
      </c>
      <c r="AO143" s="18" t="inlineStr">
        <is>
          <t>p11: R$ 749.027,25; p11: R$ 73.168,00; p11: R$ 368.143,00; p11: R$ 28.016,00</t>
        </is>
      </c>
      <c r="AP143" s="18" t="inlineStr">
        <is>
          <t>AJ_LIST</t>
        </is>
      </c>
      <c r="AQ143" s="18" t="inlineStr">
        <is>
          <t>2024-05-27</t>
        </is>
      </c>
      <c r="AR143" s="18" t="inlineStr">
        <is>
          <t>QUARANTINED</t>
        </is>
      </c>
      <c r="AS143" s="18" t="inlineStr">
        <is>
          <t>PARTIAL_DOC_CLASS_III_RECONCILED ROWS:p11r11,p11r12,p11r13,p11r14</t>
        </is>
      </c>
      <c r="AT143" s="18" t="inlineStr">
        <is>
          <t>1209dafe77b7</t>
        </is>
      </c>
    </row>
    <row r="144">
      <c r="A144" s="9" t="n">
        <v>143</v>
      </c>
      <c r="B144" s="9" t="inlineStr">
        <is>
          <t>NEW</t>
        </is>
      </c>
      <c r="C144" s="9" t="inlineStr"/>
      <c r="D144" s="9" t="n">
        <v>0</v>
      </c>
      <c r="E144" s="9" t="inlineStr"/>
      <c r="F144" s="9" t="inlineStr"/>
      <c r="G144" s="9" t="inlineStr"/>
      <c r="H144" s="9" t="inlineStr"/>
      <c r="I144" t="inlineStr">
        <is>
          <t>MECMETAL INDUSTRIA E COMERCIO DE TRANSFORMADORES LTDA</t>
        </is>
      </c>
      <c r="J144" t="inlineStr">
        <is>
          <t>MECMETAL INDUSTRIA E COMERCIO DE TRANSFO</t>
        </is>
      </c>
      <c r="K144" t="inlineStr">
        <is>
          <t>04686964</t>
        </is>
      </c>
      <c r="L144" t="inlineStr">
        <is>
          <t>04686964000196</t>
        </is>
      </c>
      <c r="M144" s="10" t="n">
        <v>1213121.27</v>
      </c>
      <c r="N144" t="n">
        <v>1</v>
      </c>
      <c r="O144" s="11" t="inlineStr">
        <is>
          <t>C</t>
        </is>
      </c>
      <c r="P144" s="11" t="inlineStr"/>
      <c r="Q144" s="12" t="inlineStr"/>
      <c r="R144" s="11">
        <f>IF(Q144="","",ROUND((TODAY()-Q144)/365.25,1))</f>
        <v/>
      </c>
      <c r="S144" s="13">
        <f>IFERROR(VLOOKUP(O144,Assumptions!$A$7:$F$11,2,FALSE),0.25)</f>
        <v/>
      </c>
      <c r="T144" s="14">
        <f>IF(O144="A",MAX(1,IFERROR(VLOOKUP(O144,Assumptions!$A$7:$F$11,3,FALSE),3)+IFERROR(VLOOKUP(O144,Assumptions!$A$7:$F$11,4,FALSE),8)/2-MAX(0,IF(R144="",0,R144)-IFERROR(VLOOKUP(O144,Assumptions!$A$7:$F$11,5,FALSE),1.5))),IFERROR(VLOOKUP(O144,Assumptions!$A$7:$F$11,5,FALSE),2.5)+IFERROR(VLOOKUP(O144,Assumptions!$A$7:$F$11,3,FALSE),3)+IFERROR(VLOOKUP(O144,Assumptions!$A$7:$F$11,4,FALSE),8)/2)</f>
        <v/>
      </c>
      <c r="U144" s="15">
        <f>M144*S144/(1+Assumptions!$B$3)^T144</f>
        <v/>
      </c>
      <c r="V144" s="11">
        <f>IF(M144=0,"",ROUND(U144/M144*100,1))</f>
        <v/>
      </c>
      <c r="W144" s="16">
        <f>U144*Assumptions!$B$4</f>
        <v/>
      </c>
      <c r="X144" s="11">
        <f>IF(M144=0,"",ROUND(W144/M144*100,1))</f>
        <v/>
      </c>
      <c r="Y144" t="inlineStr">
        <is>
          <t>BLUTRAFOS BLUMENAU TRANSFORMADORES LTDA</t>
        </is>
      </c>
      <c r="Z144" t="inlineStr">
        <is>
          <t>0022845-08.2013.8.24.0008</t>
        </is>
      </c>
      <c r="AA144" t="inlineStr"/>
      <c r="AB144" t="inlineStr">
        <is>
          <t>administradorajudicialgs.com.br</t>
        </is>
      </c>
      <c r="AC144" t="inlineStr">
        <is>
          <t>LEANDRO FURLANI</t>
        </is>
      </c>
      <c r="AD144" t="inlineStr">
        <is>
          <t>Sócio-Administrador</t>
        </is>
      </c>
      <c r="AE144" t="inlineStr">
        <is>
          <t>(47) 3039-9330</t>
        </is>
      </c>
      <c r="AF144" t="inlineStr">
        <is>
          <t>(47) 9979-2026</t>
        </is>
      </c>
      <c r="AG144" t="inlineStr"/>
      <c r="AH144" t="inlineStr">
        <is>
          <t>SC</t>
        </is>
      </c>
      <c r="AI144" t="inlineStr">
        <is>
          <t>INDAIAL</t>
        </is>
      </c>
      <c r="AJ144" t="inlineStr">
        <is>
          <t>Fabricação de transformadores, indutores, conversores, sincronizadores e semelhantes, peças e acessórios</t>
        </is>
      </c>
      <c r="AK144" t="inlineStr">
        <is>
          <t>EMPRESA DE PEQUENO PORTE</t>
        </is>
      </c>
      <c r="AL144" t="inlineStr">
        <is>
          <t>ATIVA</t>
        </is>
      </c>
      <c r="AM144" s="17" t="inlineStr">
        <is>
          <t>https://administradorajudicialgs.com.br/wp-content/uploads/2023/08/advogados-sgrott-doc-22-relacao-de-credores-do-administrador-judicial-classe-iii-05-02-14.pdf</t>
        </is>
      </c>
      <c r="AN144" s="18" t="inlineStr">
        <is>
          <t>p4 r17</t>
        </is>
      </c>
      <c r="AO144" s="18" t="inlineStr">
        <is>
          <t>p4: R$ 1.213.121,27</t>
        </is>
      </c>
      <c r="AP144" s="18" t="inlineStr">
        <is>
          <t>UNKNOWN</t>
        </is>
      </c>
      <c r="AQ144" s="18" t="inlineStr"/>
      <c r="AR144" s="18" t="inlineStr">
        <is>
          <t>OK</t>
        </is>
      </c>
      <c r="AS144" s="18" t="inlineStr">
        <is>
          <t>ROWS:p4r17</t>
        </is>
      </c>
      <c r="AT144" s="18" t="inlineStr">
        <is>
          <t>22ac347cfe4f</t>
        </is>
      </c>
    </row>
    <row r="145">
      <c r="A145" s="9" t="n">
        <v>144</v>
      </c>
      <c r="B145" s="9" t="inlineStr">
        <is>
          <t>NEW</t>
        </is>
      </c>
      <c r="C145" s="9" t="inlineStr"/>
      <c r="D145" s="9" t="n">
        <v>0</v>
      </c>
      <c r="E145" s="9" t="inlineStr"/>
      <c r="F145" s="9" t="inlineStr"/>
      <c r="G145" s="9" t="inlineStr"/>
      <c r="H145" s="9" t="inlineStr"/>
      <c r="I145" t="inlineStr">
        <is>
          <t>EMC TECNOLOGIA LTDA</t>
        </is>
      </c>
      <c r="J145" t="inlineStr">
        <is>
          <t>Empresa Mineira de Computadores LTDA</t>
        </is>
      </c>
      <c r="K145" t="inlineStr">
        <is>
          <t>22261093</t>
        </is>
      </c>
      <c r="L145" t="inlineStr">
        <is>
          <t>22261093000140</t>
        </is>
      </c>
      <c r="M145" s="10" t="n">
        <v>1200491.42</v>
      </c>
      <c r="N145" t="n">
        <v>5</v>
      </c>
      <c r="O145" s="11" t="inlineStr">
        <is>
          <t>B</t>
        </is>
      </c>
      <c r="P145" s="11" t="inlineStr"/>
      <c r="Q145" s="12" t="n">
        <v>45756</v>
      </c>
      <c r="R145" s="11">
        <f>IF(Q145="","",ROUND((TODAY()-Q145)/365.25,1))</f>
        <v/>
      </c>
      <c r="S145" s="13">
        <f>IFERROR(VLOOKUP(O145,Assumptions!$A$7:$F$11,2,FALSE),0.25)</f>
        <v/>
      </c>
      <c r="T145" s="14">
        <f>IF(O145="A",MAX(1,IFERROR(VLOOKUP(O145,Assumptions!$A$7:$F$11,3,FALSE),3)+IFERROR(VLOOKUP(O145,Assumptions!$A$7:$F$11,4,FALSE),8)/2-MAX(0,IF(R145="",0,R145)-IFERROR(VLOOKUP(O145,Assumptions!$A$7:$F$11,5,FALSE),1.5))),IFERROR(VLOOKUP(O145,Assumptions!$A$7:$F$11,5,FALSE),2.5)+IFERROR(VLOOKUP(O145,Assumptions!$A$7:$F$11,3,FALSE),3)+IFERROR(VLOOKUP(O145,Assumptions!$A$7:$F$11,4,FALSE),8)/2)</f>
        <v/>
      </c>
      <c r="U145" s="15">
        <f>M145*S145/(1+Assumptions!$B$3)^T145</f>
        <v/>
      </c>
      <c r="V145" s="11">
        <f>IF(M145=0,"",ROUND(U145/M145*100,1))</f>
        <v/>
      </c>
      <c r="W145" s="16">
        <f>U145*Assumptions!$B$4</f>
        <v/>
      </c>
      <c r="X145" s="11">
        <f>IF(M145=0,"",ROUND(W145/M145*100,1))</f>
        <v/>
      </c>
      <c r="Y145" t="inlineStr">
        <is>
          <t>GRUPO EGESA (EGESA ENG S.A, EGESUR PART E EMP S.A, MATRIX INFRA LTDA, BEMVIVER ENG AMBIENTAL E SERV LTDA, DKF CONST E EMP LTDA, EGEPEL LTDA, ETR ASSESSORIA EMP E PART LTDA, MVT ENG E SERV LTDA, PARQUES DO VALE LTDA, ELMO RIBEIRO E ANA RIBEIRO)</t>
        </is>
      </c>
      <c r="Z145" t="inlineStr">
        <is>
          <t>5088952-81.2025.8.13.0024</t>
        </is>
      </c>
      <c r="AA145" t="inlineStr">
        <is>
          <t>TJMG</t>
        </is>
      </c>
      <c r="AB145" t="inlineStr">
        <is>
          <t>scalzilliaj.com.br</t>
        </is>
      </c>
      <c r="AC145" t="inlineStr">
        <is>
          <t>EDUARDO DE MEIRA CARVALHO</t>
        </is>
      </c>
      <c r="AD145" t="inlineStr">
        <is>
          <t>Sócio-Administrador</t>
        </is>
      </c>
      <c r="AE145" t="inlineStr">
        <is>
          <t>(31) 2121-2121</t>
        </is>
      </c>
      <c r="AF145" t="inlineStr">
        <is>
          <t>(31) 2121-2105</t>
        </is>
      </c>
      <c r="AG145" t="inlineStr"/>
      <c r="AH145" t="inlineStr">
        <is>
          <t>MG</t>
        </is>
      </c>
      <c r="AI145" t="inlineStr">
        <is>
          <t>BELO HORIZONTE</t>
        </is>
      </c>
      <c r="AJ145" t="inlineStr">
        <is>
          <t>Aluguel de máquinas e equipamentos para escritórios</t>
        </is>
      </c>
      <c r="AK145" t="inlineStr">
        <is>
          <t>DEMAIS</t>
        </is>
      </c>
      <c r="AL145" t="inlineStr">
        <is>
          <t>ATIVA</t>
        </is>
      </c>
      <c r="AM145" s="17" t="inlineStr">
        <is>
          <t>https://scalzilliaj.com.br/sgc/download.php?file=files/processo_documento/processo_documento09514021082025_1_.pdf&amp;nome=04 - Relação de credores das Recuperandas</t>
        </is>
      </c>
      <c r="AN145" s="18" t="inlineStr">
        <is>
          <t>p65 r17; p66 r1; p66 r2; p66 r3; p66 r4</t>
        </is>
      </c>
      <c r="AO145" s="18" t="inlineStr">
        <is>
          <t>p65: R$ 30.422,33; p66: R$ 965.893,27; p66: R$ 105.447,29; p66: R$ 80.265,53; p66: R$ 18.463,00</t>
        </is>
      </c>
      <c r="AP145" s="18" t="inlineStr">
        <is>
          <t>DEBTOR_LIST</t>
        </is>
      </c>
      <c r="AQ145" s="18" t="inlineStr"/>
      <c r="AR145" s="18" t="inlineStr">
        <is>
          <t>OK</t>
        </is>
      </c>
      <c r="AS145" s="18" t="inlineStr">
        <is>
          <t>ROWS:p65r17,p66r1,p66r2,p66r3,p66r4 VALUE_COL:Valor_Atualizado CASE_NUMBER_CORRECTED CASE_FROM_PORTAL</t>
        </is>
      </c>
      <c r="AT145" s="18" t="inlineStr">
        <is>
          <t>24ed98480a57</t>
        </is>
      </c>
    </row>
    <row r="146">
      <c r="A146" s="9" t="n">
        <v>145</v>
      </c>
      <c r="B146" s="9" t="inlineStr">
        <is>
          <t>NEW</t>
        </is>
      </c>
      <c r="C146" s="9" t="inlineStr"/>
      <c r="D146" s="9" t="n">
        <v>0</v>
      </c>
      <c r="E146" s="9" t="inlineStr"/>
      <c r="F146" s="9" t="inlineStr"/>
      <c r="G146" s="9" t="inlineStr"/>
      <c r="H146" s="9" t="inlineStr"/>
      <c r="I146" t="inlineStr">
        <is>
          <t>MTM BURGER COMERCIO DE ALIMENTOS LTDA</t>
        </is>
      </c>
      <c r="J146" t="inlineStr">
        <is>
          <t>MTM BURGUER COMERCIO DE ALIMENTOS EIRELI</t>
        </is>
      </c>
      <c r="K146" t="inlineStr">
        <is>
          <t>20120709</t>
        </is>
      </c>
      <c r="L146" t="inlineStr">
        <is>
          <t>20120709000138</t>
        </is>
      </c>
      <c r="M146" s="10" t="n">
        <v>1200000</v>
      </c>
      <c r="N146" t="n">
        <v>1</v>
      </c>
      <c r="O146" s="11" t="inlineStr">
        <is>
          <t>B</t>
        </is>
      </c>
      <c r="P146" s="11" t="inlineStr">
        <is>
          <t>ACTIVE</t>
        </is>
      </c>
      <c r="Q146" s="12" t="n">
        <v>46149</v>
      </c>
      <c r="R146" s="11">
        <f>IF(Q146="","",ROUND((TODAY()-Q146)/365.25,1))</f>
        <v/>
      </c>
      <c r="S146" s="13">
        <f>IFERROR(VLOOKUP(O146,Assumptions!$A$7:$F$11,2,FALSE),0.25)</f>
        <v/>
      </c>
      <c r="T146" s="14">
        <f>IF(O146="A",MAX(1,IFERROR(VLOOKUP(O146,Assumptions!$A$7:$F$11,3,FALSE),3)+IFERROR(VLOOKUP(O146,Assumptions!$A$7:$F$11,4,FALSE),8)/2-MAX(0,IF(R146="",0,R146)-IFERROR(VLOOKUP(O146,Assumptions!$A$7:$F$11,5,FALSE),1.5))),IFERROR(VLOOKUP(O146,Assumptions!$A$7:$F$11,5,FALSE),2.5)+IFERROR(VLOOKUP(O146,Assumptions!$A$7:$F$11,3,FALSE),3)+IFERROR(VLOOKUP(O146,Assumptions!$A$7:$F$11,4,FALSE),8)/2)</f>
        <v/>
      </c>
      <c r="U146" s="15">
        <f>M146*S146/(1+Assumptions!$B$3)^T146</f>
        <v/>
      </c>
      <c r="V146" s="11">
        <f>IF(M146=0,"",ROUND(U146/M146*100,1))</f>
        <v/>
      </c>
      <c r="W146" s="16">
        <f>U146*Assumptions!$B$4</f>
        <v/>
      </c>
      <c r="X146" s="11">
        <f>IF(M146=0,"",ROUND(W146/M146*100,1))</f>
        <v/>
      </c>
      <c r="Y146" t="inlineStr">
        <is>
          <t>Grupo Tendas</t>
        </is>
      </c>
      <c r="Z146" t="inlineStr">
        <is>
          <t>5401053-70.2026.8.09.0051</t>
        </is>
      </c>
      <c r="AA146" t="inlineStr">
        <is>
          <t>TJGO</t>
        </is>
      </c>
      <c r="AB146" t="inlineStr">
        <is>
          <t>stenius.com.br</t>
        </is>
      </c>
      <c r="AC146" t="inlineStr">
        <is>
          <t>MATHEUS LOBO DUARTE</t>
        </is>
      </c>
      <c r="AD146" t="inlineStr">
        <is>
          <t>Sócio-Administrador</t>
        </is>
      </c>
      <c r="AE146" t="inlineStr">
        <is>
          <t>(62) 9334-8515</t>
        </is>
      </c>
      <c r="AF146" t="inlineStr">
        <is>
          <t>(62) 9356-1942</t>
        </is>
      </c>
      <c r="AG146" t="inlineStr"/>
      <c r="AH146" t="inlineStr">
        <is>
          <t>GO</t>
        </is>
      </c>
      <c r="AI146" t="inlineStr">
        <is>
          <t>GOIANIA</t>
        </is>
      </c>
      <c r="AJ146" t="inlineStr">
        <is>
          <t>Restaurantes e similares</t>
        </is>
      </c>
      <c r="AK146" t="inlineStr">
        <is>
          <t>DEMAIS</t>
        </is>
      </c>
      <c r="AL146" t="inlineStr">
        <is>
          <t>ATIVA</t>
        </is>
      </c>
      <c r="AM146" s="17" t="inlineStr">
        <is>
          <t>https://stenius.com.br/wp-content/uploads/2026/08/1°-EDITAL-GRUPO-TENDAS.pdf</t>
        </is>
      </c>
      <c r="AN146" s="18" t="inlineStr">
        <is>
          <t>p5 r25</t>
        </is>
      </c>
      <c r="AO146" s="18" t="inlineStr">
        <is>
          <t>p5: R$ 1.200.000,00</t>
        </is>
      </c>
      <c r="AP146" s="18" t="inlineStr">
        <is>
          <t>AJ_LIST</t>
        </is>
      </c>
      <c r="AQ146" s="18" t="inlineStr">
        <is>
          <t>2026-08-13</t>
        </is>
      </c>
      <c r="AR146" s="18" t="inlineStr">
        <is>
          <t>OK_NO_TOTALS</t>
        </is>
      </c>
      <c r="AS146" s="18" t="inlineStr">
        <is>
          <t>ROWS:p5r25 UNRECONCILED_SOURCE VALUE_COL:Valor</t>
        </is>
      </c>
      <c r="AT146" s="18" t="inlineStr">
        <is>
          <t>5cac6a8cb939</t>
        </is>
      </c>
    </row>
    <row r="147">
      <c r="A147" s="9" t="n">
        <v>146</v>
      </c>
      <c r="B147" s="9" t="inlineStr">
        <is>
          <t>NEW</t>
        </is>
      </c>
      <c r="C147" s="9" t="inlineStr"/>
      <c r="D147" s="9" t="n">
        <v>0</v>
      </c>
      <c r="E147" s="9" t="inlineStr"/>
      <c r="F147" s="9" t="inlineStr"/>
      <c r="G147" s="9" t="inlineStr"/>
      <c r="H147" s="9" t="inlineStr"/>
      <c r="I147" t="inlineStr">
        <is>
          <t>CIL - COMERCIO DE INFORMATICA LTDA</t>
        </is>
      </c>
      <c r="J147" t="inlineStr">
        <is>
          <t>24.073.694/0001-55</t>
        </is>
      </c>
      <c r="K147" t="inlineStr">
        <is>
          <t>24073694</t>
        </is>
      </c>
      <c r="L147" t="inlineStr">
        <is>
          <t>24073694000155</t>
        </is>
      </c>
      <c r="M147" s="10" t="n">
        <v>1166163.86</v>
      </c>
      <c r="N147" t="n">
        <v>1</v>
      </c>
      <c r="O147" s="11" t="inlineStr">
        <is>
          <t>C</t>
        </is>
      </c>
      <c r="P147" s="11" t="inlineStr">
        <is>
          <t>ACTIVE</t>
        </is>
      </c>
      <c r="Q147" s="12" t="n">
        <v>43894</v>
      </c>
      <c r="R147" s="11">
        <f>IF(Q147="","",ROUND((TODAY()-Q147)/365.25,1))</f>
        <v/>
      </c>
      <c r="S147" s="13">
        <f>IFERROR(VLOOKUP(O147,Assumptions!$A$7:$F$11,2,FALSE),0.25)</f>
        <v/>
      </c>
      <c r="T147" s="14">
        <f>IF(O147="A",MAX(1,IFERROR(VLOOKUP(O147,Assumptions!$A$7:$F$11,3,FALSE),3)+IFERROR(VLOOKUP(O147,Assumptions!$A$7:$F$11,4,FALSE),8)/2-MAX(0,IF(R147="",0,R147)-IFERROR(VLOOKUP(O147,Assumptions!$A$7:$F$11,5,FALSE),1.5))),IFERROR(VLOOKUP(O147,Assumptions!$A$7:$F$11,5,FALSE),2.5)+IFERROR(VLOOKUP(O147,Assumptions!$A$7:$F$11,3,FALSE),3)+IFERROR(VLOOKUP(O147,Assumptions!$A$7:$F$11,4,FALSE),8)/2)</f>
        <v/>
      </c>
      <c r="U147" s="15">
        <f>M147*S147/(1+Assumptions!$B$3)^T147</f>
        <v/>
      </c>
      <c r="V147" s="11">
        <f>IF(M147=0,"",ROUND(U147/M147*100,1))</f>
        <v/>
      </c>
      <c r="W147" s="16">
        <f>U147*Assumptions!$B$4</f>
        <v/>
      </c>
      <c r="X147" s="11">
        <f>IF(M147=0,"",ROUND(W147/M147*100,1))</f>
        <v/>
      </c>
      <c r="Y147" t="inlineStr">
        <is>
          <t>CREDIMÓVEIS NOVOLAR LTDA.</t>
        </is>
      </c>
      <c r="Z147" t="inlineStr">
        <is>
          <t>0007565-40.2020.8.17.2370</t>
        </is>
      </c>
      <c r="AA147" t="inlineStr">
        <is>
          <t>TJPE</t>
        </is>
      </c>
      <c r="AB147" t="inlineStr">
        <is>
          <t>recuperacaojudicial.squarespace.com</t>
        </is>
      </c>
      <c r="AC147" t="inlineStr">
        <is>
          <t>HALIM NAGEM NETO</t>
        </is>
      </c>
      <c r="AD147" t="inlineStr">
        <is>
          <t>Administrador</t>
        </is>
      </c>
      <c r="AE147" t="inlineStr">
        <is>
          <t>(81) 2121-2000</t>
        </is>
      </c>
      <c r="AF147" t="inlineStr">
        <is>
          <t>(81) 2121-2000</t>
        </is>
      </c>
      <c r="AG147" t="inlineStr"/>
      <c r="AH147" t="inlineStr">
        <is>
          <t>PE</t>
        </is>
      </c>
      <c r="AI147" t="inlineStr">
        <is>
          <t>RECIFE</t>
        </is>
      </c>
      <c r="AJ147" t="inlineStr">
        <is>
          <t>Comércio atacadista de suprimentos para informática</t>
        </is>
      </c>
      <c r="AK147" t="inlineStr">
        <is>
          <t>DEMAIS</t>
        </is>
      </c>
      <c r="AL147" t="inlineStr">
        <is>
          <t>ATIVA</t>
        </is>
      </c>
      <c r="AM147" s="17" t="inlineStr">
        <is>
          <t>https://recuperacaojudicial.squarespace.com/s/RJ-Credimoveis-QGC-01082025.pdf</t>
        </is>
      </c>
      <c r="AN147" s="18" t="inlineStr">
        <is>
          <t>p15 r31</t>
        </is>
      </c>
      <c r="AO147" s="18" t="inlineStr">
        <is>
          <t>p15: R$ 1.166.163,86</t>
        </is>
      </c>
      <c r="AP147" s="18" t="inlineStr">
        <is>
          <t>QGC</t>
        </is>
      </c>
      <c r="AQ147" s="18" t="inlineStr">
        <is>
          <t>2026-01-28</t>
        </is>
      </c>
      <c r="AR147" s="18" t="inlineStr">
        <is>
          <t>OK</t>
        </is>
      </c>
      <c r="AS147" s="18" t="inlineStr">
        <is>
          <t>ROWS:p15r31</t>
        </is>
      </c>
      <c r="AT147" s="18" t="inlineStr">
        <is>
          <t>849d4fe5adce</t>
        </is>
      </c>
    </row>
    <row r="148">
      <c r="A148" s="9" t="n">
        <v>147</v>
      </c>
      <c r="B148" s="9" t="inlineStr">
        <is>
          <t>NEW</t>
        </is>
      </c>
      <c r="C148" s="9" t="inlineStr"/>
      <c r="D148" s="9" t="n">
        <v>0</v>
      </c>
      <c r="E148" s="9" t="inlineStr"/>
      <c r="F148" s="9" t="inlineStr"/>
      <c r="G148" s="9" t="inlineStr"/>
      <c r="H148" s="9" t="inlineStr"/>
      <c r="I148" t="inlineStr">
        <is>
          <t>NORTEAGRI COMERCIO E REPRESENTACOES DE INSUMOS AGROPECUARIOS LTDA</t>
        </is>
      </c>
      <c r="J148" t="inlineStr">
        <is>
          <t>NORTEAGRI COMERCIO E REPRESENTAÇÕES DE INSUMOS AGRO.</t>
        </is>
      </c>
      <c r="K148" t="inlineStr">
        <is>
          <t>20431395</t>
        </is>
      </c>
      <c r="L148" t="inlineStr">
        <is>
          <t>20431395000194</t>
        </is>
      </c>
      <c r="M148" s="10" t="n">
        <v>1155000</v>
      </c>
      <c r="N148" t="n">
        <v>1</v>
      </c>
      <c r="O148" s="11" t="inlineStr">
        <is>
          <t>B</t>
        </is>
      </c>
      <c r="P148" s="11" t="inlineStr">
        <is>
          <t>ACTIVE</t>
        </is>
      </c>
      <c r="Q148" s="12" t="n">
        <v>46149</v>
      </c>
      <c r="R148" s="11">
        <f>IF(Q148="","",ROUND((TODAY()-Q148)/365.25,1))</f>
        <v/>
      </c>
      <c r="S148" s="13">
        <f>IFERROR(VLOOKUP(O148,Assumptions!$A$7:$F$11,2,FALSE),0.25)</f>
        <v/>
      </c>
      <c r="T148" s="14">
        <f>IF(O148="A",MAX(1,IFERROR(VLOOKUP(O148,Assumptions!$A$7:$F$11,3,FALSE),3)+IFERROR(VLOOKUP(O148,Assumptions!$A$7:$F$11,4,FALSE),8)/2-MAX(0,IF(R148="",0,R148)-IFERROR(VLOOKUP(O148,Assumptions!$A$7:$F$11,5,FALSE),1.5))),IFERROR(VLOOKUP(O148,Assumptions!$A$7:$F$11,5,FALSE),2.5)+IFERROR(VLOOKUP(O148,Assumptions!$A$7:$F$11,3,FALSE),3)+IFERROR(VLOOKUP(O148,Assumptions!$A$7:$F$11,4,FALSE),8)/2)</f>
        <v/>
      </c>
      <c r="U148" s="15">
        <f>M148*S148/(1+Assumptions!$B$3)^T148</f>
        <v/>
      </c>
      <c r="V148" s="11">
        <f>IF(M148=0,"",ROUND(U148/M148*100,1))</f>
        <v/>
      </c>
      <c r="W148" s="16">
        <f>U148*Assumptions!$B$4</f>
        <v/>
      </c>
      <c r="X148" s="11">
        <f>IF(M148=0,"",ROUND(W148/M148*100,1))</f>
        <v/>
      </c>
      <c r="Y148" t="inlineStr">
        <is>
          <t>Grupo Tendas</t>
        </is>
      </c>
      <c r="Z148" t="inlineStr">
        <is>
          <t>5401053-70.2026.8.09.0051</t>
        </is>
      </c>
      <c r="AA148" t="inlineStr">
        <is>
          <t>TJGO</t>
        </is>
      </c>
      <c r="AB148" t="inlineStr">
        <is>
          <t>stenius.com.br</t>
        </is>
      </c>
      <c r="AC148" t="inlineStr">
        <is>
          <t>LUIS EDUARDO PAIVA GARCIA</t>
        </is>
      </c>
      <c r="AD148" t="inlineStr">
        <is>
          <t>Sócio-Administrador</t>
        </is>
      </c>
      <c r="AE148" t="inlineStr">
        <is>
          <t>(94) 9192-4705</t>
        </is>
      </c>
      <c r="AF148" t="inlineStr"/>
      <c r="AG148" t="inlineStr"/>
      <c r="AH148" t="inlineStr">
        <is>
          <t>PA</t>
        </is>
      </c>
      <c r="AI148" t="inlineStr">
        <is>
          <t>REDENCAO</t>
        </is>
      </c>
      <c r="AJ148" t="inlineStr">
        <is>
          <t>Comércio atacadista de mercadorias em geral, com predominância de insumos agropecuários</t>
        </is>
      </c>
      <c r="AK148" t="inlineStr">
        <is>
          <t>DEMAIS</t>
        </is>
      </c>
      <c r="AL148" t="inlineStr">
        <is>
          <t>ATIVA</t>
        </is>
      </c>
      <c r="AM148" s="17" t="inlineStr">
        <is>
          <t>https://stenius.com.br/wp-content/uploads/2026/08/1°-EDITAL-GRUPO-TENDAS.pdf</t>
        </is>
      </c>
      <c r="AN148" s="18" t="inlineStr">
        <is>
          <t>p5 r27</t>
        </is>
      </c>
      <c r="AO148" s="18" t="inlineStr">
        <is>
          <t>p5: R$ 1.155.000,00</t>
        </is>
      </c>
      <c r="AP148" s="18" t="inlineStr">
        <is>
          <t>AJ_LIST</t>
        </is>
      </c>
      <c r="AQ148" s="18" t="inlineStr">
        <is>
          <t>2026-08-13</t>
        </is>
      </c>
      <c r="AR148" s="18" t="inlineStr">
        <is>
          <t>OK_NO_TOTALS</t>
        </is>
      </c>
      <c r="AS148" s="18" t="inlineStr">
        <is>
          <t>ROWS:p5r27 UNRECONCILED_SOURCE VALUE_COL:Valor</t>
        </is>
      </c>
      <c r="AT148" s="18" t="inlineStr">
        <is>
          <t>5cac6a8cb939</t>
        </is>
      </c>
    </row>
    <row r="149">
      <c r="A149" s="9" t="n">
        <v>148</v>
      </c>
      <c r="B149" s="9" t="inlineStr">
        <is>
          <t>NEW</t>
        </is>
      </c>
      <c r="C149" s="9" t="inlineStr"/>
      <c r="D149" s="9" t="n">
        <v>0</v>
      </c>
      <c r="E149" s="9" t="inlineStr"/>
      <c r="F149" s="9" t="inlineStr"/>
      <c r="G149" s="9" t="inlineStr"/>
      <c r="H149" s="9" t="inlineStr"/>
      <c r="I149" t="inlineStr">
        <is>
          <t>AGROSUL INDUSTRIA AGRICOLA LTDA EM RECUPERACAO JUDICIAL</t>
        </is>
      </c>
      <c r="J149" t="inlineStr">
        <is>
          <t>AGROSUL INDUSTRIA AGRICOLA LTDA</t>
        </is>
      </c>
      <c r="K149" t="inlineStr">
        <is>
          <t>19108689</t>
        </is>
      </c>
      <c r="L149" t="inlineStr">
        <is>
          <t>19108689000109</t>
        </is>
      </c>
      <c r="M149" s="10" t="n">
        <v>1153122.7</v>
      </c>
      <c r="N149" t="n">
        <v>1</v>
      </c>
      <c r="O149" s="11" t="inlineStr">
        <is>
          <t>C</t>
        </is>
      </c>
      <c r="P149" s="11" t="inlineStr">
        <is>
          <t>ACTIVE</t>
        </is>
      </c>
      <c r="Q149" s="12" t="n">
        <v>45264</v>
      </c>
      <c r="R149" s="11">
        <f>IF(Q149="","",ROUND((TODAY()-Q149)/365.25,1))</f>
        <v/>
      </c>
      <c r="S149" s="13">
        <f>IFERROR(VLOOKUP(O149,Assumptions!$A$7:$F$11,2,FALSE),0.25)</f>
        <v/>
      </c>
      <c r="T149" s="14">
        <f>IF(O149="A",MAX(1,IFERROR(VLOOKUP(O149,Assumptions!$A$7:$F$11,3,FALSE),3)+IFERROR(VLOOKUP(O149,Assumptions!$A$7:$F$11,4,FALSE),8)/2-MAX(0,IF(R149="",0,R149)-IFERROR(VLOOKUP(O149,Assumptions!$A$7:$F$11,5,FALSE),1.5))),IFERROR(VLOOKUP(O149,Assumptions!$A$7:$F$11,5,FALSE),2.5)+IFERROR(VLOOKUP(O149,Assumptions!$A$7:$F$11,3,FALSE),3)+IFERROR(VLOOKUP(O149,Assumptions!$A$7:$F$11,4,FALSE),8)/2)</f>
        <v/>
      </c>
      <c r="U149" s="15">
        <f>M149*S149/(1+Assumptions!$B$3)^T149</f>
        <v/>
      </c>
      <c r="V149" s="11">
        <f>IF(M149=0,"",ROUND(U149/M149*100,1))</f>
        <v/>
      </c>
      <c r="W149" s="16">
        <f>U149*Assumptions!$B$4</f>
        <v/>
      </c>
      <c r="X149" s="11">
        <f>IF(M149=0,"",ROUND(W149/M149*100,1))</f>
        <v/>
      </c>
      <c r="Y149" t="inlineStr">
        <is>
          <t>Alto Uruguai Indústria e Comércio de Óleos Ltda</t>
        </is>
      </c>
      <c r="Z149" t="inlineStr">
        <is>
          <t>5012743-51.2023.8.24.0019</t>
        </is>
      </c>
      <c r="AA149" t="inlineStr">
        <is>
          <t>TJSC</t>
        </is>
      </c>
      <c r="AB149" t="inlineStr">
        <is>
          <t>ajruiz.com.br</t>
        </is>
      </c>
      <c r="AC149" t="inlineStr">
        <is>
          <t>VOLMIR DIAS</t>
        </is>
      </c>
      <c r="AD149" t="inlineStr">
        <is>
          <t>Administrador</t>
        </is>
      </c>
      <c r="AE149" t="inlineStr">
        <is>
          <t>(49) 9937-2777</t>
        </is>
      </c>
      <c r="AF149" t="inlineStr"/>
      <c r="AG149" t="inlineStr"/>
      <c r="AH149" t="inlineStr">
        <is>
          <t>SC</t>
        </is>
      </c>
      <c r="AI149" t="inlineStr">
        <is>
          <t>GUATAMBU</t>
        </is>
      </c>
      <c r="AJ149" t="inlineStr">
        <is>
          <t>Comércio atacadista de alimentos para animais</t>
        </is>
      </c>
      <c r="AK149" t="inlineStr">
        <is>
          <t>DEMAIS</t>
        </is>
      </c>
      <c r="AL149" t="inlineStr">
        <is>
          <t>ATIVA</t>
        </is>
      </c>
      <c r="AM149" s="17" t="inlineStr">
        <is>
          <t>https://ajruiz.com.br/sites/default/files/public/arquivos-processos/2026-06/alto_uruguai_qgc_junho.2026.pdf</t>
        </is>
      </c>
      <c r="AN149" s="18" t="inlineStr">
        <is>
          <t>p1 r4</t>
        </is>
      </c>
      <c r="AO149" s="18" t="inlineStr">
        <is>
          <t>p1: R$ 1.153.122,70</t>
        </is>
      </c>
      <c r="AP149" s="18" t="inlineStr">
        <is>
          <t>UNKNOWN</t>
        </is>
      </c>
      <c r="AQ149" s="18" t="inlineStr"/>
      <c r="AR149" s="18" t="inlineStr">
        <is>
          <t>OK</t>
        </is>
      </c>
      <c r="AS149" s="18" t="inlineStr">
        <is>
          <t>ROWS:p1r4 VALUE_COL:Valor_Do_Crédito</t>
        </is>
      </c>
      <c r="AT149" s="18" t="inlineStr">
        <is>
          <t>75336e98f447</t>
        </is>
      </c>
    </row>
    <row r="150">
      <c r="A150" s="9" t="n">
        <v>149</v>
      </c>
      <c r="B150" s="9" t="inlineStr">
        <is>
          <t>NEW</t>
        </is>
      </c>
      <c r="C150" s="9" t="inlineStr"/>
      <c r="D150" s="9" t="n">
        <v>0</v>
      </c>
      <c r="E150" s="9" t="inlineStr"/>
      <c r="F150" s="9" t="inlineStr"/>
      <c r="G150" s="9" t="inlineStr"/>
      <c r="H150" s="9" t="inlineStr"/>
      <c r="I150" t="inlineStr">
        <is>
          <t>PAMPARAFIA-INDUSTRIA E COMERCIO DE EMBALAGENS LTDA</t>
        </is>
      </c>
      <c r="J150" t="inlineStr">
        <is>
          <t>PAMPARAFIA INDUSTRIA E COMERCIO DE EMBALAGENS LTDA</t>
        </is>
      </c>
      <c r="K150" t="inlineStr">
        <is>
          <t>07944839</t>
        </is>
      </c>
      <c r="L150" t="inlineStr">
        <is>
          <t>07944839000127, 07944839000208</t>
        </is>
      </c>
      <c r="M150" s="10" t="n">
        <v>1139759.72</v>
      </c>
      <c r="N150" t="n">
        <v>2</v>
      </c>
      <c r="O150" s="11" t="inlineStr">
        <is>
          <t>C</t>
        </is>
      </c>
      <c r="P150" s="11" t="inlineStr">
        <is>
          <t>ACTIVE</t>
        </is>
      </c>
      <c r="Q150" s="12" t="n">
        <v>45057</v>
      </c>
      <c r="R150" s="11">
        <f>IF(Q150="","",ROUND((TODAY()-Q150)/365.25,1))</f>
        <v/>
      </c>
      <c r="S150" s="13">
        <f>IFERROR(VLOOKUP(O150,Assumptions!$A$7:$F$11,2,FALSE),0.25)</f>
        <v/>
      </c>
      <c r="T150" s="14">
        <f>IF(O150="A",MAX(1,IFERROR(VLOOKUP(O150,Assumptions!$A$7:$F$11,3,FALSE),3)+IFERROR(VLOOKUP(O150,Assumptions!$A$7:$F$11,4,FALSE),8)/2-MAX(0,IF(R150="",0,R150)-IFERROR(VLOOKUP(O150,Assumptions!$A$7:$F$11,5,FALSE),1.5))),IFERROR(VLOOKUP(O150,Assumptions!$A$7:$F$11,5,FALSE),2.5)+IFERROR(VLOOKUP(O150,Assumptions!$A$7:$F$11,3,FALSE),3)+IFERROR(VLOOKUP(O150,Assumptions!$A$7:$F$11,4,FALSE),8)/2)</f>
        <v/>
      </c>
      <c r="U150" s="15">
        <f>M150*S150/(1+Assumptions!$B$3)^T150</f>
        <v/>
      </c>
      <c r="V150" s="11">
        <f>IF(M150=0,"",ROUND(U150/M150*100,1))</f>
        <v/>
      </c>
      <c r="W150" s="16">
        <f>U150*Assumptions!$B$4</f>
        <v/>
      </c>
      <c r="X150" s="11">
        <f>IF(M150=0,"",ROUND(W150/M150*100,1))</f>
        <v/>
      </c>
      <c r="Y150" t="inlineStr">
        <is>
          <t>TOP TEXTIL EMBALAGENS LTDA</t>
        </is>
      </c>
      <c r="Z150" t="inlineStr">
        <is>
          <t>5011460-87.2023.8.24.0020</t>
        </is>
      </c>
      <c r="AA150" t="inlineStr">
        <is>
          <t>TJSC</t>
        </is>
      </c>
      <c r="AB150" t="inlineStr">
        <is>
          <t>cataliseaj.com.br</t>
        </is>
      </c>
      <c r="AC150" t="inlineStr">
        <is>
          <t>SERGIO AIME</t>
        </is>
      </c>
      <c r="AD150" t="inlineStr">
        <is>
          <t>Sócio-Administrador</t>
        </is>
      </c>
      <c r="AE150" t="inlineStr">
        <is>
          <t>(51) 3249-1877</t>
        </is>
      </c>
      <c r="AF150" t="inlineStr"/>
      <c r="AG150" t="inlineStr"/>
      <c r="AH150" t="inlineStr">
        <is>
          <t>RS</t>
        </is>
      </c>
      <c r="AI150" t="inlineStr">
        <is>
          <t>PORTO ALEGRE</t>
        </is>
      </c>
      <c r="AJ150" t="inlineStr">
        <is>
          <t>Tecelagem de fios de fibras artificiais e sintéticas</t>
        </is>
      </c>
      <c r="AK150" t="inlineStr">
        <is>
          <t>DEMAIS</t>
        </is>
      </c>
      <c r="AL150" t="inlineStr">
        <is>
          <t>ATIVA</t>
        </is>
      </c>
      <c r="AM150" s="17" t="inlineStr">
        <is>
          <t>https://cataliseaj.com.br/sgc/download.php?file=files/processo_documento/processo_documento15092204102024_1_.pdf&amp;nome=02. RELAÇÃO DE CREDORES</t>
        </is>
      </c>
      <c r="AN150" s="18" t="inlineStr">
        <is>
          <t>p3 r1; p3 r2</t>
        </is>
      </c>
      <c r="AO150" s="18" t="inlineStr">
        <is>
          <t>p3: R$ 183.130,09; p3: R$ 956.629,63</t>
        </is>
      </c>
      <c r="AP150" s="18" t="inlineStr">
        <is>
          <t>DEBTOR_LIST</t>
        </is>
      </c>
      <c r="AQ150" s="18" t="inlineStr"/>
      <c r="AR150" s="18" t="inlineStr">
        <is>
          <t>OK_NO_TOTALS</t>
        </is>
      </c>
      <c r="AS150" s="18" t="inlineStr">
        <is>
          <t>ROWS:p3r1,p3r2 UNRECONCILED_SOURCE</t>
        </is>
      </c>
      <c r="AT150" s="18" t="inlineStr">
        <is>
          <t>741aed48dd00</t>
        </is>
      </c>
    </row>
    <row r="151">
      <c r="A151" s="9" t="n">
        <v>150</v>
      </c>
      <c r="B151" s="9" t="inlineStr">
        <is>
          <t>NEW</t>
        </is>
      </c>
      <c r="C151" s="9" t="inlineStr"/>
      <c r="D151" s="9" t="n">
        <v>0</v>
      </c>
      <c r="E151" s="9" t="inlineStr"/>
      <c r="F151" s="9" t="inlineStr"/>
      <c r="G151" s="9" t="inlineStr"/>
      <c r="H151" s="9" t="inlineStr"/>
      <c r="I151" t="inlineStr">
        <is>
          <t>AGROQUIMICA BRASINHA LTDA</t>
        </is>
      </c>
      <c r="J151" t="inlineStr">
        <is>
          <t>Agroquimica Brasinha Ltda - Recuperacao Judicial</t>
        </is>
      </c>
      <c r="K151" t="inlineStr">
        <is>
          <t>05696101</t>
        </is>
      </c>
      <c r="L151" t="inlineStr">
        <is>
          <t>05696101000162</t>
        </is>
      </c>
      <c r="M151" s="10" t="n">
        <v>1138844</v>
      </c>
      <c r="N151" t="n">
        <v>1</v>
      </c>
      <c r="O151" s="11" t="inlineStr">
        <is>
          <t>C</t>
        </is>
      </c>
      <c r="P151" s="11" t="inlineStr">
        <is>
          <t>ACTIVE</t>
        </is>
      </c>
      <c r="Q151" s="12" t="n">
        <v>45275</v>
      </c>
      <c r="R151" s="11">
        <f>IF(Q151="","",ROUND((TODAY()-Q151)/365.25,1))</f>
        <v/>
      </c>
      <c r="S151" s="13">
        <f>IFERROR(VLOOKUP(O151,Assumptions!$A$7:$F$11,2,FALSE),0.25)</f>
        <v/>
      </c>
      <c r="T151" s="14">
        <f>IF(O151="A",MAX(1,IFERROR(VLOOKUP(O151,Assumptions!$A$7:$F$11,3,FALSE),3)+IFERROR(VLOOKUP(O151,Assumptions!$A$7:$F$11,4,FALSE),8)/2-MAX(0,IF(R151="",0,R151)-IFERROR(VLOOKUP(O151,Assumptions!$A$7:$F$11,5,FALSE),1.5))),IFERROR(VLOOKUP(O151,Assumptions!$A$7:$F$11,5,FALSE),2.5)+IFERROR(VLOOKUP(O151,Assumptions!$A$7:$F$11,3,FALSE),3)+IFERROR(VLOOKUP(O151,Assumptions!$A$7:$F$11,4,FALSE),8)/2)</f>
        <v/>
      </c>
      <c r="U151" s="15">
        <f>M151*S151/(1+Assumptions!$B$3)^T151</f>
        <v/>
      </c>
      <c r="V151" s="11">
        <f>IF(M151=0,"",ROUND(U151/M151*100,1))</f>
        <v/>
      </c>
      <c r="W151" s="16">
        <f>U151*Assumptions!$B$4</f>
        <v/>
      </c>
      <c r="X151" s="11">
        <f>IF(M151=0,"",ROUND(W151/M151*100,1))</f>
        <v/>
      </c>
      <c r="Y151" t="inlineStr">
        <is>
          <t>Grupo Agromeal</t>
        </is>
      </c>
      <c r="Z151" t="inlineStr">
        <is>
          <t>0003971-03.2023.8.16.0119</t>
        </is>
      </c>
      <c r="AA151" t="inlineStr">
        <is>
          <t>TJPR</t>
        </is>
      </c>
      <c r="AB151" t="inlineStr">
        <is>
          <t>marquesadmjudicial.com.br</t>
        </is>
      </c>
      <c r="AC151" t="inlineStr">
        <is>
          <t>MARCIO ALEXANDRO BRASINHA DA SILVA</t>
        </is>
      </c>
      <c r="AD151" t="inlineStr">
        <is>
          <t>Sócio-Administrador</t>
        </is>
      </c>
      <c r="AE151" t="inlineStr">
        <is>
          <t>(44) 3045-3700</t>
        </is>
      </c>
      <c r="AF151" t="inlineStr"/>
      <c r="AG151" t="inlineStr"/>
      <c r="AH151" t="inlineStr">
        <is>
          <t>PR</t>
        </is>
      </c>
      <c r="AI151" t="inlineStr">
        <is>
          <t>NOVA ESPERANCA</t>
        </is>
      </c>
      <c r="AJ151" t="inlineStr">
        <is>
          <t>Preparação de subprodutos do abate</t>
        </is>
      </c>
      <c r="AK151" t="inlineStr">
        <is>
          <t>DEMAIS</t>
        </is>
      </c>
      <c r="AL151" t="inlineStr">
        <is>
          <t>ATIVA</t>
        </is>
      </c>
      <c r="AM151" s="17" t="inlineStr">
        <is>
          <t>https://marquesadmjudicial.com.br/sgc/download.php?file=files/processo_documento/processo_documento17040729052024_1_.pdf&amp;nome=Relação Nominal de Credores AJ-Sintética</t>
        </is>
      </c>
      <c r="AN151" s="18" t="inlineStr">
        <is>
          <t>p9 r6</t>
        </is>
      </c>
      <c r="AO151" s="18" t="inlineStr">
        <is>
          <t>p9: R$ 1.138.844,00</t>
        </is>
      </c>
      <c r="AP151" s="18" t="inlineStr">
        <is>
          <t>AJ_LIST</t>
        </is>
      </c>
      <c r="AQ151" s="18" t="inlineStr">
        <is>
          <t>2024-05-27</t>
        </is>
      </c>
      <c r="AR151" s="18" t="inlineStr">
        <is>
          <t>QUARANTINED</t>
        </is>
      </c>
      <c r="AS151" s="18" t="inlineStr">
        <is>
          <t>PARTIAL_DOC_CLASS_III_RECONCILED ROWS:p9r6</t>
        </is>
      </c>
      <c r="AT151" s="18" t="inlineStr">
        <is>
          <t>1209dafe77b7</t>
        </is>
      </c>
    </row>
    <row r="152">
      <c r="A152" s="9" t="n">
        <v>151</v>
      </c>
      <c r="B152" s="9" t="inlineStr">
        <is>
          <t>NEW</t>
        </is>
      </c>
      <c r="C152" s="9" t="inlineStr"/>
      <c r="D152" s="9" t="n">
        <v>0</v>
      </c>
      <c r="E152" s="9" t="inlineStr"/>
      <c r="F152" s="9" t="inlineStr"/>
      <c r="G152" s="9" t="inlineStr"/>
      <c r="H152" s="9" t="inlineStr"/>
      <c r="I152" t="inlineStr">
        <is>
          <t>SOMA/RS PRODUTOS HOSPITALARES LTDA.</t>
        </is>
      </c>
      <c r="J152" t="inlineStr">
        <is>
          <t>RS PRODUTOS HOSPITALARES LTDA (</t>
        </is>
      </c>
      <c r="K152" t="inlineStr">
        <is>
          <t>06294126</t>
        </is>
      </c>
      <c r="L152" t="inlineStr">
        <is>
          <t>06294126000100</t>
        </is>
      </c>
      <c r="M152" s="10" t="n">
        <v>1137831.84</v>
      </c>
      <c r="N152" t="n">
        <v>1</v>
      </c>
      <c r="O152" s="11" t="inlineStr">
        <is>
          <t>C</t>
        </is>
      </c>
      <c r="P152" s="11" t="inlineStr">
        <is>
          <t>ACTIVE</t>
        </is>
      </c>
      <c r="Q152" s="12" t="n">
        <v>44735</v>
      </c>
      <c r="R152" s="11">
        <f>IF(Q152="","",ROUND((TODAY()-Q152)/365.25,1))</f>
        <v/>
      </c>
      <c r="S152" s="13">
        <f>IFERROR(VLOOKUP(O152,Assumptions!$A$7:$F$11,2,FALSE),0.25)</f>
        <v/>
      </c>
      <c r="T152" s="14">
        <f>IF(O152="A",MAX(1,IFERROR(VLOOKUP(O152,Assumptions!$A$7:$F$11,3,FALSE),3)+IFERROR(VLOOKUP(O152,Assumptions!$A$7:$F$11,4,FALSE),8)/2-MAX(0,IF(R152="",0,R152)-IFERROR(VLOOKUP(O152,Assumptions!$A$7:$F$11,5,FALSE),1.5))),IFERROR(VLOOKUP(O152,Assumptions!$A$7:$F$11,5,FALSE),2.5)+IFERROR(VLOOKUP(O152,Assumptions!$A$7:$F$11,3,FALSE),3)+IFERROR(VLOOKUP(O152,Assumptions!$A$7:$F$11,4,FALSE),8)/2)</f>
        <v/>
      </c>
      <c r="U152" s="15">
        <f>M152*S152/(1+Assumptions!$B$3)^T152</f>
        <v/>
      </c>
      <c r="V152" s="11">
        <f>IF(M152=0,"",ROUND(U152/M152*100,1))</f>
        <v/>
      </c>
      <c r="W152" s="16">
        <f>U152*Assumptions!$B$4</f>
        <v/>
      </c>
      <c r="X152" s="11">
        <f>IF(M152=0,"",ROUND(W152/M152*100,1))</f>
        <v/>
      </c>
      <c r="Y152" t="inlineStr">
        <is>
          <t>ASSOCIAÇÃO DE CARIDADE SANTA CASA DO RIO GRANDE</t>
        </is>
      </c>
      <c r="Z152" t="inlineStr">
        <is>
          <t>5012306-16.2022.8.21.0023</t>
        </is>
      </c>
      <c r="AA152" t="inlineStr">
        <is>
          <t>TJRS</t>
        </is>
      </c>
      <c r="AB152" t="inlineStr">
        <is>
          <t>scalzilliaj.com.br</t>
        </is>
      </c>
      <c r="AC152" t="inlineStr">
        <is>
          <t>MARCELO LAPINSCKI</t>
        </is>
      </c>
      <c r="AD152" t="inlineStr">
        <is>
          <t>Sócio-Administrador</t>
        </is>
      </c>
      <c r="AE152" t="inlineStr">
        <is>
          <t>(51) 3347-9000</t>
        </is>
      </c>
      <c r="AF152" t="inlineStr"/>
      <c r="AG152" t="inlineStr"/>
      <c r="AH152" t="inlineStr">
        <is>
          <t>RS</t>
        </is>
      </c>
      <c r="AI152" t="inlineStr">
        <is>
          <t>ELDORADO DO SUL</t>
        </is>
      </c>
      <c r="AJ152" t="inlineStr">
        <is>
          <t>Comércio atacadista de instrumentos e materiais para uso médico, cirúrgico, hospitalar e de laboratórios</t>
        </is>
      </c>
      <c r="AK152" t="inlineStr">
        <is>
          <t>DEMAIS</t>
        </is>
      </c>
      <c r="AL152" t="inlineStr">
        <is>
          <t>ATIVA</t>
        </is>
      </c>
      <c r="AM152" s="17" t="inlineStr">
        <is>
          <t>https://scalzilliaj.com.br/sgc/download.php?file=files/processo_documento/processo_documento09120721032023_1_.pdf&amp;nome=15 - Edital do art. 7º, §2º e 53 da Lei 11.101/2005 (segunda lista de credores e recebimento do plano))</t>
        </is>
      </c>
      <c r="AN152" s="18" t="inlineStr">
        <is>
          <t>p29 r40</t>
        </is>
      </c>
      <c r="AO152" s="18" t="inlineStr">
        <is>
          <t>p29: R$ 1.137.831,84</t>
        </is>
      </c>
      <c r="AP152" s="18" t="inlineStr">
        <is>
          <t>AJ_LIST</t>
        </is>
      </c>
      <c r="AQ152" s="18" t="inlineStr">
        <is>
          <t>2023-03-21</t>
        </is>
      </c>
      <c r="AR152" s="18" t="inlineStr">
        <is>
          <t>OK_NO_TOTALS</t>
        </is>
      </c>
      <c r="AS152" s="18" t="inlineStr">
        <is>
          <t>ROWS:p29r40 UNRECONCILED_SOURCE</t>
        </is>
      </c>
      <c r="AT152" s="18" t="inlineStr">
        <is>
          <t>ebfb999b457c</t>
        </is>
      </c>
    </row>
    <row r="153">
      <c r="A153" s="9" t="n">
        <v>152</v>
      </c>
      <c r="B153" s="9" t="inlineStr">
        <is>
          <t>NEW</t>
        </is>
      </c>
      <c r="C153" s="9" t="inlineStr"/>
      <c r="D153" s="9" t="n">
        <v>0</v>
      </c>
      <c r="E153" s="9" t="inlineStr"/>
      <c r="F153" s="9" t="inlineStr"/>
      <c r="G153" s="9" t="inlineStr"/>
      <c r="H153" s="9" t="inlineStr"/>
      <c r="I153" t="inlineStr">
        <is>
          <t>EPHOXAL DO BRASIL INDUSTRIA E COMERCIO LTDA</t>
        </is>
      </c>
      <c r="J153" t="inlineStr">
        <is>
          <t>EPHOXAL DO BRASIL INDUSTRIA E COMERCIO</t>
        </is>
      </c>
      <c r="K153" t="inlineStr">
        <is>
          <t>02770062</t>
        </is>
      </c>
      <c r="L153" t="inlineStr">
        <is>
          <t>02770062000108</t>
        </is>
      </c>
      <c r="M153" s="10" t="n">
        <v>1130990.79</v>
      </c>
      <c r="N153" t="n">
        <v>1</v>
      </c>
      <c r="O153" s="11" t="inlineStr">
        <is>
          <t>C</t>
        </is>
      </c>
      <c r="P153" s="11" t="inlineStr"/>
      <c r="Q153" s="12" t="inlineStr"/>
      <c r="R153" s="11">
        <f>IF(Q153="","",ROUND((TODAY()-Q153)/365.25,1))</f>
        <v/>
      </c>
      <c r="S153" s="13">
        <f>IFERROR(VLOOKUP(O153,Assumptions!$A$7:$F$11,2,FALSE),0.25)</f>
        <v/>
      </c>
      <c r="T153" s="14">
        <f>IF(O153="A",MAX(1,IFERROR(VLOOKUP(O153,Assumptions!$A$7:$F$11,3,FALSE),3)+IFERROR(VLOOKUP(O153,Assumptions!$A$7:$F$11,4,FALSE),8)/2-MAX(0,IF(R153="",0,R153)-IFERROR(VLOOKUP(O153,Assumptions!$A$7:$F$11,5,FALSE),1.5))),IFERROR(VLOOKUP(O153,Assumptions!$A$7:$F$11,5,FALSE),2.5)+IFERROR(VLOOKUP(O153,Assumptions!$A$7:$F$11,3,FALSE),3)+IFERROR(VLOOKUP(O153,Assumptions!$A$7:$F$11,4,FALSE),8)/2)</f>
        <v/>
      </c>
      <c r="U153" s="15">
        <f>M153*S153/(1+Assumptions!$B$3)^T153</f>
        <v/>
      </c>
      <c r="V153" s="11">
        <f>IF(M153=0,"",ROUND(U153/M153*100,1))</f>
        <v/>
      </c>
      <c r="W153" s="16">
        <f>U153*Assumptions!$B$4</f>
        <v/>
      </c>
      <c r="X153" s="11">
        <f>IF(M153=0,"",ROUND(W153/M153*100,1))</f>
        <v/>
      </c>
      <c r="Y153" t="inlineStr">
        <is>
          <t>BLUTRAFOS BLUMENAU TRANSFORMADORES LTDA</t>
        </is>
      </c>
      <c r="Z153" t="inlineStr">
        <is>
          <t>0022845-08.2013.8.24.0008</t>
        </is>
      </c>
      <c r="AA153" t="inlineStr"/>
      <c r="AB153" t="inlineStr">
        <is>
          <t>administradorajudicialgs.com.br</t>
        </is>
      </c>
      <c r="AC153" t="inlineStr">
        <is>
          <t>LUIZ CARLOS LAGO</t>
        </is>
      </c>
      <c r="AD153" t="inlineStr">
        <is>
          <t>Sócio-Administrador</t>
        </is>
      </c>
      <c r="AE153" t="inlineStr">
        <is>
          <t>(11) 4138-9347</t>
        </is>
      </c>
      <c r="AF153" t="inlineStr"/>
      <c r="AG153" t="inlineStr"/>
      <c r="AH153" t="inlineStr">
        <is>
          <t>SP</t>
        </is>
      </c>
      <c r="AI153" t="inlineStr">
        <is>
          <t>EMBU DAS ARTES</t>
        </is>
      </c>
      <c r="AJ153" t="inlineStr">
        <is>
          <t>Fabricação de resinas termofixas</t>
        </is>
      </c>
      <c r="AK153" t="inlineStr">
        <is>
          <t>DEMAIS</t>
        </is>
      </c>
      <c r="AL153" t="inlineStr">
        <is>
          <t>ATIVA</t>
        </is>
      </c>
      <c r="AM153" s="17" t="inlineStr">
        <is>
          <t>https://administradorajudicialgs.com.br/wp-content/uploads/2023/08/advogados-sgrott-doc-22-relacao-de-credores-do-administrador-judicial-classe-iii-05-02-14.pdf</t>
        </is>
      </c>
      <c r="AN153" s="18" t="inlineStr">
        <is>
          <t>p2 r46</t>
        </is>
      </c>
      <c r="AO153" s="18" t="inlineStr">
        <is>
          <t>p2: R$ 1.130.990,79</t>
        </is>
      </c>
      <c r="AP153" s="18" t="inlineStr">
        <is>
          <t>UNKNOWN</t>
        </is>
      </c>
      <c r="AQ153" s="18" t="inlineStr"/>
      <c r="AR153" s="18" t="inlineStr">
        <is>
          <t>OK</t>
        </is>
      </c>
      <c r="AS153" s="18" t="inlineStr">
        <is>
          <t>ROWS:p2r46</t>
        </is>
      </c>
      <c r="AT153" s="18" t="inlineStr">
        <is>
          <t>22ac347cfe4f</t>
        </is>
      </c>
    </row>
    <row r="154">
      <c r="A154" s="9" t="n">
        <v>153</v>
      </c>
      <c r="B154" s="9" t="inlineStr">
        <is>
          <t>NEW</t>
        </is>
      </c>
      <c r="C154" s="9" t="inlineStr"/>
      <c r="D154" s="9" t="n">
        <v>0</v>
      </c>
      <c r="E154" s="9" t="inlineStr"/>
      <c r="F154" s="9" t="inlineStr"/>
      <c r="G154" s="9" t="inlineStr"/>
      <c r="H154" s="9" t="inlineStr"/>
      <c r="I154" t="inlineStr">
        <is>
          <t>INTER TELECOM - COMERCIO E LOCACAO DE EQUIPAMENTOS DE COMUNICACAO LTDA</t>
        </is>
      </c>
      <c r="J154" t="inlineStr">
        <is>
          <t>Inter Telecom Comércio e Locação de Equipamentos de Comunicação Ltda</t>
        </is>
      </c>
      <c r="K154" t="inlineStr">
        <is>
          <t>06936357</t>
        </is>
      </c>
      <c r="L154" t="inlineStr">
        <is>
          <t>06936357000162</t>
        </is>
      </c>
      <c r="M154" s="10" t="n">
        <v>1125816.11</v>
      </c>
      <c r="N154" t="n">
        <v>1</v>
      </c>
      <c r="O154" s="11" t="inlineStr">
        <is>
          <t>B</t>
        </is>
      </c>
      <c r="P154" s="11" t="inlineStr"/>
      <c r="Q154" s="12" t="n">
        <v>45756</v>
      </c>
      <c r="R154" s="11">
        <f>IF(Q154="","",ROUND((TODAY()-Q154)/365.25,1))</f>
        <v/>
      </c>
      <c r="S154" s="13">
        <f>IFERROR(VLOOKUP(O154,Assumptions!$A$7:$F$11,2,FALSE),0.25)</f>
        <v/>
      </c>
      <c r="T154" s="14">
        <f>IF(O154="A",MAX(1,IFERROR(VLOOKUP(O154,Assumptions!$A$7:$F$11,3,FALSE),3)+IFERROR(VLOOKUP(O154,Assumptions!$A$7:$F$11,4,FALSE),8)/2-MAX(0,IF(R154="",0,R154)-IFERROR(VLOOKUP(O154,Assumptions!$A$7:$F$11,5,FALSE),1.5))),IFERROR(VLOOKUP(O154,Assumptions!$A$7:$F$11,5,FALSE),2.5)+IFERROR(VLOOKUP(O154,Assumptions!$A$7:$F$11,3,FALSE),3)+IFERROR(VLOOKUP(O154,Assumptions!$A$7:$F$11,4,FALSE),8)/2)</f>
        <v/>
      </c>
      <c r="U154" s="15">
        <f>M154*S154/(1+Assumptions!$B$3)^T154</f>
        <v/>
      </c>
      <c r="V154" s="11">
        <f>IF(M154=0,"",ROUND(U154/M154*100,1))</f>
        <v/>
      </c>
      <c r="W154" s="16">
        <f>U154*Assumptions!$B$4</f>
        <v/>
      </c>
      <c r="X154" s="11">
        <f>IF(M154=0,"",ROUND(W154/M154*100,1))</f>
        <v/>
      </c>
      <c r="Y154" t="inlineStr">
        <is>
          <t>GRUPO EGESA (EGESA ENG S.A, EGESUR PART E EMP S.A, MATRIX INFRA LTDA, BEMVIVER ENG AMBIENTAL E SERV LTDA, DKF CONST E EMP LTDA, EGEPEL LTDA, ETR ASSESSORIA EMP E PART LTDA, MVT ENG E SERV LTDA, PARQUES DO VALE LTDA, ELMO RIBEIRO E ANA RIBEIRO)</t>
        </is>
      </c>
      <c r="Z154" t="inlineStr">
        <is>
          <t>5088952-81.2025.8.13.0024</t>
        </is>
      </c>
      <c r="AA154" t="inlineStr">
        <is>
          <t>TJMG</t>
        </is>
      </c>
      <c r="AB154" t="inlineStr">
        <is>
          <t>scalzilliaj.com.br</t>
        </is>
      </c>
      <c r="AC154" t="inlineStr">
        <is>
          <t>FRANCISCA APARECIDA D ANGELO PALOMARES</t>
        </is>
      </c>
      <c r="AD154" t="inlineStr">
        <is>
          <t>Sócio-Administrador</t>
        </is>
      </c>
      <c r="AE154" t="inlineStr">
        <is>
          <t>(11) 4221-1746</t>
        </is>
      </c>
      <c r="AF154" t="inlineStr"/>
      <c r="AG154" t="inlineStr"/>
      <c r="AH154" t="inlineStr">
        <is>
          <t>SP</t>
        </is>
      </c>
      <c r="AI154" t="inlineStr">
        <is>
          <t>SAO CAETANO DO SUL</t>
        </is>
      </c>
      <c r="AJ154" t="inlineStr">
        <is>
          <t>Comércio varejista especializado de equipamentos de telefonia e comunicação</t>
        </is>
      </c>
      <c r="AK154" t="inlineStr">
        <is>
          <t>DEMAIS</t>
        </is>
      </c>
      <c r="AL154" t="inlineStr">
        <is>
          <t>ATIVA</t>
        </is>
      </c>
      <c r="AM154" s="17" t="inlineStr">
        <is>
          <t>https://scalzilliaj.com.br/sgc/download.php?file=files/processo_documento/processo_documento09514021082025_1_.pdf&amp;nome=04 - Relação de credores das Recuperandas</t>
        </is>
      </c>
      <c r="AN154" s="18" t="inlineStr">
        <is>
          <t>p68 r7</t>
        </is>
      </c>
      <c r="AO154" s="18" t="inlineStr">
        <is>
          <t>p68: R$ 1.125.816,11</t>
        </is>
      </c>
      <c r="AP154" s="18" t="inlineStr">
        <is>
          <t>DEBTOR_LIST</t>
        </is>
      </c>
      <c r="AQ154" s="18" t="inlineStr"/>
      <c r="AR154" s="18" t="inlineStr">
        <is>
          <t>OK</t>
        </is>
      </c>
      <c r="AS154" s="18" t="inlineStr">
        <is>
          <t>ROWS:p68r7 VALUE_COL:Valor_Atualizado CASE_NUMBER_CORRECTED CASE_FROM_PORTAL</t>
        </is>
      </c>
      <c r="AT154" s="18" t="inlineStr">
        <is>
          <t>24ed98480a57</t>
        </is>
      </c>
    </row>
    <row r="155">
      <c r="A155" s="9" t="n">
        <v>154</v>
      </c>
      <c r="B155" s="9" t="inlineStr">
        <is>
          <t>NEW</t>
        </is>
      </c>
      <c r="C155" s="9" t="inlineStr"/>
      <c r="D155" s="9" t="n">
        <v>0</v>
      </c>
      <c r="E155" s="9" t="inlineStr"/>
      <c r="F155" s="9" t="inlineStr"/>
      <c r="G155" s="9" t="inlineStr"/>
      <c r="H155" s="9" t="inlineStr"/>
      <c r="I155" t="inlineStr">
        <is>
          <t>TAG INDUSTRIA E LAMINACAO LTDA</t>
        </is>
      </c>
      <c r="J155" t="inlineStr">
        <is>
          <t>Av. Jacu-pessego (Nova Trabalhadores), 277, Galpão A, Vila Carmosina, São Paulo - CEP 08290250</t>
        </is>
      </c>
      <c r="K155" t="inlineStr">
        <is>
          <t>33233778</t>
        </is>
      </c>
      <c r="L155" t="inlineStr">
        <is>
          <t>33233778000108</t>
        </is>
      </c>
      <c r="M155" s="10" t="n">
        <v>1122336.63</v>
      </c>
      <c r="N155" t="n">
        <v>1</v>
      </c>
      <c r="O155" s="11" t="inlineStr">
        <is>
          <t>C</t>
        </is>
      </c>
      <c r="P155" s="11" t="inlineStr"/>
      <c r="Q155" s="12" t="inlineStr"/>
      <c r="R155" s="11">
        <f>IF(Q155="","",ROUND((TODAY()-Q155)/365.25,1))</f>
        <v/>
      </c>
      <c r="S155" s="13">
        <f>IFERROR(VLOOKUP(O155,Assumptions!$A$7:$F$11,2,FALSE),0.25)</f>
        <v/>
      </c>
      <c r="T155" s="14">
        <f>IF(O155="A",MAX(1,IFERROR(VLOOKUP(O155,Assumptions!$A$7:$F$11,3,FALSE),3)+IFERROR(VLOOKUP(O155,Assumptions!$A$7:$F$11,4,FALSE),8)/2-MAX(0,IF(R155="",0,R155)-IFERROR(VLOOKUP(O155,Assumptions!$A$7:$F$11,5,FALSE),1.5))),IFERROR(VLOOKUP(O155,Assumptions!$A$7:$F$11,5,FALSE),2.5)+IFERROR(VLOOKUP(O155,Assumptions!$A$7:$F$11,3,FALSE),3)+IFERROR(VLOOKUP(O155,Assumptions!$A$7:$F$11,4,FALSE),8)/2)</f>
        <v/>
      </c>
      <c r="U155" s="15">
        <f>M155*S155/(1+Assumptions!$B$3)^T155</f>
        <v/>
      </c>
      <c r="V155" s="11">
        <f>IF(M155=0,"",ROUND(U155/M155*100,1))</f>
        <v/>
      </c>
      <c r="W155" s="16">
        <f>U155*Assumptions!$B$4</f>
        <v/>
      </c>
      <c r="X155" s="11">
        <f>IF(M155=0,"",ROUND(W155/M155*100,1))</f>
        <v/>
      </c>
      <c r="Y155" t="inlineStr">
        <is>
          <t>REAL DISTRIBUIDORA ÚNICA RIO COMÉRCIO DE REFRIGERAÇÃO LTDA.</t>
        </is>
      </c>
      <c r="Z155" t="inlineStr">
        <is>
          <t>0873061-47.2023.8.19.0001</t>
        </is>
      </c>
      <c r="AA155" t="inlineStr"/>
      <c r="AB155" t="inlineStr">
        <is>
          <t>inova-aj.com.br</t>
        </is>
      </c>
      <c r="AC155" t="inlineStr">
        <is>
          <t>TIAGO RODRIGO DETTILIO</t>
        </is>
      </c>
      <c r="AD155" t="inlineStr">
        <is>
          <t>Administrador</t>
        </is>
      </c>
      <c r="AE155" t="inlineStr">
        <is>
          <t>(11) 4463-4833</t>
        </is>
      </c>
      <c r="AF155" t="inlineStr"/>
      <c r="AG155" t="inlineStr"/>
      <c r="AH155" t="inlineStr">
        <is>
          <t>SP</t>
        </is>
      </c>
      <c r="AI155" t="inlineStr">
        <is>
          <t>SAO PAULO</t>
        </is>
      </c>
      <c r="AJ155" t="inlineStr">
        <is>
          <t>Outras atividades profissionais, científicas e técnicas não especificadas anteriormente</t>
        </is>
      </c>
      <c r="AK155" t="inlineStr">
        <is>
          <t>DEMAIS</t>
        </is>
      </c>
      <c r="AL155" t="inlineStr">
        <is>
          <t>ATIVA</t>
        </is>
      </c>
      <c r="AM155" s="17" t="inlineStr">
        <is>
          <t>https://inova-aj.com.br/wp-content/uploads/2026/08/1a-Relacao-de-Credores-Real.pdf</t>
        </is>
      </c>
      <c r="AN155" s="18" t="inlineStr">
        <is>
          <t>p2 r7</t>
        </is>
      </c>
      <c r="AO155" s="18" t="inlineStr">
        <is>
          <t>p2: R$ 1.122.336,63</t>
        </is>
      </c>
      <c r="AP155" s="18" t="inlineStr">
        <is>
          <t>AJ_LIST</t>
        </is>
      </c>
      <c r="AQ155" s="18" t="inlineStr">
        <is>
          <t>2023-06-05</t>
        </is>
      </c>
      <c r="AR155" s="18" t="inlineStr">
        <is>
          <t>OK</t>
        </is>
      </c>
      <c r="AS155" s="18" t="inlineStr">
        <is>
          <t>ALT_VALUE:R$816.060,00 ROWS:p2r7</t>
        </is>
      </c>
      <c r="AT155" s="18" t="inlineStr">
        <is>
          <t>8eb5d0d64353</t>
        </is>
      </c>
    </row>
    <row r="156">
      <c r="A156" s="9" t="n">
        <v>155</v>
      </c>
      <c r="B156" s="9" t="inlineStr">
        <is>
          <t>NEW</t>
        </is>
      </c>
      <c r="C156" s="9" t="inlineStr"/>
      <c r="D156" s="9" t="n">
        <v>0</v>
      </c>
      <c r="E156" s="9" t="inlineStr"/>
      <c r="F156" s="9" t="inlineStr"/>
      <c r="G156" s="9" t="inlineStr"/>
      <c r="H156" s="9" t="inlineStr"/>
      <c r="I156" t="inlineStr">
        <is>
          <t>THUNDER TOOLS COMERCIO DE MATERIAIS PARA CONSTRUCAO LTDA</t>
        </is>
      </c>
      <c r="J156" t="inlineStr">
        <is>
          <t>Rua Vinte e Dois de Abril, 54 - Canhema - Diadema/SP CEP 09941-460</t>
        </is>
      </c>
      <c r="K156" t="inlineStr">
        <is>
          <t>36635483</t>
        </is>
      </c>
      <c r="L156" t="inlineStr">
        <is>
          <t>36635483000148</t>
        </is>
      </c>
      <c r="M156" s="10" t="n">
        <v>1114761.56</v>
      </c>
      <c r="N156" t="n">
        <v>1</v>
      </c>
      <c r="O156" s="11" t="inlineStr">
        <is>
          <t>B</t>
        </is>
      </c>
      <c r="P156" s="11" t="inlineStr">
        <is>
          <t>ACTIVE</t>
        </is>
      </c>
      <c r="Q156" s="12" t="n">
        <v>45330</v>
      </c>
      <c r="R156" s="11">
        <f>IF(Q156="","",ROUND((TODAY()-Q156)/365.25,1))</f>
        <v/>
      </c>
      <c r="S156" s="13">
        <f>IFERROR(VLOOKUP(O156,Assumptions!$A$7:$F$11,2,FALSE),0.25)</f>
        <v/>
      </c>
      <c r="T156" s="14">
        <f>IF(O156="A",MAX(1,IFERROR(VLOOKUP(O156,Assumptions!$A$7:$F$11,3,FALSE),3)+IFERROR(VLOOKUP(O156,Assumptions!$A$7:$F$11,4,FALSE),8)/2-MAX(0,IF(R156="",0,R156)-IFERROR(VLOOKUP(O156,Assumptions!$A$7:$F$11,5,FALSE),1.5))),IFERROR(VLOOKUP(O156,Assumptions!$A$7:$F$11,5,FALSE),2.5)+IFERROR(VLOOKUP(O156,Assumptions!$A$7:$F$11,3,FALSE),3)+IFERROR(VLOOKUP(O156,Assumptions!$A$7:$F$11,4,FALSE),8)/2)</f>
        <v/>
      </c>
      <c r="U156" s="15">
        <f>M156*S156/(1+Assumptions!$B$3)^T156</f>
        <v/>
      </c>
      <c r="V156" s="11">
        <f>IF(M156=0,"",ROUND(U156/M156*100,1))</f>
        <v/>
      </c>
      <c r="W156" s="16">
        <f>U156*Assumptions!$B$4</f>
        <v/>
      </c>
      <c r="X156" s="11">
        <f>IF(M156=0,"",ROUND(W156/M156*100,1))</f>
        <v/>
      </c>
      <c r="Y156" t="inlineStr">
        <is>
          <t>JA SANTOS IMPORTACAO E EXPORTACAO DE FERRAMENTAS LTDA</t>
        </is>
      </c>
      <c r="Z156" t="inlineStr">
        <is>
          <t>1018313-46.2024.8.26.0100</t>
        </is>
      </c>
      <c r="AA156" t="inlineStr">
        <is>
          <t>TJSP</t>
        </is>
      </c>
      <c r="AB156" t="inlineStr">
        <is>
          <t>vivanteaj.com.br</t>
        </is>
      </c>
      <c r="AC156" t="inlineStr">
        <is>
          <t>BEATRIZ MARQUES RISSARDO</t>
        </is>
      </c>
      <c r="AD156" t="inlineStr">
        <is>
          <t>Sócio-Administrador</t>
        </is>
      </c>
      <c r="AE156" t="inlineStr">
        <is>
          <t>(11) 2937-4916</t>
        </is>
      </c>
      <c r="AF156" t="inlineStr"/>
      <c r="AG156" t="inlineStr"/>
      <c r="AH156" t="inlineStr">
        <is>
          <t>SP</t>
        </is>
      </c>
      <c r="AI156" t="inlineStr">
        <is>
          <t>DIADEMA</t>
        </is>
      </c>
      <c r="AJ156" t="inlineStr">
        <is>
          <t>Comércio atacadista de materiais de construção em geral</t>
        </is>
      </c>
      <c r="AK156" t="inlineStr">
        <is>
          <t>EMPRESA DE PEQUENO PORTE</t>
        </is>
      </c>
      <c r="AL156" t="inlineStr">
        <is>
          <t>ATIVA</t>
        </is>
      </c>
      <c r="AM156" s="17" t="inlineStr">
        <is>
          <t>https://vivanteaj.com.br/wp-content/uploads/2024/11/1a-lista-de-credores-JA-Santos.pdf</t>
        </is>
      </c>
      <c r="AN156" s="18" t="inlineStr">
        <is>
          <t>p1 r36</t>
        </is>
      </c>
      <c r="AO156" s="18" t="inlineStr">
        <is>
          <t>p1: R$ 1.114.761,56</t>
        </is>
      </c>
      <c r="AP156" s="18" t="inlineStr">
        <is>
          <t>UNKNOWN</t>
        </is>
      </c>
      <c r="AQ156" s="18" t="inlineStr">
        <is>
          <t>2022-11-02</t>
        </is>
      </c>
      <c r="AR156" s="18" t="inlineStr">
        <is>
          <t>OK</t>
        </is>
      </c>
      <c r="AS156" s="18" t="inlineStr">
        <is>
          <t>ROWS:p1r36 VALUE_COL:Valor</t>
        </is>
      </c>
      <c r="AT156" s="18" t="inlineStr">
        <is>
          <t>033d29144f63</t>
        </is>
      </c>
    </row>
    <row r="157">
      <c r="A157" s="9" t="n">
        <v>156</v>
      </c>
      <c r="B157" s="9" t="inlineStr">
        <is>
          <t>NEW</t>
        </is>
      </c>
      <c r="C157" s="9" t="inlineStr"/>
      <c r="D157" s="9" t="n">
        <v>0</v>
      </c>
      <c r="E157" s="9" t="inlineStr"/>
      <c r="F157" s="9" t="inlineStr"/>
      <c r="G157" s="9" t="inlineStr"/>
      <c r="H157" s="9" t="inlineStr"/>
      <c r="I157" t="inlineStr">
        <is>
          <t>LABORATORIO TEUTO BRASILEIRO S/A</t>
        </is>
      </c>
      <c r="J157" t="inlineStr">
        <is>
          <t>Laboratorio Teuto Brasileiro S.A.</t>
        </is>
      </c>
      <c r="K157" t="inlineStr">
        <is>
          <t>17159229</t>
        </is>
      </c>
      <c r="L157" t="inlineStr">
        <is>
          <t>17159229000176</t>
        </is>
      </c>
      <c r="M157" s="10" t="n">
        <v>1105911.24</v>
      </c>
      <c r="N157" t="n">
        <v>1</v>
      </c>
      <c r="O157" s="11" t="inlineStr">
        <is>
          <t>C</t>
        </is>
      </c>
      <c r="P157" s="11" t="inlineStr">
        <is>
          <t>ACTIVE</t>
        </is>
      </c>
      <c r="Q157" s="12" t="n">
        <v>44987</v>
      </c>
      <c r="R157" s="11">
        <f>IF(Q157="","",ROUND((TODAY()-Q157)/365.25,1))</f>
        <v/>
      </c>
      <c r="S157" s="13">
        <f>IFERROR(VLOOKUP(O157,Assumptions!$A$7:$F$11,2,FALSE),0.25)</f>
        <v/>
      </c>
      <c r="T157" s="14">
        <f>IF(O157="A",MAX(1,IFERROR(VLOOKUP(O157,Assumptions!$A$7:$F$11,3,FALSE),3)+IFERROR(VLOOKUP(O157,Assumptions!$A$7:$F$11,4,FALSE),8)/2-MAX(0,IF(R157="",0,R157)-IFERROR(VLOOKUP(O157,Assumptions!$A$7:$F$11,5,FALSE),1.5))),IFERROR(VLOOKUP(O157,Assumptions!$A$7:$F$11,5,FALSE),2.5)+IFERROR(VLOOKUP(O157,Assumptions!$A$7:$F$11,3,FALSE),3)+IFERROR(VLOOKUP(O157,Assumptions!$A$7:$F$11,4,FALSE),8)/2)</f>
        <v/>
      </c>
      <c r="U157" s="15">
        <f>M157*S157/(1+Assumptions!$B$3)^T157</f>
        <v/>
      </c>
      <c r="V157" s="11">
        <f>IF(M157=0,"",ROUND(U157/M157*100,1))</f>
        <v/>
      </c>
      <c r="W157" s="16">
        <f>U157*Assumptions!$B$4</f>
        <v/>
      </c>
      <c r="X157" s="11">
        <f>IF(M157=0,"",ROUND(W157/M157*100,1))</f>
        <v/>
      </c>
      <c r="Y157" t="inlineStr">
        <is>
          <t>GRUPO DP4</t>
        </is>
      </c>
      <c r="Z157" t="inlineStr">
        <is>
          <t>0005010-98.2023.8.16.0001</t>
        </is>
      </c>
      <c r="AA157" t="inlineStr">
        <is>
          <t>TJPR</t>
        </is>
      </c>
      <c r="AB157" t="inlineStr">
        <is>
          <t>marquesadmjudicial.com.br</t>
        </is>
      </c>
      <c r="AC157" t="inlineStr">
        <is>
          <t>MARCELO LEITE HENRIQUES</t>
        </is>
      </c>
      <c r="AD157" t="inlineStr">
        <is>
          <t>Presidente</t>
        </is>
      </c>
      <c r="AE157" t="inlineStr">
        <is>
          <t>(62) 3310-2000</t>
        </is>
      </c>
      <c r="AF157" t="inlineStr">
        <is>
          <t>(62) 3310-2033</t>
        </is>
      </c>
      <c r="AG157" t="inlineStr"/>
      <c r="AH157" t="inlineStr">
        <is>
          <t>GO</t>
        </is>
      </c>
      <c r="AI157" t="inlineStr">
        <is>
          <t>ANAPOLIS</t>
        </is>
      </c>
      <c r="AJ157" t="inlineStr">
        <is>
          <t>Fabricação de medicamentos alopáticos para uso humano</t>
        </is>
      </c>
      <c r="AK157" t="inlineStr">
        <is>
          <t>DEMAIS</t>
        </is>
      </c>
      <c r="AL157" t="inlineStr">
        <is>
          <t>ATIVA</t>
        </is>
      </c>
      <c r="AM157" s="17" t="inlineStr">
        <is>
          <t>https://marquesadmjudicial.com.br/sgc/download.php?file=files/processo_documento/processo_documento15293208032024_1_.pdf&amp;nome=Relação Nominal de Credores da AJ-Sintética</t>
        </is>
      </c>
      <c r="AN157" s="18" t="inlineStr">
        <is>
          <t>p27 r12</t>
        </is>
      </c>
      <c r="AO157" s="18" t="inlineStr">
        <is>
          <t>p27: R$ 1.105.911,24</t>
        </is>
      </c>
      <c r="AP157" s="18" t="inlineStr">
        <is>
          <t>AJ_LIST</t>
        </is>
      </c>
      <c r="AQ157" s="18" t="inlineStr">
        <is>
          <t>2023-03-02</t>
        </is>
      </c>
      <c r="AR157" s="18" t="inlineStr">
        <is>
          <t>QUARANTINED</t>
        </is>
      </c>
      <c r="AS157" s="18" t="inlineStr">
        <is>
          <t>PARTIAL_DOC_CLASS_III_RECONCILED ROWS:p27r12</t>
        </is>
      </c>
      <c r="AT157" s="18" t="inlineStr">
        <is>
          <t>b465a5d11eec</t>
        </is>
      </c>
    </row>
    <row r="158">
      <c r="A158" s="9" t="n">
        <v>157</v>
      </c>
      <c r="B158" s="9" t="inlineStr">
        <is>
          <t>NEW</t>
        </is>
      </c>
      <c r="C158" s="9" t="inlineStr"/>
      <c r="D158" s="9" t="n">
        <v>0</v>
      </c>
      <c r="E158" s="9" t="inlineStr"/>
      <c r="F158" s="9" t="inlineStr"/>
      <c r="G158" s="9" t="inlineStr"/>
      <c r="H158" s="9" t="inlineStr"/>
      <c r="I158" t="inlineStr">
        <is>
          <t>TERRAMAQ PECAS E SERVICOS LTDA</t>
        </is>
      </c>
      <c r="J158" t="inlineStr">
        <is>
          <t>TERRAMAQ COMERCIO E EQUIPAMENTOS LTDA, CPF/CNPJ Nº</t>
        </is>
      </c>
      <c r="K158" t="inlineStr">
        <is>
          <t>01790923</t>
        </is>
      </c>
      <c r="L158" t="inlineStr">
        <is>
          <t>01790923000157</t>
        </is>
      </c>
      <c r="M158" s="10" t="n">
        <v>1091422.69</v>
      </c>
      <c r="N158" t="n">
        <v>1</v>
      </c>
      <c r="O158" s="11" t="inlineStr">
        <is>
          <t>C</t>
        </is>
      </c>
      <c r="P158" s="11" t="inlineStr">
        <is>
          <t>ACTIVE</t>
        </is>
      </c>
      <c r="Q158" s="12" t="n">
        <v>44966</v>
      </c>
      <c r="R158" s="11">
        <f>IF(Q158="","",ROUND((TODAY()-Q158)/365.25,1))</f>
        <v/>
      </c>
      <c r="S158" s="13">
        <f>IFERROR(VLOOKUP(O158,Assumptions!$A$7:$F$11,2,FALSE),0.25)</f>
        <v/>
      </c>
      <c r="T158" s="14">
        <f>IF(O158="A",MAX(1,IFERROR(VLOOKUP(O158,Assumptions!$A$7:$F$11,3,FALSE),3)+IFERROR(VLOOKUP(O158,Assumptions!$A$7:$F$11,4,FALSE),8)/2-MAX(0,IF(R158="",0,R158)-IFERROR(VLOOKUP(O158,Assumptions!$A$7:$F$11,5,FALSE),1.5))),IFERROR(VLOOKUP(O158,Assumptions!$A$7:$F$11,5,FALSE),2.5)+IFERROR(VLOOKUP(O158,Assumptions!$A$7:$F$11,3,FALSE),3)+IFERROR(VLOOKUP(O158,Assumptions!$A$7:$F$11,4,FALSE),8)/2)</f>
        <v/>
      </c>
      <c r="U158" s="15">
        <f>M158*S158/(1+Assumptions!$B$3)^T158</f>
        <v/>
      </c>
      <c r="V158" s="11">
        <f>IF(M158=0,"",ROUND(U158/M158*100,1))</f>
        <v/>
      </c>
      <c r="W158" s="16">
        <f>U158*Assumptions!$B$4</f>
        <v/>
      </c>
      <c r="X158" s="11">
        <f>IF(M158=0,"",ROUND(W158/M158*100,1))</f>
        <v/>
      </c>
      <c r="Y158" t="inlineStr">
        <is>
          <t>CLUBE NÁUTICO CAPIBARIBE</t>
        </is>
      </c>
      <c r="Z158" t="inlineStr">
        <is>
          <t>0011283-80.2023.8.17.2001</t>
        </is>
      </c>
      <c r="AA158" t="inlineStr">
        <is>
          <t>TJPE</t>
        </is>
      </c>
      <c r="AB158" t="inlineStr">
        <is>
          <t>lrflideres.com.br</t>
        </is>
      </c>
      <c r="AC158" t="inlineStr">
        <is>
          <t>PEDRO MOZART DOS PASSOS</t>
        </is>
      </c>
      <c r="AD158" t="inlineStr">
        <is>
          <t>Sócio-Administrador</t>
        </is>
      </c>
      <c r="AE158" t="inlineStr">
        <is>
          <t>(08) 13222-8756</t>
        </is>
      </c>
      <c r="AF158" t="inlineStr"/>
      <c r="AG158" t="inlineStr"/>
      <c r="AH158" t="inlineStr">
        <is>
          <t>PE</t>
        </is>
      </c>
      <c r="AI158" t="inlineStr">
        <is>
          <t>RECIFE</t>
        </is>
      </c>
      <c r="AJ158" t="inlineStr">
        <is>
          <t>Comércio atacadista de máquinas, aparelhos e equipamentos para uso agropecuário; partes e peças</t>
        </is>
      </c>
      <c r="AK158" t="inlineStr">
        <is>
          <t>EMPRESA DE PEQUENO PORTE</t>
        </is>
      </c>
      <c r="AL158" t="inlineStr">
        <is>
          <t>ATIVA</t>
        </is>
      </c>
      <c r="AM158" s="17" t="inlineStr">
        <is>
          <t>https://lrflideres.com.br/wp-content/plugins/download-attachments/includes/download.php?id=5589</t>
        </is>
      </c>
      <c r="AN158" s="18" t="inlineStr">
        <is>
          <t>p12 r48</t>
        </is>
      </c>
      <c r="AO158" s="18" t="inlineStr">
        <is>
          <t>p12: R$ 1.091.422,69</t>
        </is>
      </c>
      <c r="AP158" s="18" t="inlineStr">
        <is>
          <t>AJ_LIST</t>
        </is>
      </c>
      <c r="AQ158" s="18" t="inlineStr">
        <is>
          <t>2023-11-27</t>
        </is>
      </c>
      <c r="AR158" s="18" t="inlineStr">
        <is>
          <t>QUARANTINED</t>
        </is>
      </c>
      <c r="AS158" s="18" t="inlineStr">
        <is>
          <t>PARTIAL_DOC_CLASS_III_RECONCILED ROWS:p12r48</t>
        </is>
      </c>
      <c r="AT158" s="18" t="inlineStr">
        <is>
          <t>677be5783c06</t>
        </is>
      </c>
    </row>
    <row r="159">
      <c r="A159" s="9" t="n">
        <v>158</v>
      </c>
      <c r="B159" s="9" t="inlineStr">
        <is>
          <t>NEW</t>
        </is>
      </c>
      <c r="C159" s="9" t="inlineStr"/>
      <c r="D159" s="9" t="n">
        <v>0</v>
      </c>
      <c r="E159" s="9" t="inlineStr"/>
      <c r="F159" s="9" t="inlineStr"/>
      <c r="G159" s="9" t="inlineStr"/>
      <c r="H159" s="9" t="inlineStr"/>
      <c r="I159" t="inlineStr">
        <is>
          <t>OMRON HEALTHCARE BRASIL COMERCIO E DISTRIBUICAO DE PRODUTOS MEDICOS LTDA</t>
        </is>
      </c>
      <c r="J159" t="inlineStr">
        <is>
          <t>Omron Healthcare Brasil Industria E Comercio De Produtos Medicos Ltda</t>
        </is>
      </c>
      <c r="K159" t="inlineStr">
        <is>
          <t>10345462</t>
        </is>
      </c>
      <c r="L159" t="inlineStr">
        <is>
          <t>10345462000790</t>
        </is>
      </c>
      <c r="M159" s="10" t="n">
        <v>1077222.82</v>
      </c>
      <c r="N159" t="n">
        <v>1</v>
      </c>
      <c r="O159" s="11" t="inlineStr">
        <is>
          <t>C</t>
        </is>
      </c>
      <c r="P159" s="11" t="inlineStr">
        <is>
          <t>ACTIVE</t>
        </is>
      </c>
      <c r="Q159" s="12" t="n">
        <v>44987</v>
      </c>
      <c r="R159" s="11">
        <f>IF(Q159="","",ROUND((TODAY()-Q159)/365.25,1))</f>
        <v/>
      </c>
      <c r="S159" s="13">
        <f>IFERROR(VLOOKUP(O159,Assumptions!$A$7:$F$11,2,FALSE),0.25)</f>
        <v/>
      </c>
      <c r="T159" s="14">
        <f>IF(O159="A",MAX(1,IFERROR(VLOOKUP(O159,Assumptions!$A$7:$F$11,3,FALSE),3)+IFERROR(VLOOKUP(O159,Assumptions!$A$7:$F$11,4,FALSE),8)/2-MAX(0,IF(R159="",0,R159)-IFERROR(VLOOKUP(O159,Assumptions!$A$7:$F$11,5,FALSE),1.5))),IFERROR(VLOOKUP(O159,Assumptions!$A$7:$F$11,5,FALSE),2.5)+IFERROR(VLOOKUP(O159,Assumptions!$A$7:$F$11,3,FALSE),3)+IFERROR(VLOOKUP(O159,Assumptions!$A$7:$F$11,4,FALSE),8)/2)</f>
        <v/>
      </c>
      <c r="U159" s="15">
        <f>M159*S159/(1+Assumptions!$B$3)^T159</f>
        <v/>
      </c>
      <c r="V159" s="11">
        <f>IF(M159=0,"",ROUND(U159/M159*100,1))</f>
        <v/>
      </c>
      <c r="W159" s="16">
        <f>U159*Assumptions!$B$4</f>
        <v/>
      </c>
      <c r="X159" s="11">
        <f>IF(M159=0,"",ROUND(W159/M159*100,1))</f>
        <v/>
      </c>
      <c r="Y159" t="inlineStr">
        <is>
          <t>GRUPO DP4</t>
        </is>
      </c>
      <c r="Z159" t="inlineStr">
        <is>
          <t>0005010-98.2023.8.16.0001</t>
        </is>
      </c>
      <c r="AA159" t="inlineStr">
        <is>
          <t>TJPR</t>
        </is>
      </c>
      <c r="AB159" t="inlineStr">
        <is>
          <t>marquesadmjudicial.com.br</t>
        </is>
      </c>
      <c r="AC159" t="inlineStr">
        <is>
          <t>AMANDA CIBELE DA SILVA</t>
        </is>
      </c>
      <c r="AD159" t="inlineStr">
        <is>
          <t>Administrador</t>
        </is>
      </c>
      <c r="AE159" t="inlineStr">
        <is>
          <t>(11) 3149-3046</t>
        </is>
      </c>
      <c r="AF159" t="inlineStr"/>
      <c r="AG159" t="inlineStr"/>
      <c r="AH159" t="inlineStr">
        <is>
          <t>SP</t>
        </is>
      </c>
      <c r="AI159" t="inlineStr">
        <is>
          <t>SAO PAULO</t>
        </is>
      </c>
      <c r="AJ159" t="inlineStr">
        <is>
          <t>Comércio atacadista de máquinas, aparelhos e equipamentos para uso odonto-médico-hospitalar; partes e peças</t>
        </is>
      </c>
      <c r="AK159" t="inlineStr">
        <is>
          <t>DEMAIS</t>
        </is>
      </c>
      <c r="AL159" t="inlineStr">
        <is>
          <t>ATIVA</t>
        </is>
      </c>
      <c r="AM159" s="17" t="inlineStr">
        <is>
          <t>https://marquesadmjudicial.com.br/sgc/download.php?file=files/processo_documento/processo_documento15293208032024_1_.pdf&amp;nome=Relação Nominal de Credores da AJ-Sintética</t>
        </is>
      </c>
      <c r="AN159" s="18" t="inlineStr">
        <is>
          <t>p30 r2</t>
        </is>
      </c>
      <c r="AO159" s="18" t="inlineStr">
        <is>
          <t>p30: R$ 1.077.222,82</t>
        </is>
      </c>
      <c r="AP159" s="18" t="inlineStr">
        <is>
          <t>AJ_LIST</t>
        </is>
      </c>
      <c r="AQ159" s="18" t="inlineStr">
        <is>
          <t>2023-03-02</t>
        </is>
      </c>
      <c r="AR159" s="18" t="inlineStr">
        <is>
          <t>QUARANTINED</t>
        </is>
      </c>
      <c r="AS159" s="18" t="inlineStr">
        <is>
          <t>PARTIAL_DOC_CLASS_III_RECONCILED ROWS:p30r2</t>
        </is>
      </c>
      <c r="AT159" s="18" t="inlineStr">
        <is>
          <t>b465a5d11eec</t>
        </is>
      </c>
    </row>
    <row r="160">
      <c r="A160" s="9" t="n">
        <v>159</v>
      </c>
      <c r="B160" s="9" t="inlineStr">
        <is>
          <t>NEW</t>
        </is>
      </c>
      <c r="C160" s="9" t="inlineStr"/>
      <c r="D160" s="9" t="n">
        <v>0</v>
      </c>
      <c r="E160" s="9" t="inlineStr"/>
      <c r="F160" s="9" t="inlineStr"/>
      <c r="G160" s="9" t="inlineStr"/>
      <c r="H160" s="9" t="inlineStr"/>
      <c r="I160" t="inlineStr">
        <is>
          <t>BEM BOM PESCADOS LTDA</t>
        </is>
      </c>
      <c r="J160" t="inlineStr">
        <is>
          <t>Bem Bom Pescados Ltda - Filial Engenho</t>
        </is>
      </c>
      <c r="K160" t="inlineStr">
        <is>
          <t>27703265</t>
        </is>
      </c>
      <c r="L160" t="inlineStr">
        <is>
          <t>27703265000102, 27703265000374, 27703265000455, 27703265000536</t>
        </is>
      </c>
      <c r="M160" s="10" t="n">
        <v>1077136.54</v>
      </c>
      <c r="N160" t="n">
        <v>4</v>
      </c>
      <c r="O160" s="11" t="inlineStr">
        <is>
          <t>B</t>
        </is>
      </c>
      <c r="P160" s="11" t="inlineStr">
        <is>
          <t>ACTIVE</t>
        </is>
      </c>
      <c r="Q160" s="12" t="n">
        <v>46130</v>
      </c>
      <c r="R160" s="11">
        <f>IF(Q160="","",ROUND((TODAY()-Q160)/365.25,1))</f>
        <v/>
      </c>
      <c r="S160" s="13">
        <f>IFERROR(VLOOKUP(O160,Assumptions!$A$7:$F$11,2,FALSE),0.25)</f>
        <v/>
      </c>
      <c r="T160" s="14">
        <f>IF(O160="A",MAX(1,IFERROR(VLOOKUP(O160,Assumptions!$A$7:$F$11,3,FALSE),3)+IFERROR(VLOOKUP(O160,Assumptions!$A$7:$F$11,4,FALSE),8)/2-MAX(0,IF(R160="",0,R160)-IFERROR(VLOOKUP(O160,Assumptions!$A$7:$F$11,5,FALSE),1.5))),IFERROR(VLOOKUP(O160,Assumptions!$A$7:$F$11,5,FALSE),2.5)+IFERROR(VLOOKUP(O160,Assumptions!$A$7:$F$11,3,FALSE),3)+IFERROR(VLOOKUP(O160,Assumptions!$A$7:$F$11,4,FALSE),8)/2)</f>
        <v/>
      </c>
      <c r="U160" s="15">
        <f>M160*S160/(1+Assumptions!$B$3)^T160</f>
        <v/>
      </c>
      <c r="V160" s="11">
        <f>IF(M160=0,"",ROUND(U160/M160*100,1))</f>
        <v/>
      </c>
      <c r="W160" s="16">
        <f>U160*Assumptions!$B$4</f>
        <v/>
      </c>
      <c r="X160" s="11">
        <f>IF(M160=0,"",ROUND(W160/M160*100,1))</f>
        <v/>
      </c>
      <c r="Y160" t="inlineStr">
        <is>
          <t>GRUPO 3E</t>
        </is>
      </c>
      <c r="Z160" t="inlineStr">
        <is>
          <t>5341375-33.2026.8.09.0049</t>
        </is>
      </c>
      <c r="AA160" t="inlineStr">
        <is>
          <t>TJGO</t>
        </is>
      </c>
      <c r="AB160" t="inlineStr">
        <is>
          <t>stenius.com.br</t>
        </is>
      </c>
      <c r="AC160" t="inlineStr">
        <is>
          <t>EDSON VIANDELLI LOPES</t>
        </is>
      </c>
      <c r="AD160" t="inlineStr">
        <is>
          <t>Administrador</t>
        </is>
      </c>
      <c r="AE160" t="inlineStr">
        <is>
          <t>(62) 8115-0283</t>
        </is>
      </c>
      <c r="AF160" t="inlineStr">
        <is>
          <t>(62) 3389-9200</t>
        </is>
      </c>
      <c r="AG160" t="inlineStr"/>
      <c r="AH160" t="inlineStr">
        <is>
          <t>GO</t>
        </is>
      </c>
      <c r="AI160" t="inlineStr">
        <is>
          <t>GOIANESIA</t>
        </is>
      </c>
      <c r="AJ160" t="inlineStr">
        <is>
          <t>Comércio atacadista de pescados e frutos do mar</t>
        </is>
      </c>
      <c r="AK160" t="inlineStr">
        <is>
          <t>DEMAIS</t>
        </is>
      </c>
      <c r="AL160" t="inlineStr">
        <is>
          <t>ATIVA</t>
        </is>
      </c>
      <c r="AM160" s="17" t="inlineStr">
        <is>
          <t>https://stenius.com.br/wp-content/uploads/2026/06/EDITAL-GRUPO-3E.pdf</t>
        </is>
      </c>
      <c r="AN160" s="18" t="inlineStr">
        <is>
          <t>p10 r52; p10 r53; p10 r54; p10 r55</t>
        </is>
      </c>
      <c r="AO160" s="18" t="inlineStr">
        <is>
          <t>p10: R$ 227.290,00; p10: R$ 82.398,28; p10: R$ 601.694,30; p10: R$ 165.753,96</t>
        </is>
      </c>
      <c r="AP160" s="18" t="inlineStr">
        <is>
          <t>DEBTOR_LIST</t>
        </is>
      </c>
      <c r="AQ160" s="18" t="inlineStr">
        <is>
          <t>2026-06-22</t>
        </is>
      </c>
      <c r="AR160" s="18" t="inlineStr">
        <is>
          <t>OK_NO_TOTALS</t>
        </is>
      </c>
      <c r="AS160" s="18" t="inlineStr">
        <is>
          <t>ROWS:p10r52,p10r53,p10r54,p10r55 UNRECONCILED_SOURCE</t>
        </is>
      </c>
      <c r="AT160" s="18" t="inlineStr">
        <is>
          <t>8e8832093a15</t>
        </is>
      </c>
    </row>
    <row r="161">
      <c r="A161" s="9" t="n">
        <v>160</v>
      </c>
      <c r="B161" s="9" t="inlineStr">
        <is>
          <t>NEW</t>
        </is>
      </c>
      <c r="C161" s="9" t="inlineStr"/>
      <c r="D161" s="9" t="n">
        <v>0</v>
      </c>
      <c r="E161" s="9" t="inlineStr"/>
      <c r="F161" s="9" t="inlineStr"/>
      <c r="G161" s="9" t="inlineStr"/>
      <c r="H161" s="9" t="inlineStr"/>
      <c r="I161" t="inlineStr">
        <is>
          <t>PLASTICOS TANGARA LTDA</t>
        </is>
      </c>
      <c r="J161" t="inlineStr">
        <is>
          <t>PLASTICOS TANGARA LTDA</t>
        </is>
      </c>
      <c r="K161" t="inlineStr">
        <is>
          <t>11230832</t>
        </is>
      </c>
      <c r="L161" t="inlineStr">
        <is>
          <t>11230832000110</t>
        </is>
      </c>
      <c r="M161" s="10" t="n">
        <v>1070557.39</v>
      </c>
      <c r="N161" t="n">
        <v>1</v>
      </c>
      <c r="O161" s="11" t="inlineStr">
        <is>
          <t>C</t>
        </is>
      </c>
      <c r="P161" s="11" t="inlineStr">
        <is>
          <t>ACTIVE</t>
        </is>
      </c>
      <c r="Q161" s="12" t="n">
        <v>45154</v>
      </c>
      <c r="R161" s="11">
        <f>IF(Q161="","",ROUND((TODAY()-Q161)/365.25,1))</f>
        <v/>
      </c>
      <c r="S161" s="13">
        <f>IFERROR(VLOOKUP(O161,Assumptions!$A$7:$F$11,2,FALSE),0.25)</f>
        <v/>
      </c>
      <c r="T161" s="14">
        <f>IF(O161="A",MAX(1,IFERROR(VLOOKUP(O161,Assumptions!$A$7:$F$11,3,FALSE),3)+IFERROR(VLOOKUP(O161,Assumptions!$A$7:$F$11,4,FALSE),8)/2-MAX(0,IF(R161="",0,R161)-IFERROR(VLOOKUP(O161,Assumptions!$A$7:$F$11,5,FALSE),1.5))),IFERROR(VLOOKUP(O161,Assumptions!$A$7:$F$11,5,FALSE),2.5)+IFERROR(VLOOKUP(O161,Assumptions!$A$7:$F$11,3,FALSE),3)+IFERROR(VLOOKUP(O161,Assumptions!$A$7:$F$11,4,FALSE),8)/2)</f>
        <v/>
      </c>
      <c r="U161" s="15">
        <f>M161*S161/(1+Assumptions!$B$3)^T161</f>
        <v/>
      </c>
      <c r="V161" s="11">
        <f>IF(M161=0,"",ROUND(U161/M161*100,1))</f>
        <v/>
      </c>
      <c r="W161" s="16">
        <f>U161*Assumptions!$B$4</f>
        <v/>
      </c>
      <c r="X161" s="11">
        <f>IF(M161=0,"",ROUND(W161/M161*100,1))</f>
        <v/>
      </c>
      <c r="Y161" t="inlineStr">
        <is>
          <t>AZEPLAST INDÚSTRIA E COMÉRCIO LTDA</t>
        </is>
      </c>
      <c r="Z161" t="inlineStr">
        <is>
          <t>5008793-34.2023.8.24.0019</t>
        </is>
      </c>
      <c r="AA161" t="inlineStr">
        <is>
          <t>TJSC</t>
        </is>
      </c>
      <c r="AB161" t="inlineStr">
        <is>
          <t>ajruiz.com.br</t>
        </is>
      </c>
      <c r="AC161" t="inlineStr">
        <is>
          <t>PAULO RICARDO SORGATTO</t>
        </is>
      </c>
      <c r="AD161" t="inlineStr">
        <is>
          <t>Sócio-Administrador</t>
        </is>
      </c>
      <c r="AE161" t="inlineStr">
        <is>
          <t>(49) 3532-1511</t>
        </is>
      </c>
      <c r="AF161" t="inlineStr"/>
      <c r="AG161" t="inlineStr"/>
      <c r="AH161" t="inlineStr">
        <is>
          <t>SC</t>
        </is>
      </c>
      <c r="AI161" t="inlineStr">
        <is>
          <t>TANGARA</t>
        </is>
      </c>
      <c r="AJ161" t="inlineStr">
        <is>
          <t>Comércio atacadista especializado em outros produtos intermediários não especificados anteriormente</t>
        </is>
      </c>
      <c r="AK161" t="inlineStr">
        <is>
          <t>DEMAIS</t>
        </is>
      </c>
      <c r="AL161" t="inlineStr">
        <is>
          <t>ATIVA</t>
        </is>
      </c>
      <c r="AM161" s="17" t="inlineStr">
        <is>
          <t>https://ajruiz.com.br/sites/default/files/public/arquivos-processos/2026-08/qgc_azeplast_julho_2026.pdf</t>
        </is>
      </c>
      <c r="AN161" s="18" t="inlineStr">
        <is>
          <t>p2 r6</t>
        </is>
      </c>
      <c r="AO161" s="18" t="inlineStr">
        <is>
          <t>p2: R$ 1.070.557,39</t>
        </is>
      </c>
      <c r="AP161" s="18" t="inlineStr">
        <is>
          <t>QGC</t>
        </is>
      </c>
      <c r="AQ161" s="18" t="inlineStr"/>
      <c r="AR161" s="18" t="inlineStr">
        <is>
          <t>QUARANTINED</t>
        </is>
      </c>
      <c r="AS161" s="18" t="inlineStr">
        <is>
          <t>PARTIAL_DOC_CLASS_III_RECONCILED ROWS:p2r6</t>
        </is>
      </c>
      <c r="AT161" s="18" t="inlineStr">
        <is>
          <t>229081edb0ea</t>
        </is>
      </c>
    </row>
    <row r="162">
      <c r="A162" s="9" t="n">
        <v>161</v>
      </c>
      <c r="B162" s="9" t="inlineStr">
        <is>
          <t>NEW</t>
        </is>
      </c>
      <c r="C162" s="9" t="inlineStr"/>
      <c r="D162" s="9" t="n">
        <v>0</v>
      </c>
      <c r="E162" s="9" t="inlineStr"/>
      <c r="F162" s="9" t="inlineStr"/>
      <c r="G162" s="9" t="inlineStr"/>
      <c r="H162" s="9" t="inlineStr"/>
      <c r="I162" t="inlineStr">
        <is>
          <t>ARRUDA &amp; MELO COMERCIO E DISTRIBUICAO DE ALIMENTOS E BEBIDAS LTDA - EM RECUPERACAO JUDICIAL</t>
        </is>
      </c>
      <c r="J162" t="inlineStr">
        <is>
          <t>ARRUDA &amp; MELO COMERCIO E DISTRIBUICAO DE ALIMENTOS E BEBIDAS LTDA</t>
        </is>
      </c>
      <c r="K162" t="inlineStr">
        <is>
          <t>21877243</t>
        </is>
      </c>
      <c r="L162" t="inlineStr">
        <is>
          <t>21877243000182</t>
        </is>
      </c>
      <c r="M162" s="10" t="n">
        <v>1068252.89</v>
      </c>
      <c r="N162" t="n">
        <v>1</v>
      </c>
      <c r="O162" s="11" t="inlineStr">
        <is>
          <t>B</t>
        </is>
      </c>
      <c r="P162" s="11" t="inlineStr">
        <is>
          <t>ACTIVE</t>
        </is>
      </c>
      <c r="Q162" s="12" t="n">
        <v>45685</v>
      </c>
      <c r="R162" s="11">
        <f>IF(Q162="","",ROUND((TODAY()-Q162)/365.25,1))</f>
        <v/>
      </c>
      <c r="S162" s="13">
        <f>IFERROR(VLOOKUP(O162,Assumptions!$A$7:$F$11,2,FALSE),0.25)</f>
        <v/>
      </c>
      <c r="T162" s="14">
        <f>IF(O162="A",MAX(1,IFERROR(VLOOKUP(O162,Assumptions!$A$7:$F$11,3,FALSE),3)+IFERROR(VLOOKUP(O162,Assumptions!$A$7:$F$11,4,FALSE),8)/2-MAX(0,IF(R162="",0,R162)-IFERROR(VLOOKUP(O162,Assumptions!$A$7:$F$11,5,FALSE),1.5))),IFERROR(VLOOKUP(O162,Assumptions!$A$7:$F$11,5,FALSE),2.5)+IFERROR(VLOOKUP(O162,Assumptions!$A$7:$F$11,3,FALSE),3)+IFERROR(VLOOKUP(O162,Assumptions!$A$7:$F$11,4,FALSE),8)/2)</f>
        <v/>
      </c>
      <c r="U162" s="15">
        <f>M162*S162/(1+Assumptions!$B$3)^T162</f>
        <v/>
      </c>
      <c r="V162" s="11">
        <f>IF(M162=0,"",ROUND(U162/M162*100,1))</f>
        <v/>
      </c>
      <c r="W162" s="16">
        <f>U162*Assumptions!$B$4</f>
        <v/>
      </c>
      <c r="X162" s="11">
        <f>IF(M162=0,"",ROUND(W162/M162*100,1))</f>
        <v/>
      </c>
      <c r="Y162" t="inlineStr">
        <is>
          <t>Grupo Arruda (ARRUDA &amp; MELO REPRESENTACAO DE ALIMENTOS E BEBIDAS LTDA, ARRUDA &amp; MELO COMERCIO E DISTRIBUICAO DE ALIMENTOS E BEBIDAS LTDA, ARRUDA &amp; MELO COMERCIO E DISTRIBUICAO DE ALIMENTOS E BEBIDAS DA BAHIA LTDA)</t>
        </is>
      </c>
      <c r="Z162" t="inlineStr">
        <is>
          <t>0008526-45.2025.8.17.2001</t>
        </is>
      </c>
      <c r="AA162" t="inlineStr">
        <is>
          <t>TJPE</t>
        </is>
      </c>
      <c r="AB162" t="inlineStr">
        <is>
          <t>diligence.adm.br</t>
        </is>
      </c>
      <c r="AC162" t="inlineStr">
        <is>
          <t>MAURO CESAR DE MELO ARRUDA</t>
        </is>
      </c>
      <c r="AD162" t="inlineStr">
        <is>
          <t>Sócio-Administrador</t>
        </is>
      </c>
      <c r="AE162" t="inlineStr">
        <is>
          <t>(81) 3314-2120</t>
        </is>
      </c>
      <c r="AF162" t="inlineStr"/>
      <c r="AG162" t="inlineStr"/>
      <c r="AH162" t="inlineStr">
        <is>
          <t>PE</t>
        </is>
      </c>
      <c r="AI162" t="inlineStr">
        <is>
          <t>RECIFE</t>
        </is>
      </c>
      <c r="AJ162" t="inlineStr">
        <is>
          <t>Comércio atacadista de produtos alimentícios em geral</t>
        </is>
      </c>
      <c r="AK162" t="inlineStr">
        <is>
          <t>DEMAIS</t>
        </is>
      </c>
      <c r="AL162" t="inlineStr">
        <is>
          <t>ATIVA</t>
        </is>
      </c>
      <c r="AM162" s="17" t="inlineStr">
        <is>
          <t>https://diligence.adm.br/wp-content/uploads/2025/06/Edital-1a-Lista-de-Credores.pdf</t>
        </is>
      </c>
      <c r="AN162" s="18" t="inlineStr">
        <is>
          <t>p5 r48</t>
        </is>
      </c>
      <c r="AO162" s="18" t="inlineStr">
        <is>
          <t>p5: R$ 1.068.252,89</t>
        </is>
      </c>
      <c r="AP162" s="18" t="inlineStr">
        <is>
          <t>DEBTOR_LIST</t>
        </is>
      </c>
      <c r="AQ162" s="18" t="inlineStr">
        <is>
          <t>2025-06-10</t>
        </is>
      </c>
      <c r="AR162" s="18" t="inlineStr">
        <is>
          <t>OK</t>
        </is>
      </c>
      <c r="AS162" s="18" t="inlineStr">
        <is>
          <t>ROWS:p5r48</t>
        </is>
      </c>
      <c r="AT162" s="18" t="inlineStr">
        <is>
          <t>1658892fa167</t>
        </is>
      </c>
    </row>
    <row r="163">
      <c r="A163" s="9" t="n">
        <v>162</v>
      </c>
      <c r="B163" s="9" t="inlineStr">
        <is>
          <t>NEW</t>
        </is>
      </c>
      <c r="C163" s="9" t="inlineStr"/>
      <c r="D163" s="9" t="n">
        <v>0</v>
      </c>
      <c r="E163" s="9" t="inlineStr"/>
      <c r="F163" s="9" t="inlineStr"/>
      <c r="G163" s="9" t="inlineStr"/>
      <c r="H163" s="9" t="inlineStr"/>
      <c r="I163" t="inlineStr">
        <is>
          <t>ALPHA MOTION DO BRASIL LTDA</t>
        </is>
      </c>
      <c r="J163" t="inlineStr">
        <is>
          <t>ALPHA MOTION DO BRASIL LTDA</t>
        </is>
      </c>
      <c r="K163" t="inlineStr">
        <is>
          <t>04547784</t>
        </is>
      </c>
      <c r="L163" t="inlineStr">
        <is>
          <t>04547784000123</t>
        </is>
      </c>
      <c r="M163" s="10" t="n">
        <v>1059494.57</v>
      </c>
      <c r="N163" t="n">
        <v>1</v>
      </c>
      <c r="O163" s="11" t="inlineStr">
        <is>
          <t>D</t>
        </is>
      </c>
      <c r="P163" s="11" t="inlineStr"/>
      <c r="Q163" s="12" t="inlineStr"/>
      <c r="R163" s="11">
        <f>IF(Q163="","",ROUND((TODAY()-Q163)/365.25,1))</f>
        <v/>
      </c>
      <c r="S163" s="13">
        <f>IFERROR(VLOOKUP(O163,Assumptions!$A$7:$F$11,2,FALSE),0.25)</f>
        <v/>
      </c>
      <c r="T163" s="14">
        <f>IF(O163="A",MAX(1,IFERROR(VLOOKUP(O163,Assumptions!$A$7:$F$11,3,FALSE),3)+IFERROR(VLOOKUP(O163,Assumptions!$A$7:$F$11,4,FALSE),8)/2-MAX(0,IF(R163="",0,R163)-IFERROR(VLOOKUP(O163,Assumptions!$A$7:$F$11,5,FALSE),1.5))),IFERROR(VLOOKUP(O163,Assumptions!$A$7:$F$11,5,FALSE),2.5)+IFERROR(VLOOKUP(O163,Assumptions!$A$7:$F$11,3,FALSE),3)+IFERROR(VLOOKUP(O163,Assumptions!$A$7:$F$11,4,FALSE),8)/2)</f>
        <v/>
      </c>
      <c r="U163" s="15">
        <f>M163*S163/(1+Assumptions!$B$3)^T163</f>
        <v/>
      </c>
      <c r="V163" s="11">
        <f>IF(M163=0,"",ROUND(U163/M163*100,1))</f>
        <v/>
      </c>
      <c r="W163" s="16">
        <f>U163*Assumptions!$B$4</f>
        <v/>
      </c>
      <c r="X163" s="11">
        <f>IF(M163=0,"",ROUND(W163/M163*100,1))</f>
        <v/>
      </c>
      <c r="Y163" t="inlineStr">
        <is>
          <t>Mannes</t>
        </is>
      </c>
      <c r="Z163" t="inlineStr">
        <is>
          <t>0005010-50.2013.8.24.0026</t>
        </is>
      </c>
      <c r="AA163" t="inlineStr"/>
      <c r="AB163" t="inlineStr">
        <is>
          <t>administradorajudicialgs.com.br</t>
        </is>
      </c>
      <c r="AC163" t="inlineStr">
        <is>
          <t>ANTONIO APARECIDO SERINI</t>
        </is>
      </c>
      <c r="AD163" t="inlineStr">
        <is>
          <t>Sócio-Administrador</t>
        </is>
      </c>
      <c r="AE163" t="inlineStr">
        <is>
          <t>(67) 3565-9100</t>
        </is>
      </c>
      <c r="AF163" t="inlineStr"/>
      <c r="AG163" t="inlineStr"/>
      <c r="AH163" t="inlineStr">
        <is>
          <t>MS</t>
        </is>
      </c>
      <c r="AI163" t="inlineStr">
        <is>
          <t>APARECIDA DO TABOADO</t>
        </is>
      </c>
      <c r="AJ163" t="inlineStr">
        <is>
          <t>Fabricação de móveis com predominância de metal</t>
        </is>
      </c>
      <c r="AK163" t="inlineStr">
        <is>
          <t>DEMAIS</t>
        </is>
      </c>
      <c r="AL163" t="inlineStr">
        <is>
          <t>ATIVA</t>
        </is>
      </c>
      <c r="AM163" s="17" t="inlineStr">
        <is>
          <t>https://administradorajudicialgs.com.br/wp-content/uploads/2024/12/relacao-de-credores-da-falida.pdf</t>
        </is>
      </c>
      <c r="AN163" s="18" t="inlineStr">
        <is>
          <t>p12 r42</t>
        </is>
      </c>
      <c r="AO163" s="18" t="inlineStr">
        <is>
          <t>p12: R$ 1.059.494,57</t>
        </is>
      </c>
      <c r="AP163" s="18" t="inlineStr">
        <is>
          <t>OTHER</t>
        </is>
      </c>
      <c r="AQ163" s="18" t="inlineStr">
        <is>
          <t>2025-03-25</t>
        </is>
      </c>
      <c r="AR163" s="18" t="inlineStr">
        <is>
          <t>OK_NO_TOTALS</t>
        </is>
      </c>
      <c r="AS163" s="18" t="inlineStr">
        <is>
          <t>ROWS:p12r42 UNRECONCILED_SOURCE CASE_NUMBER_CORRECTED</t>
        </is>
      </c>
      <c r="AT163" s="18" t="inlineStr">
        <is>
          <t>ea17ba43b261</t>
        </is>
      </c>
    </row>
    <row r="164">
      <c r="A164" s="9" t="n">
        <v>163</v>
      </c>
      <c r="B164" s="9" t="inlineStr">
        <is>
          <t>NEW</t>
        </is>
      </c>
      <c r="C164" s="9" t="inlineStr"/>
      <c r="D164" s="9" t="n">
        <v>0</v>
      </c>
      <c r="E164" s="9" t="inlineStr"/>
      <c r="F164" s="9" t="inlineStr"/>
      <c r="G164" s="9" t="inlineStr"/>
      <c r="H164" s="9" t="inlineStr"/>
      <c r="I164" t="inlineStr">
        <is>
          <t>MILIUM GO1 LTDA</t>
        </is>
      </c>
      <c r="J164" t="inlineStr">
        <is>
          <t>MILIUM GO1 LTDA</t>
        </is>
      </c>
      <c r="K164" t="inlineStr">
        <is>
          <t>49802148</t>
        </is>
      </c>
      <c r="L164" t="inlineStr">
        <is>
          <t>49802148000139</t>
        </is>
      </c>
      <c r="M164" s="10" t="n">
        <v>1057681.86</v>
      </c>
      <c r="N164" t="n">
        <v>1</v>
      </c>
      <c r="O164" s="11" t="inlineStr">
        <is>
          <t>B</t>
        </is>
      </c>
      <c r="P164" s="11" t="inlineStr">
        <is>
          <t>ACTIVE</t>
        </is>
      </c>
      <c r="Q164" s="12" t="n">
        <v>46030</v>
      </c>
      <c r="R164" s="11">
        <f>IF(Q164="","",ROUND((TODAY()-Q164)/365.25,1))</f>
        <v/>
      </c>
      <c r="S164" s="13">
        <f>IFERROR(VLOOKUP(O164,Assumptions!$A$7:$F$11,2,FALSE),0.25)</f>
        <v/>
      </c>
      <c r="T164" s="14">
        <f>IF(O164="A",MAX(1,IFERROR(VLOOKUP(O164,Assumptions!$A$7:$F$11,3,FALSE),3)+IFERROR(VLOOKUP(O164,Assumptions!$A$7:$F$11,4,FALSE),8)/2-MAX(0,IF(R164="",0,R164)-IFERROR(VLOOKUP(O164,Assumptions!$A$7:$F$11,5,FALSE),1.5))),IFERROR(VLOOKUP(O164,Assumptions!$A$7:$F$11,5,FALSE),2.5)+IFERROR(VLOOKUP(O164,Assumptions!$A$7:$F$11,3,FALSE),3)+IFERROR(VLOOKUP(O164,Assumptions!$A$7:$F$11,4,FALSE),8)/2)</f>
        <v/>
      </c>
      <c r="U164" s="15">
        <f>M164*S164/(1+Assumptions!$B$3)^T164</f>
        <v/>
      </c>
      <c r="V164" s="11">
        <f>IF(M164=0,"",ROUND(U164/M164*100,1))</f>
        <v/>
      </c>
      <c r="W164" s="16">
        <f>U164*Assumptions!$B$4</f>
        <v/>
      </c>
      <c r="X164" s="11">
        <f>IF(M164=0,"",ROUND(W164/M164*100,1))</f>
        <v/>
      </c>
      <c r="Y164" t="inlineStr">
        <is>
          <t>GRUPO FERRARI (ALEX, ALEXANDRE , ANDRIELLE FERRARI MANTELLI, ARCIR LUIS, ERICA SANTOS ASSIS LIMA, FERNANDO MANTELLI, IDELSI, TALITA LEITE SILVA, AGROPECUARIA FERRARI LTDA E FERRARI ARMAZENS GERAIS)</t>
        </is>
      </c>
      <c r="Z164" t="inlineStr">
        <is>
          <t>5011369-81.2026.8.09.0093</t>
        </is>
      </c>
      <c r="AA164" t="inlineStr">
        <is>
          <t>TJGO</t>
        </is>
      </c>
      <c r="AB164" t="inlineStr">
        <is>
          <t>scalzilliaj.com.br</t>
        </is>
      </c>
      <c r="AC164" t="inlineStr">
        <is>
          <t>ELIS MARA DE GODOI OLIVEIRA</t>
        </is>
      </c>
      <c r="AD164" t="inlineStr">
        <is>
          <t>Administrador</t>
        </is>
      </c>
      <c r="AE164" t="inlineStr">
        <is>
          <t>(55) 3512-6744</t>
        </is>
      </c>
      <c r="AF164" t="inlineStr">
        <is>
          <t>000000000000</t>
        </is>
      </c>
      <c r="AG164" t="inlineStr"/>
      <c r="AH164" t="inlineStr">
        <is>
          <t>GO</t>
        </is>
      </c>
      <c r="AI164" t="inlineStr">
        <is>
          <t>RIO VERDE</t>
        </is>
      </c>
      <c r="AJ164" t="inlineStr">
        <is>
          <t>Comércio atacadista de defensivos agrícolas, adubos, fertilizantes e corretivos do solo</t>
        </is>
      </c>
      <c r="AK164" t="inlineStr">
        <is>
          <t>DEMAIS</t>
        </is>
      </c>
      <c r="AL164" t="inlineStr">
        <is>
          <t>ATIVA</t>
        </is>
      </c>
      <c r="AM164" s="17" t="inlineStr">
        <is>
          <t>https://scalzilliaj.com.br/sgc/download.php?file=files/processo_documento/processo_documento11421222052026_1_.pdf&amp;nome=08. Lista de credores do edital do art. 52, §1º da LREF</t>
        </is>
      </c>
      <c r="AN164" s="18" t="inlineStr">
        <is>
          <t>p4 r3</t>
        </is>
      </c>
      <c r="AO164" s="18" t="inlineStr">
        <is>
          <t>p4: R$ 1.057.681,86</t>
        </is>
      </c>
      <c r="AP164" s="18" t="inlineStr">
        <is>
          <t>UNKNOWN</t>
        </is>
      </c>
      <c r="AQ164" s="18" t="inlineStr"/>
      <c r="AR164" s="18" t="inlineStr">
        <is>
          <t>OK_NO_TOTALS</t>
        </is>
      </c>
      <c r="AS164" s="18" t="inlineStr">
        <is>
          <t>ROWS:p4r3 UNRECONCILED_SOURCE</t>
        </is>
      </c>
      <c r="AT164" s="18" t="inlineStr">
        <is>
          <t>c536a2fa4da3</t>
        </is>
      </c>
    </row>
    <row r="165">
      <c r="A165" s="9" t="n">
        <v>164</v>
      </c>
      <c r="B165" s="9" t="inlineStr">
        <is>
          <t>NEW</t>
        </is>
      </c>
      <c r="C165" s="9" t="inlineStr"/>
      <c r="D165" s="9" t="n">
        <v>0</v>
      </c>
      <c r="E165" s="9" t="inlineStr"/>
      <c r="F165" s="9" t="inlineStr"/>
      <c r="G165" s="9" t="inlineStr"/>
      <c r="H165" s="9" t="inlineStr"/>
      <c r="I165" t="inlineStr">
        <is>
          <t>FARMABASE SAUDE ANIMAL LTDA</t>
        </is>
      </c>
      <c r="J165" t="inlineStr">
        <is>
          <t>2.28FARMABASE SAUDE ANIMAL LTDA</t>
        </is>
      </c>
      <c r="K165" t="inlineStr">
        <is>
          <t>73174377</t>
        </is>
      </c>
      <c r="L165" t="inlineStr">
        <is>
          <t>73174377000645</t>
        </is>
      </c>
      <c r="M165" s="10" t="n">
        <v>1057231.29</v>
      </c>
      <c r="N165" t="n">
        <v>1</v>
      </c>
      <c r="O165" s="11" t="inlineStr">
        <is>
          <t>B</t>
        </is>
      </c>
      <c r="P165" s="11" t="inlineStr">
        <is>
          <t>ACTIVE</t>
        </is>
      </c>
      <c r="Q165" s="12" t="n">
        <v>45534</v>
      </c>
      <c r="R165" s="11">
        <f>IF(Q165="","",ROUND((TODAY()-Q165)/365.25,1))</f>
        <v/>
      </c>
      <c r="S165" s="13">
        <f>IFERROR(VLOOKUP(O165,Assumptions!$A$7:$F$11,2,FALSE),0.25)</f>
        <v/>
      </c>
      <c r="T165" s="14">
        <f>IF(O165="A",MAX(1,IFERROR(VLOOKUP(O165,Assumptions!$A$7:$F$11,3,FALSE),3)+IFERROR(VLOOKUP(O165,Assumptions!$A$7:$F$11,4,FALSE),8)/2-MAX(0,IF(R165="",0,R165)-IFERROR(VLOOKUP(O165,Assumptions!$A$7:$F$11,5,FALSE),1.5))),IFERROR(VLOOKUP(O165,Assumptions!$A$7:$F$11,5,FALSE),2.5)+IFERROR(VLOOKUP(O165,Assumptions!$A$7:$F$11,3,FALSE),3)+IFERROR(VLOOKUP(O165,Assumptions!$A$7:$F$11,4,FALSE),8)/2)</f>
        <v/>
      </c>
      <c r="U165" s="15">
        <f>M165*S165/(1+Assumptions!$B$3)^T165</f>
        <v/>
      </c>
      <c r="V165" s="11">
        <f>IF(M165=0,"",ROUND(U165/M165*100,1))</f>
        <v/>
      </c>
      <c r="W165" s="16">
        <f>U165*Assumptions!$B$4</f>
        <v/>
      </c>
      <c r="X165" s="11">
        <f>IF(M165=0,"",ROUND(W165/M165*100,1))</f>
        <v/>
      </c>
      <c r="Y165" t="inlineStr">
        <is>
          <t>SUINOCULTURA KUNZLER</t>
        </is>
      </c>
      <c r="Z165" t="inlineStr">
        <is>
          <t>5009149-92.2024.8.24.0019</t>
        </is>
      </c>
      <c r="AA165" t="inlineStr">
        <is>
          <t>TJSC</t>
        </is>
      </c>
      <c r="AB165" t="inlineStr">
        <is>
          <t>rlg-aj.com.br</t>
        </is>
      </c>
      <c r="AC165" t="inlineStr">
        <is>
          <t>ALEXANDRE RODRIGUES MACHADO</t>
        </is>
      </c>
      <c r="AD165" t="inlineStr">
        <is>
          <t>Sócio-Administrador</t>
        </is>
      </c>
      <c r="AE165" t="inlineStr">
        <is>
          <t>(19) 3837-9900</t>
        </is>
      </c>
      <c r="AF165" t="inlineStr">
        <is>
          <t>(19) 3837-9999</t>
        </is>
      </c>
      <c r="AG165" t="inlineStr"/>
      <c r="AH165" t="inlineStr">
        <is>
          <t>SP</t>
        </is>
      </c>
      <c r="AI165" t="inlineStr">
        <is>
          <t>JAGUARIUNA</t>
        </is>
      </c>
      <c r="AJ165" t="inlineStr">
        <is>
          <t>Fabricação de medicamentos para uso veterinário</t>
        </is>
      </c>
      <c r="AK165" t="inlineStr">
        <is>
          <t>DEMAIS</t>
        </is>
      </c>
      <c r="AL165" t="inlineStr">
        <is>
          <t>ATIVA</t>
        </is>
      </c>
      <c r="AM165" s="17" t="inlineStr">
        <is>
          <t>https://rlg-aj.com.br/wp-content/uploads/2024/11/07.-Relação-de-credores.pdf</t>
        </is>
      </c>
      <c r="AN165" s="18" t="inlineStr">
        <is>
          <t>p1 r34</t>
        </is>
      </c>
      <c r="AO165" s="18" t="inlineStr">
        <is>
          <t>p1: R$ 1.057.231,29</t>
        </is>
      </c>
      <c r="AP165" s="18" t="inlineStr">
        <is>
          <t>UNKNOWN</t>
        </is>
      </c>
      <c r="AQ165" s="18" t="inlineStr"/>
      <c r="AR165" s="18" t="inlineStr">
        <is>
          <t>OK_NO_TOTALS</t>
        </is>
      </c>
      <c r="AS165" s="18" t="inlineStr">
        <is>
          <t>ROWS:p1r34 UNRECONCILED_SOURCE</t>
        </is>
      </c>
      <c r="AT165" s="18" t="inlineStr">
        <is>
          <t>a62ac8ee0458</t>
        </is>
      </c>
    </row>
    <row r="166">
      <c r="A166" s="9" t="n">
        <v>165</v>
      </c>
      <c r="B166" s="9" t="inlineStr">
        <is>
          <t>NEW</t>
        </is>
      </c>
      <c r="C166" s="9" t="inlineStr"/>
      <c r="D166" s="9" t="n">
        <v>0</v>
      </c>
      <c r="E166" s="9" t="inlineStr"/>
      <c r="F166" s="9" t="inlineStr"/>
      <c r="G166" s="9" t="inlineStr"/>
      <c r="H166" s="9" t="inlineStr"/>
      <c r="I166" t="inlineStr">
        <is>
          <t>GFE EQUIPAMENTOS ELETRICOS LTDA</t>
        </is>
      </c>
      <c r="J166" t="inlineStr">
        <is>
          <t>FT IND. E COM. DE TRANSFORMADORES LTDA.</t>
        </is>
      </c>
      <c r="K166" t="inlineStr">
        <is>
          <t>04756153</t>
        </is>
      </c>
      <c r="L166" t="inlineStr">
        <is>
          <t>04756153000114</t>
        </is>
      </c>
      <c r="M166" s="10" t="n">
        <v>1054854.54</v>
      </c>
      <c r="N166" t="n">
        <v>1</v>
      </c>
      <c r="O166" s="11" t="inlineStr">
        <is>
          <t>C</t>
        </is>
      </c>
      <c r="P166" s="11" t="inlineStr"/>
      <c r="Q166" s="12" t="inlineStr"/>
      <c r="R166" s="11">
        <f>IF(Q166="","",ROUND((TODAY()-Q166)/365.25,1))</f>
        <v/>
      </c>
      <c r="S166" s="13">
        <f>IFERROR(VLOOKUP(O166,Assumptions!$A$7:$F$11,2,FALSE),0.25)</f>
        <v/>
      </c>
      <c r="T166" s="14">
        <f>IF(O166="A",MAX(1,IFERROR(VLOOKUP(O166,Assumptions!$A$7:$F$11,3,FALSE),3)+IFERROR(VLOOKUP(O166,Assumptions!$A$7:$F$11,4,FALSE),8)/2-MAX(0,IF(R166="",0,R166)-IFERROR(VLOOKUP(O166,Assumptions!$A$7:$F$11,5,FALSE),1.5))),IFERROR(VLOOKUP(O166,Assumptions!$A$7:$F$11,5,FALSE),2.5)+IFERROR(VLOOKUP(O166,Assumptions!$A$7:$F$11,3,FALSE),3)+IFERROR(VLOOKUP(O166,Assumptions!$A$7:$F$11,4,FALSE),8)/2)</f>
        <v/>
      </c>
      <c r="U166" s="15">
        <f>M166*S166/(1+Assumptions!$B$3)^T166</f>
        <v/>
      </c>
      <c r="V166" s="11">
        <f>IF(M166=0,"",ROUND(U166/M166*100,1))</f>
        <v/>
      </c>
      <c r="W166" s="16">
        <f>U166*Assumptions!$B$4</f>
        <v/>
      </c>
      <c r="X166" s="11">
        <f>IF(M166=0,"",ROUND(W166/M166*100,1))</f>
        <v/>
      </c>
      <c r="Y166" t="inlineStr">
        <is>
          <t>BLUTRAFOS BLUMENAU TRANSFORMADORES LTDA</t>
        </is>
      </c>
      <c r="Z166" t="inlineStr">
        <is>
          <t>0022845-08.2013.8.24.0008</t>
        </is>
      </c>
      <c r="AA166" t="inlineStr"/>
      <c r="AB166" t="inlineStr">
        <is>
          <t>administradorajudicialgs.com.br</t>
        </is>
      </c>
      <c r="AC166" t="inlineStr">
        <is>
          <t>OSCAR LIBERATO MARTINS FILHO</t>
        </is>
      </c>
      <c r="AD166" t="inlineStr">
        <is>
          <t>Sócio-Administrador</t>
        </is>
      </c>
      <c r="AE166" t="inlineStr">
        <is>
          <t>(47) 3039-9330</t>
        </is>
      </c>
      <c r="AF166" t="inlineStr"/>
      <c r="AG166" t="inlineStr"/>
      <c r="AH166" t="inlineStr">
        <is>
          <t>SC</t>
        </is>
      </c>
      <c r="AI166" t="inlineStr">
        <is>
          <t>INDAIAL</t>
        </is>
      </c>
      <c r="AJ166" t="inlineStr">
        <is>
          <t>Fabricação de transformadores, indutores, conversores, sincronizadores e semelhantes, peças e acessórios</t>
        </is>
      </c>
      <c r="AK166" t="inlineStr">
        <is>
          <t>EMPRESA DE PEQUENO PORTE</t>
        </is>
      </c>
      <c r="AL166" t="inlineStr">
        <is>
          <t>ATIVA</t>
        </is>
      </c>
      <c r="AM166" s="17" t="inlineStr">
        <is>
          <t>https://administradorajudicialgs.com.br/wp-content/uploads/2023/08/advogados-sgrott-doc-22-relacao-de-credores-do-administrador-judicial-classe-iii-05-02-14.pdf</t>
        </is>
      </c>
      <c r="AN166" s="18" t="inlineStr">
        <is>
          <t>p3 r8</t>
        </is>
      </c>
      <c r="AO166" s="18" t="inlineStr">
        <is>
          <t>p3: R$ 1.054.854,54</t>
        </is>
      </c>
      <c r="AP166" s="18" t="inlineStr">
        <is>
          <t>UNKNOWN</t>
        </is>
      </c>
      <c r="AQ166" s="18" t="inlineStr"/>
      <c r="AR166" s="18" t="inlineStr">
        <is>
          <t>OK</t>
        </is>
      </c>
      <c r="AS166" s="18" t="inlineStr">
        <is>
          <t>ROWS:p3r8</t>
        </is>
      </c>
      <c r="AT166" s="18" t="inlineStr">
        <is>
          <t>22ac347cfe4f</t>
        </is>
      </c>
    </row>
    <row r="167">
      <c r="A167" s="9" t="n">
        <v>166</v>
      </c>
      <c r="B167" s="9" t="inlineStr">
        <is>
          <t>NEW</t>
        </is>
      </c>
      <c r="C167" s="9" t="inlineStr"/>
      <c r="D167" s="9" t="n">
        <v>0</v>
      </c>
      <c r="E167" s="9" t="inlineStr"/>
      <c r="F167" s="9" t="inlineStr"/>
      <c r="G167" s="9" t="inlineStr"/>
      <c r="H167" s="9" t="inlineStr"/>
      <c r="I167" t="inlineStr">
        <is>
          <t>WHIRLPOOL S.A</t>
        </is>
      </c>
      <c r="J167" t="inlineStr">
        <is>
          <t>59.105.999/0003-48</t>
        </is>
      </c>
      <c r="K167" t="inlineStr">
        <is>
          <t>59105999</t>
        </is>
      </c>
      <c r="L167" t="inlineStr">
        <is>
          <t>59105999000348</t>
        </is>
      </c>
      <c r="M167" s="10" t="n">
        <v>1044824.45</v>
      </c>
      <c r="N167" t="n">
        <v>1</v>
      </c>
      <c r="O167" s="11" t="inlineStr">
        <is>
          <t>C</t>
        </is>
      </c>
      <c r="P167" s="11" t="inlineStr">
        <is>
          <t>ACTIVE</t>
        </is>
      </c>
      <c r="Q167" s="12" t="n">
        <v>43894</v>
      </c>
      <c r="R167" s="11">
        <f>IF(Q167="","",ROUND((TODAY()-Q167)/365.25,1))</f>
        <v/>
      </c>
      <c r="S167" s="13">
        <f>IFERROR(VLOOKUP(O167,Assumptions!$A$7:$F$11,2,FALSE),0.25)</f>
        <v/>
      </c>
      <c r="T167" s="14">
        <f>IF(O167="A",MAX(1,IFERROR(VLOOKUP(O167,Assumptions!$A$7:$F$11,3,FALSE),3)+IFERROR(VLOOKUP(O167,Assumptions!$A$7:$F$11,4,FALSE),8)/2-MAX(0,IF(R167="",0,R167)-IFERROR(VLOOKUP(O167,Assumptions!$A$7:$F$11,5,FALSE),1.5))),IFERROR(VLOOKUP(O167,Assumptions!$A$7:$F$11,5,FALSE),2.5)+IFERROR(VLOOKUP(O167,Assumptions!$A$7:$F$11,3,FALSE),3)+IFERROR(VLOOKUP(O167,Assumptions!$A$7:$F$11,4,FALSE),8)/2)</f>
        <v/>
      </c>
      <c r="U167" s="15">
        <f>M167*S167/(1+Assumptions!$B$3)^T167</f>
        <v/>
      </c>
      <c r="V167" s="11">
        <f>IF(M167=0,"",ROUND(U167/M167*100,1))</f>
        <v/>
      </c>
      <c r="W167" s="16">
        <f>U167*Assumptions!$B$4</f>
        <v/>
      </c>
      <c r="X167" s="11">
        <f>IF(M167=0,"",ROUND(W167/M167*100,1))</f>
        <v/>
      </c>
      <c r="Y167" t="inlineStr">
        <is>
          <t>CREDIMÓVEIS NOVOLAR LTDA.</t>
        </is>
      </c>
      <c r="Z167" t="inlineStr">
        <is>
          <t>0007565-40.2020.8.17.2370</t>
        </is>
      </c>
      <c r="AA167" t="inlineStr">
        <is>
          <t>TJPE</t>
        </is>
      </c>
      <c r="AB167" t="inlineStr">
        <is>
          <t>recuperacaojudicial.squarespace.com</t>
        </is>
      </c>
      <c r="AC167" t="inlineStr">
        <is>
          <t>CARLOS ROBERTO BARBERY</t>
        </is>
      </c>
      <c r="AD167" t="inlineStr">
        <is>
          <t>Diretor</t>
        </is>
      </c>
      <c r="AE167" t="inlineStr">
        <is>
          <t>(11) 3566-1431</t>
        </is>
      </c>
      <c r="AF167" t="inlineStr"/>
      <c r="AG167" t="inlineStr"/>
      <c r="AH167" t="inlineStr">
        <is>
          <t>SP</t>
        </is>
      </c>
      <c r="AI167" t="inlineStr">
        <is>
          <t>SAO PAULO</t>
        </is>
      </c>
      <c r="AJ167" t="inlineStr">
        <is>
          <t>Fabricação de fogões, refrigeradores e máquinas de lavar e secar para uso doméstico, peças e acessórios</t>
        </is>
      </c>
      <c r="AK167" t="inlineStr">
        <is>
          <t>DEMAIS</t>
        </is>
      </c>
      <c r="AL167" t="inlineStr">
        <is>
          <t>ATIVA</t>
        </is>
      </c>
      <c r="AM167" s="17" t="inlineStr">
        <is>
          <t>https://recuperacaojudicial.squarespace.com/s/RJ-Credimoveis-QGC-01082025.pdf</t>
        </is>
      </c>
      <c r="AN167" s="18" t="inlineStr">
        <is>
          <t>p17 r11</t>
        </is>
      </c>
      <c r="AO167" s="18" t="inlineStr">
        <is>
          <t>p17: R$ 1.044.824,45</t>
        </is>
      </c>
      <c r="AP167" s="18" t="inlineStr">
        <is>
          <t>QGC</t>
        </is>
      </c>
      <c r="AQ167" s="18" t="inlineStr">
        <is>
          <t>2026-01-28</t>
        </is>
      </c>
      <c r="AR167" s="18" t="inlineStr">
        <is>
          <t>OK</t>
        </is>
      </c>
      <c r="AS167" s="18" t="inlineStr">
        <is>
          <t>ROWS:p17r11</t>
        </is>
      </c>
      <c r="AT167" s="18" t="inlineStr">
        <is>
          <t>849d4fe5adce</t>
        </is>
      </c>
    </row>
    <row r="168">
      <c r="A168" s="9" t="n">
        <v>167</v>
      </c>
      <c r="B168" s="9" t="inlineStr">
        <is>
          <t>NEW</t>
        </is>
      </c>
      <c r="C168" s="9" t="inlineStr"/>
      <c r="D168" s="9" t="n">
        <v>0</v>
      </c>
      <c r="E168" s="9" t="inlineStr"/>
      <c r="F168" s="9" t="inlineStr"/>
      <c r="G168" s="9" t="inlineStr"/>
      <c r="H168" s="9" t="inlineStr"/>
      <c r="I168" t="inlineStr">
        <is>
          <t>AGROCERES PIC SUINOS LTDA</t>
        </is>
      </c>
      <c r="J168" t="inlineStr">
        <is>
          <t>2.18AGROCERES PIC SUINOS LTDA</t>
        </is>
      </c>
      <c r="K168" t="inlineStr">
        <is>
          <t>28109395</t>
        </is>
      </c>
      <c r="L168" t="inlineStr">
        <is>
          <t>28109395003795</t>
        </is>
      </c>
      <c r="M168" s="10" t="n">
        <v>1029654.77</v>
      </c>
      <c r="N168" t="n">
        <v>1</v>
      </c>
      <c r="O168" s="11" t="inlineStr">
        <is>
          <t>B</t>
        </is>
      </c>
      <c r="P168" s="11" t="inlineStr">
        <is>
          <t>ACTIVE</t>
        </is>
      </c>
      <c r="Q168" s="12" t="n">
        <v>45534</v>
      </c>
      <c r="R168" s="11">
        <f>IF(Q168="","",ROUND((TODAY()-Q168)/365.25,1))</f>
        <v/>
      </c>
      <c r="S168" s="13">
        <f>IFERROR(VLOOKUP(O168,Assumptions!$A$7:$F$11,2,FALSE),0.25)</f>
        <v/>
      </c>
      <c r="T168" s="14">
        <f>IF(O168="A",MAX(1,IFERROR(VLOOKUP(O168,Assumptions!$A$7:$F$11,3,FALSE),3)+IFERROR(VLOOKUP(O168,Assumptions!$A$7:$F$11,4,FALSE),8)/2-MAX(0,IF(R168="",0,R168)-IFERROR(VLOOKUP(O168,Assumptions!$A$7:$F$11,5,FALSE),1.5))),IFERROR(VLOOKUP(O168,Assumptions!$A$7:$F$11,5,FALSE),2.5)+IFERROR(VLOOKUP(O168,Assumptions!$A$7:$F$11,3,FALSE),3)+IFERROR(VLOOKUP(O168,Assumptions!$A$7:$F$11,4,FALSE),8)/2)</f>
        <v/>
      </c>
      <c r="U168" s="15">
        <f>M168*S168/(1+Assumptions!$B$3)^T168</f>
        <v/>
      </c>
      <c r="V168" s="11">
        <f>IF(M168=0,"",ROUND(U168/M168*100,1))</f>
        <v/>
      </c>
      <c r="W168" s="16">
        <f>U168*Assumptions!$B$4</f>
        <v/>
      </c>
      <c r="X168" s="11">
        <f>IF(M168=0,"",ROUND(W168/M168*100,1))</f>
        <v/>
      </c>
      <c r="Y168" t="inlineStr">
        <is>
          <t>SUINOCULTURA KUNZLER</t>
        </is>
      </c>
      <c r="Z168" t="inlineStr">
        <is>
          <t>5009149-92.2024.8.24.0019</t>
        </is>
      </c>
      <c r="AA168" t="inlineStr">
        <is>
          <t>TJSC</t>
        </is>
      </c>
      <c r="AB168" t="inlineStr">
        <is>
          <t>rlg-aj.com.br</t>
        </is>
      </c>
      <c r="AC168" t="inlineStr">
        <is>
          <t>ALEXANDRE FURTADO DA ROSA</t>
        </is>
      </c>
      <c r="AD168" t="inlineStr">
        <is>
          <t>Administrador</t>
        </is>
      </c>
      <c r="AE168" t="inlineStr">
        <is>
          <t>(19) 3526-8500</t>
        </is>
      </c>
      <c r="AF168" t="inlineStr"/>
      <c r="AG168" t="inlineStr"/>
      <c r="AH168" t="inlineStr">
        <is>
          <t>SP</t>
        </is>
      </c>
      <c r="AI168" t="inlineStr">
        <is>
          <t>RIO CLARO</t>
        </is>
      </c>
      <c r="AJ168" t="inlineStr">
        <is>
          <t>Criação de suínos</t>
        </is>
      </c>
      <c r="AK168" t="inlineStr">
        <is>
          <t>DEMAIS</t>
        </is>
      </c>
      <c r="AL168" t="inlineStr">
        <is>
          <t>ATIVA</t>
        </is>
      </c>
      <c r="AM168" s="17" t="inlineStr">
        <is>
          <t>https://rlg-aj.com.br/wp-content/uploads/2024/11/07.-Relação-de-credores.pdf</t>
        </is>
      </c>
      <c r="AN168" s="18" t="inlineStr">
        <is>
          <t>p1 r24</t>
        </is>
      </c>
      <c r="AO168" s="18" t="inlineStr">
        <is>
          <t>p1: R$ 1.029.654,77</t>
        </is>
      </c>
      <c r="AP168" s="18" t="inlineStr">
        <is>
          <t>UNKNOWN</t>
        </is>
      </c>
      <c r="AQ168" s="18" t="inlineStr"/>
      <c r="AR168" s="18" t="inlineStr">
        <is>
          <t>OK_NO_TOTALS</t>
        </is>
      </c>
      <c r="AS168" s="18" t="inlineStr">
        <is>
          <t>ROWS:p1r24 UNRECONCILED_SOURCE</t>
        </is>
      </c>
      <c r="AT168" s="18" t="inlineStr">
        <is>
          <t>a62ac8ee0458</t>
        </is>
      </c>
    </row>
    <row r="169">
      <c r="A169" s="9" t="n">
        <v>168</v>
      </c>
      <c r="B169" s="9" t="inlineStr">
        <is>
          <t>NEW</t>
        </is>
      </c>
      <c r="C169" s="9" t="inlineStr"/>
      <c r="D169" s="9" t="n">
        <v>0</v>
      </c>
      <c r="E169" s="9" t="inlineStr"/>
      <c r="F169" s="9" t="inlineStr"/>
      <c r="G169" s="9" t="inlineStr"/>
      <c r="H169" s="9" t="inlineStr"/>
      <c r="I169" t="inlineStr">
        <is>
          <t>TRUCKPAG MEIOS DE PAGAMENTO S/A</t>
        </is>
      </c>
      <c r="J169" t="inlineStr">
        <is>
          <t>Truckpag Meios de Pagamento S.A.</t>
        </is>
      </c>
      <c r="K169" t="inlineStr">
        <is>
          <t>31443324</t>
        </is>
      </c>
      <c r="L169" t="inlineStr">
        <is>
          <t>31443324000128</t>
        </is>
      </c>
      <c r="M169" s="10" t="n">
        <v>1021319.46</v>
      </c>
      <c r="N169" t="n">
        <v>1</v>
      </c>
      <c r="O169" s="11" t="inlineStr">
        <is>
          <t>B</t>
        </is>
      </c>
      <c r="P169" s="11" t="inlineStr">
        <is>
          <t>ACTIVE</t>
        </is>
      </c>
      <c r="Q169" s="12" t="n">
        <v>45460</v>
      </c>
      <c r="R169" s="11">
        <f>IF(Q169="","",ROUND((TODAY()-Q169)/365.25,1))</f>
        <v/>
      </c>
      <c r="S169" s="13">
        <f>IFERROR(VLOOKUP(O169,Assumptions!$A$7:$F$11,2,FALSE),0.25)</f>
        <v/>
      </c>
      <c r="T169" s="14">
        <f>IF(O169="A",MAX(1,IFERROR(VLOOKUP(O169,Assumptions!$A$7:$F$11,3,FALSE),3)+IFERROR(VLOOKUP(O169,Assumptions!$A$7:$F$11,4,FALSE),8)/2-MAX(0,IF(R169="",0,R169)-IFERROR(VLOOKUP(O169,Assumptions!$A$7:$F$11,5,FALSE),1.5))),IFERROR(VLOOKUP(O169,Assumptions!$A$7:$F$11,5,FALSE),2.5)+IFERROR(VLOOKUP(O169,Assumptions!$A$7:$F$11,3,FALSE),3)+IFERROR(VLOOKUP(O169,Assumptions!$A$7:$F$11,4,FALSE),8)/2)</f>
        <v/>
      </c>
      <c r="U169" s="15">
        <f>M169*S169/(1+Assumptions!$B$3)^T169</f>
        <v/>
      </c>
      <c r="V169" s="11">
        <f>IF(M169=0,"",ROUND(U169/M169*100,1))</f>
        <v/>
      </c>
      <c r="W169" s="16">
        <f>U169*Assumptions!$B$4</f>
        <v/>
      </c>
      <c r="X169" s="11">
        <f>IF(M169=0,"",ROUND(W169/M169*100,1))</f>
        <v/>
      </c>
      <c r="Y169" t="inlineStr">
        <is>
          <t>GRUPO D&amp;D</t>
        </is>
      </c>
      <c r="Z169" t="inlineStr">
        <is>
          <t>0001943-40.2024.8.16.0115</t>
        </is>
      </c>
      <c r="AA169" t="inlineStr">
        <is>
          <t>TJPR</t>
        </is>
      </c>
      <c r="AB169" t="inlineStr">
        <is>
          <t>marquesadmjudicial.com.br</t>
        </is>
      </c>
      <c r="AC169" t="inlineStr">
        <is>
          <t>KASSIO VINICIUS SEEFELD</t>
        </is>
      </c>
      <c r="AD169" t="inlineStr">
        <is>
          <t>Presidente</t>
        </is>
      </c>
      <c r="AE169" t="inlineStr">
        <is>
          <t>(45) 3229-8773</t>
        </is>
      </c>
      <c r="AF169" t="inlineStr">
        <is>
          <t>(45) 3229-8741</t>
        </is>
      </c>
      <c r="AG169" t="inlineStr"/>
      <c r="AH169" t="inlineStr">
        <is>
          <t>SP</t>
        </is>
      </c>
      <c r="AI169" t="inlineStr">
        <is>
          <t>SANTANA DE PARNAIBA</t>
        </is>
      </c>
      <c r="AJ169" t="inlineStr">
        <is>
          <t>Atividades de intermediação e agenciamento de serviços e negócios em geral, exceto imobiliários</t>
        </is>
      </c>
      <c r="AK169" t="inlineStr">
        <is>
          <t>DEMAIS</t>
        </is>
      </c>
      <c r="AL169" t="inlineStr">
        <is>
          <t>ATIVA</t>
        </is>
      </c>
      <c r="AM169" s="17" t="inlineStr">
        <is>
          <t>https://marquesadmjudicial.com.br/sgc/download.php?file=files/processo_documento/processo_documento20014127022025_1_.pdf&amp;nome=Relação Nominal de Credores</t>
        </is>
      </c>
      <c r="AN169" s="18" t="inlineStr">
        <is>
          <t>p6 r6</t>
        </is>
      </c>
      <c r="AO169" s="18" t="inlineStr">
        <is>
          <t>p6: R$ 1.021.319,46</t>
        </is>
      </c>
      <c r="AP169" s="18" t="inlineStr">
        <is>
          <t>AJ_LIST</t>
        </is>
      </c>
      <c r="AQ169" s="18" t="inlineStr">
        <is>
          <t>2024-11-08</t>
        </is>
      </c>
      <c r="AR169" s="18" t="inlineStr">
        <is>
          <t>QUARANTINED</t>
        </is>
      </c>
      <c r="AS169" s="18" t="inlineStr">
        <is>
          <t>PARTIAL_DOC_CLASS_III_RECONCILED ROWS:p6r6</t>
        </is>
      </c>
      <c r="AT169" s="18" t="inlineStr">
        <is>
          <t>dfc3207dcd0f</t>
        </is>
      </c>
    </row>
    <row r="170">
      <c r="A170" s="9" t="n">
        <v>169</v>
      </c>
      <c r="B170" s="9" t="inlineStr">
        <is>
          <t>NEW</t>
        </is>
      </c>
      <c r="C170" s="9" t="inlineStr"/>
      <c r="D170" s="9" t="n">
        <v>0</v>
      </c>
      <c r="E170" s="9" t="inlineStr"/>
      <c r="F170" s="9" t="inlineStr"/>
      <c r="G170" s="9" t="inlineStr"/>
      <c r="H170" s="9" t="inlineStr"/>
      <c r="I170" t="inlineStr">
        <is>
          <t>REFRESCOS BANDEIRANTES INDUSTRIA E COMERCIO LTDA</t>
        </is>
      </c>
      <c r="J170" t="inlineStr">
        <is>
          <t>Coca - Cola - Uruacu</t>
        </is>
      </c>
      <c r="K170" t="inlineStr">
        <is>
          <t>03380763</t>
        </is>
      </c>
      <c r="L170" t="inlineStr">
        <is>
          <t>03380763001418, 03380763001507, 03380763001760</t>
        </is>
      </c>
      <c r="M170" s="10" t="n">
        <v>1020958.23</v>
      </c>
      <c r="N170" t="n">
        <v>3</v>
      </c>
      <c r="O170" s="11" t="inlineStr">
        <is>
          <t>B</t>
        </is>
      </c>
      <c r="P170" s="11" t="inlineStr">
        <is>
          <t>ACTIVE</t>
        </is>
      </c>
      <c r="Q170" s="12" t="n">
        <v>46130</v>
      </c>
      <c r="R170" s="11">
        <f>IF(Q170="","",ROUND((TODAY()-Q170)/365.25,1))</f>
        <v/>
      </c>
      <c r="S170" s="13">
        <f>IFERROR(VLOOKUP(O170,Assumptions!$A$7:$F$11,2,FALSE),0.25)</f>
        <v/>
      </c>
      <c r="T170" s="14">
        <f>IF(O170="A",MAX(1,IFERROR(VLOOKUP(O170,Assumptions!$A$7:$F$11,3,FALSE),3)+IFERROR(VLOOKUP(O170,Assumptions!$A$7:$F$11,4,FALSE),8)/2-MAX(0,IF(R170="",0,R170)-IFERROR(VLOOKUP(O170,Assumptions!$A$7:$F$11,5,FALSE),1.5))),IFERROR(VLOOKUP(O170,Assumptions!$A$7:$F$11,5,FALSE),2.5)+IFERROR(VLOOKUP(O170,Assumptions!$A$7:$F$11,3,FALSE),3)+IFERROR(VLOOKUP(O170,Assumptions!$A$7:$F$11,4,FALSE),8)/2)</f>
        <v/>
      </c>
      <c r="U170" s="15">
        <f>M170*S170/(1+Assumptions!$B$3)^T170</f>
        <v/>
      </c>
      <c r="V170" s="11">
        <f>IF(M170=0,"",ROUND(U170/M170*100,1))</f>
        <v/>
      </c>
      <c r="W170" s="16">
        <f>U170*Assumptions!$B$4</f>
        <v/>
      </c>
      <c r="X170" s="11">
        <f>IF(M170=0,"",ROUND(W170/M170*100,1))</f>
        <v/>
      </c>
      <c r="Y170" t="inlineStr">
        <is>
          <t>GRUPO 3E</t>
        </is>
      </c>
      <c r="Z170" t="inlineStr">
        <is>
          <t>5341375-33.2026.8.09.0049</t>
        </is>
      </c>
      <c r="AA170" t="inlineStr">
        <is>
          <t>TJGO</t>
        </is>
      </c>
      <c r="AB170" t="inlineStr">
        <is>
          <t>stenius.com.br</t>
        </is>
      </c>
      <c r="AC170" t="inlineStr">
        <is>
          <t>JOSE ALVES FILHO</t>
        </is>
      </c>
      <c r="AD170" t="inlineStr">
        <is>
          <t>Administrador</t>
        </is>
      </c>
      <c r="AE170" t="inlineStr">
        <is>
          <t>(11) 5502-1200</t>
        </is>
      </c>
      <c r="AF170" t="inlineStr"/>
      <c r="AG170" t="inlineStr"/>
      <c r="AH170" t="inlineStr">
        <is>
          <t>SP</t>
        </is>
      </c>
      <c r="AI170" t="inlineStr">
        <is>
          <t>SAO PAULO</t>
        </is>
      </c>
      <c r="AJ170" t="inlineStr">
        <is>
          <t>Fabricação de refrigerantes</t>
        </is>
      </c>
      <c r="AK170" t="inlineStr">
        <is>
          <t>DEMAIS</t>
        </is>
      </c>
      <c r="AL170" t="inlineStr">
        <is>
          <t>ATIVA</t>
        </is>
      </c>
      <c r="AM170" s="17" t="inlineStr">
        <is>
          <t>https://stenius.com.br/wp-content/uploads/2026/06/EDITAL-GRUPO-3E.pdf</t>
        </is>
      </c>
      <c r="AN170" s="18" t="inlineStr">
        <is>
          <t>p11 r65; p11 r66; p11 r67</t>
        </is>
      </c>
      <c r="AO170" s="18" t="inlineStr">
        <is>
          <t>p11: R$ 424.506,14; p11: R$ 375.601,64; p11: R$ 220.850,45</t>
        </is>
      </c>
      <c r="AP170" s="18" t="inlineStr">
        <is>
          <t>DEBTOR_LIST</t>
        </is>
      </c>
      <c r="AQ170" s="18" t="inlineStr">
        <is>
          <t>2026-06-22</t>
        </is>
      </c>
      <c r="AR170" s="18" t="inlineStr">
        <is>
          <t>OK_NO_TOTALS</t>
        </is>
      </c>
      <c r="AS170" s="18" t="inlineStr">
        <is>
          <t>ROWS:p11r65,p11r66,p11r67 UNRECONCILED_SOURCE</t>
        </is>
      </c>
      <c r="AT170" s="18" t="inlineStr">
        <is>
          <t>8e8832093a15</t>
        </is>
      </c>
    </row>
    <row r="171">
      <c r="A171" s="9" t="n">
        <v>170</v>
      </c>
      <c r="B171" s="9" t="inlineStr">
        <is>
          <t>NEW</t>
        </is>
      </c>
      <c r="C171" s="9" t="inlineStr"/>
      <c r="D171" s="9" t="n">
        <v>0</v>
      </c>
      <c r="E171" s="9" t="inlineStr"/>
      <c r="F171" s="9" t="inlineStr"/>
      <c r="G171" s="9" t="inlineStr"/>
      <c r="H171" s="9" t="inlineStr"/>
      <c r="I171" t="inlineStr">
        <is>
          <t>REPOM INSTITUICAO DE PAGAMENTO HUSA S.A</t>
        </is>
      </c>
      <c r="J171" t="inlineStr">
        <is>
          <t>ALAMEDA TOCANTINS 75 - BARUERI-SP - CEP 06455-020</t>
        </is>
      </c>
      <c r="K171" t="inlineStr">
        <is>
          <t>65697260</t>
        </is>
      </c>
      <c r="L171" t="inlineStr">
        <is>
          <t>65697260000103</t>
        </is>
      </c>
      <c r="M171" s="10" t="n">
        <v>1008821.27</v>
      </c>
      <c r="N171" t="n">
        <v>1</v>
      </c>
      <c r="O171" s="11" t="inlineStr">
        <is>
          <t>U</t>
        </is>
      </c>
      <c r="P171" s="11" t="inlineStr"/>
      <c r="Q171" s="12" t="inlineStr"/>
      <c r="R171" s="11">
        <f>IF(Q171="","",ROUND((TODAY()-Q171)/365.25,1))</f>
        <v/>
      </c>
      <c r="S171" s="13">
        <f>IFERROR(VLOOKUP(O171,Assumptions!$A$7:$F$11,2,FALSE),0.25)</f>
        <v/>
      </c>
      <c r="T171" s="14">
        <f>IF(O171="A",MAX(1,IFERROR(VLOOKUP(O171,Assumptions!$A$7:$F$11,3,FALSE),3)+IFERROR(VLOOKUP(O171,Assumptions!$A$7:$F$11,4,FALSE),8)/2-MAX(0,IF(R171="",0,R171)-IFERROR(VLOOKUP(O171,Assumptions!$A$7:$F$11,5,FALSE),1.5))),IFERROR(VLOOKUP(O171,Assumptions!$A$7:$F$11,5,FALSE),2.5)+IFERROR(VLOOKUP(O171,Assumptions!$A$7:$F$11,3,FALSE),3)+IFERROR(VLOOKUP(O171,Assumptions!$A$7:$F$11,4,FALSE),8)/2)</f>
        <v/>
      </c>
      <c r="U171" s="15">
        <f>M171*S171/(1+Assumptions!$B$3)^T171</f>
        <v/>
      </c>
      <c r="V171" s="11">
        <f>IF(M171=0,"",ROUND(U171/M171*100,1))</f>
        <v/>
      </c>
      <c r="W171" s="16">
        <f>U171*Assumptions!$B$4</f>
        <v/>
      </c>
      <c r="X171" s="11">
        <f>IF(M171=0,"",ROUND(W171/M171*100,1))</f>
        <v/>
      </c>
      <c r="Y171" t="inlineStr">
        <is>
          <t>Base</t>
        </is>
      </c>
      <c r="Z171" t="inlineStr">
        <is>
          <t>(not found in document)</t>
        </is>
      </c>
      <c r="AA171" t="inlineStr"/>
      <c r="AB171" t="inlineStr">
        <is>
          <t>ajruiz.com.br</t>
        </is>
      </c>
      <c r="AC171" t="inlineStr">
        <is>
          <t>VINICIUS DA ROCHA FERNANDES</t>
        </is>
      </c>
      <c r="AD171" t="inlineStr">
        <is>
          <t>Presidente</t>
        </is>
      </c>
      <c r="AE171" t="inlineStr">
        <is>
          <t>(11) 4191-1161</t>
        </is>
      </c>
      <c r="AF171" t="inlineStr"/>
      <c r="AG171" t="inlineStr"/>
      <c r="AH171" t="inlineStr">
        <is>
          <t>SP</t>
        </is>
      </c>
      <c r="AI171" t="inlineStr">
        <is>
          <t>SAO PAULO</t>
        </is>
      </c>
      <c r="AJ171" t="inlineStr">
        <is>
          <t>Tratamento de dados, provedores de serviços de aplicação e serviços de hospedagem na internet</t>
        </is>
      </c>
      <c r="AK171" t="inlineStr">
        <is>
          <t>DEMAIS</t>
        </is>
      </c>
      <c r="AL171" t="inlineStr">
        <is>
          <t>ATIVA</t>
        </is>
      </c>
      <c r="AM171" s="17" t="inlineStr">
        <is>
          <t>https://ajruiz.com.br/sites/default/files/public/arquivos-processos/2023-11/4_relacao_de_credores_analitica_art._51_iii_da_lre.pdf</t>
        </is>
      </c>
      <c r="AN171" s="18" t="inlineStr">
        <is>
          <t>p3 r50</t>
        </is>
      </c>
      <c r="AO171" s="18" t="inlineStr">
        <is>
          <t>p3: R$ 1.008.821,27</t>
        </is>
      </c>
      <c r="AP171" s="18" t="inlineStr">
        <is>
          <t>UNKNOWN</t>
        </is>
      </c>
      <c r="AQ171" s="18" t="inlineStr"/>
      <c r="AR171" s="18" t="inlineStr">
        <is>
          <t>OK</t>
        </is>
      </c>
      <c r="AS171" s="18" t="inlineStr">
        <is>
          <t>ROWS:p3r50 CASE_NUMBER_CORRECTED</t>
        </is>
      </c>
      <c r="AT171" s="18" t="inlineStr">
        <is>
          <t>2407a56c3502</t>
        </is>
      </c>
    </row>
    <row r="172">
      <c r="A172" s="9" t="n">
        <v>171</v>
      </c>
      <c r="B172" s="9" t="inlineStr">
        <is>
          <t>NEW</t>
        </is>
      </c>
      <c r="C172" s="9" t="inlineStr"/>
      <c r="D172" s="9" t="n">
        <v>0</v>
      </c>
      <c r="E172" s="9" t="inlineStr"/>
      <c r="F172" s="9" t="inlineStr"/>
      <c r="G172" s="9" t="inlineStr"/>
      <c r="H172" s="9" t="inlineStr"/>
      <c r="I172" t="inlineStr">
        <is>
          <t>GOODYEAR DO BRASIL PRODUTOS DE BORRACHA LTDA</t>
        </is>
      </c>
      <c r="J172" t="inlineStr">
        <is>
          <t>AV AFFONSO PANSAN - AMERICANA-SP - CEP 13473-620</t>
        </is>
      </c>
      <c r="K172" t="inlineStr">
        <is>
          <t>60500246</t>
        </is>
      </c>
      <c r="L172" t="inlineStr">
        <is>
          <t>60500246001630</t>
        </is>
      </c>
      <c r="M172" s="10" t="n">
        <v>1007717.64</v>
      </c>
      <c r="N172" t="n">
        <v>1</v>
      </c>
      <c r="O172" s="11" t="inlineStr">
        <is>
          <t>U</t>
        </is>
      </c>
      <c r="P172" s="11" t="inlineStr"/>
      <c r="Q172" s="12" t="inlineStr"/>
      <c r="R172" s="11">
        <f>IF(Q172="","",ROUND((TODAY()-Q172)/365.25,1))</f>
        <v/>
      </c>
      <c r="S172" s="13">
        <f>IFERROR(VLOOKUP(O172,Assumptions!$A$7:$F$11,2,FALSE),0.25)</f>
        <v/>
      </c>
      <c r="T172" s="14">
        <f>IF(O172="A",MAX(1,IFERROR(VLOOKUP(O172,Assumptions!$A$7:$F$11,3,FALSE),3)+IFERROR(VLOOKUP(O172,Assumptions!$A$7:$F$11,4,FALSE),8)/2-MAX(0,IF(R172="",0,R172)-IFERROR(VLOOKUP(O172,Assumptions!$A$7:$F$11,5,FALSE),1.5))),IFERROR(VLOOKUP(O172,Assumptions!$A$7:$F$11,5,FALSE),2.5)+IFERROR(VLOOKUP(O172,Assumptions!$A$7:$F$11,3,FALSE),3)+IFERROR(VLOOKUP(O172,Assumptions!$A$7:$F$11,4,FALSE),8)/2)</f>
        <v/>
      </c>
      <c r="U172" s="15">
        <f>M172*S172/(1+Assumptions!$B$3)^T172</f>
        <v/>
      </c>
      <c r="V172" s="11">
        <f>IF(M172=0,"",ROUND(U172/M172*100,1))</f>
        <v/>
      </c>
      <c r="W172" s="16">
        <f>U172*Assumptions!$B$4</f>
        <v/>
      </c>
      <c r="X172" s="11">
        <f>IF(M172=0,"",ROUND(W172/M172*100,1))</f>
        <v/>
      </c>
      <c r="Y172" t="inlineStr">
        <is>
          <t>Base</t>
        </is>
      </c>
      <c r="Z172" t="inlineStr">
        <is>
          <t>(not found in document)</t>
        </is>
      </c>
      <c r="AA172" t="inlineStr"/>
      <c r="AB172" t="inlineStr">
        <is>
          <t>ajruiz.com.br</t>
        </is>
      </c>
      <c r="AC172" t="inlineStr">
        <is>
          <t>ALFREDO GAMBOA OLIVEROS</t>
        </is>
      </c>
      <c r="AD172" t="inlineStr">
        <is>
          <t>Administrador</t>
        </is>
      </c>
      <c r="AE172" t="inlineStr">
        <is>
          <t>(11) 2818-4128</t>
        </is>
      </c>
      <c r="AF172" t="inlineStr"/>
      <c r="AG172" t="inlineStr"/>
      <c r="AH172" t="inlineStr">
        <is>
          <t>SP</t>
        </is>
      </c>
      <c r="AI172" t="inlineStr">
        <is>
          <t>SANTA BARBARA D'OESTE</t>
        </is>
      </c>
      <c r="AJ172" t="inlineStr">
        <is>
          <t>Fabricação de pneumáticos e de câmaras-de-ar</t>
        </is>
      </c>
      <c r="AK172" t="inlineStr">
        <is>
          <t>DEMAIS</t>
        </is>
      </c>
      <c r="AL172" t="inlineStr">
        <is>
          <t>ATIVA</t>
        </is>
      </c>
      <c r="AM172" s="17" t="inlineStr">
        <is>
          <t>https://ajruiz.com.br/sites/default/files/public/arquivos-processos/2023-11/4_relacao_de_credores_analitica_art._51_iii_da_lre.pdf</t>
        </is>
      </c>
      <c r="AN172" s="18" t="inlineStr">
        <is>
          <t>p3 r12</t>
        </is>
      </c>
      <c r="AO172" s="18" t="inlineStr">
        <is>
          <t>p3: R$ 1.007.717,64</t>
        </is>
      </c>
      <c r="AP172" s="18" t="inlineStr">
        <is>
          <t>UNKNOWN</t>
        </is>
      </c>
      <c r="AQ172" s="18" t="inlineStr"/>
      <c r="AR172" s="18" t="inlineStr">
        <is>
          <t>OK</t>
        </is>
      </c>
      <c r="AS172" s="18" t="inlineStr">
        <is>
          <t>ROWS:p3r12 CASE_NUMBER_CORRECTED</t>
        </is>
      </c>
      <c r="AT172" s="18" t="inlineStr">
        <is>
          <t>2407a56c3502</t>
        </is>
      </c>
    </row>
    <row r="173">
      <c r="A173" s="9" t="n">
        <v>172</v>
      </c>
      <c r="B173" s="9" t="inlineStr">
        <is>
          <t>NEW</t>
        </is>
      </c>
      <c r="C173" s="9" t="inlineStr"/>
      <c r="D173" s="9" t="n">
        <v>0</v>
      </c>
      <c r="E173" s="9" t="inlineStr"/>
      <c r="F173" s="9" t="inlineStr"/>
      <c r="G173" s="9" t="inlineStr"/>
      <c r="H173" s="9" t="inlineStr"/>
      <c r="I173" t="inlineStr">
        <is>
          <t>MICROMAZZA INDUSTRIA DE VALVULAS LTDA</t>
        </is>
      </c>
      <c r="J173" t="inlineStr">
        <is>
          <t>Micromazza PMP Ltda</t>
        </is>
      </c>
      <c r="K173" t="inlineStr">
        <is>
          <t>72096100</t>
        </is>
      </c>
      <c r="L173" t="inlineStr">
        <is>
          <t>72096100000174</t>
        </is>
      </c>
      <c r="M173" s="10" t="n">
        <v>1006062.4</v>
      </c>
      <c r="N173" t="n">
        <v>1</v>
      </c>
      <c r="O173" s="11" t="inlineStr">
        <is>
          <t>B</t>
        </is>
      </c>
      <c r="P173" s="11" t="inlineStr"/>
      <c r="Q173" s="12" t="n">
        <v>45756</v>
      </c>
      <c r="R173" s="11">
        <f>IF(Q173="","",ROUND((TODAY()-Q173)/365.25,1))</f>
        <v/>
      </c>
      <c r="S173" s="13">
        <f>IFERROR(VLOOKUP(O173,Assumptions!$A$7:$F$11,2,FALSE),0.25)</f>
        <v/>
      </c>
      <c r="T173" s="14">
        <f>IF(O173="A",MAX(1,IFERROR(VLOOKUP(O173,Assumptions!$A$7:$F$11,3,FALSE),3)+IFERROR(VLOOKUP(O173,Assumptions!$A$7:$F$11,4,FALSE),8)/2-MAX(0,IF(R173="",0,R173)-IFERROR(VLOOKUP(O173,Assumptions!$A$7:$F$11,5,FALSE),1.5))),IFERROR(VLOOKUP(O173,Assumptions!$A$7:$F$11,5,FALSE),2.5)+IFERROR(VLOOKUP(O173,Assumptions!$A$7:$F$11,3,FALSE),3)+IFERROR(VLOOKUP(O173,Assumptions!$A$7:$F$11,4,FALSE),8)/2)</f>
        <v/>
      </c>
      <c r="U173" s="15">
        <f>M173*S173/(1+Assumptions!$B$3)^T173</f>
        <v/>
      </c>
      <c r="V173" s="11">
        <f>IF(M173=0,"",ROUND(U173/M173*100,1))</f>
        <v/>
      </c>
      <c r="W173" s="16">
        <f>U173*Assumptions!$B$4</f>
        <v/>
      </c>
      <c r="X173" s="11">
        <f>IF(M173=0,"",ROUND(W173/M173*100,1))</f>
        <v/>
      </c>
      <c r="Y173" t="inlineStr">
        <is>
          <t>GRUPO EGESA (EGESA ENG S.A, EGESUR PART E EMP S.A, MATRIX INFRA LTDA, BEMVIVER ENG AMBIENTAL E SERV LTDA, DKF CONST E EMP LTDA, EGEPEL LTDA, ETR ASSESSORIA EMP E PART LTDA, MVT ENG E SERV LTDA, PARQUES DO VALE LTDA, ELMO RIBEIRO E ANA RIBEIRO)</t>
        </is>
      </c>
      <c r="Z173" t="inlineStr">
        <is>
          <t>5088952-81.2025.8.13.0024</t>
        </is>
      </c>
      <c r="AA173" t="inlineStr">
        <is>
          <t>TJMG</t>
        </is>
      </c>
      <c r="AB173" t="inlineStr">
        <is>
          <t>scalzilliaj.com.br</t>
        </is>
      </c>
      <c r="AC173" t="inlineStr">
        <is>
          <t>FERNANDA CAMANA</t>
        </is>
      </c>
      <c r="AD173" t="inlineStr">
        <is>
          <t>Administrador</t>
        </is>
      </c>
      <c r="AE173" t="inlineStr">
        <is>
          <t>(54) 3447-2700</t>
        </is>
      </c>
      <c r="AF173" t="inlineStr"/>
      <c r="AG173" t="inlineStr"/>
      <c r="AH173" t="inlineStr">
        <is>
          <t>RS</t>
        </is>
      </c>
      <c r="AI173" t="inlineStr">
        <is>
          <t>VILA FLORES</t>
        </is>
      </c>
      <c r="AJ173" t="inlineStr">
        <is>
          <t>Fabricação de válvulas, registros e dispositivos semelhantes, peças e acessórios</t>
        </is>
      </c>
      <c r="AK173" t="inlineStr">
        <is>
          <t>DEMAIS</t>
        </is>
      </c>
      <c r="AL173" t="inlineStr">
        <is>
          <t>ATIVA</t>
        </is>
      </c>
      <c r="AM173" s="17" t="inlineStr">
        <is>
          <t>https://scalzilliaj.com.br/sgc/download.php?file=files/processo_documento/processo_documento09514021082025_1_.pdf&amp;nome=04 - Relação de credores das Recuperandas</t>
        </is>
      </c>
      <c r="AN173" s="18" t="inlineStr">
        <is>
          <t>p69 r18</t>
        </is>
      </c>
      <c r="AO173" s="18" t="inlineStr">
        <is>
          <t>p69: R$ 1.006.062,40</t>
        </is>
      </c>
      <c r="AP173" s="18" t="inlineStr">
        <is>
          <t>DEBTOR_LIST</t>
        </is>
      </c>
      <c r="AQ173" s="18" t="inlineStr"/>
      <c r="AR173" s="18" t="inlineStr">
        <is>
          <t>OK</t>
        </is>
      </c>
      <c r="AS173" s="18" t="inlineStr">
        <is>
          <t>ROWS:p69r18 VALUE_COL:Valor_Atualizado CASE_NUMBER_CORRECTED CASE_FROM_PORTAL</t>
        </is>
      </c>
      <c r="AT173" s="18" t="inlineStr">
        <is>
          <t>24ed98480a57</t>
        </is>
      </c>
    </row>
    <row r="174">
      <c r="A174" s="9" t="n">
        <v>173</v>
      </c>
      <c r="B174" s="9" t="inlineStr">
        <is>
          <t>NEW</t>
        </is>
      </c>
      <c r="C174" s="9" t="inlineStr"/>
      <c r="D174" s="9" t="n">
        <v>0</v>
      </c>
      <c r="E174" s="9" t="inlineStr"/>
      <c r="F174" s="9" t="inlineStr"/>
      <c r="G174" s="9" t="inlineStr"/>
      <c r="H174" s="9" t="inlineStr"/>
      <c r="I174" t="inlineStr">
        <is>
          <t>INDUSTRIA E COMERCIO DE PRODUTOS AGRICOLAS NEWFERT LTDA</t>
        </is>
      </c>
      <c r="J174" t="inlineStr">
        <is>
          <t>IND. E COM. DE PRODUTOS AGRICOLAS NEWFERT LTDA - ME</t>
        </is>
      </c>
      <c r="K174" t="inlineStr">
        <is>
          <t>32847622</t>
        </is>
      </c>
      <c r="L174" t="inlineStr">
        <is>
          <t>32847622000146</t>
        </is>
      </c>
      <c r="M174" s="10" t="n">
        <v>1002340</v>
      </c>
      <c r="N174" t="n">
        <v>1</v>
      </c>
      <c r="O174" s="11" t="inlineStr">
        <is>
          <t>B</t>
        </is>
      </c>
      <c r="P174" s="11" t="inlineStr">
        <is>
          <t>ACTIVE</t>
        </is>
      </c>
      <c r="Q174" s="12" t="n">
        <v>45625</v>
      </c>
      <c r="R174" s="11">
        <f>IF(Q174="","",ROUND((TODAY()-Q174)/365.25,1))</f>
        <v/>
      </c>
      <c r="S174" s="13">
        <f>IFERROR(VLOOKUP(O174,Assumptions!$A$7:$F$11,2,FALSE),0.25)</f>
        <v/>
      </c>
      <c r="T174" s="14">
        <f>IF(O174="A",MAX(1,IFERROR(VLOOKUP(O174,Assumptions!$A$7:$F$11,3,FALSE),3)+IFERROR(VLOOKUP(O174,Assumptions!$A$7:$F$11,4,FALSE),8)/2-MAX(0,IF(R174="",0,R174)-IFERROR(VLOOKUP(O174,Assumptions!$A$7:$F$11,5,FALSE),1.5))),IFERROR(VLOOKUP(O174,Assumptions!$A$7:$F$11,5,FALSE),2.5)+IFERROR(VLOOKUP(O174,Assumptions!$A$7:$F$11,3,FALSE),3)+IFERROR(VLOOKUP(O174,Assumptions!$A$7:$F$11,4,FALSE),8)/2)</f>
        <v/>
      </c>
      <c r="U174" s="15">
        <f>M174*S174/(1+Assumptions!$B$3)^T174</f>
        <v/>
      </c>
      <c r="V174" s="11">
        <f>IF(M174=0,"",ROUND(U174/M174*100,1))</f>
        <v/>
      </c>
      <c r="W174" s="16">
        <f>U174*Assumptions!$B$4</f>
        <v/>
      </c>
      <c r="X174" s="11">
        <f>IF(M174=0,"",ROUND(W174/M174*100,1))</f>
        <v/>
      </c>
      <c r="Y174" t="inlineStr">
        <is>
          <t>Agroforte Agropecuaria Ltda</t>
        </is>
      </c>
      <c r="Z174" t="inlineStr">
        <is>
          <t>0031120-52.2024.8.16.0017</t>
        </is>
      </c>
      <c r="AA174" t="inlineStr">
        <is>
          <t>TJPR</t>
        </is>
      </c>
      <c r="AB174" t="inlineStr">
        <is>
          <t>marquesadmjudicial.com.br</t>
        </is>
      </c>
      <c r="AC174" t="inlineStr">
        <is>
          <t>LUIS HIDEKI TAKAHARA</t>
        </is>
      </c>
      <c r="AD174" t="inlineStr">
        <is>
          <t>Sócio-Administrador</t>
        </is>
      </c>
      <c r="AE174" t="inlineStr">
        <is>
          <t>(45) 4102-0950</t>
        </is>
      </c>
      <c r="AF174" t="inlineStr"/>
      <c r="AG174" t="inlineStr"/>
      <c r="AH174" t="inlineStr">
        <is>
          <t>MG</t>
        </is>
      </c>
      <c r="AI174" t="inlineStr">
        <is>
          <t>PIRAJUBA</t>
        </is>
      </c>
      <c r="AJ174" t="inlineStr">
        <is>
          <t>Fabricação de adubos e fertilizantes, exceto organo-minerais</t>
        </is>
      </c>
      <c r="AK174" t="inlineStr">
        <is>
          <t>EMPRESA DE PEQUENO PORTE</t>
        </is>
      </c>
      <c r="AL174" t="inlineStr">
        <is>
          <t>ATIVA</t>
        </is>
      </c>
      <c r="AM174" s="17" t="inlineStr">
        <is>
          <t>https://marquesadmjudicial.com.br/sgc/download.php?file=files/processo_documento/processo_documento11370527032026_1_.pdf&amp;nome=Quadro Geral de Credores (QGC) -AJ Anterior</t>
        </is>
      </c>
      <c r="AN174" s="18" t="inlineStr">
        <is>
          <t>p2 r5</t>
        </is>
      </c>
      <c r="AO174" s="18" t="inlineStr">
        <is>
          <t>p2: R$ 1.002.340,00</t>
        </is>
      </c>
      <c r="AP174" s="18" t="inlineStr">
        <is>
          <t>QGC</t>
        </is>
      </c>
      <c r="AQ174" s="18" t="inlineStr">
        <is>
          <t>2025-09-22</t>
        </is>
      </c>
      <c r="AR174" s="18" t="inlineStr">
        <is>
          <t>QUARANTINED</t>
        </is>
      </c>
      <c r="AS174" s="18" t="inlineStr">
        <is>
          <t>PARTIAL_DOC_CLASS_III_RECONCILED ROWS:p2r5</t>
        </is>
      </c>
      <c r="AT174" s="18" t="inlineStr">
        <is>
          <t>200afc9e12c1</t>
        </is>
      </c>
    </row>
    <row r="175">
      <c r="A175" s="9" t="n">
        <v>174</v>
      </c>
      <c r="B175" s="9" t="inlineStr">
        <is>
          <t>NEW</t>
        </is>
      </c>
      <c r="C175" s="9" t="inlineStr"/>
      <c r="D175" s="9" t="n">
        <v>0</v>
      </c>
      <c r="E175" s="9" t="inlineStr"/>
      <c r="F175" s="9" t="inlineStr"/>
      <c r="G175" s="9" t="inlineStr"/>
      <c r="H175" s="9" t="inlineStr"/>
      <c r="I175" t="inlineStr">
        <is>
          <t>NAZCA DISTRIBUIDORA DE COSMETICOS LTDA</t>
        </is>
      </c>
      <c r="J175" t="inlineStr">
        <is>
          <t>Nazca Distribuidora de Cosmeticos Ltda</t>
        </is>
      </c>
      <c r="K175" t="inlineStr">
        <is>
          <t>08509682</t>
        </is>
      </c>
      <c r="L175" t="inlineStr">
        <is>
          <t>08509682000174</t>
        </is>
      </c>
      <c r="M175" s="10" t="n">
        <v>999930.72</v>
      </c>
      <c r="N175" t="n">
        <v>1</v>
      </c>
      <c r="O175" s="11" t="inlineStr">
        <is>
          <t>C</t>
        </is>
      </c>
      <c r="P175" s="11" t="inlineStr">
        <is>
          <t>ACTIVE</t>
        </is>
      </c>
      <c r="Q175" s="12" t="n">
        <v>44987</v>
      </c>
      <c r="R175" s="11">
        <f>IF(Q175="","",ROUND((TODAY()-Q175)/365.25,1))</f>
        <v/>
      </c>
      <c r="S175" s="13">
        <f>IFERROR(VLOOKUP(O175,Assumptions!$A$7:$F$11,2,FALSE),0.25)</f>
        <v/>
      </c>
      <c r="T175" s="14">
        <f>IF(O175="A",MAX(1,IFERROR(VLOOKUP(O175,Assumptions!$A$7:$F$11,3,FALSE),3)+IFERROR(VLOOKUP(O175,Assumptions!$A$7:$F$11,4,FALSE),8)/2-MAX(0,IF(R175="",0,R175)-IFERROR(VLOOKUP(O175,Assumptions!$A$7:$F$11,5,FALSE),1.5))),IFERROR(VLOOKUP(O175,Assumptions!$A$7:$F$11,5,FALSE),2.5)+IFERROR(VLOOKUP(O175,Assumptions!$A$7:$F$11,3,FALSE),3)+IFERROR(VLOOKUP(O175,Assumptions!$A$7:$F$11,4,FALSE),8)/2)</f>
        <v/>
      </c>
      <c r="U175" s="15">
        <f>M175*S175/(1+Assumptions!$B$3)^T175</f>
        <v/>
      </c>
      <c r="V175" s="11">
        <f>IF(M175=0,"",ROUND(U175/M175*100,1))</f>
        <v/>
      </c>
      <c r="W175" s="16">
        <f>U175*Assumptions!$B$4</f>
        <v/>
      </c>
      <c r="X175" s="11">
        <f>IF(M175=0,"",ROUND(W175/M175*100,1))</f>
        <v/>
      </c>
      <c r="Y175" t="inlineStr">
        <is>
          <t>GRUPO DP4</t>
        </is>
      </c>
      <c r="Z175" t="inlineStr">
        <is>
          <t>0005010-98.2023.8.16.0001</t>
        </is>
      </c>
      <c r="AA175" t="inlineStr">
        <is>
          <t>TJPR</t>
        </is>
      </c>
      <c r="AB175" t="inlineStr">
        <is>
          <t>marquesadmjudicial.com.br</t>
        </is>
      </c>
      <c r="AC175" t="inlineStr">
        <is>
          <t>JOSE DURVAL CARINHATO</t>
        </is>
      </c>
      <c r="AD175" t="inlineStr">
        <is>
          <t>Administrador</t>
        </is>
      </c>
      <c r="AE175" t="inlineStr">
        <is>
          <t>(11) 4061-6000</t>
        </is>
      </c>
      <c r="AF175" t="inlineStr"/>
      <c r="AG175" t="inlineStr"/>
      <c r="AH175" t="inlineStr">
        <is>
          <t>SP</t>
        </is>
      </c>
      <c r="AI175" t="inlineStr">
        <is>
          <t>DIADEMA</t>
        </is>
      </c>
      <c r="AJ175" t="inlineStr">
        <is>
          <t>Comércio atacadista de cosméticos e produtos de perfumaria</t>
        </is>
      </c>
      <c r="AK175" t="inlineStr">
        <is>
          <t>DEMAIS</t>
        </is>
      </c>
      <c r="AL175" t="inlineStr">
        <is>
          <t>ATIVA</t>
        </is>
      </c>
      <c r="AM175" s="17" t="inlineStr">
        <is>
          <t>https://marquesadmjudicial.com.br/sgc/download.php?file=files/processo_documento/processo_documento15293208032024_1_.pdf&amp;nome=Relação Nominal de Credores da AJ-Sintética</t>
        </is>
      </c>
      <c r="AN175" s="18" t="inlineStr">
        <is>
          <t>p29 r11</t>
        </is>
      </c>
      <c r="AO175" s="18" t="inlineStr">
        <is>
          <t>p29: R$ 999.930,72</t>
        </is>
      </c>
      <c r="AP175" s="18" t="inlineStr">
        <is>
          <t>AJ_LIST</t>
        </is>
      </c>
      <c r="AQ175" s="18" t="inlineStr">
        <is>
          <t>2023-03-02</t>
        </is>
      </c>
      <c r="AR175" s="18" t="inlineStr">
        <is>
          <t>QUARANTINED</t>
        </is>
      </c>
      <c r="AS175" s="18" t="inlineStr">
        <is>
          <t>PARTIAL_DOC_CLASS_III_RECONCILED ROWS:p29r11</t>
        </is>
      </c>
      <c r="AT175" s="18" t="inlineStr">
        <is>
          <t>b465a5d11eec</t>
        </is>
      </c>
    </row>
    <row r="176">
      <c r="A176" s="9" t="n">
        <v>175</v>
      </c>
      <c r="B176" s="9" t="inlineStr">
        <is>
          <t>NEW</t>
        </is>
      </c>
      <c r="C176" s="9" t="inlineStr"/>
      <c r="D176" s="9" t="n">
        <v>0</v>
      </c>
      <c r="E176" s="9" t="inlineStr"/>
      <c r="F176" s="9" t="inlineStr"/>
      <c r="G176" s="9" t="inlineStr"/>
      <c r="H176" s="9" t="inlineStr"/>
      <c r="I176" t="inlineStr">
        <is>
          <t>DOW BRASIL SUDESTE INDUSTRIAL LTDA.</t>
        </is>
      </c>
      <c r="J176" t="inlineStr">
        <is>
          <t>DOW BRASIL SUDESTE INDUSTRIAL LTDA</t>
        </is>
      </c>
      <c r="K176" t="inlineStr">
        <is>
          <t>53877627</t>
        </is>
      </c>
      <c r="L176" t="inlineStr">
        <is>
          <t>53877627000949</t>
        </is>
      </c>
      <c r="M176" s="10" t="n">
        <v>994732.16</v>
      </c>
      <c r="N176" t="n">
        <v>1</v>
      </c>
      <c r="O176" s="11" t="inlineStr">
        <is>
          <t>D</t>
        </is>
      </c>
      <c r="P176" s="11" t="inlineStr"/>
      <c r="Q176" s="12" t="inlineStr"/>
      <c r="R176" s="11">
        <f>IF(Q176="","",ROUND((TODAY()-Q176)/365.25,1))</f>
        <v/>
      </c>
      <c r="S176" s="13">
        <f>IFERROR(VLOOKUP(O176,Assumptions!$A$7:$F$11,2,FALSE),0.25)</f>
        <v/>
      </c>
      <c r="T176" s="14">
        <f>IF(O176="A",MAX(1,IFERROR(VLOOKUP(O176,Assumptions!$A$7:$F$11,3,FALSE),3)+IFERROR(VLOOKUP(O176,Assumptions!$A$7:$F$11,4,FALSE),8)/2-MAX(0,IF(R176="",0,R176)-IFERROR(VLOOKUP(O176,Assumptions!$A$7:$F$11,5,FALSE),1.5))),IFERROR(VLOOKUP(O176,Assumptions!$A$7:$F$11,5,FALSE),2.5)+IFERROR(VLOOKUP(O176,Assumptions!$A$7:$F$11,3,FALSE),3)+IFERROR(VLOOKUP(O176,Assumptions!$A$7:$F$11,4,FALSE),8)/2)</f>
        <v/>
      </c>
      <c r="U176" s="15">
        <f>M176*S176/(1+Assumptions!$B$3)^T176</f>
        <v/>
      </c>
      <c r="V176" s="11">
        <f>IF(M176=0,"",ROUND(U176/M176*100,1))</f>
        <v/>
      </c>
      <c r="W176" s="16">
        <f>U176*Assumptions!$B$4</f>
        <v/>
      </c>
      <c r="X176" s="11">
        <f>IF(M176=0,"",ROUND(W176/M176*100,1))</f>
        <v/>
      </c>
      <c r="Y176" t="inlineStr">
        <is>
          <t>Mannes</t>
        </is>
      </c>
      <c r="Z176" t="inlineStr">
        <is>
          <t>0005010-50.2013.8.24.0026</t>
        </is>
      </c>
      <c r="AA176" t="inlineStr"/>
      <c r="AB176" t="inlineStr">
        <is>
          <t>administradorajudicialgs.com.br</t>
        </is>
      </c>
      <c r="AC176" t="inlineStr">
        <is>
          <t>BRUNA PELLEGRINO GENTILE</t>
        </is>
      </c>
      <c r="AD176" t="inlineStr">
        <is>
          <t>Administrador</t>
        </is>
      </c>
      <c r="AE176" t="inlineStr">
        <is>
          <t>(11) 5188-9184</t>
        </is>
      </c>
      <c r="AF176" t="inlineStr"/>
      <c r="AG176" t="inlineStr"/>
      <c r="AH176" t="inlineStr">
        <is>
          <t>SP</t>
        </is>
      </c>
      <c r="AI176" t="inlineStr">
        <is>
          <t>SAO PAULO</t>
        </is>
      </c>
      <c r="AJ176" t="inlineStr">
        <is>
          <t>Fabricação de resinas termoplásticas</t>
        </is>
      </c>
      <c r="AK176" t="inlineStr">
        <is>
          <t>DEMAIS</t>
        </is>
      </c>
      <c r="AL176" t="inlineStr">
        <is>
          <t>ATIVA</t>
        </is>
      </c>
      <c r="AM176" s="17" t="inlineStr">
        <is>
          <t>https://administradorajudicialgs.com.br/wp-content/uploads/2024/12/relacao-de-credores-da-falida.pdf</t>
        </is>
      </c>
      <c r="AN176" s="18" t="inlineStr">
        <is>
          <t>p14 r12</t>
        </is>
      </c>
      <c r="AO176" s="18" t="inlineStr">
        <is>
          <t>p14: R$ 994.732,16</t>
        </is>
      </c>
      <c r="AP176" s="18" t="inlineStr">
        <is>
          <t>OTHER</t>
        </is>
      </c>
      <c r="AQ176" s="18" t="inlineStr">
        <is>
          <t>2025-03-25</t>
        </is>
      </c>
      <c r="AR176" s="18" t="inlineStr">
        <is>
          <t>OK_NO_TOTALS</t>
        </is>
      </c>
      <c r="AS176" s="18" t="inlineStr">
        <is>
          <t>ROWS:p14r12 UNRECONCILED_SOURCE CASE_NUMBER_CORRECTED</t>
        </is>
      </c>
      <c r="AT176" s="18" t="inlineStr">
        <is>
          <t>ea17ba43b261</t>
        </is>
      </c>
    </row>
    <row r="177">
      <c r="A177" s="9" t="n">
        <v>176</v>
      </c>
      <c r="B177" s="9" t="inlineStr">
        <is>
          <t>NEW</t>
        </is>
      </c>
      <c r="C177" s="9" t="inlineStr"/>
      <c r="D177" s="9" t="n">
        <v>0</v>
      </c>
      <c r="E177" s="9" t="inlineStr"/>
      <c r="F177" s="9" t="inlineStr"/>
      <c r="G177" s="9" t="inlineStr"/>
      <c r="H177" s="9" t="inlineStr"/>
      <c r="I177" t="inlineStr">
        <is>
          <t>AT PLAN ASSISTENCIA TECNICA PLANEJ E MONTAGENS LTDA</t>
        </is>
      </c>
      <c r="J177" t="inlineStr">
        <is>
          <t>AT Plan Assistência Técnica Planejamento e Montagens Ltda</t>
        </is>
      </c>
      <c r="K177" t="inlineStr">
        <is>
          <t>58099458</t>
        </is>
      </c>
      <c r="L177" t="inlineStr">
        <is>
          <t>58099458000120</t>
        </is>
      </c>
      <c r="M177" s="10" t="n">
        <v>980241.47</v>
      </c>
      <c r="N177" t="n">
        <v>1</v>
      </c>
      <c r="O177" s="11" t="inlineStr">
        <is>
          <t>B</t>
        </is>
      </c>
      <c r="P177" s="11" t="inlineStr"/>
      <c r="Q177" s="12" t="n">
        <v>45756</v>
      </c>
      <c r="R177" s="11">
        <f>IF(Q177="","",ROUND((TODAY()-Q177)/365.25,1))</f>
        <v/>
      </c>
      <c r="S177" s="13">
        <f>IFERROR(VLOOKUP(O177,Assumptions!$A$7:$F$11,2,FALSE),0.25)</f>
        <v/>
      </c>
      <c r="T177" s="14">
        <f>IF(O177="A",MAX(1,IFERROR(VLOOKUP(O177,Assumptions!$A$7:$F$11,3,FALSE),3)+IFERROR(VLOOKUP(O177,Assumptions!$A$7:$F$11,4,FALSE),8)/2-MAX(0,IF(R177="",0,R177)-IFERROR(VLOOKUP(O177,Assumptions!$A$7:$F$11,5,FALSE),1.5))),IFERROR(VLOOKUP(O177,Assumptions!$A$7:$F$11,5,FALSE),2.5)+IFERROR(VLOOKUP(O177,Assumptions!$A$7:$F$11,3,FALSE),3)+IFERROR(VLOOKUP(O177,Assumptions!$A$7:$F$11,4,FALSE),8)/2)</f>
        <v/>
      </c>
      <c r="U177" s="15">
        <f>M177*S177/(1+Assumptions!$B$3)^T177</f>
        <v/>
      </c>
      <c r="V177" s="11">
        <f>IF(M177=0,"",ROUND(U177/M177*100,1))</f>
        <v/>
      </c>
      <c r="W177" s="16">
        <f>U177*Assumptions!$B$4</f>
        <v/>
      </c>
      <c r="X177" s="11">
        <f>IF(M177=0,"",ROUND(W177/M177*100,1))</f>
        <v/>
      </c>
      <c r="Y177" t="inlineStr">
        <is>
          <t>GRUPO EGESA (EGESA ENG S.A, EGESUR PART E EMP S.A, MATRIX INFRA LTDA, BEMVIVER ENG AMBIENTAL E SERV LTDA, DKF CONST E EMP LTDA, EGEPEL LTDA, ETR ASSESSORIA EMP E PART LTDA, MVT ENG E SERV LTDA, PARQUES DO VALE LTDA, ELMO RIBEIRO E ANA RIBEIRO)</t>
        </is>
      </c>
      <c r="Z177" t="inlineStr">
        <is>
          <t>5088952-81.2025.8.13.0024</t>
        </is>
      </c>
      <c r="AA177" t="inlineStr">
        <is>
          <t>TJMG</t>
        </is>
      </c>
      <c r="AB177" t="inlineStr">
        <is>
          <t>scalzilliaj.com.br</t>
        </is>
      </c>
      <c r="AC177" t="inlineStr">
        <is>
          <t>NEWTON AMARES BUENO</t>
        </is>
      </c>
      <c r="AD177" t="inlineStr">
        <is>
          <t>Sócio-Administrador</t>
        </is>
      </c>
      <c r="AE177" t="inlineStr">
        <is>
          <t>(11) 3837-9673</t>
        </is>
      </c>
      <c r="AF177" t="inlineStr"/>
      <c r="AG177" t="inlineStr"/>
      <c r="AH177" t="inlineStr">
        <is>
          <t>SP</t>
        </is>
      </c>
      <c r="AI177" t="inlineStr">
        <is>
          <t>SANTANA DE PARNAIBA</t>
        </is>
      </c>
      <c r="AJ177" t="inlineStr">
        <is>
          <t>Manutenção e reparação de máquinas e aparelhos de refrigeração e ventilação para uso industrial e comercial</t>
        </is>
      </c>
      <c r="AK177" t="inlineStr">
        <is>
          <t>DEMAIS</t>
        </is>
      </c>
      <c r="AL177" t="inlineStr">
        <is>
          <t>ATIVA</t>
        </is>
      </c>
      <c r="AM177" s="17" t="inlineStr">
        <is>
          <t>https://scalzilliaj.com.br/sgc/download.php?file=files/processo_documento/processo_documento09514021082025_1_.pdf&amp;nome=04 - Relação de credores das Recuperandas</t>
        </is>
      </c>
      <c r="AN177" s="18" t="inlineStr">
        <is>
          <t>p62 r13</t>
        </is>
      </c>
      <c r="AO177" s="18" t="inlineStr">
        <is>
          <t>p62: R$ 980.241,47</t>
        </is>
      </c>
      <c r="AP177" s="18" t="inlineStr">
        <is>
          <t>DEBTOR_LIST</t>
        </is>
      </c>
      <c r="AQ177" s="18" t="inlineStr"/>
      <c r="AR177" s="18" t="inlineStr">
        <is>
          <t>OK</t>
        </is>
      </c>
      <c r="AS177" s="18" t="inlineStr">
        <is>
          <t>ROWS:p62r13 VALUE_COL:Valor_Atualizado CASE_NUMBER_CORRECTED CASE_FROM_PORTAL</t>
        </is>
      </c>
      <c r="AT177" s="18" t="inlineStr">
        <is>
          <t>24ed98480a57</t>
        </is>
      </c>
    </row>
    <row r="178">
      <c r="A178" s="9" t="n">
        <v>177</v>
      </c>
      <c r="B178" s="9" t="inlineStr">
        <is>
          <t>NEW</t>
        </is>
      </c>
      <c r="C178" s="9" t="inlineStr"/>
      <c r="D178" s="9" t="n">
        <v>0</v>
      </c>
      <c r="E178" s="9" t="inlineStr"/>
      <c r="F178" s="9" t="inlineStr"/>
      <c r="G178" s="9" t="inlineStr"/>
      <c r="H178" s="9" t="inlineStr"/>
      <c r="I178" t="inlineStr">
        <is>
          <t>COOPERATIVA AGROINDUSTRIAL TRADICAO</t>
        </is>
      </c>
      <c r="J178" t="inlineStr">
        <is>
          <t>2.22COOPERATIVA AGROPECUÁRIA TRADIÇÃO</t>
        </is>
      </c>
      <c r="K178" t="inlineStr">
        <is>
          <t>05528196</t>
        </is>
      </c>
      <c r="L178" t="inlineStr">
        <is>
          <t>05528196001691</t>
        </is>
      </c>
      <c r="M178" s="10" t="n">
        <v>979566</v>
      </c>
      <c r="N178" t="n">
        <v>1</v>
      </c>
      <c r="O178" s="11" t="inlineStr">
        <is>
          <t>B</t>
        </is>
      </c>
      <c r="P178" s="11" t="inlineStr">
        <is>
          <t>ACTIVE</t>
        </is>
      </c>
      <c r="Q178" s="12" t="n">
        <v>45534</v>
      </c>
      <c r="R178" s="11">
        <f>IF(Q178="","",ROUND((TODAY()-Q178)/365.25,1))</f>
        <v/>
      </c>
      <c r="S178" s="13">
        <f>IFERROR(VLOOKUP(O178,Assumptions!$A$7:$F$11,2,FALSE),0.25)</f>
        <v/>
      </c>
      <c r="T178" s="14">
        <f>IF(O178="A",MAX(1,IFERROR(VLOOKUP(O178,Assumptions!$A$7:$F$11,3,FALSE),3)+IFERROR(VLOOKUP(O178,Assumptions!$A$7:$F$11,4,FALSE),8)/2-MAX(0,IF(R178="",0,R178)-IFERROR(VLOOKUP(O178,Assumptions!$A$7:$F$11,5,FALSE),1.5))),IFERROR(VLOOKUP(O178,Assumptions!$A$7:$F$11,5,FALSE),2.5)+IFERROR(VLOOKUP(O178,Assumptions!$A$7:$F$11,3,FALSE),3)+IFERROR(VLOOKUP(O178,Assumptions!$A$7:$F$11,4,FALSE),8)/2)</f>
        <v/>
      </c>
      <c r="U178" s="15">
        <f>M178*S178/(1+Assumptions!$B$3)^T178</f>
        <v/>
      </c>
      <c r="V178" s="11">
        <f>IF(M178=0,"",ROUND(U178/M178*100,1))</f>
        <v/>
      </c>
      <c r="W178" s="16">
        <f>U178*Assumptions!$B$4</f>
        <v/>
      </c>
      <c r="X178" s="11">
        <f>IF(M178=0,"",ROUND(W178/M178*100,1))</f>
        <v/>
      </c>
      <c r="Y178" t="inlineStr">
        <is>
          <t>SUINOCULTURA KUNZLER</t>
        </is>
      </c>
      <c r="Z178" t="inlineStr">
        <is>
          <t>5009149-92.2024.8.24.0019</t>
        </is>
      </c>
      <c r="AA178" t="inlineStr">
        <is>
          <t>TJSC</t>
        </is>
      </c>
      <c r="AB178" t="inlineStr">
        <is>
          <t>rlg-aj.com.br</t>
        </is>
      </c>
      <c r="AC178" t="inlineStr">
        <is>
          <t>FERNANDO ALAN TONUS</t>
        </is>
      </c>
      <c r="AD178" t="inlineStr">
        <is>
          <t>Presidente</t>
        </is>
      </c>
      <c r="AE178" t="inlineStr">
        <is>
          <t>(46) 3220-2000</t>
        </is>
      </c>
      <c r="AF178" t="inlineStr"/>
      <c r="AG178" t="inlineStr"/>
      <c r="AH178" t="inlineStr">
        <is>
          <t>PR</t>
        </is>
      </c>
      <c r="AI178" t="inlineStr">
        <is>
          <t>PATO BRANCO</t>
        </is>
      </c>
      <c r="AJ178" t="inlineStr">
        <is>
          <t>Comércio atacadista de defensivos agrícolas, adubos, fertilizantes e corretivos do solo</t>
        </is>
      </c>
      <c r="AK178" t="inlineStr">
        <is>
          <t>DEMAIS</t>
        </is>
      </c>
      <c r="AL178" t="inlineStr">
        <is>
          <t>ATIVA</t>
        </is>
      </c>
      <c r="AM178" s="17" t="inlineStr">
        <is>
          <t>https://rlg-aj.com.br/wp-content/uploads/2024/11/07.-Relação-de-credores.pdf</t>
        </is>
      </c>
      <c r="AN178" s="18" t="inlineStr">
        <is>
          <t>p1 r28</t>
        </is>
      </c>
      <c r="AO178" s="18" t="inlineStr">
        <is>
          <t>p1: R$ 979.566,00</t>
        </is>
      </c>
      <c r="AP178" s="18" t="inlineStr">
        <is>
          <t>UNKNOWN</t>
        </is>
      </c>
      <c r="AQ178" s="18" t="inlineStr"/>
      <c r="AR178" s="18" t="inlineStr">
        <is>
          <t>OK_NO_TOTALS</t>
        </is>
      </c>
      <c r="AS178" s="18" t="inlineStr">
        <is>
          <t>ROWS:p1r28 UNRECONCILED_SOURCE</t>
        </is>
      </c>
      <c r="AT178" s="18" t="inlineStr">
        <is>
          <t>a62ac8ee0458</t>
        </is>
      </c>
    </row>
    <row r="179">
      <c r="A179" s="9" t="n">
        <v>178</v>
      </c>
      <c r="B179" s="9" t="inlineStr">
        <is>
          <t>NEW</t>
        </is>
      </c>
      <c r="C179" s="9" t="inlineStr"/>
      <c r="D179" s="9" t="n">
        <v>0</v>
      </c>
      <c r="E179" s="9" t="inlineStr"/>
      <c r="F179" s="9" t="inlineStr"/>
      <c r="G179" s="9" t="inlineStr"/>
      <c r="H179" s="9" t="inlineStr"/>
      <c r="I179" t="inlineStr">
        <is>
          <t>MINERAX - MINERACAO XAMBIOA LTDA</t>
        </is>
      </c>
      <c r="J179" t="inlineStr">
        <is>
          <t>MINERACAO XAMBIOA LTDA</t>
        </is>
      </c>
      <c r="K179" t="inlineStr">
        <is>
          <t>08886407</t>
        </is>
      </c>
      <c r="L179" t="inlineStr">
        <is>
          <t>08886407000170</t>
        </is>
      </c>
      <c r="M179" s="10" t="n">
        <v>962991.9</v>
      </c>
      <c r="N179" t="n">
        <v>1</v>
      </c>
      <c r="O179" s="11" t="inlineStr">
        <is>
          <t>B</t>
        </is>
      </c>
      <c r="P179" s="11" t="inlineStr">
        <is>
          <t>ACTIVE</t>
        </is>
      </c>
      <c r="Q179" s="12" t="n">
        <v>45845</v>
      </c>
      <c r="R179" s="11">
        <f>IF(Q179="","",ROUND((TODAY()-Q179)/365.25,1))</f>
        <v/>
      </c>
      <c r="S179" s="13">
        <f>IFERROR(VLOOKUP(O179,Assumptions!$A$7:$F$11,2,FALSE),0.25)</f>
        <v/>
      </c>
      <c r="T179" s="14">
        <f>IF(O179="A",MAX(1,IFERROR(VLOOKUP(O179,Assumptions!$A$7:$F$11,3,FALSE),3)+IFERROR(VLOOKUP(O179,Assumptions!$A$7:$F$11,4,FALSE),8)/2-MAX(0,IF(R179="",0,R179)-IFERROR(VLOOKUP(O179,Assumptions!$A$7:$F$11,5,FALSE),1.5))),IFERROR(VLOOKUP(O179,Assumptions!$A$7:$F$11,5,FALSE),2.5)+IFERROR(VLOOKUP(O179,Assumptions!$A$7:$F$11,3,FALSE),3)+IFERROR(VLOOKUP(O179,Assumptions!$A$7:$F$11,4,FALSE),8)/2)</f>
        <v/>
      </c>
      <c r="U179" s="15">
        <f>M179*S179/(1+Assumptions!$B$3)^T179</f>
        <v/>
      </c>
      <c r="V179" s="11">
        <f>IF(M179=0,"",ROUND(U179/M179*100,1))</f>
        <v/>
      </c>
      <c r="W179" s="16">
        <f>U179*Assumptions!$B$4</f>
        <v/>
      </c>
      <c r="X179" s="11">
        <f>IF(M179=0,"",ROUND(W179/M179*100,1))</f>
        <v/>
      </c>
      <c r="Y179" t="inlineStr">
        <is>
          <t>SOJAL COMERCIAL AGRICOLA LTDA e OUTROS</t>
        </is>
      </c>
      <c r="Z179" t="inlineStr">
        <is>
          <t>0804401-51.2025.8.14.0039</t>
        </is>
      </c>
      <c r="AA179" t="inlineStr">
        <is>
          <t>TJPA</t>
        </is>
      </c>
      <c r="AB179" t="inlineStr">
        <is>
          <t>lrflideres.com.br</t>
        </is>
      </c>
      <c r="AC179" t="inlineStr">
        <is>
          <t>FRANCISCO MIGUEL HENDGES</t>
        </is>
      </c>
      <c r="AD179" t="inlineStr">
        <is>
          <t>Administrador</t>
        </is>
      </c>
      <c r="AE179" t="inlineStr">
        <is>
          <t>(63) 3415-8500</t>
        </is>
      </c>
      <c r="AF179" t="inlineStr"/>
      <c r="AG179" t="inlineStr"/>
      <c r="AH179" t="inlineStr">
        <is>
          <t>TO</t>
        </is>
      </c>
      <c r="AI179" t="inlineStr">
        <is>
          <t>XAMBIOA</t>
        </is>
      </c>
      <c r="AJ179" t="inlineStr">
        <is>
          <t>Extração de calcário e dolomita e beneficiamento associado</t>
        </is>
      </c>
      <c r="AK179" t="inlineStr">
        <is>
          <t>DEMAIS</t>
        </is>
      </c>
      <c r="AL179" t="inlineStr">
        <is>
          <t>ATIVA</t>
        </is>
      </c>
      <c r="AM179" s="17" t="inlineStr">
        <is>
          <t>https://lrflideres.com.br/wp-content/plugins/download-attachments/includes/download.php?id=6879</t>
        </is>
      </c>
      <c r="AN179" s="18" t="inlineStr">
        <is>
          <t>p2 r4</t>
        </is>
      </c>
      <c r="AO179" s="18" t="inlineStr">
        <is>
          <t>p2: R$ 962.991,90</t>
        </is>
      </c>
      <c r="AP179" s="18" t="inlineStr">
        <is>
          <t>AJ_LIST</t>
        </is>
      </c>
      <c r="AQ179" s="18" t="inlineStr">
        <is>
          <t>2026-01-15</t>
        </is>
      </c>
      <c r="AR179" s="18" t="inlineStr">
        <is>
          <t>OK</t>
        </is>
      </c>
      <c r="AS179" s="18" t="inlineStr">
        <is>
          <t>ROWS:p2r4</t>
        </is>
      </c>
      <c r="AT179" s="18" t="inlineStr">
        <is>
          <t>c56751547323</t>
        </is>
      </c>
    </row>
    <row r="180">
      <c r="A180" s="9" t="n">
        <v>179</v>
      </c>
      <c r="B180" s="9" t="inlineStr">
        <is>
          <t>NEW</t>
        </is>
      </c>
      <c r="C180" s="9" t="inlineStr"/>
      <c r="D180" s="9" t="n">
        <v>0</v>
      </c>
      <c r="E180" s="9" t="inlineStr"/>
      <c r="F180" s="9" t="inlineStr"/>
      <c r="G180" s="9" t="inlineStr"/>
      <c r="H180" s="9" t="inlineStr"/>
      <c r="I180" t="inlineStr">
        <is>
          <t>PILLARES PROJETOS E CONSTRUCOES LTDA</t>
        </is>
      </c>
      <c r="J180" t="inlineStr">
        <is>
          <t>PILLARES PROJETOS E CONSTRUÇÕES</t>
        </is>
      </c>
      <c r="K180" t="inlineStr">
        <is>
          <t>83195628</t>
        </is>
      </c>
      <c r="L180" t="inlineStr">
        <is>
          <t>83195628000206</t>
        </is>
      </c>
      <c r="M180" s="10" t="n">
        <v>950000</v>
      </c>
      <c r="N180" t="n">
        <v>1</v>
      </c>
      <c r="O180" s="11" t="inlineStr">
        <is>
          <t>D</t>
        </is>
      </c>
      <c r="P180" s="11" t="inlineStr"/>
      <c r="Q180" s="12" t="inlineStr"/>
      <c r="R180" s="11">
        <f>IF(Q180="","",ROUND((TODAY()-Q180)/365.25,1))</f>
        <v/>
      </c>
      <c r="S180" s="13">
        <f>IFERROR(VLOOKUP(O180,Assumptions!$A$7:$F$11,2,FALSE),0.25)</f>
        <v/>
      </c>
      <c r="T180" s="14">
        <f>IF(O180="A",MAX(1,IFERROR(VLOOKUP(O180,Assumptions!$A$7:$F$11,3,FALSE),3)+IFERROR(VLOOKUP(O180,Assumptions!$A$7:$F$11,4,FALSE),8)/2-MAX(0,IF(R180="",0,R180)-IFERROR(VLOOKUP(O180,Assumptions!$A$7:$F$11,5,FALSE),1.5))),IFERROR(VLOOKUP(O180,Assumptions!$A$7:$F$11,5,FALSE),2.5)+IFERROR(VLOOKUP(O180,Assumptions!$A$7:$F$11,3,FALSE),3)+IFERROR(VLOOKUP(O180,Assumptions!$A$7:$F$11,4,FALSE),8)/2)</f>
        <v/>
      </c>
      <c r="U180" s="15">
        <f>M180*S180/(1+Assumptions!$B$3)^T180</f>
        <v/>
      </c>
      <c r="V180" s="11">
        <f>IF(M180=0,"",ROUND(U180/M180*100,1))</f>
        <v/>
      </c>
      <c r="W180" s="16">
        <f>U180*Assumptions!$B$4</f>
        <v/>
      </c>
      <c r="X180" s="11">
        <f>IF(M180=0,"",ROUND(W180/M180*100,1))</f>
        <v/>
      </c>
      <c r="Y180" t="inlineStr">
        <is>
          <t>AGIMAX ESQUADRIAS METALICAS LTDA</t>
        </is>
      </c>
      <c r="Z180" t="inlineStr">
        <is>
          <t>5009529-81.2025.8.24.0019</t>
        </is>
      </c>
      <c r="AA180" t="inlineStr"/>
      <c r="AB180" t="inlineStr">
        <is>
          <t>scalzilliaj.com.br</t>
        </is>
      </c>
      <c r="AC180" t="inlineStr">
        <is>
          <t>MARLENE MARIA PALUDO GOEDERT</t>
        </is>
      </c>
      <c r="AD180" t="inlineStr">
        <is>
          <t>Sócio-Administrador</t>
        </is>
      </c>
      <c r="AE180" t="inlineStr">
        <is>
          <t>(49) 3441-0655</t>
        </is>
      </c>
      <c r="AF180" t="inlineStr"/>
      <c r="AG180" t="inlineStr"/>
      <c r="AH180" t="inlineStr">
        <is>
          <t>SC</t>
        </is>
      </c>
      <c r="AI180" t="inlineStr">
        <is>
          <t>CONCORDIA</t>
        </is>
      </c>
      <c r="AJ180" t="inlineStr">
        <is>
          <t>Construção de edifícios</t>
        </is>
      </c>
      <c r="AK180" t="inlineStr">
        <is>
          <t>DEMAIS</t>
        </is>
      </c>
      <c r="AL180" t="inlineStr">
        <is>
          <t>ATIVA</t>
        </is>
      </c>
      <c r="AM180" s="17" t="inlineStr">
        <is>
          <t>https://scalzilliaj.com.br/sgc/download.php?file=files/processo_documento/processo_documento15180810062026_1_.pdf&amp;nome=10 - Relação de credores do art. 7º, §2º, da Lei 11.101/2005</t>
        </is>
      </c>
      <c r="AN180" s="18" t="inlineStr">
        <is>
          <t>p2 r21</t>
        </is>
      </c>
      <c r="AO180" s="18" t="inlineStr">
        <is>
          <t>p2: R$ 950.000,00</t>
        </is>
      </c>
      <c r="AP180" s="18" t="inlineStr">
        <is>
          <t>AJ_LIST</t>
        </is>
      </c>
      <c r="AQ180" s="18" t="inlineStr"/>
      <c r="AR180" s="18" t="inlineStr">
        <is>
          <t>OK_NO_TOTALS</t>
        </is>
      </c>
      <c r="AS180" s="18" t="inlineStr">
        <is>
          <t>ROWS:p2r21 UNRECONCILED_SOURCE</t>
        </is>
      </c>
      <c r="AT180" s="18" t="inlineStr">
        <is>
          <t>2e4641168857</t>
        </is>
      </c>
    </row>
    <row r="181">
      <c r="A181" s="9" t="n">
        <v>180</v>
      </c>
      <c r="B181" s="9" t="inlineStr">
        <is>
          <t>NEW</t>
        </is>
      </c>
      <c r="C181" s="9" t="inlineStr"/>
      <c r="D181" s="9" t="n">
        <v>0</v>
      </c>
      <c r="E181" s="9" t="inlineStr"/>
      <c r="F181" s="9" t="inlineStr"/>
      <c r="G181" s="9" t="inlineStr"/>
      <c r="H181" s="9" t="inlineStr"/>
      <c r="I181" t="inlineStr">
        <is>
          <t>MIRANTE DISTRIBUIDORA E COMERCIO LTDA</t>
        </is>
      </c>
      <c r="J181" t="inlineStr">
        <is>
          <t>Mirante Comercio E Industria LTDA (CNPJ n°</t>
        </is>
      </c>
      <c r="K181" t="inlineStr">
        <is>
          <t>82683376</t>
        </is>
      </c>
      <c r="L181" t="inlineStr">
        <is>
          <t>00000000770540, 82683376000102</t>
        </is>
      </c>
      <c r="M181" s="10" t="n">
        <v>949499.8</v>
      </c>
      <c r="N181" t="n">
        <v>1</v>
      </c>
      <c r="O181" s="11" t="inlineStr">
        <is>
          <t>B</t>
        </is>
      </c>
      <c r="P181" s="11" t="inlineStr">
        <is>
          <t>ACTIVE</t>
        </is>
      </c>
      <c r="Q181" s="12" t="n">
        <v>45303</v>
      </c>
      <c r="R181" s="11">
        <f>IF(Q181="","",ROUND((TODAY()-Q181)/365.25,1))</f>
        <v/>
      </c>
      <c r="S181" s="13">
        <f>IFERROR(VLOOKUP(O181,Assumptions!$A$7:$F$11,2,FALSE),0.25)</f>
        <v/>
      </c>
      <c r="T181" s="14">
        <f>IF(O181="A",MAX(1,IFERROR(VLOOKUP(O181,Assumptions!$A$7:$F$11,3,FALSE),3)+IFERROR(VLOOKUP(O181,Assumptions!$A$7:$F$11,4,FALSE),8)/2-MAX(0,IF(R181="",0,R181)-IFERROR(VLOOKUP(O181,Assumptions!$A$7:$F$11,5,FALSE),1.5))),IFERROR(VLOOKUP(O181,Assumptions!$A$7:$F$11,5,FALSE),2.5)+IFERROR(VLOOKUP(O181,Assumptions!$A$7:$F$11,3,FALSE),3)+IFERROR(VLOOKUP(O181,Assumptions!$A$7:$F$11,4,FALSE),8)/2)</f>
        <v/>
      </c>
      <c r="U181" s="15">
        <f>M181*S181/(1+Assumptions!$B$3)^T181</f>
        <v/>
      </c>
      <c r="V181" s="11">
        <f>IF(M181=0,"",ROUND(U181/M181*100,1))</f>
        <v/>
      </c>
      <c r="W181" s="16">
        <f>U181*Assumptions!$B$4</f>
        <v/>
      </c>
      <c r="X181" s="11">
        <f>IF(M181=0,"",ROUND(W181/M181*100,1))</f>
        <v/>
      </c>
      <c r="Y181" t="inlineStr">
        <is>
          <t>Grupo Battisti</t>
        </is>
      </c>
      <c r="Z181" t="inlineStr">
        <is>
          <t>0000357-17.2024.8.16.0131</t>
        </is>
      </c>
      <c r="AA181" t="inlineStr">
        <is>
          <t>TJPR</t>
        </is>
      </c>
      <c r="AB181" t="inlineStr">
        <is>
          <t>marquesadmjudicial.com.br</t>
        </is>
      </c>
      <c r="AC181" t="inlineStr">
        <is>
          <t>MESSIAS SINVAL CARNEIRO</t>
        </is>
      </c>
      <c r="AD181" t="inlineStr">
        <is>
          <t>Sócio-Administrador</t>
        </is>
      </c>
      <c r="AE181" t="inlineStr">
        <is>
          <t>(45) 3224-2262</t>
        </is>
      </c>
      <c r="AF181" t="inlineStr"/>
      <c r="AG181" t="inlineStr"/>
      <c r="AH181" t="inlineStr">
        <is>
          <t>PR</t>
        </is>
      </c>
      <c r="AI181" t="inlineStr">
        <is>
          <t>CASCAVEL</t>
        </is>
      </c>
      <c r="AJ181" t="inlineStr">
        <is>
          <t>Comércio atacadista de produtos de higiene, limpeza e conservação domiciliar</t>
        </is>
      </c>
      <c r="AK181" t="inlineStr">
        <is>
          <t>DEMAIS</t>
        </is>
      </c>
      <c r="AL181" t="inlineStr">
        <is>
          <t>ATIVA</t>
        </is>
      </c>
      <c r="AM181" s="17" t="inlineStr">
        <is>
          <t>https://marquesadmjudicial.com.br/sgc/download.php?file=files/processo_documento/processo_documento10074612042024_1_.pdf&amp;nome=2º Edital-Relação de Credores AJ e PRJ</t>
        </is>
      </c>
      <c r="AN181" s="18" t="inlineStr">
        <is>
          <t>p1 r23</t>
        </is>
      </c>
      <c r="AO181" s="18" t="inlineStr">
        <is>
          <t>p1: R$ 949.499,80</t>
        </is>
      </c>
      <c r="AP181" s="18" t="inlineStr">
        <is>
          <t>AJ_LIST</t>
        </is>
      </c>
      <c r="AQ181" s="18" t="inlineStr">
        <is>
          <t>2024-01-12</t>
        </is>
      </c>
      <c r="AR181" s="18" t="inlineStr">
        <is>
          <t>OK_NO_TOTALS</t>
        </is>
      </c>
      <c r="AS181" s="18" t="inlineStr">
        <is>
          <t>MULTI_ROOT ROWS:p1r23 UNRECONCILED_SOURCE</t>
        </is>
      </c>
      <c r="AT181" s="18" t="inlineStr">
        <is>
          <t>96830f5ef11b</t>
        </is>
      </c>
    </row>
    <row r="182">
      <c r="A182" s="9" t="n">
        <v>181</v>
      </c>
      <c r="B182" s="9" t="inlineStr">
        <is>
          <t>NEW</t>
        </is>
      </c>
      <c r="C182" s="9" t="inlineStr"/>
      <c r="D182" s="9" t="n">
        <v>0</v>
      </c>
      <c r="E182" s="9" t="inlineStr"/>
      <c r="F182" s="9" t="inlineStr"/>
      <c r="G182" s="9" t="inlineStr"/>
      <c r="H182" s="9" t="inlineStr"/>
      <c r="I182" t="inlineStr">
        <is>
          <t>NUTRIEN SOLUCOES AGRICOLAS LTDA</t>
        </is>
      </c>
      <c r="J182" t="inlineStr">
        <is>
          <t>NUTRIEN SOLUÇÕES AGRÍCOLAS LTDA</t>
        </is>
      </c>
      <c r="K182" t="inlineStr">
        <is>
          <t>88305859</t>
        </is>
      </c>
      <c r="L182" t="inlineStr">
        <is>
          <t>88305859000400</t>
        </is>
      </c>
      <c r="M182" s="10" t="n">
        <v>944000</v>
      </c>
      <c r="N182" t="n">
        <v>1</v>
      </c>
      <c r="O182" s="11" t="inlineStr">
        <is>
          <t>B</t>
        </is>
      </c>
      <c r="P182" s="11" t="inlineStr">
        <is>
          <t>ACTIVE</t>
        </is>
      </c>
      <c r="Q182" s="12" t="n">
        <v>46030</v>
      </c>
      <c r="R182" s="11">
        <f>IF(Q182="","",ROUND((TODAY()-Q182)/365.25,1))</f>
        <v/>
      </c>
      <c r="S182" s="13">
        <f>IFERROR(VLOOKUP(O182,Assumptions!$A$7:$F$11,2,FALSE),0.25)</f>
        <v/>
      </c>
      <c r="T182" s="14">
        <f>IF(O182="A",MAX(1,IFERROR(VLOOKUP(O182,Assumptions!$A$7:$F$11,3,FALSE),3)+IFERROR(VLOOKUP(O182,Assumptions!$A$7:$F$11,4,FALSE),8)/2-MAX(0,IF(R182="",0,R182)-IFERROR(VLOOKUP(O182,Assumptions!$A$7:$F$11,5,FALSE),1.5))),IFERROR(VLOOKUP(O182,Assumptions!$A$7:$F$11,5,FALSE),2.5)+IFERROR(VLOOKUP(O182,Assumptions!$A$7:$F$11,3,FALSE),3)+IFERROR(VLOOKUP(O182,Assumptions!$A$7:$F$11,4,FALSE),8)/2)</f>
        <v/>
      </c>
      <c r="U182" s="15">
        <f>M182*S182/(1+Assumptions!$B$3)^T182</f>
        <v/>
      </c>
      <c r="V182" s="11">
        <f>IF(M182=0,"",ROUND(U182/M182*100,1))</f>
        <v/>
      </c>
      <c r="W182" s="16">
        <f>U182*Assumptions!$B$4</f>
        <v/>
      </c>
      <c r="X182" s="11">
        <f>IF(M182=0,"",ROUND(W182/M182*100,1))</f>
        <v/>
      </c>
      <c r="Y182" t="inlineStr">
        <is>
          <t>GRUPO FERRARI (ALEX, ALEXANDRE , ANDRIELLE FERRARI MANTELLI, ARCIR LUIS, ERICA SANTOS ASSIS LIMA, FERNANDO MANTELLI, IDELSI, TALITA LEITE SILVA, AGROPECUARIA FERRARI LTDA E FERRARI ARMAZENS GERAIS)</t>
        </is>
      </c>
      <c r="Z182" t="inlineStr">
        <is>
          <t>5011369-81.2026.8.09.0093</t>
        </is>
      </c>
      <c r="AA182" t="inlineStr">
        <is>
          <t>TJGO</t>
        </is>
      </c>
      <c r="AB182" t="inlineStr">
        <is>
          <t>scalzilliaj.com.br</t>
        </is>
      </c>
      <c r="AC182" t="inlineStr">
        <is>
          <t>CARLOS EDUARDO FAZZIO DE BRITO</t>
        </is>
      </c>
      <c r="AD182" t="inlineStr">
        <is>
          <t>Administrador</t>
        </is>
      </c>
      <c r="AE182" t="inlineStr">
        <is>
          <t>(11) 5400-0021</t>
        </is>
      </c>
      <c r="AF182" t="inlineStr"/>
      <c r="AG182" t="inlineStr"/>
      <c r="AH182" t="inlineStr">
        <is>
          <t>SP</t>
        </is>
      </c>
      <c r="AI182" t="inlineStr">
        <is>
          <t>SAO PAULO</t>
        </is>
      </c>
      <c r="AJ182" t="inlineStr">
        <is>
          <t>Comércio atacadista de defensivos agrícolas, adubos, fertilizantes e corretivos do solo</t>
        </is>
      </c>
      <c r="AK182" t="inlineStr">
        <is>
          <t>DEMAIS</t>
        </is>
      </c>
      <c r="AL182" t="inlineStr">
        <is>
          <t>ATIVA</t>
        </is>
      </c>
      <c r="AM182" s="17" t="inlineStr">
        <is>
          <t>https://scalzilliaj.com.br/sgc/download.php?file=files/processo_documento/processo_documento11421222052026_1_.pdf&amp;nome=08. Lista de credores do edital do art. 52, §1º da LREF</t>
        </is>
      </c>
      <c r="AN182" s="18" t="inlineStr">
        <is>
          <t>p4 r4</t>
        </is>
      </c>
      <c r="AO182" s="18" t="inlineStr">
        <is>
          <t>p4: R$ 944.000,00</t>
        </is>
      </c>
      <c r="AP182" s="18" t="inlineStr">
        <is>
          <t>UNKNOWN</t>
        </is>
      </c>
      <c r="AQ182" s="18" t="inlineStr"/>
      <c r="AR182" s="18" t="inlineStr">
        <is>
          <t>OK_NO_TOTALS</t>
        </is>
      </c>
      <c r="AS182" s="18" t="inlineStr">
        <is>
          <t>ROWS:p4r4 UNRECONCILED_SOURCE</t>
        </is>
      </c>
      <c r="AT182" s="18" t="inlineStr">
        <is>
          <t>c536a2fa4da3</t>
        </is>
      </c>
    </row>
    <row r="183">
      <c r="A183" s="9" t="n">
        <v>182</v>
      </c>
      <c r="B183" s="9" t="inlineStr">
        <is>
          <t>NEW</t>
        </is>
      </c>
      <c r="C183" s="9" t="inlineStr"/>
      <c r="D183" s="9" t="n">
        <v>0</v>
      </c>
      <c r="E183" s="9" t="inlineStr"/>
      <c r="F183" s="9" t="inlineStr"/>
      <c r="G183" s="9" t="inlineStr"/>
      <c r="H183" s="9" t="inlineStr"/>
      <c r="I183" t="inlineStr">
        <is>
          <t>CREATIVE PROPAGANDA E MARKETING LTDA</t>
        </is>
      </c>
      <c r="J183" t="inlineStr">
        <is>
          <t>CREATIVE PROPAGANDA E Este documento foi gerado pelo usuário 077.***.***-60 em 27/11/2023 15:00:11                                                                                                                                                                                                                                                                   MARKETING LTDA, CPF/CNPJ Nº</t>
        </is>
      </c>
      <c r="K183" t="inlineStr">
        <is>
          <t>32184798</t>
        </is>
      </c>
      <c r="L183" t="inlineStr">
        <is>
          <t>32184798000165</t>
        </is>
      </c>
      <c r="M183" s="10" t="n">
        <v>935547.55</v>
      </c>
      <c r="N183" t="n">
        <v>1</v>
      </c>
      <c r="O183" s="11" t="inlineStr">
        <is>
          <t>C</t>
        </is>
      </c>
      <c r="P183" s="11" t="inlineStr">
        <is>
          <t>ACTIVE</t>
        </is>
      </c>
      <c r="Q183" s="12" t="n">
        <v>44966</v>
      </c>
      <c r="R183" s="11">
        <f>IF(Q183="","",ROUND((TODAY()-Q183)/365.25,1))</f>
        <v/>
      </c>
      <c r="S183" s="13">
        <f>IFERROR(VLOOKUP(O183,Assumptions!$A$7:$F$11,2,FALSE),0.25)</f>
        <v/>
      </c>
      <c r="T183" s="14">
        <f>IF(O183="A",MAX(1,IFERROR(VLOOKUP(O183,Assumptions!$A$7:$F$11,3,FALSE),3)+IFERROR(VLOOKUP(O183,Assumptions!$A$7:$F$11,4,FALSE),8)/2-MAX(0,IF(R183="",0,R183)-IFERROR(VLOOKUP(O183,Assumptions!$A$7:$F$11,5,FALSE),1.5))),IFERROR(VLOOKUP(O183,Assumptions!$A$7:$F$11,5,FALSE),2.5)+IFERROR(VLOOKUP(O183,Assumptions!$A$7:$F$11,3,FALSE),3)+IFERROR(VLOOKUP(O183,Assumptions!$A$7:$F$11,4,FALSE),8)/2)</f>
        <v/>
      </c>
      <c r="U183" s="15">
        <f>M183*S183/(1+Assumptions!$B$3)^T183</f>
        <v/>
      </c>
      <c r="V183" s="11">
        <f>IF(M183=0,"",ROUND(U183/M183*100,1))</f>
        <v/>
      </c>
      <c r="W183" s="16">
        <f>U183*Assumptions!$B$4</f>
        <v/>
      </c>
      <c r="X183" s="11">
        <f>IF(M183=0,"",ROUND(W183/M183*100,1))</f>
        <v/>
      </c>
      <c r="Y183" t="inlineStr">
        <is>
          <t>CLUBE NÁUTICO CAPIBARIBE</t>
        </is>
      </c>
      <c r="Z183" t="inlineStr">
        <is>
          <t>0011283-80.2023.8.17.2001</t>
        </is>
      </c>
      <c r="AA183" t="inlineStr">
        <is>
          <t>TJPE</t>
        </is>
      </c>
      <c r="AB183" t="inlineStr">
        <is>
          <t>lrflideres.com.br</t>
        </is>
      </c>
      <c r="AC183" t="inlineStr">
        <is>
          <t>SIMONE KAMENETZ</t>
        </is>
      </c>
      <c r="AD183" t="inlineStr">
        <is>
          <t>Sócio-Administrador</t>
        </is>
      </c>
      <c r="AE183" t="inlineStr">
        <is>
          <t>(21) 3295-8800</t>
        </is>
      </c>
      <c r="AF183" t="inlineStr">
        <is>
          <t>(21) 3295-2454</t>
        </is>
      </c>
      <c r="AG183" t="inlineStr"/>
      <c r="AH183" t="inlineStr">
        <is>
          <t>RJ</t>
        </is>
      </c>
      <c r="AI183" t="inlineStr">
        <is>
          <t>RIO DE JANEIRO</t>
        </is>
      </c>
      <c r="AJ183" t="inlineStr">
        <is>
          <t>Outras atividades de publicidade não especificadas anteriormente</t>
        </is>
      </c>
      <c r="AK183" t="inlineStr">
        <is>
          <t>MICRO EMPRESA</t>
        </is>
      </c>
      <c r="AL183" t="inlineStr">
        <is>
          <t>ATIVA</t>
        </is>
      </c>
      <c r="AM183" s="17" t="inlineStr">
        <is>
          <t>https://lrflideres.com.br/wp-content/plugins/download-attachments/includes/download.php?id=5589</t>
        </is>
      </c>
      <c r="AN183" s="18" t="inlineStr">
        <is>
          <t>p12 r1</t>
        </is>
      </c>
      <c r="AO183" s="18" t="inlineStr">
        <is>
          <t>p12: R$ 935.547,55</t>
        </is>
      </c>
      <c r="AP183" s="18" t="inlineStr">
        <is>
          <t>AJ_LIST</t>
        </is>
      </c>
      <c r="AQ183" s="18" t="inlineStr">
        <is>
          <t>2023-11-27</t>
        </is>
      </c>
      <c r="AR183" s="18" t="inlineStr">
        <is>
          <t>QUARANTINED</t>
        </is>
      </c>
      <c r="AS183" s="18" t="inlineStr">
        <is>
          <t>LONG_CHUNK PARTIAL_DOC_CLASS_III_RECONCILED ROWS:p12r1</t>
        </is>
      </c>
      <c r="AT183" s="18" t="inlineStr">
        <is>
          <t>677be5783c06</t>
        </is>
      </c>
    </row>
    <row r="184">
      <c r="A184" s="9" t="n">
        <v>183</v>
      </c>
      <c r="B184" s="9" t="inlineStr">
        <is>
          <t>NEW</t>
        </is>
      </c>
      <c r="C184" s="9" t="inlineStr"/>
      <c r="D184" s="9" t="n">
        <v>0</v>
      </c>
      <c r="E184" s="9" t="inlineStr"/>
      <c r="F184" s="9" t="inlineStr"/>
      <c r="G184" s="9" t="inlineStr"/>
      <c r="H184" s="9" t="inlineStr"/>
      <c r="I184" t="inlineStr">
        <is>
          <t>NIPRO MEDICAL CORPORATION PRODUTOS MEDICOS LTDA.</t>
        </is>
      </c>
      <c r="J184" t="inlineStr">
        <is>
          <t>NIPRO MEDICAL</t>
        </is>
      </c>
      <c r="K184" t="inlineStr">
        <is>
          <t>13333090</t>
        </is>
      </c>
      <c r="L184" t="inlineStr">
        <is>
          <t>13333090000184</t>
        </is>
      </c>
      <c r="M184" s="10" t="n">
        <v>928406.79</v>
      </c>
      <c r="N184" t="n">
        <v>1</v>
      </c>
      <c r="O184" s="11" t="inlineStr">
        <is>
          <t>C</t>
        </is>
      </c>
      <c r="P184" s="11" t="inlineStr"/>
      <c r="Q184" s="12" t="inlineStr"/>
      <c r="R184" s="11">
        <f>IF(Q184="","",ROUND((TODAY()-Q184)/365.25,1))</f>
        <v/>
      </c>
      <c r="S184" s="13">
        <f>IFERROR(VLOOKUP(O184,Assumptions!$A$7:$F$11,2,FALSE),0.25)</f>
        <v/>
      </c>
      <c r="T184" s="14">
        <f>IF(O184="A",MAX(1,IFERROR(VLOOKUP(O184,Assumptions!$A$7:$F$11,3,FALSE),3)+IFERROR(VLOOKUP(O184,Assumptions!$A$7:$F$11,4,FALSE),8)/2-MAX(0,IF(R184="",0,R184)-IFERROR(VLOOKUP(O184,Assumptions!$A$7:$F$11,5,FALSE),1.5))),IFERROR(VLOOKUP(O184,Assumptions!$A$7:$F$11,5,FALSE),2.5)+IFERROR(VLOOKUP(O184,Assumptions!$A$7:$F$11,3,FALSE),3)+IFERROR(VLOOKUP(O184,Assumptions!$A$7:$F$11,4,FALSE),8)/2)</f>
        <v/>
      </c>
      <c r="U184" s="15">
        <f>M184*S184/(1+Assumptions!$B$3)^T184</f>
        <v/>
      </c>
      <c r="V184" s="11">
        <f>IF(M184=0,"",ROUND(U184/M184*100,1))</f>
        <v/>
      </c>
      <c r="W184" s="16">
        <f>U184*Assumptions!$B$4</f>
        <v/>
      </c>
      <c r="X184" s="11">
        <f>IF(M184=0,"",ROUND(W184/M184*100,1))</f>
        <v/>
      </c>
      <c r="Y184" t="inlineStr">
        <is>
          <t>CENTRO DE TRATAMENTO RENAL ZONA SUL LTDA</t>
        </is>
      </c>
      <c r="Z184" t="inlineStr">
        <is>
          <t>0015488-29.2018.8.17.2810</t>
        </is>
      </c>
      <c r="AA184" t="inlineStr"/>
      <c r="AB184" t="inlineStr">
        <is>
          <t>recuperacaojudicial.squarespace.com</t>
        </is>
      </c>
      <c r="AC184" t="inlineStr">
        <is>
          <t>MARTIN ORTIZ DE ZEVALLOS MUNOZ</t>
        </is>
      </c>
      <c r="AD184" t="inlineStr">
        <is>
          <t>Administrador</t>
        </is>
      </c>
      <c r="AE184" t="inlineStr">
        <is>
          <t>(11) 3643-0555</t>
        </is>
      </c>
      <c r="AF184" t="inlineStr"/>
      <c r="AG184" t="inlineStr"/>
      <c r="AH184" t="inlineStr">
        <is>
          <t>SP</t>
        </is>
      </c>
      <c r="AI184" t="inlineStr">
        <is>
          <t>SAO PAULO</t>
        </is>
      </c>
      <c r="AJ184" t="inlineStr">
        <is>
          <t>Comércio atacadista de instrumentos e materiais para uso médico, cirúrgico, hospitalar e de laboratórios</t>
        </is>
      </c>
      <c r="AK184" t="inlineStr">
        <is>
          <t>DEMAIS</t>
        </is>
      </c>
      <c r="AL184" t="inlineStr">
        <is>
          <t>ATIVA</t>
        </is>
      </c>
      <c r="AM184" s="17" t="inlineStr">
        <is>
          <t>https://recuperacaojudicial.squarespace.com/s/4-RJCTREditalda2ListadeCredoresnovembro2019.pdf</t>
        </is>
      </c>
      <c r="AN184" s="18" t="inlineStr">
        <is>
          <t>p3 r36</t>
        </is>
      </c>
      <c r="AO184" s="18" t="inlineStr">
        <is>
          <t>p3: R$ 928.406,79</t>
        </is>
      </c>
      <c r="AP184" s="18" t="inlineStr">
        <is>
          <t>AJ_LIST</t>
        </is>
      </c>
      <c r="AQ184" s="18" t="inlineStr">
        <is>
          <t>2019-11-25</t>
        </is>
      </c>
      <c r="AR184" s="18" t="inlineStr">
        <is>
          <t>OK</t>
        </is>
      </c>
      <c r="AS184" s="18" t="inlineStr">
        <is>
          <t>ROWS:p3r36</t>
        </is>
      </c>
      <c r="AT184" s="18" t="inlineStr">
        <is>
          <t>05e15e3ab097</t>
        </is>
      </c>
    </row>
    <row r="185">
      <c r="A185" s="9" t="n">
        <v>184</v>
      </c>
      <c r="B185" s="9" t="inlineStr">
        <is>
          <t>NEW</t>
        </is>
      </c>
      <c r="C185" s="9" t="inlineStr"/>
      <c r="D185" s="9" t="n">
        <v>0</v>
      </c>
      <c r="E185" s="9" t="inlineStr"/>
      <c r="F185" s="9" t="inlineStr"/>
      <c r="G185" s="9" t="inlineStr"/>
      <c r="H185" s="9" t="inlineStr"/>
      <c r="I185" t="inlineStr">
        <is>
          <t>VEJA SERVICOS LTDA</t>
        </is>
      </c>
      <c r="J185" t="inlineStr">
        <is>
          <t>VEJA INDUSTRIA E COMERCIO DE CONFECCOES EIRELI</t>
        </is>
      </c>
      <c r="K185" t="inlineStr">
        <is>
          <t>02965637</t>
        </is>
      </c>
      <c r="L185" t="inlineStr">
        <is>
          <t>02965637000148</t>
        </is>
      </c>
      <c r="M185" s="10" t="n">
        <v>915348.9300000001</v>
      </c>
      <c r="N185" t="n">
        <v>4</v>
      </c>
      <c r="O185" s="11" t="inlineStr">
        <is>
          <t>C</t>
        </is>
      </c>
      <c r="P185" s="11" t="inlineStr">
        <is>
          <t>ACTIVE</t>
        </is>
      </c>
      <c r="Q185" s="12" t="n">
        <v>44571</v>
      </c>
      <c r="R185" s="11">
        <f>IF(Q185="","",ROUND((TODAY()-Q185)/365.25,1))</f>
        <v/>
      </c>
      <c r="S185" s="13">
        <f>IFERROR(VLOOKUP(O185,Assumptions!$A$7:$F$11,2,FALSE),0.25)</f>
        <v/>
      </c>
      <c r="T185" s="14">
        <f>IF(O185="A",MAX(1,IFERROR(VLOOKUP(O185,Assumptions!$A$7:$F$11,3,FALSE),3)+IFERROR(VLOOKUP(O185,Assumptions!$A$7:$F$11,4,FALSE),8)/2-MAX(0,IF(R185="",0,R185)-IFERROR(VLOOKUP(O185,Assumptions!$A$7:$F$11,5,FALSE),1.5))),IFERROR(VLOOKUP(O185,Assumptions!$A$7:$F$11,5,FALSE),2.5)+IFERROR(VLOOKUP(O185,Assumptions!$A$7:$F$11,3,FALSE),3)+IFERROR(VLOOKUP(O185,Assumptions!$A$7:$F$11,4,FALSE),8)/2)</f>
        <v/>
      </c>
      <c r="U185" s="15">
        <f>M185*S185/(1+Assumptions!$B$3)^T185</f>
        <v/>
      </c>
      <c r="V185" s="11">
        <f>IF(M185=0,"",ROUND(U185/M185*100,1))</f>
        <v/>
      </c>
      <c r="W185" s="16">
        <f>U185*Assumptions!$B$4</f>
        <v/>
      </c>
      <c r="X185" s="11">
        <f>IF(M185=0,"",ROUND(W185/M185*100,1))</f>
        <v/>
      </c>
      <c r="Y185" t="inlineStr">
        <is>
          <t>GRUPO CATTAN</t>
        </is>
      </c>
      <c r="Z185" t="inlineStr">
        <is>
          <t>0002484-82.2022.8.17.2001</t>
        </is>
      </c>
      <c r="AA185" t="inlineStr">
        <is>
          <t>TJPE</t>
        </is>
      </c>
      <c r="AB185" t="inlineStr">
        <is>
          <t>lrflideres.com.br</t>
        </is>
      </c>
      <c r="AC185" t="inlineStr">
        <is>
          <t>ANA CAROLINA DA SILVA</t>
        </is>
      </c>
      <c r="AD185" t="inlineStr">
        <is>
          <t>Sócio-Administrador</t>
        </is>
      </c>
      <c r="AE185" t="inlineStr">
        <is>
          <t>(85) 3223-4964</t>
        </is>
      </c>
      <c r="AF185" t="inlineStr"/>
      <c r="AG185" t="inlineStr"/>
      <c r="AH185" t="inlineStr">
        <is>
          <t>CE</t>
        </is>
      </c>
      <c r="AI185" t="inlineStr">
        <is>
          <t>FORTALEZA</t>
        </is>
      </c>
      <c r="AJ185" t="inlineStr">
        <is>
          <t>Serviços combinados de escritório e apoio administrativo</t>
        </is>
      </c>
      <c r="AK185" t="inlineStr">
        <is>
          <t>MICRO EMPRESA</t>
        </is>
      </c>
      <c r="AL185" t="inlineStr">
        <is>
          <t>ATIVA</t>
        </is>
      </c>
      <c r="AM185" s="17" t="inlineStr">
        <is>
          <t>https://lrflideres.com.br/wp-content/plugins/download-attachments/includes/download.php?id=4023</t>
        </is>
      </c>
      <c r="AN185" s="18" t="inlineStr">
        <is>
          <t>p4 r95; p7 r127; p8 r85; p9 r93</t>
        </is>
      </c>
      <c r="AO185" s="18" t="inlineStr">
        <is>
          <t>p4: R$ 174.543,96; p7: R$ 605.756,16; p8: R$ 2.154,24; p9: R$ 132.894,57</t>
        </is>
      </c>
      <c r="AP185" s="18" t="inlineStr">
        <is>
          <t>DEBTOR_LIST</t>
        </is>
      </c>
      <c r="AQ185" s="18" t="inlineStr"/>
      <c r="AR185" s="18" t="inlineStr">
        <is>
          <t>QUARANTINED</t>
        </is>
      </c>
      <c r="AS185" s="18" t="inlineStr">
        <is>
          <t>PARTIAL_DOC_CLASS_III_RECONCILED ROWS:p4r95,p7r127,p8r85,p9r93</t>
        </is>
      </c>
      <c r="AT185" s="18" t="inlineStr">
        <is>
          <t>f3b6182e3aa2</t>
        </is>
      </c>
    </row>
    <row r="186">
      <c r="A186" s="9" t="n">
        <v>185</v>
      </c>
      <c r="B186" s="9" t="inlineStr">
        <is>
          <t>NEW</t>
        </is>
      </c>
      <c r="C186" s="9" t="inlineStr"/>
      <c r="D186" s="9" t="n">
        <v>0</v>
      </c>
      <c r="E186" s="9" t="inlineStr"/>
      <c r="F186" s="9" t="inlineStr"/>
      <c r="G186" s="9" t="inlineStr"/>
      <c r="H186" s="9" t="inlineStr"/>
      <c r="I186" t="inlineStr">
        <is>
          <t>INOVAMED HOSPITALAR LTDA</t>
        </is>
      </c>
      <c r="J186" t="inlineStr">
        <is>
          <t>INOVAMED COM.DE MEDIC LTD (</t>
        </is>
      </c>
      <c r="K186" t="inlineStr">
        <is>
          <t>12889035</t>
        </is>
      </c>
      <c r="L186" t="inlineStr">
        <is>
          <t>12889035000102</t>
        </is>
      </c>
      <c r="M186" s="10" t="n">
        <v>908703.23</v>
      </c>
      <c r="N186" t="n">
        <v>1</v>
      </c>
      <c r="O186" s="11" t="inlineStr">
        <is>
          <t>C</t>
        </is>
      </c>
      <c r="P186" s="11" t="inlineStr">
        <is>
          <t>ACTIVE</t>
        </is>
      </c>
      <c r="Q186" s="12" t="n">
        <v>44735</v>
      </c>
      <c r="R186" s="11">
        <f>IF(Q186="","",ROUND((TODAY()-Q186)/365.25,1))</f>
        <v/>
      </c>
      <c r="S186" s="13">
        <f>IFERROR(VLOOKUP(O186,Assumptions!$A$7:$F$11,2,FALSE),0.25)</f>
        <v/>
      </c>
      <c r="T186" s="14">
        <f>IF(O186="A",MAX(1,IFERROR(VLOOKUP(O186,Assumptions!$A$7:$F$11,3,FALSE),3)+IFERROR(VLOOKUP(O186,Assumptions!$A$7:$F$11,4,FALSE),8)/2-MAX(0,IF(R186="",0,R186)-IFERROR(VLOOKUP(O186,Assumptions!$A$7:$F$11,5,FALSE),1.5))),IFERROR(VLOOKUP(O186,Assumptions!$A$7:$F$11,5,FALSE),2.5)+IFERROR(VLOOKUP(O186,Assumptions!$A$7:$F$11,3,FALSE),3)+IFERROR(VLOOKUP(O186,Assumptions!$A$7:$F$11,4,FALSE),8)/2)</f>
        <v/>
      </c>
      <c r="U186" s="15">
        <f>M186*S186/(1+Assumptions!$B$3)^T186</f>
        <v/>
      </c>
      <c r="V186" s="11">
        <f>IF(M186=0,"",ROUND(U186/M186*100,1))</f>
        <v/>
      </c>
      <c r="W186" s="16">
        <f>U186*Assumptions!$B$4</f>
        <v/>
      </c>
      <c r="X186" s="11">
        <f>IF(M186=0,"",ROUND(W186/M186*100,1))</f>
        <v/>
      </c>
      <c r="Y186" t="inlineStr">
        <is>
          <t>ASSOCIAÇÃO DE CARIDADE SANTA CASA DO RIO GRANDE</t>
        </is>
      </c>
      <c r="Z186" t="inlineStr">
        <is>
          <t>5012306-16.2022.8.21.0023</t>
        </is>
      </c>
      <c r="AA186" t="inlineStr">
        <is>
          <t>TJRS</t>
        </is>
      </c>
      <c r="AB186" t="inlineStr">
        <is>
          <t>scalzilliaj.com.br</t>
        </is>
      </c>
      <c r="AC186" t="inlineStr">
        <is>
          <t>JHONATAN BONI</t>
        </is>
      </c>
      <c r="AD186" t="inlineStr">
        <is>
          <t>Administrador</t>
        </is>
      </c>
      <c r="AE186" t="inlineStr">
        <is>
          <t>(54) 2106-7930</t>
        </is>
      </c>
      <c r="AF186" t="inlineStr"/>
      <c r="AG186" t="inlineStr"/>
      <c r="AH186" t="inlineStr">
        <is>
          <t>RS</t>
        </is>
      </c>
      <c r="AI186" t="inlineStr">
        <is>
          <t>ERECHIM</t>
        </is>
      </c>
      <c r="AJ186" t="inlineStr">
        <is>
          <t>Comércio atacadista de medicamentos e drogas de uso humano</t>
        </is>
      </c>
      <c r="AK186" t="inlineStr">
        <is>
          <t>DEMAIS</t>
        </is>
      </c>
      <c r="AL186" t="inlineStr">
        <is>
          <t>ATIVA</t>
        </is>
      </c>
      <c r="AM186" s="17" t="inlineStr">
        <is>
          <t>https://scalzilliaj.com.br/sgc/download.php?file=files/processo_documento/processo_documento09120721032023_1_.pdf&amp;nome=15 - Edital do art. 7º, §2º e 53 da Lei 11.101/2005 (segunda lista de credores e recebimento do plano))</t>
        </is>
      </c>
      <c r="AN186" s="18" t="inlineStr">
        <is>
          <t>p28 r2</t>
        </is>
      </c>
      <c r="AO186" s="18" t="inlineStr">
        <is>
          <t>p28: R$ 908.703,23</t>
        </is>
      </c>
      <c r="AP186" s="18" t="inlineStr">
        <is>
          <t>AJ_LIST</t>
        </is>
      </c>
      <c r="AQ186" s="18" t="inlineStr">
        <is>
          <t>2023-03-21</t>
        </is>
      </c>
      <c r="AR186" s="18" t="inlineStr">
        <is>
          <t>OK_NO_TOTALS</t>
        </is>
      </c>
      <c r="AS186" s="18" t="inlineStr">
        <is>
          <t>ROWS:p28r2 UNRECONCILED_SOURCE</t>
        </is>
      </c>
      <c r="AT186" s="18" t="inlineStr">
        <is>
          <t>ebfb999b457c</t>
        </is>
      </c>
    </row>
    <row r="187">
      <c r="A187" s="9" t="n">
        <v>186</v>
      </c>
      <c r="B187" s="9" t="inlineStr">
        <is>
          <t>NEW</t>
        </is>
      </c>
      <c r="C187" s="9" t="inlineStr"/>
      <c r="D187" s="9" t="n">
        <v>0</v>
      </c>
      <c r="E187" s="9" t="inlineStr"/>
      <c r="F187" s="9" t="inlineStr"/>
      <c r="G187" s="9" t="inlineStr"/>
      <c r="H187" s="9" t="inlineStr"/>
      <c r="I187" t="inlineStr">
        <is>
          <t>INDUSTRIA DE CONFECCOES K-DU LTDA</t>
        </is>
      </c>
      <c r="J187" t="inlineStr">
        <is>
          <t>INDUSTRIA DE CONFECCOES K-DU EIRELI</t>
        </is>
      </c>
      <c r="K187" t="inlineStr">
        <is>
          <t>10424098</t>
        </is>
      </c>
      <c r="L187" t="inlineStr">
        <is>
          <t>10424098000168</t>
        </is>
      </c>
      <c r="M187" s="10" t="n">
        <v>908132.39</v>
      </c>
      <c r="N187" t="n">
        <v>3</v>
      </c>
      <c r="O187" s="11" t="inlineStr">
        <is>
          <t>C</t>
        </is>
      </c>
      <c r="P187" s="11" t="inlineStr">
        <is>
          <t>ACTIVE</t>
        </is>
      </c>
      <c r="Q187" s="12" t="n">
        <v>44571</v>
      </c>
      <c r="R187" s="11">
        <f>IF(Q187="","",ROUND((TODAY()-Q187)/365.25,1))</f>
        <v/>
      </c>
      <c r="S187" s="13">
        <f>IFERROR(VLOOKUP(O187,Assumptions!$A$7:$F$11,2,FALSE),0.25)</f>
        <v/>
      </c>
      <c r="T187" s="14">
        <f>IF(O187="A",MAX(1,IFERROR(VLOOKUP(O187,Assumptions!$A$7:$F$11,3,FALSE),3)+IFERROR(VLOOKUP(O187,Assumptions!$A$7:$F$11,4,FALSE),8)/2-MAX(0,IF(R187="",0,R187)-IFERROR(VLOOKUP(O187,Assumptions!$A$7:$F$11,5,FALSE),1.5))),IFERROR(VLOOKUP(O187,Assumptions!$A$7:$F$11,5,FALSE),2.5)+IFERROR(VLOOKUP(O187,Assumptions!$A$7:$F$11,3,FALSE),3)+IFERROR(VLOOKUP(O187,Assumptions!$A$7:$F$11,4,FALSE),8)/2)</f>
        <v/>
      </c>
      <c r="U187" s="15">
        <f>M187*S187/(1+Assumptions!$B$3)^T187</f>
        <v/>
      </c>
      <c r="V187" s="11">
        <f>IF(M187=0,"",ROUND(U187/M187*100,1))</f>
        <v/>
      </c>
      <c r="W187" s="16">
        <f>U187*Assumptions!$B$4</f>
        <v/>
      </c>
      <c r="X187" s="11">
        <f>IF(M187=0,"",ROUND(W187/M187*100,1))</f>
        <v/>
      </c>
      <c r="Y187" t="inlineStr">
        <is>
          <t>GRUPO CATTAN</t>
        </is>
      </c>
      <c r="Z187" t="inlineStr">
        <is>
          <t>0002484-82.2022.8.17.2001</t>
        </is>
      </c>
      <c r="AA187" t="inlineStr">
        <is>
          <t>TJPE</t>
        </is>
      </c>
      <c r="AB187" t="inlineStr">
        <is>
          <t>lrflideres.com.br</t>
        </is>
      </c>
      <c r="AC187" t="inlineStr">
        <is>
          <t>CLAUDIO CAUDURO</t>
        </is>
      </c>
      <c r="AD187" t="inlineStr">
        <is>
          <t>Sócio-Administrador</t>
        </is>
      </c>
      <c r="AE187" t="inlineStr">
        <is>
          <t>(46) 3563-1792</t>
        </is>
      </c>
      <c r="AF187" t="inlineStr"/>
      <c r="AG187" t="inlineStr"/>
      <c r="AH187" t="inlineStr">
        <is>
          <t>PR</t>
        </is>
      </c>
      <c r="AI187" t="inlineStr">
        <is>
          <t>SANTO ANTONIO DO SUDOESTE</t>
        </is>
      </c>
      <c r="AJ187" t="inlineStr">
        <is>
          <t>Confecção de peças de vestuário, exceto roupas íntimas e as confeccionadas sob medida</t>
        </is>
      </c>
      <c r="AK187" t="inlineStr">
        <is>
          <t>DEMAIS</t>
        </is>
      </c>
      <c r="AL187" t="inlineStr">
        <is>
          <t>ATIVA</t>
        </is>
      </c>
      <c r="AM187" s="17" t="inlineStr">
        <is>
          <t>https://lrflideres.com.br/wp-content/plugins/download-attachments/includes/download.php?id=4023</t>
        </is>
      </c>
      <c r="AN187" s="18" t="inlineStr">
        <is>
          <t>p4 r78; p7 r102; p9 r76</t>
        </is>
      </c>
      <c r="AO187" s="18" t="inlineStr">
        <is>
          <t>p4: R$ 271.843,99; p7: R$ 508.146,95; p9: R$ 128.141,45</t>
        </is>
      </c>
      <c r="AP187" s="18" t="inlineStr">
        <is>
          <t>DEBTOR_LIST</t>
        </is>
      </c>
      <c r="AQ187" s="18" t="inlineStr"/>
      <c r="AR187" s="18" t="inlineStr">
        <is>
          <t>QUARANTINED</t>
        </is>
      </c>
      <c r="AS187" s="18" t="inlineStr">
        <is>
          <t>PARTIAL_DOC_CLASS_III_RECONCILED ROWS:p4r78,p7r102,p9r76</t>
        </is>
      </c>
      <c r="AT187" s="18" t="inlineStr">
        <is>
          <t>f3b6182e3aa2</t>
        </is>
      </c>
    </row>
    <row r="188">
      <c r="A188" s="9" t="n">
        <v>187</v>
      </c>
      <c r="B188" s="9" t="inlineStr">
        <is>
          <t>NEW</t>
        </is>
      </c>
      <c r="C188" s="9" t="inlineStr"/>
      <c r="D188" s="9" t="n">
        <v>0</v>
      </c>
      <c r="E188" s="9" t="inlineStr"/>
      <c r="F188" s="9" t="inlineStr"/>
      <c r="G188" s="9" t="inlineStr"/>
      <c r="H188" s="9" t="inlineStr"/>
      <c r="I188" t="inlineStr">
        <is>
          <t>NEOMAR ARTIGOS INFANTIS EM GERAL LTDA</t>
        </is>
      </c>
      <c r="J188" t="inlineStr">
        <is>
          <t>Rafael Marno Neomar Artigos Infantis Em Geral LTDA EPP (CNPJ n°</t>
        </is>
      </c>
      <c r="K188" t="inlineStr">
        <is>
          <t>19770372</t>
        </is>
      </c>
      <c r="L188" t="inlineStr">
        <is>
          <t>19770372000125</t>
        </is>
      </c>
      <c r="M188" s="10" t="n">
        <v>875418.05</v>
      </c>
      <c r="N188" t="n">
        <v>1</v>
      </c>
      <c r="O188" s="11" t="inlineStr">
        <is>
          <t>B</t>
        </is>
      </c>
      <c r="P188" s="11" t="inlineStr">
        <is>
          <t>ACTIVE</t>
        </is>
      </c>
      <c r="Q188" s="12" t="n">
        <v>45303</v>
      </c>
      <c r="R188" s="11">
        <f>IF(Q188="","",ROUND((TODAY()-Q188)/365.25,1))</f>
        <v/>
      </c>
      <c r="S188" s="13">
        <f>IFERROR(VLOOKUP(O188,Assumptions!$A$7:$F$11,2,FALSE),0.25)</f>
        <v/>
      </c>
      <c r="T188" s="14">
        <f>IF(O188="A",MAX(1,IFERROR(VLOOKUP(O188,Assumptions!$A$7:$F$11,3,FALSE),3)+IFERROR(VLOOKUP(O188,Assumptions!$A$7:$F$11,4,FALSE),8)/2-MAX(0,IF(R188="",0,R188)-IFERROR(VLOOKUP(O188,Assumptions!$A$7:$F$11,5,FALSE),1.5))),IFERROR(VLOOKUP(O188,Assumptions!$A$7:$F$11,5,FALSE),2.5)+IFERROR(VLOOKUP(O188,Assumptions!$A$7:$F$11,3,FALSE),3)+IFERROR(VLOOKUP(O188,Assumptions!$A$7:$F$11,4,FALSE),8)/2)</f>
        <v/>
      </c>
      <c r="U188" s="15">
        <f>M188*S188/(1+Assumptions!$B$3)^T188</f>
        <v/>
      </c>
      <c r="V188" s="11">
        <f>IF(M188=0,"",ROUND(U188/M188*100,1))</f>
        <v/>
      </c>
      <c r="W188" s="16">
        <f>U188*Assumptions!$B$4</f>
        <v/>
      </c>
      <c r="X188" s="11">
        <f>IF(M188=0,"",ROUND(W188/M188*100,1))</f>
        <v/>
      </c>
      <c r="Y188" t="inlineStr">
        <is>
          <t>Grupo Battisti</t>
        </is>
      </c>
      <c r="Z188" t="inlineStr">
        <is>
          <t>0000357-17.2024.8.16.0131</t>
        </is>
      </c>
      <c r="AA188" t="inlineStr">
        <is>
          <t>TJPR</t>
        </is>
      </c>
      <c r="AB188" t="inlineStr">
        <is>
          <t>marquesadmjudicial.com.br</t>
        </is>
      </c>
      <c r="AC188" t="inlineStr">
        <is>
          <t>ANDRE LUIZ SCRAMIN QUESADA</t>
        </is>
      </c>
      <c r="AD188" t="inlineStr">
        <is>
          <t>Sócio-Administrador</t>
        </is>
      </c>
      <c r="AE188" t="inlineStr">
        <is>
          <t>(43) 3312-0489</t>
        </is>
      </c>
      <c r="AF188" t="inlineStr"/>
      <c r="AG188" t="inlineStr"/>
      <c r="AH188" t="inlineStr">
        <is>
          <t>PR</t>
        </is>
      </c>
      <c r="AI188" t="inlineStr">
        <is>
          <t>ARAPONGAS</t>
        </is>
      </c>
      <c r="AJ188" t="inlineStr">
        <is>
          <t>Comércio atacadista de outros equipamentos e artigos de uso pessoal e doméstico não especificados anteriormente</t>
        </is>
      </c>
      <c r="AK188" t="inlineStr">
        <is>
          <t>EMPRESA DE PEQUENO PORTE</t>
        </is>
      </c>
      <c r="AL188" t="inlineStr">
        <is>
          <t>ATIVA</t>
        </is>
      </c>
      <c r="AM188" s="17" t="inlineStr">
        <is>
          <t>https://marquesadmjudicial.com.br/sgc/download.php?file=files/processo_documento/processo_documento10074612042024_1_.pdf&amp;nome=2º Edital-Relação de Credores AJ e PRJ</t>
        </is>
      </c>
      <c r="AN188" s="18" t="inlineStr">
        <is>
          <t>p2 r19</t>
        </is>
      </c>
      <c r="AO188" s="18" t="inlineStr">
        <is>
          <t>p2: R$ 875.418,05</t>
        </is>
      </c>
      <c r="AP188" s="18" t="inlineStr">
        <is>
          <t>AJ_LIST</t>
        </is>
      </c>
      <c r="AQ188" s="18" t="inlineStr">
        <is>
          <t>2024-01-12</t>
        </is>
      </c>
      <c r="AR188" s="18" t="inlineStr">
        <is>
          <t>OK_NO_TOTALS</t>
        </is>
      </c>
      <c r="AS188" s="18" t="inlineStr">
        <is>
          <t>ROWS:p2r19 UNRECONCILED_SOURCE</t>
        </is>
      </c>
      <c r="AT188" s="18" t="inlineStr">
        <is>
          <t>96830f5ef11b</t>
        </is>
      </c>
    </row>
    <row r="189">
      <c r="A189" s="9" t="n">
        <v>188</v>
      </c>
      <c r="B189" s="9" t="inlineStr">
        <is>
          <t>NEW</t>
        </is>
      </c>
      <c r="C189" s="9" t="inlineStr"/>
      <c r="D189" s="9" t="n">
        <v>0</v>
      </c>
      <c r="E189" s="9" t="inlineStr"/>
      <c r="F189" s="9" t="inlineStr"/>
      <c r="G189" s="9" t="inlineStr"/>
      <c r="H189" s="9" t="inlineStr"/>
      <c r="I189" t="inlineStr">
        <is>
          <t>BRUSINOX INDUSTRIA COMERCIO MAQUINAS EQUIPAMENTOS LTDA.</t>
        </is>
      </c>
      <c r="J189" t="inlineStr">
        <is>
          <t>Brusinox Ind. e Com. De Maquinas</t>
        </is>
      </c>
      <c r="K189" t="inlineStr">
        <is>
          <t>00939873</t>
        </is>
      </c>
      <c r="L189" t="inlineStr">
        <is>
          <t>00939873000164</t>
        </is>
      </c>
      <c r="M189" s="10" t="n">
        <v>870843.88</v>
      </c>
      <c r="N189" t="n">
        <v>1</v>
      </c>
      <c r="O189" s="11" t="inlineStr">
        <is>
          <t>B</t>
        </is>
      </c>
      <c r="P189" s="11" t="inlineStr">
        <is>
          <t>ACTIVE</t>
        </is>
      </c>
      <c r="Q189" s="12" t="n">
        <v>46130</v>
      </c>
      <c r="R189" s="11">
        <f>IF(Q189="","",ROUND((TODAY()-Q189)/365.25,1))</f>
        <v/>
      </c>
      <c r="S189" s="13">
        <f>IFERROR(VLOOKUP(O189,Assumptions!$A$7:$F$11,2,FALSE),0.25)</f>
        <v/>
      </c>
      <c r="T189" s="14">
        <f>IF(O189="A",MAX(1,IFERROR(VLOOKUP(O189,Assumptions!$A$7:$F$11,3,FALSE),3)+IFERROR(VLOOKUP(O189,Assumptions!$A$7:$F$11,4,FALSE),8)/2-MAX(0,IF(R189="",0,R189)-IFERROR(VLOOKUP(O189,Assumptions!$A$7:$F$11,5,FALSE),1.5))),IFERROR(VLOOKUP(O189,Assumptions!$A$7:$F$11,5,FALSE),2.5)+IFERROR(VLOOKUP(O189,Assumptions!$A$7:$F$11,3,FALSE),3)+IFERROR(VLOOKUP(O189,Assumptions!$A$7:$F$11,4,FALSE),8)/2)</f>
        <v/>
      </c>
      <c r="U189" s="15">
        <f>M189*S189/(1+Assumptions!$B$3)^T189</f>
        <v/>
      </c>
      <c r="V189" s="11">
        <f>IF(M189=0,"",ROUND(U189/M189*100,1))</f>
        <v/>
      </c>
      <c r="W189" s="16">
        <f>U189*Assumptions!$B$4</f>
        <v/>
      </c>
      <c r="X189" s="11">
        <f>IF(M189=0,"",ROUND(W189/M189*100,1))</f>
        <v/>
      </c>
      <c r="Y189" t="inlineStr">
        <is>
          <t>GRUPO 3E</t>
        </is>
      </c>
      <c r="Z189" t="inlineStr">
        <is>
          <t>5341375-33.2026.8.09.0049</t>
        </is>
      </c>
      <c r="AA189" t="inlineStr">
        <is>
          <t>TJGO</t>
        </is>
      </c>
      <c r="AB189" t="inlineStr">
        <is>
          <t>stenius.com.br</t>
        </is>
      </c>
      <c r="AC189" t="inlineStr">
        <is>
          <t>AMBROZIO LEONEL BACCA</t>
        </is>
      </c>
      <c r="AD189" t="inlineStr">
        <is>
          <t>Sócio-Administrador</t>
        </is>
      </c>
      <c r="AE189" t="inlineStr">
        <is>
          <t>(47) 3351-4500</t>
        </is>
      </c>
      <c r="AF189" t="inlineStr"/>
      <c r="AG189" t="inlineStr"/>
      <c r="AH189" t="inlineStr">
        <is>
          <t>SC</t>
        </is>
      </c>
      <c r="AI189" t="inlineStr">
        <is>
          <t>BRUSQUE</t>
        </is>
      </c>
      <c r="AJ189" t="inlineStr">
        <is>
          <t>Fabricação de outras máquinas e equipamentos de uso geral não especificados anteriormente, peças e acessórios</t>
        </is>
      </c>
      <c r="AK189" t="inlineStr">
        <is>
          <t>DEMAIS</t>
        </is>
      </c>
      <c r="AL189" t="inlineStr">
        <is>
          <t>ATIVA</t>
        </is>
      </c>
      <c r="AM189" s="17" t="inlineStr">
        <is>
          <t>https://stenius.com.br/wp-content/uploads/2026/06/EDITAL-GRUPO-3E.pdf</t>
        </is>
      </c>
      <c r="AN189" s="18" t="inlineStr">
        <is>
          <t>p11 r17</t>
        </is>
      </c>
      <c r="AO189" s="18" t="inlineStr">
        <is>
          <t>p11: R$ 870.843,88</t>
        </is>
      </c>
      <c r="AP189" s="18" t="inlineStr">
        <is>
          <t>DEBTOR_LIST</t>
        </is>
      </c>
      <c r="AQ189" s="18" t="inlineStr">
        <is>
          <t>2026-06-22</t>
        </is>
      </c>
      <c r="AR189" s="18" t="inlineStr">
        <is>
          <t>OK_NO_TOTALS</t>
        </is>
      </c>
      <c r="AS189" s="18" t="inlineStr">
        <is>
          <t>ROWS:p11r17 UNRECONCILED_SOURCE</t>
        </is>
      </c>
      <c r="AT189" s="18" t="inlineStr">
        <is>
          <t>8e8832093a15</t>
        </is>
      </c>
    </row>
    <row r="190">
      <c r="A190" s="9" t="n">
        <v>189</v>
      </c>
      <c r="B190" s="9" t="inlineStr">
        <is>
          <t>NEW</t>
        </is>
      </c>
      <c r="C190" s="9" t="inlineStr"/>
      <c r="D190" s="9" t="n">
        <v>0</v>
      </c>
      <c r="E190" s="9" t="inlineStr"/>
      <c r="F190" s="9" t="inlineStr"/>
      <c r="G190" s="9" t="inlineStr"/>
      <c r="H190" s="9" t="inlineStr"/>
      <c r="I190" t="inlineStr">
        <is>
          <t>RG COPPER INDUSTRIA E COMERCIO DE CONDUTORES ELETRICOS LTDA</t>
        </is>
      </c>
      <c r="J190" t="inlineStr">
        <is>
          <t>RG COPPER INDUSTRIA E COMERCIO DE CONDUT</t>
        </is>
      </c>
      <c r="K190" t="inlineStr">
        <is>
          <t>21044682</t>
        </is>
      </c>
      <c r="L190" t="inlineStr">
        <is>
          <t>21044682000104</t>
        </is>
      </c>
      <c r="M190" s="10" t="n">
        <v>864147.01</v>
      </c>
      <c r="N190" t="n">
        <v>1</v>
      </c>
      <c r="O190" s="11" t="inlineStr">
        <is>
          <t>C</t>
        </is>
      </c>
      <c r="P190" s="11" t="inlineStr">
        <is>
          <t>ACTIVE</t>
        </is>
      </c>
      <c r="Q190" s="12" t="n">
        <v>45068</v>
      </c>
      <c r="R190" s="11">
        <f>IF(Q190="","",ROUND((TODAY()-Q190)/365.25,1))</f>
        <v/>
      </c>
      <c r="S190" s="13">
        <f>IFERROR(VLOOKUP(O190,Assumptions!$A$7:$F$11,2,FALSE),0.25)</f>
        <v/>
      </c>
      <c r="T190" s="14">
        <f>IF(O190="A",MAX(1,IFERROR(VLOOKUP(O190,Assumptions!$A$7:$F$11,3,FALSE),3)+IFERROR(VLOOKUP(O190,Assumptions!$A$7:$F$11,4,FALSE),8)/2-MAX(0,IF(R190="",0,R190)-IFERROR(VLOOKUP(O190,Assumptions!$A$7:$F$11,5,FALSE),1.5))),IFERROR(VLOOKUP(O190,Assumptions!$A$7:$F$11,5,FALSE),2.5)+IFERROR(VLOOKUP(O190,Assumptions!$A$7:$F$11,3,FALSE),3)+IFERROR(VLOOKUP(O190,Assumptions!$A$7:$F$11,4,FALSE),8)/2)</f>
        <v/>
      </c>
      <c r="U190" s="15">
        <f>M190*S190/(1+Assumptions!$B$3)^T190</f>
        <v/>
      </c>
      <c r="V190" s="11">
        <f>IF(M190=0,"",ROUND(U190/M190*100,1))</f>
        <v/>
      </c>
      <c r="W190" s="16">
        <f>U190*Assumptions!$B$4</f>
        <v/>
      </c>
      <c r="X190" s="11">
        <f>IF(M190=0,"",ROUND(W190/M190*100,1))</f>
        <v/>
      </c>
      <c r="Y190" t="inlineStr">
        <is>
          <t>Grupo Conduscabos</t>
        </is>
      </c>
      <c r="Z190" t="inlineStr">
        <is>
          <t>8005129-09.2023.8.05.0039</t>
        </is>
      </c>
      <c r="AA190" t="inlineStr">
        <is>
          <t>TJBA</t>
        </is>
      </c>
      <c r="AB190" t="inlineStr">
        <is>
          <t>assistjud.com.br</t>
        </is>
      </c>
      <c r="AC190" t="inlineStr">
        <is>
          <t>GERSON GOMES DA SILVA</t>
        </is>
      </c>
      <c r="AD190" t="inlineStr">
        <is>
          <t>Sócio-Administrador</t>
        </is>
      </c>
      <c r="AE190" t="inlineStr">
        <is>
          <t>(11) 2507-5535</t>
        </is>
      </c>
      <c r="AF190" t="inlineStr"/>
      <c r="AG190" t="inlineStr"/>
      <c r="AH190" t="inlineStr">
        <is>
          <t>SP</t>
        </is>
      </c>
      <c r="AI190" t="inlineStr">
        <is>
          <t>JARDINOPOLIS</t>
        </is>
      </c>
      <c r="AJ190" t="inlineStr">
        <is>
          <t>Fabricação de fios, cabos e condutores elétricos isolados</t>
        </is>
      </c>
      <c r="AK190" t="inlineStr">
        <is>
          <t>DEMAIS</t>
        </is>
      </c>
      <c r="AL190" t="inlineStr">
        <is>
          <t>ATIVA</t>
        </is>
      </c>
      <c r="AM190" s="17" t="inlineStr">
        <is>
          <t>https://assistjud.com.br/wp-content/uploads/elementor/forms/65098c80a5824.pdf</t>
        </is>
      </c>
      <c r="AN190" s="18" t="inlineStr">
        <is>
          <t>p9 r14</t>
        </is>
      </c>
      <c r="AO190" s="18" t="inlineStr">
        <is>
          <t>p9: R$ 864.147,01</t>
        </is>
      </c>
      <c r="AP190" s="18" t="inlineStr">
        <is>
          <t>AJ_LIST</t>
        </is>
      </c>
      <c r="AQ190" s="18" t="inlineStr">
        <is>
          <t>2023-09-18</t>
        </is>
      </c>
      <c r="AR190" s="18" t="inlineStr">
        <is>
          <t>OK_NO_TOTALS</t>
        </is>
      </c>
      <c r="AS190" s="18" t="inlineStr">
        <is>
          <t>ROWS:p9r14 UNRECONCILED_SOURCE</t>
        </is>
      </c>
      <c r="AT190" s="18" t="inlineStr">
        <is>
          <t>a0ae32a59c29</t>
        </is>
      </c>
    </row>
    <row r="191">
      <c r="A191" s="9" t="n">
        <v>190</v>
      </c>
      <c r="B191" s="9" t="inlineStr">
        <is>
          <t>NEW</t>
        </is>
      </c>
      <c r="C191" s="9" t="inlineStr"/>
      <c r="D191" s="9" t="n">
        <v>0</v>
      </c>
      <c r="E191" s="9" t="inlineStr"/>
      <c r="F191" s="9" t="inlineStr"/>
      <c r="G191" s="9" t="inlineStr"/>
      <c r="H191" s="9" t="inlineStr"/>
      <c r="I191" t="inlineStr">
        <is>
          <t>COMERCIAL CIRURGICA RIOCLARENSE LTDA</t>
        </is>
      </c>
      <c r="J191" t="inlineStr">
        <is>
          <t>COMERCIAL CIRURGICA RIOCLARENSE LTDA</t>
        </is>
      </c>
      <c r="K191" t="inlineStr">
        <is>
          <t>67729178</t>
        </is>
      </c>
      <c r="L191" t="inlineStr">
        <is>
          <t>67729178000220</t>
        </is>
      </c>
      <c r="M191" s="10" t="n">
        <v>857146.9300000001</v>
      </c>
      <c r="N191" t="n">
        <v>1</v>
      </c>
      <c r="O191" s="11" t="inlineStr">
        <is>
          <t>C</t>
        </is>
      </c>
      <c r="P191" s="11" t="inlineStr"/>
      <c r="Q191" s="12" t="inlineStr"/>
      <c r="R191" s="11">
        <f>IF(Q191="","",ROUND((TODAY()-Q191)/365.25,1))</f>
        <v/>
      </c>
      <c r="S191" s="13">
        <f>IFERROR(VLOOKUP(O191,Assumptions!$A$7:$F$11,2,FALSE),0.25)</f>
        <v/>
      </c>
      <c r="T191" s="14">
        <f>IF(O191="A",MAX(1,IFERROR(VLOOKUP(O191,Assumptions!$A$7:$F$11,3,FALSE),3)+IFERROR(VLOOKUP(O191,Assumptions!$A$7:$F$11,4,FALSE),8)/2-MAX(0,IF(R191="",0,R191)-IFERROR(VLOOKUP(O191,Assumptions!$A$7:$F$11,5,FALSE),1.5))),IFERROR(VLOOKUP(O191,Assumptions!$A$7:$F$11,5,FALSE),2.5)+IFERROR(VLOOKUP(O191,Assumptions!$A$7:$F$11,3,FALSE),3)+IFERROR(VLOOKUP(O191,Assumptions!$A$7:$F$11,4,FALSE),8)/2)</f>
        <v/>
      </c>
      <c r="U191" s="15">
        <f>M191*S191/(1+Assumptions!$B$3)^T191</f>
        <v/>
      </c>
      <c r="V191" s="11">
        <f>IF(M191=0,"",ROUND(U191/M191*100,1))</f>
        <v/>
      </c>
      <c r="W191" s="16">
        <f>U191*Assumptions!$B$4</f>
        <v/>
      </c>
      <c r="X191" s="11">
        <f>IF(M191=0,"",ROUND(W191/M191*100,1))</f>
        <v/>
      </c>
      <c r="Y191" t="inlineStr">
        <is>
          <t>HOSPITAL SANTA MÔNICA LTDA</t>
        </is>
      </c>
      <c r="Z191" t="inlineStr">
        <is>
          <t>0041309-42.2014.8.08.0024</t>
        </is>
      </c>
      <c r="AA191" t="inlineStr"/>
      <c r="AB191" t="inlineStr">
        <is>
          <t>ricardobiancardi.com.br</t>
        </is>
      </c>
      <c r="AC191" t="inlineStr">
        <is>
          <t>ANA LUCIA BARBOSA PROCHNOW</t>
        </is>
      </c>
      <c r="AD191" t="inlineStr">
        <is>
          <t>Sócio-Administrador</t>
        </is>
      </c>
      <c r="AE191" t="inlineStr"/>
      <c r="AF191" t="inlineStr"/>
      <c r="AG191" t="inlineStr"/>
      <c r="AH191" t="inlineStr">
        <is>
          <t>SP</t>
        </is>
      </c>
      <c r="AI191" t="inlineStr">
        <is>
          <t>RIO CLARO</t>
        </is>
      </c>
      <c r="AJ191" t="inlineStr">
        <is>
          <t>Comércio atacadista de medicamentos e drogas de uso humano</t>
        </is>
      </c>
      <c r="AK191" t="inlineStr">
        <is>
          <t>DEMAIS</t>
        </is>
      </c>
      <c r="AL191" t="inlineStr">
        <is>
          <t>ATIVA</t>
        </is>
      </c>
      <c r="AM191" s="17" t="inlineStr">
        <is>
          <t>https://ricardobiancardi.com.br/wp-content/uploads/2024/12/Edital-1-relacao-de-credores-pub.-02.12.24-.pdf</t>
        </is>
      </c>
      <c r="AN191" s="18" t="inlineStr">
        <is>
          <t>p3 r23</t>
        </is>
      </c>
      <c r="AO191" s="18" t="inlineStr">
        <is>
          <t>p3: R$ 857.146,93</t>
        </is>
      </c>
      <c r="AP191" s="18" t="inlineStr">
        <is>
          <t>DEBTOR_LIST</t>
        </is>
      </c>
      <c r="AQ191" s="18" t="inlineStr">
        <is>
          <t>2024-12-02</t>
        </is>
      </c>
      <c r="AR191" s="18" t="inlineStr">
        <is>
          <t>OK_NO_TOTALS</t>
        </is>
      </c>
      <c r="AS191" s="18" t="inlineStr">
        <is>
          <t>ROWS:p3r23 UNRECONCILED_SOURCE</t>
        </is>
      </c>
      <c r="AT191" s="18" t="inlineStr">
        <is>
          <t>bf96785f7a4e</t>
        </is>
      </c>
    </row>
    <row r="192">
      <c r="A192" s="9" t="n">
        <v>191</v>
      </c>
      <c r="B192" s="9" t="inlineStr">
        <is>
          <t>NEW</t>
        </is>
      </c>
      <c r="C192" s="9" t="inlineStr"/>
      <c r="D192" s="9" t="n">
        <v>0</v>
      </c>
      <c r="E192" s="9" t="inlineStr"/>
      <c r="F192" s="9" t="inlineStr"/>
      <c r="G192" s="9" t="inlineStr"/>
      <c r="H192" s="9" t="inlineStr"/>
      <c r="I192" t="inlineStr">
        <is>
          <t>CARGILL AGRICOLA S A</t>
        </is>
      </c>
      <c r="J192" t="inlineStr">
        <is>
          <t>CARGILL AGRÍCOLA S.A</t>
        </is>
      </c>
      <c r="K192" t="inlineStr">
        <is>
          <t>60498706</t>
        </is>
      </c>
      <c r="L192" t="inlineStr">
        <is>
          <t>60498706000157</t>
        </is>
      </c>
      <c r="M192" s="10" t="n">
        <v>852353.71</v>
      </c>
      <c r="N192" t="n">
        <v>1</v>
      </c>
      <c r="O192" s="11" t="inlineStr">
        <is>
          <t>B</t>
        </is>
      </c>
      <c r="P192" s="11" t="inlineStr">
        <is>
          <t>ACTIVE</t>
        </is>
      </c>
      <c r="Q192" s="12" t="n">
        <v>46030</v>
      </c>
      <c r="R192" s="11">
        <f>IF(Q192="","",ROUND((TODAY()-Q192)/365.25,1))</f>
        <v/>
      </c>
      <c r="S192" s="13">
        <f>IFERROR(VLOOKUP(O192,Assumptions!$A$7:$F$11,2,FALSE),0.25)</f>
        <v/>
      </c>
      <c r="T192" s="14">
        <f>IF(O192="A",MAX(1,IFERROR(VLOOKUP(O192,Assumptions!$A$7:$F$11,3,FALSE),3)+IFERROR(VLOOKUP(O192,Assumptions!$A$7:$F$11,4,FALSE),8)/2-MAX(0,IF(R192="",0,R192)-IFERROR(VLOOKUP(O192,Assumptions!$A$7:$F$11,5,FALSE),1.5))),IFERROR(VLOOKUP(O192,Assumptions!$A$7:$F$11,5,FALSE),2.5)+IFERROR(VLOOKUP(O192,Assumptions!$A$7:$F$11,3,FALSE),3)+IFERROR(VLOOKUP(O192,Assumptions!$A$7:$F$11,4,FALSE),8)/2)</f>
        <v/>
      </c>
      <c r="U192" s="15">
        <f>M192*S192/(1+Assumptions!$B$3)^T192</f>
        <v/>
      </c>
      <c r="V192" s="11">
        <f>IF(M192=0,"",ROUND(U192/M192*100,1))</f>
        <v/>
      </c>
      <c r="W192" s="16">
        <f>U192*Assumptions!$B$4</f>
        <v/>
      </c>
      <c r="X192" s="11">
        <f>IF(M192=0,"",ROUND(W192/M192*100,1))</f>
        <v/>
      </c>
      <c r="Y192" t="inlineStr">
        <is>
          <t>GRUPO FERRARI (ALEX, ALEXANDRE , ANDRIELLE FERRARI MANTELLI, ARCIR LUIS, ERICA SANTOS ASSIS LIMA, FERNANDO MANTELLI, IDELSI, TALITA LEITE SILVA, AGROPECUARIA FERRARI LTDA E FERRARI ARMAZENS GERAIS)</t>
        </is>
      </c>
      <c r="Z192" t="inlineStr">
        <is>
          <t>5011369-81.2026.8.09.0093</t>
        </is>
      </c>
      <c r="AA192" t="inlineStr">
        <is>
          <t>TJGO</t>
        </is>
      </c>
      <c r="AB192" t="inlineStr">
        <is>
          <t>scalzilliaj.com.br</t>
        </is>
      </c>
      <c r="AC192" t="inlineStr">
        <is>
          <t>PAULO HUMBERTO ALVES DE SOUSA</t>
        </is>
      </c>
      <c r="AD192" t="inlineStr">
        <is>
          <t>Presidente</t>
        </is>
      </c>
      <c r="AE192" t="inlineStr">
        <is>
          <t>(11) 5099-3311</t>
        </is>
      </c>
      <c r="AF192" t="inlineStr"/>
      <c r="AG192" t="inlineStr"/>
      <c r="AH192" t="inlineStr">
        <is>
          <t>SP</t>
        </is>
      </c>
      <c r="AI192" t="inlineStr">
        <is>
          <t>SAO PAULO</t>
        </is>
      </c>
      <c r="AJ192" t="inlineStr">
        <is>
          <t>Fabricação de óleos vegetais refinados, exceto óleo de milho</t>
        </is>
      </c>
      <c r="AK192" t="inlineStr">
        <is>
          <t>DEMAIS</t>
        </is>
      </c>
      <c r="AL192" t="inlineStr">
        <is>
          <t>ATIVA</t>
        </is>
      </c>
      <c r="AM192" s="17" t="inlineStr">
        <is>
          <t>https://scalzilliaj.com.br/sgc/download.php?file=files/processo_documento/processo_documento11421222052026_1_.pdf&amp;nome=08. Lista de credores do edital do art. 52, §1º da LREF</t>
        </is>
      </c>
      <c r="AN192" s="18" t="inlineStr">
        <is>
          <t>p4 r5</t>
        </is>
      </c>
      <c r="AO192" s="18" t="inlineStr">
        <is>
          <t>p4: R$ 852.353,71</t>
        </is>
      </c>
      <c r="AP192" s="18" t="inlineStr">
        <is>
          <t>UNKNOWN</t>
        </is>
      </c>
      <c r="AQ192" s="18" t="inlineStr"/>
      <c r="AR192" s="18" t="inlineStr">
        <is>
          <t>OK_NO_TOTALS</t>
        </is>
      </c>
      <c r="AS192" s="18" t="inlineStr">
        <is>
          <t>ROWS:p4r5 UNRECONCILED_SOURCE</t>
        </is>
      </c>
      <c r="AT192" s="18" t="inlineStr">
        <is>
          <t>c536a2fa4da3</t>
        </is>
      </c>
    </row>
    <row r="193">
      <c r="A193" s="9" t="n">
        <v>192</v>
      </c>
      <c r="B193" s="9" t="inlineStr">
        <is>
          <t>NEW</t>
        </is>
      </c>
      <c r="C193" s="9" t="inlineStr"/>
      <c r="D193" s="9" t="n">
        <v>0</v>
      </c>
      <c r="E193" s="9" t="inlineStr"/>
      <c r="F193" s="9" t="inlineStr"/>
      <c r="G193" s="9" t="inlineStr"/>
      <c r="H193" s="9" t="inlineStr"/>
      <c r="I193" t="inlineStr">
        <is>
          <t>EDP ESPIRITO SANTO DISTRIBUICAO DE ENERGIA S.A.</t>
        </is>
      </c>
      <c r="J193" t="inlineStr">
        <is>
          <t>EDP - ESPIRITO SANTO CENTRAIS ELETRICAS S.A.</t>
        </is>
      </c>
      <c r="K193" t="inlineStr">
        <is>
          <t>28152650</t>
        </is>
      </c>
      <c r="L193" t="inlineStr">
        <is>
          <t>28152650000171</t>
        </is>
      </c>
      <c r="M193" s="10" t="n">
        <v>850547.08</v>
      </c>
      <c r="N193" t="n">
        <v>1</v>
      </c>
      <c r="O193" s="11" t="inlineStr">
        <is>
          <t>C</t>
        </is>
      </c>
      <c r="P193" s="11" t="inlineStr"/>
      <c r="Q193" s="12" t="inlineStr"/>
      <c r="R193" s="11">
        <f>IF(Q193="","",ROUND((TODAY()-Q193)/365.25,1))</f>
        <v/>
      </c>
      <c r="S193" s="13">
        <f>IFERROR(VLOOKUP(O193,Assumptions!$A$7:$F$11,2,FALSE),0.25)</f>
        <v/>
      </c>
      <c r="T193" s="14">
        <f>IF(O193="A",MAX(1,IFERROR(VLOOKUP(O193,Assumptions!$A$7:$F$11,3,FALSE),3)+IFERROR(VLOOKUP(O193,Assumptions!$A$7:$F$11,4,FALSE),8)/2-MAX(0,IF(R193="",0,R193)-IFERROR(VLOOKUP(O193,Assumptions!$A$7:$F$11,5,FALSE),1.5))),IFERROR(VLOOKUP(O193,Assumptions!$A$7:$F$11,5,FALSE),2.5)+IFERROR(VLOOKUP(O193,Assumptions!$A$7:$F$11,3,FALSE),3)+IFERROR(VLOOKUP(O193,Assumptions!$A$7:$F$11,4,FALSE),8)/2)</f>
        <v/>
      </c>
      <c r="U193" s="15">
        <f>M193*S193/(1+Assumptions!$B$3)^T193</f>
        <v/>
      </c>
      <c r="V193" s="11">
        <f>IF(M193=0,"",ROUND(U193/M193*100,1))</f>
        <v/>
      </c>
      <c r="W193" s="16">
        <f>U193*Assumptions!$B$4</f>
        <v/>
      </c>
      <c r="X193" s="11">
        <f>IF(M193=0,"",ROUND(W193/M193*100,1))</f>
        <v/>
      </c>
      <c r="Y193" t="inlineStr">
        <is>
          <t>HOSPITAL SANTA MÔNICA LTDA</t>
        </is>
      </c>
      <c r="Z193" t="inlineStr">
        <is>
          <t>0041309-42.2014.8.08.0024</t>
        </is>
      </c>
      <c r="AA193" t="inlineStr"/>
      <c r="AB193" t="inlineStr">
        <is>
          <t>ricardobiancardi.com.br</t>
        </is>
      </c>
      <c r="AC193" t="inlineStr">
        <is>
          <t>DYOGENES ROSI</t>
        </is>
      </c>
      <c r="AD193" t="inlineStr">
        <is>
          <t>Presidente</t>
        </is>
      </c>
      <c r="AE193" t="inlineStr">
        <is>
          <t>(11) 2185-5199</t>
        </is>
      </c>
      <c r="AF193" t="inlineStr">
        <is>
          <t>(11) 2185-5045</t>
        </is>
      </c>
      <c r="AG193" t="inlineStr"/>
      <c r="AH193" t="inlineStr">
        <is>
          <t>ES</t>
        </is>
      </c>
      <c r="AI193" t="inlineStr">
        <is>
          <t>VITORIA</t>
        </is>
      </c>
      <c r="AJ193" t="inlineStr">
        <is>
          <t>Distribuição de energia elétrica</t>
        </is>
      </c>
      <c r="AK193" t="inlineStr">
        <is>
          <t>DEMAIS</t>
        </is>
      </c>
      <c r="AL193" t="inlineStr">
        <is>
          <t>ATIVA</t>
        </is>
      </c>
      <c r="AM193" s="17" t="inlineStr">
        <is>
          <t>https://ricardobiancardi.com.br/wp-content/uploads/2024/12/Edital-1-relacao-de-credores-pub.-02.12.24-.pdf</t>
        </is>
      </c>
      <c r="AN193" s="18" t="inlineStr">
        <is>
          <t>p4 r11</t>
        </is>
      </c>
      <c r="AO193" s="18" t="inlineStr">
        <is>
          <t>p4: R$ 850.547,08</t>
        </is>
      </c>
      <c r="AP193" s="18" t="inlineStr">
        <is>
          <t>DEBTOR_LIST</t>
        </is>
      </c>
      <c r="AQ193" s="18" t="inlineStr">
        <is>
          <t>2024-12-02</t>
        </is>
      </c>
      <c r="AR193" s="18" t="inlineStr">
        <is>
          <t>OK_NO_TOTALS</t>
        </is>
      </c>
      <c r="AS193" s="18" t="inlineStr">
        <is>
          <t>ROWS:p4r11 UNRECONCILED_SOURCE</t>
        </is>
      </c>
      <c r="AT193" s="18" t="inlineStr">
        <is>
          <t>bf96785f7a4e</t>
        </is>
      </c>
    </row>
    <row r="194">
      <c r="A194" s="9" t="n">
        <v>193</v>
      </c>
      <c r="B194" s="9" t="inlineStr">
        <is>
          <t>NEW</t>
        </is>
      </c>
      <c r="C194" s="9" t="inlineStr"/>
      <c r="D194" s="9" t="n">
        <v>0</v>
      </c>
      <c r="E194" s="9" t="inlineStr"/>
      <c r="F194" s="9" t="inlineStr"/>
      <c r="G194" s="9" t="inlineStr"/>
      <c r="H194" s="9" t="inlineStr"/>
      <c r="I194" t="inlineStr">
        <is>
          <t>TUBOS TIGRE-ADS DO BRASIL LIMITADA</t>
        </is>
      </c>
      <c r="J194" t="inlineStr">
        <is>
          <t>TUBOS TIGRE-ADS BRASIL LTDA</t>
        </is>
      </c>
      <c r="K194" t="inlineStr">
        <is>
          <t>11069316</t>
        </is>
      </c>
      <c r="L194" t="inlineStr">
        <is>
          <t>11069316000318</t>
        </is>
      </c>
      <c r="M194" s="10" t="n">
        <v>840995.9399999999</v>
      </c>
      <c r="N194" t="n">
        <v>1</v>
      </c>
      <c r="O194" s="11" t="inlineStr">
        <is>
          <t>C</t>
        </is>
      </c>
      <c r="P194" s="11" t="inlineStr">
        <is>
          <t>ACTIVE</t>
        </is>
      </c>
      <c r="Q194" s="12" t="n">
        <v>43838</v>
      </c>
      <c r="R194" s="11">
        <f>IF(Q194="","",ROUND((TODAY()-Q194)/365.25,1))</f>
        <v/>
      </c>
      <c r="S194" s="13">
        <f>IFERROR(VLOOKUP(O194,Assumptions!$A$7:$F$11,2,FALSE),0.25)</f>
        <v/>
      </c>
      <c r="T194" s="14">
        <f>IF(O194="A",MAX(1,IFERROR(VLOOKUP(O194,Assumptions!$A$7:$F$11,3,FALSE),3)+IFERROR(VLOOKUP(O194,Assumptions!$A$7:$F$11,4,FALSE),8)/2-MAX(0,IF(R194="",0,R194)-IFERROR(VLOOKUP(O194,Assumptions!$A$7:$F$11,5,FALSE),1.5))),IFERROR(VLOOKUP(O194,Assumptions!$A$7:$F$11,5,FALSE),2.5)+IFERROR(VLOOKUP(O194,Assumptions!$A$7:$F$11,3,FALSE),3)+IFERROR(VLOOKUP(O194,Assumptions!$A$7:$F$11,4,FALSE),8)/2)</f>
        <v/>
      </c>
      <c r="U194" s="15">
        <f>M194*S194/(1+Assumptions!$B$3)^T194</f>
        <v/>
      </c>
      <c r="V194" s="11">
        <f>IF(M194=0,"",ROUND(U194/M194*100,1))</f>
        <v/>
      </c>
      <c r="W194" s="16">
        <f>U194*Assumptions!$B$4</f>
        <v/>
      </c>
      <c r="X194" s="11">
        <f>IF(M194=0,"",ROUND(W194/M194*100,1))</f>
        <v/>
      </c>
      <c r="Y194" t="inlineStr">
        <is>
          <t>CONSTRUTORA ANDRADE GUEDES LTDA</t>
        </is>
      </c>
      <c r="Z194" t="inlineStr">
        <is>
          <t>0000880-57.2020.8.17.2001</t>
        </is>
      </c>
      <c r="AA194" t="inlineStr">
        <is>
          <t>TJPE</t>
        </is>
      </c>
      <c r="AB194" t="inlineStr">
        <is>
          <t>diligence.adm.br</t>
        </is>
      </c>
      <c r="AC194" t="inlineStr">
        <is>
          <t>EDUARDO POZZANI REIS</t>
        </is>
      </c>
      <c r="AD194" t="inlineStr">
        <is>
          <t>Administrador</t>
        </is>
      </c>
      <c r="AE194" t="inlineStr">
        <is>
          <t>(19) 8342-0006</t>
        </is>
      </c>
      <c r="AF194" t="inlineStr"/>
      <c r="AG194" t="inlineStr"/>
      <c r="AH194" t="inlineStr">
        <is>
          <t>SP</t>
        </is>
      </c>
      <c r="AI194" t="inlineStr">
        <is>
          <t>RIO CLARO</t>
        </is>
      </c>
      <c r="AJ194" t="inlineStr">
        <is>
          <t>Fabricação de tubos e acessórios de material plástico para uso na construção</t>
        </is>
      </c>
      <c r="AK194" t="inlineStr">
        <is>
          <t>DEMAIS</t>
        </is>
      </c>
      <c r="AL194" t="inlineStr">
        <is>
          <t>ATIVA</t>
        </is>
      </c>
      <c r="AM194" s="17" t="inlineStr">
        <is>
          <t>https://diligence.adm.br/wp-content/plugins/download-attachments/includes/download.php?id=4599</t>
        </is>
      </c>
      <c r="AN194" s="18" t="inlineStr">
        <is>
          <t>p10 r79</t>
        </is>
      </c>
      <c r="AO194" s="18" t="inlineStr">
        <is>
          <t>p10: R$ 840.995,94</t>
        </is>
      </c>
      <c r="AP194" s="18" t="inlineStr">
        <is>
          <t>AJ_LIST</t>
        </is>
      </c>
      <c r="AQ194" s="18" t="inlineStr">
        <is>
          <t>2024-06-25</t>
        </is>
      </c>
      <c r="AR194" s="18" t="inlineStr">
        <is>
          <t>OK_NO_TOTALS</t>
        </is>
      </c>
      <c r="AS194" s="18" t="inlineStr">
        <is>
          <t>ALT_VALUE:R$840.995,94 ROWS:p10r79 UNRECONCILED_SOURCE VALUE_COL:2ª_Lista</t>
        </is>
      </c>
      <c r="AT194" s="18" t="inlineStr">
        <is>
          <t>44ecd0afa707</t>
        </is>
      </c>
    </row>
    <row r="195">
      <c r="A195" s="9" t="n">
        <v>194</v>
      </c>
      <c r="B195" s="9" t="inlineStr">
        <is>
          <t>NEW</t>
        </is>
      </c>
      <c r="C195" s="9" t="inlineStr"/>
      <c r="D195" s="9" t="n">
        <v>0</v>
      </c>
      <c r="E195" s="9" t="inlineStr"/>
      <c r="F195" s="9" t="inlineStr"/>
      <c r="G195" s="9" t="inlineStr"/>
      <c r="H195" s="9" t="inlineStr"/>
      <c r="I195" t="inlineStr">
        <is>
          <t>TERRA NOVA AGROINDUSTRIA LTDA</t>
        </is>
      </c>
      <c r="J195" t="inlineStr">
        <is>
          <t>TERRA NOVA AGROINDUSTRIAL EM RECUPERAÇÃO JUDICIAL</t>
        </is>
      </c>
      <c r="K195" t="inlineStr">
        <is>
          <t>07175357</t>
        </is>
      </c>
      <c r="L195" t="inlineStr">
        <is>
          <t>07175357000150</t>
        </is>
      </c>
      <c r="M195" s="10" t="n">
        <v>837280.86</v>
      </c>
      <c r="N195" t="n">
        <v>1</v>
      </c>
      <c r="O195" s="11" t="inlineStr">
        <is>
          <t>B</t>
        </is>
      </c>
      <c r="P195" s="11" t="inlineStr">
        <is>
          <t>ACTIVE</t>
        </is>
      </c>
      <c r="Q195" s="12" t="n">
        <v>45987</v>
      </c>
      <c r="R195" s="11">
        <f>IF(Q195="","",ROUND((TODAY()-Q195)/365.25,1))</f>
        <v/>
      </c>
      <c r="S195" s="13">
        <f>IFERROR(VLOOKUP(O195,Assumptions!$A$7:$F$11,2,FALSE),0.25)</f>
        <v/>
      </c>
      <c r="T195" s="14">
        <f>IF(O195="A",MAX(1,IFERROR(VLOOKUP(O195,Assumptions!$A$7:$F$11,3,FALSE),3)+IFERROR(VLOOKUP(O195,Assumptions!$A$7:$F$11,4,FALSE),8)/2-MAX(0,IF(R195="",0,R195)-IFERROR(VLOOKUP(O195,Assumptions!$A$7:$F$11,5,FALSE),1.5))),IFERROR(VLOOKUP(O195,Assumptions!$A$7:$F$11,5,FALSE),2.5)+IFERROR(VLOOKUP(O195,Assumptions!$A$7:$F$11,3,FALSE),3)+IFERROR(VLOOKUP(O195,Assumptions!$A$7:$F$11,4,FALSE),8)/2)</f>
        <v/>
      </c>
      <c r="U195" s="15">
        <f>M195*S195/(1+Assumptions!$B$3)^T195</f>
        <v/>
      </c>
      <c r="V195" s="11">
        <f>IF(M195=0,"",ROUND(U195/M195*100,1))</f>
        <v/>
      </c>
      <c r="W195" s="16">
        <f>U195*Assumptions!$B$4</f>
        <v/>
      </c>
      <c r="X195" s="11">
        <f>IF(M195=0,"",ROUND(W195/M195*100,1))</f>
        <v/>
      </c>
      <c r="Y195" t="inlineStr">
        <is>
          <t>Cerealista Safrasul Ltda</t>
        </is>
      </c>
      <c r="Z195" t="inlineStr">
        <is>
          <t>4000167-23.2025.8.26.0373</t>
        </is>
      </c>
      <c r="AA195" t="inlineStr">
        <is>
          <t>TJSP</t>
        </is>
      </c>
      <c r="AB195" t="inlineStr">
        <is>
          <t>ajruiz.com.br</t>
        </is>
      </c>
      <c r="AC195" t="inlineStr">
        <is>
          <t>THALLES DANTAS ROMAO</t>
        </is>
      </c>
      <c r="AD195" t="inlineStr">
        <is>
          <t>Sócio-Administrador</t>
        </is>
      </c>
      <c r="AE195" t="inlineStr">
        <is>
          <t>(65) 3682-9494</t>
        </is>
      </c>
      <c r="AF195" t="inlineStr">
        <is>
          <t>(65) 8152-0065</t>
        </is>
      </c>
      <c r="AG195" t="inlineStr"/>
      <c r="AH195" t="inlineStr">
        <is>
          <t>MT</t>
        </is>
      </c>
      <c r="AI195" t="inlineStr">
        <is>
          <t>VARZEA GRANDE</t>
        </is>
      </c>
      <c r="AJ195" t="inlineStr">
        <is>
          <t>Beneficiamento de arroz</t>
        </is>
      </c>
      <c r="AK195" t="inlineStr">
        <is>
          <t>DEMAIS</t>
        </is>
      </c>
      <c r="AL195" t="inlineStr">
        <is>
          <t>ATIVA</t>
        </is>
      </c>
      <c r="AM195" s="17" t="inlineStr">
        <is>
          <t>https://ajruiz.com.br/sites/default/files/public/arquivos-processos/2026-01/safrasul_relacao_de_credores_recuperanda.pdf</t>
        </is>
      </c>
      <c r="AN195" s="18" t="inlineStr">
        <is>
          <t>p8 r38</t>
        </is>
      </c>
      <c r="AO195" s="18" t="inlineStr">
        <is>
          <t>p8: R$ 837.280,86</t>
        </is>
      </c>
      <c r="AP195" s="18" t="inlineStr">
        <is>
          <t>AJ_LIST</t>
        </is>
      </c>
      <c r="AQ195" s="18" t="inlineStr">
        <is>
          <t>2026-01-14</t>
        </is>
      </c>
      <c r="AR195" s="18" t="inlineStr">
        <is>
          <t>OK_NO_TOTALS</t>
        </is>
      </c>
      <c r="AS195" s="18" t="inlineStr">
        <is>
          <t>ROWS:p8r38 UNRECONCILED_SOURCE</t>
        </is>
      </c>
      <c r="AT195" s="18" t="inlineStr">
        <is>
          <t>18975be46188</t>
        </is>
      </c>
    </row>
    <row r="196">
      <c r="A196" s="9" t="n">
        <v>195</v>
      </c>
      <c r="B196" s="9" t="inlineStr">
        <is>
          <t>NEW</t>
        </is>
      </c>
      <c r="C196" s="9" t="inlineStr"/>
      <c r="D196" s="9" t="n">
        <v>0</v>
      </c>
      <c r="E196" s="9" t="inlineStr"/>
      <c r="F196" s="9" t="inlineStr"/>
      <c r="G196" s="9" t="inlineStr"/>
      <c r="H196" s="9" t="inlineStr"/>
      <c r="I196" t="inlineStr">
        <is>
          <t>NP BRASIL SERVICOS E PROJETOS LTDA</t>
        </is>
      </c>
      <c r="J196" t="inlineStr">
        <is>
          <t>NEOPLASTIC PLÁSTICOS LTDA.</t>
        </is>
      </c>
      <c r="K196" t="inlineStr">
        <is>
          <t>67959015</t>
        </is>
      </c>
      <c r="L196" t="inlineStr">
        <is>
          <t>67959015000152</t>
        </is>
      </c>
      <c r="M196" s="10" t="n">
        <v>830950.0600000001</v>
      </c>
      <c r="N196" t="n">
        <v>1</v>
      </c>
      <c r="O196" s="11" t="inlineStr">
        <is>
          <t>D</t>
        </is>
      </c>
      <c r="P196" s="11" t="inlineStr"/>
      <c r="Q196" s="12" t="inlineStr"/>
      <c r="R196" s="11">
        <f>IF(Q196="","",ROUND((TODAY()-Q196)/365.25,1))</f>
        <v/>
      </c>
      <c r="S196" s="13">
        <f>IFERROR(VLOOKUP(O196,Assumptions!$A$7:$F$11,2,FALSE),0.25)</f>
        <v/>
      </c>
      <c r="T196" s="14">
        <f>IF(O196="A",MAX(1,IFERROR(VLOOKUP(O196,Assumptions!$A$7:$F$11,3,FALSE),3)+IFERROR(VLOOKUP(O196,Assumptions!$A$7:$F$11,4,FALSE),8)/2-MAX(0,IF(R196="",0,R196)-IFERROR(VLOOKUP(O196,Assumptions!$A$7:$F$11,5,FALSE),1.5))),IFERROR(VLOOKUP(O196,Assumptions!$A$7:$F$11,5,FALSE),2.5)+IFERROR(VLOOKUP(O196,Assumptions!$A$7:$F$11,3,FALSE),3)+IFERROR(VLOOKUP(O196,Assumptions!$A$7:$F$11,4,FALSE),8)/2)</f>
        <v/>
      </c>
      <c r="U196" s="15">
        <f>M196*S196/(1+Assumptions!$B$3)^T196</f>
        <v/>
      </c>
      <c r="V196" s="11">
        <f>IF(M196=0,"",ROUND(U196/M196*100,1))</f>
        <v/>
      </c>
      <c r="W196" s="16">
        <f>U196*Assumptions!$B$4</f>
        <v/>
      </c>
      <c r="X196" s="11">
        <f>IF(M196=0,"",ROUND(W196/M196*100,1))</f>
        <v/>
      </c>
      <c r="Y196" t="inlineStr">
        <is>
          <t>Mannes</t>
        </is>
      </c>
      <c r="Z196" t="inlineStr">
        <is>
          <t>0005010-50.2013.8.24.0026</t>
        </is>
      </c>
      <c r="AA196" t="inlineStr"/>
      <c r="AB196" t="inlineStr">
        <is>
          <t>administradorajudicialgs.com.br</t>
        </is>
      </c>
      <c r="AC196" t="inlineStr">
        <is>
          <t>ANTONIO SERGIO HURTADO</t>
        </is>
      </c>
      <c r="AD196" t="inlineStr">
        <is>
          <t>Sócio-Administrador</t>
        </is>
      </c>
      <c r="AE196" t="inlineStr">
        <is>
          <t>(11) 4443-1000</t>
        </is>
      </c>
      <c r="AF196" t="inlineStr"/>
      <c r="AG196" t="inlineStr"/>
      <c r="AH196" t="inlineStr">
        <is>
          <t>SP</t>
        </is>
      </c>
      <c r="AI196" t="inlineStr">
        <is>
          <t>FRANCO DA ROCHA</t>
        </is>
      </c>
      <c r="AJ196" t="inlineStr">
        <is>
          <t>Fabricação de embalagens de material plástico</t>
        </is>
      </c>
      <c r="AK196" t="inlineStr">
        <is>
          <t>DEMAIS</t>
        </is>
      </c>
      <c r="AL196" t="inlineStr">
        <is>
          <t>ATIVA</t>
        </is>
      </c>
      <c r="AM196" s="17" t="inlineStr">
        <is>
          <t>https://administradorajudicialgs.com.br/wp-content/uploads/2024/12/relacao-de-credores-da-falida.pdf</t>
        </is>
      </c>
      <c r="AN196" s="18" t="inlineStr">
        <is>
          <t>p17 r14</t>
        </is>
      </c>
      <c r="AO196" s="18" t="inlineStr">
        <is>
          <t>p17: R$ 830.950,06</t>
        </is>
      </c>
      <c r="AP196" s="18" t="inlineStr">
        <is>
          <t>OTHER</t>
        </is>
      </c>
      <c r="AQ196" s="18" t="inlineStr">
        <is>
          <t>2025-03-25</t>
        </is>
      </c>
      <c r="AR196" s="18" t="inlineStr">
        <is>
          <t>OK_NO_TOTALS</t>
        </is>
      </c>
      <c r="AS196" s="18" t="inlineStr">
        <is>
          <t>ROWS:p17r14 UNRECONCILED_SOURCE CASE_NUMBER_CORRECTED</t>
        </is>
      </c>
      <c r="AT196" s="18" t="inlineStr">
        <is>
          <t>ea17ba43b261</t>
        </is>
      </c>
    </row>
    <row r="197">
      <c r="A197" s="9" t="n">
        <v>196</v>
      </c>
      <c r="B197" s="9" t="inlineStr">
        <is>
          <t>NEW</t>
        </is>
      </c>
      <c r="C197" s="9" t="inlineStr"/>
      <c r="D197" s="9" t="n">
        <v>0</v>
      </c>
      <c r="E197" s="9" t="inlineStr"/>
      <c r="F197" s="9" t="inlineStr"/>
      <c r="G197" s="9" t="inlineStr"/>
      <c r="H197" s="9" t="inlineStr"/>
      <c r="I197" t="inlineStr">
        <is>
          <t>SEM PARAR INSTITUICAO DE PAGAMENTO LTDA</t>
        </is>
      </c>
      <c r="J197" t="inlineStr">
        <is>
          <t>Sem Parar Instituicao De Pagamento Ltda</t>
        </is>
      </c>
      <c r="K197" t="inlineStr">
        <is>
          <t>04088208</t>
        </is>
      </c>
      <c r="L197" t="inlineStr">
        <is>
          <t>04088208000165</t>
        </is>
      </c>
      <c r="M197" s="10" t="n">
        <v>825597.87</v>
      </c>
      <c r="N197" t="n">
        <v>1</v>
      </c>
      <c r="O197" s="11" t="inlineStr">
        <is>
          <t>B</t>
        </is>
      </c>
      <c r="P197" s="11" t="inlineStr">
        <is>
          <t>ACTIVE</t>
        </is>
      </c>
      <c r="Q197" s="12" t="n">
        <v>45460</v>
      </c>
      <c r="R197" s="11">
        <f>IF(Q197="","",ROUND((TODAY()-Q197)/365.25,1))</f>
        <v/>
      </c>
      <c r="S197" s="13">
        <f>IFERROR(VLOOKUP(O197,Assumptions!$A$7:$F$11,2,FALSE),0.25)</f>
        <v/>
      </c>
      <c r="T197" s="14">
        <f>IF(O197="A",MAX(1,IFERROR(VLOOKUP(O197,Assumptions!$A$7:$F$11,3,FALSE),3)+IFERROR(VLOOKUP(O197,Assumptions!$A$7:$F$11,4,FALSE),8)/2-MAX(0,IF(R197="",0,R197)-IFERROR(VLOOKUP(O197,Assumptions!$A$7:$F$11,5,FALSE),1.5))),IFERROR(VLOOKUP(O197,Assumptions!$A$7:$F$11,5,FALSE),2.5)+IFERROR(VLOOKUP(O197,Assumptions!$A$7:$F$11,3,FALSE),3)+IFERROR(VLOOKUP(O197,Assumptions!$A$7:$F$11,4,FALSE),8)/2)</f>
        <v/>
      </c>
      <c r="U197" s="15">
        <f>M197*S197/(1+Assumptions!$B$3)^T197</f>
        <v/>
      </c>
      <c r="V197" s="11">
        <f>IF(M197=0,"",ROUND(U197/M197*100,1))</f>
        <v/>
      </c>
      <c r="W197" s="16">
        <f>U197*Assumptions!$B$4</f>
        <v/>
      </c>
      <c r="X197" s="11">
        <f>IF(M197=0,"",ROUND(W197/M197*100,1))</f>
        <v/>
      </c>
      <c r="Y197" t="inlineStr">
        <is>
          <t>GRUPO D&amp;D</t>
        </is>
      </c>
      <c r="Z197" t="inlineStr">
        <is>
          <t>0001943-40.2024.8.16.0115</t>
        </is>
      </c>
      <c r="AA197" t="inlineStr">
        <is>
          <t>TJPR</t>
        </is>
      </c>
      <c r="AB197" t="inlineStr">
        <is>
          <t>marquesadmjudicial.com.br</t>
        </is>
      </c>
      <c r="AC197" t="inlineStr">
        <is>
          <t>ANTONIO PAULO CORREA E CONDE</t>
        </is>
      </c>
      <c r="AD197" t="inlineStr">
        <is>
          <t>Administrador</t>
        </is>
      </c>
      <c r="AE197" t="inlineStr">
        <is>
          <t>(11) 4573-2300</t>
        </is>
      </c>
      <c r="AF197" t="inlineStr"/>
      <c r="AG197" t="inlineStr"/>
      <c r="AH197" t="inlineStr">
        <is>
          <t>SP</t>
        </is>
      </c>
      <c r="AI197" t="inlineStr">
        <is>
          <t>SAO PAULO</t>
        </is>
      </c>
      <c r="AJ197" t="inlineStr">
        <is>
          <t>Outras atividades de serviços prestados principalmente às empresas não especificadas anteriormente</t>
        </is>
      </c>
      <c r="AK197" t="inlineStr">
        <is>
          <t>DEMAIS</t>
        </is>
      </c>
      <c r="AL197" t="inlineStr">
        <is>
          <t>ATIVA</t>
        </is>
      </c>
      <c r="AM197" s="17" t="inlineStr">
        <is>
          <t>https://marquesadmjudicial.com.br/sgc/download.php?file=files/processo_documento/processo_documento20014127022025_1_.pdf&amp;nome=Relação Nominal de Credores</t>
        </is>
      </c>
      <c r="AN197" s="18" t="inlineStr">
        <is>
          <t>p5 r17</t>
        </is>
      </c>
      <c r="AO197" s="18" t="inlineStr">
        <is>
          <t>p5: R$ 825.597,87</t>
        </is>
      </c>
      <c r="AP197" s="18" t="inlineStr">
        <is>
          <t>AJ_LIST</t>
        </is>
      </c>
      <c r="AQ197" s="18" t="inlineStr">
        <is>
          <t>2024-11-08</t>
        </is>
      </c>
      <c r="AR197" s="18" t="inlineStr">
        <is>
          <t>QUARANTINED</t>
        </is>
      </c>
      <c r="AS197" s="18" t="inlineStr">
        <is>
          <t>PARTIAL_DOC_CLASS_III_RECONCILED ROWS:p5r17</t>
        </is>
      </c>
      <c r="AT197" s="18" t="inlineStr">
        <is>
          <t>dfc3207dcd0f</t>
        </is>
      </c>
    </row>
    <row r="198">
      <c r="A198" s="9" t="n">
        <v>197</v>
      </c>
      <c r="B198" s="9" t="inlineStr">
        <is>
          <t>NEW</t>
        </is>
      </c>
      <c r="C198" s="9" t="inlineStr"/>
      <c r="D198" s="9" t="n">
        <v>0</v>
      </c>
      <c r="E198" s="9" t="inlineStr"/>
      <c r="F198" s="9" t="inlineStr"/>
      <c r="G198" s="9" t="inlineStr"/>
      <c r="H198" s="9" t="inlineStr"/>
      <c r="I198" t="inlineStr">
        <is>
          <t>RAFITEC SOLUCOES EM PLASTICOS LTDA</t>
        </is>
      </c>
      <c r="J198" t="inlineStr">
        <is>
          <t>Rafitec S/A Ind. e Com. De Sacarias</t>
        </is>
      </c>
      <c r="K198" t="inlineStr">
        <is>
          <t>00763251</t>
        </is>
      </c>
      <c r="L198" t="inlineStr">
        <is>
          <t>00763251000128</t>
        </is>
      </c>
      <c r="M198" s="10" t="n">
        <v>824696.62</v>
      </c>
      <c r="N198" t="n">
        <v>1</v>
      </c>
      <c r="O198" s="11" t="inlineStr">
        <is>
          <t>C</t>
        </is>
      </c>
      <c r="P198" s="11" t="inlineStr">
        <is>
          <t>ACTIVE</t>
        </is>
      </c>
      <c r="Q198" s="12" t="n">
        <v>45057</v>
      </c>
      <c r="R198" s="11">
        <f>IF(Q198="","",ROUND((TODAY()-Q198)/365.25,1))</f>
        <v/>
      </c>
      <c r="S198" s="13">
        <f>IFERROR(VLOOKUP(O198,Assumptions!$A$7:$F$11,2,FALSE),0.25)</f>
        <v/>
      </c>
      <c r="T198" s="14">
        <f>IF(O198="A",MAX(1,IFERROR(VLOOKUP(O198,Assumptions!$A$7:$F$11,3,FALSE),3)+IFERROR(VLOOKUP(O198,Assumptions!$A$7:$F$11,4,FALSE),8)/2-MAX(0,IF(R198="",0,R198)-IFERROR(VLOOKUP(O198,Assumptions!$A$7:$F$11,5,FALSE),1.5))),IFERROR(VLOOKUP(O198,Assumptions!$A$7:$F$11,5,FALSE),2.5)+IFERROR(VLOOKUP(O198,Assumptions!$A$7:$F$11,3,FALSE),3)+IFERROR(VLOOKUP(O198,Assumptions!$A$7:$F$11,4,FALSE),8)/2)</f>
        <v/>
      </c>
      <c r="U198" s="15">
        <f>M198*S198/(1+Assumptions!$B$3)^T198</f>
        <v/>
      </c>
      <c r="V198" s="11">
        <f>IF(M198=0,"",ROUND(U198/M198*100,1))</f>
        <v/>
      </c>
      <c r="W198" s="16">
        <f>U198*Assumptions!$B$4</f>
        <v/>
      </c>
      <c r="X198" s="11">
        <f>IF(M198=0,"",ROUND(W198/M198*100,1))</f>
        <v/>
      </c>
      <c r="Y198" t="inlineStr">
        <is>
          <t>TOP TEXTIL EMBALAGENS LTDA</t>
        </is>
      </c>
      <c r="Z198" t="inlineStr">
        <is>
          <t>5011460-87.2023.8.24.0020</t>
        </is>
      </c>
      <c r="AA198" t="inlineStr">
        <is>
          <t>TJSC</t>
        </is>
      </c>
      <c r="AB198" t="inlineStr">
        <is>
          <t>cataliseaj.com.br</t>
        </is>
      </c>
      <c r="AC198" t="inlineStr">
        <is>
          <t>DIOGO CARBONARI VACCARO</t>
        </is>
      </c>
      <c r="AD198" t="inlineStr">
        <is>
          <t>Administrador</t>
        </is>
      </c>
      <c r="AE198" t="inlineStr">
        <is>
          <t>(49) 3353-8383</t>
        </is>
      </c>
      <c r="AF198" t="inlineStr"/>
      <c r="AG198" t="inlineStr"/>
      <c r="AH198" t="inlineStr">
        <is>
          <t>SC</t>
        </is>
      </c>
      <c r="AI198" t="inlineStr">
        <is>
          <t>XAXIM</t>
        </is>
      </c>
      <c r="AJ198" t="inlineStr">
        <is>
          <t>Fiação de fibras artificiais e sintéticas</t>
        </is>
      </c>
      <c r="AK198" t="inlineStr">
        <is>
          <t>DEMAIS</t>
        </is>
      </c>
      <c r="AL198" t="inlineStr">
        <is>
          <t>ATIVA</t>
        </is>
      </c>
      <c r="AM198" s="17" t="inlineStr">
        <is>
          <t>https://cataliseaj.com.br/sgc/download.php?file=files/processo_documento/processo_documento15092204102024_1_.pdf&amp;nome=02. RELAÇÃO DE CREDORES</t>
        </is>
      </c>
      <c r="AN198" s="18" t="inlineStr">
        <is>
          <t>p3 r8</t>
        </is>
      </c>
      <c r="AO198" s="18" t="inlineStr">
        <is>
          <t>p3: R$ 824.696,62</t>
        </is>
      </c>
      <c r="AP198" s="18" t="inlineStr">
        <is>
          <t>DEBTOR_LIST</t>
        </is>
      </c>
      <c r="AQ198" s="18" t="inlineStr"/>
      <c r="AR198" s="18" t="inlineStr">
        <is>
          <t>OK_NO_TOTALS</t>
        </is>
      </c>
      <c r="AS198" s="18" t="inlineStr">
        <is>
          <t>ROWS:p3r8 UNRECONCILED_SOURCE</t>
        </is>
      </c>
      <c r="AT198" s="18" t="inlineStr">
        <is>
          <t>741aed48dd00</t>
        </is>
      </c>
    </row>
    <row r="199">
      <c r="A199" s="9" t="n">
        <v>198</v>
      </c>
      <c r="B199" s="9" t="inlineStr">
        <is>
          <t>NEW</t>
        </is>
      </c>
      <c r="C199" s="9" t="inlineStr"/>
      <c r="D199" s="9" t="n">
        <v>0</v>
      </c>
      <c r="E199" s="9" t="inlineStr"/>
      <c r="F199" s="9" t="inlineStr"/>
      <c r="G199" s="9" t="inlineStr"/>
      <c r="H199" s="9" t="inlineStr"/>
      <c r="I199" t="inlineStr">
        <is>
          <t>CTS - COMERCIO DE APARAS LTDA</t>
        </is>
      </c>
      <c r="J199" t="inlineStr">
        <is>
          <t>CTS COM. DE APARAS LTDA.-FILIAL</t>
        </is>
      </c>
      <c r="K199" t="inlineStr">
        <is>
          <t>68755545</t>
        </is>
      </c>
      <c r="L199" t="inlineStr">
        <is>
          <t>68755545000141, 68755545000222</t>
        </is>
      </c>
      <c r="M199" s="10" t="n">
        <v>820372.25</v>
      </c>
      <c r="N199" t="n">
        <v>2</v>
      </c>
      <c r="O199" s="11" t="inlineStr">
        <is>
          <t>C</t>
        </is>
      </c>
      <c r="P199" s="11" t="inlineStr">
        <is>
          <t>ACTIVE</t>
        </is>
      </c>
      <c r="Q199" s="12" t="n">
        <v>45154</v>
      </c>
      <c r="R199" s="11">
        <f>IF(Q199="","",ROUND((TODAY()-Q199)/365.25,1))</f>
        <v/>
      </c>
      <c r="S199" s="13">
        <f>IFERROR(VLOOKUP(O199,Assumptions!$A$7:$F$11,2,FALSE),0.25)</f>
        <v/>
      </c>
      <c r="T199" s="14">
        <f>IF(O199="A",MAX(1,IFERROR(VLOOKUP(O199,Assumptions!$A$7:$F$11,3,FALSE),3)+IFERROR(VLOOKUP(O199,Assumptions!$A$7:$F$11,4,FALSE),8)/2-MAX(0,IF(R199="",0,R199)-IFERROR(VLOOKUP(O199,Assumptions!$A$7:$F$11,5,FALSE),1.5))),IFERROR(VLOOKUP(O199,Assumptions!$A$7:$F$11,5,FALSE),2.5)+IFERROR(VLOOKUP(O199,Assumptions!$A$7:$F$11,3,FALSE),3)+IFERROR(VLOOKUP(O199,Assumptions!$A$7:$F$11,4,FALSE),8)/2)</f>
        <v/>
      </c>
      <c r="U199" s="15">
        <f>M199*S199/(1+Assumptions!$B$3)^T199</f>
        <v/>
      </c>
      <c r="V199" s="11">
        <f>IF(M199=0,"",ROUND(U199/M199*100,1))</f>
        <v/>
      </c>
      <c r="W199" s="16">
        <f>U199*Assumptions!$B$4</f>
        <v/>
      </c>
      <c r="X199" s="11">
        <f>IF(M199=0,"",ROUND(W199/M199*100,1))</f>
        <v/>
      </c>
      <c r="Y199" t="inlineStr">
        <is>
          <t>AZEPLAST INDÚSTRIA E COMÉRCIO LTDA</t>
        </is>
      </c>
      <c r="Z199" t="inlineStr">
        <is>
          <t>5008793-34.2023.8.24.0019</t>
        </is>
      </c>
      <c r="AA199" t="inlineStr">
        <is>
          <t>TJSC</t>
        </is>
      </c>
      <c r="AB199" t="inlineStr">
        <is>
          <t>ajruiz.com.br</t>
        </is>
      </c>
      <c r="AC199" t="inlineStr">
        <is>
          <t>CELSO BASSO</t>
        </is>
      </c>
      <c r="AD199" t="inlineStr">
        <is>
          <t>Sócio-Administrador</t>
        </is>
      </c>
      <c r="AE199" t="inlineStr">
        <is>
          <t>(51) 3594-6983</t>
        </is>
      </c>
      <c r="AF199" t="inlineStr"/>
      <c r="AG199" t="inlineStr"/>
      <c r="AH199" t="inlineStr">
        <is>
          <t>RS</t>
        </is>
      </c>
      <c r="AI199" t="inlineStr">
        <is>
          <t>CANOAS</t>
        </is>
      </c>
      <c r="AJ199" t="inlineStr">
        <is>
          <t>Recuperação de materiais não especificados anteriormente</t>
        </is>
      </c>
      <c r="AK199" t="inlineStr">
        <is>
          <t>DEMAIS</t>
        </is>
      </c>
      <c r="AL199" t="inlineStr">
        <is>
          <t>ATIVA</t>
        </is>
      </c>
      <c r="AM199" s="17" t="inlineStr">
        <is>
          <t>https://ajruiz.com.br/sites/default/files/public/arquivos-processos/2026-08/qgc_azeplast_julho_2026.pdf</t>
        </is>
      </c>
      <c r="AN199" s="18" t="inlineStr">
        <is>
          <t>p1 r23; p1 r24</t>
        </is>
      </c>
      <c r="AO199" s="18" t="inlineStr">
        <is>
          <t>p1: R$ 735.532,60; p1: R$ 84.839,65</t>
        </is>
      </c>
      <c r="AP199" s="18" t="inlineStr">
        <is>
          <t>QGC</t>
        </is>
      </c>
      <c r="AQ199" s="18" t="inlineStr"/>
      <c r="AR199" s="18" t="inlineStr">
        <is>
          <t>QUARANTINED</t>
        </is>
      </c>
      <c r="AS199" s="18" t="inlineStr">
        <is>
          <t>PARTIAL_DOC_CLASS_III_RECONCILED ROWS:p1r23,p1r24</t>
        </is>
      </c>
      <c r="AT199" s="18" t="inlineStr">
        <is>
          <t>229081edb0ea</t>
        </is>
      </c>
    </row>
    <row r="200">
      <c r="A200" s="9" t="n">
        <v>199</v>
      </c>
      <c r="B200" s="9" t="inlineStr">
        <is>
          <t>NEW</t>
        </is>
      </c>
      <c r="C200" s="9" t="inlineStr"/>
      <c r="D200" s="9" t="n">
        <v>0</v>
      </c>
      <c r="E200" s="9" t="inlineStr"/>
      <c r="F200" s="9" t="inlineStr"/>
      <c r="G200" s="9" t="inlineStr"/>
      <c r="H200" s="9" t="inlineStr"/>
      <c r="I200" t="inlineStr">
        <is>
          <t>CITROTEC INDUSTRIA E COMERCIO LTDA</t>
        </is>
      </c>
      <c r="J200" t="inlineStr">
        <is>
          <t>CITROTEC INDUSTRIA E COMERCIO LTDA</t>
        </is>
      </c>
      <c r="K200" t="inlineStr">
        <is>
          <t>03727941</t>
        </is>
      </c>
      <c r="L200" t="inlineStr">
        <is>
          <t>03727941000110</t>
        </is>
      </c>
      <c r="M200" s="10" t="n">
        <v>820000</v>
      </c>
      <c r="N200" t="n">
        <v>2</v>
      </c>
      <c r="O200" s="11" t="inlineStr">
        <is>
          <t>B</t>
        </is>
      </c>
      <c r="P200" s="11" t="inlineStr">
        <is>
          <t>ACTIVE</t>
        </is>
      </c>
      <c r="Q200" s="12" t="n">
        <v>45713</v>
      </c>
      <c r="R200" s="11">
        <f>IF(Q200="","",ROUND((TODAY()-Q200)/365.25,1))</f>
        <v/>
      </c>
      <c r="S200" s="13">
        <f>IFERROR(VLOOKUP(O200,Assumptions!$A$7:$F$11,2,FALSE),0.25)</f>
        <v/>
      </c>
      <c r="T200" s="14">
        <f>IF(O200="A",MAX(1,IFERROR(VLOOKUP(O200,Assumptions!$A$7:$F$11,3,FALSE),3)+IFERROR(VLOOKUP(O200,Assumptions!$A$7:$F$11,4,FALSE),8)/2-MAX(0,IF(R200="",0,R200)-IFERROR(VLOOKUP(O200,Assumptions!$A$7:$F$11,5,FALSE),1.5))),IFERROR(VLOOKUP(O200,Assumptions!$A$7:$F$11,5,FALSE),2.5)+IFERROR(VLOOKUP(O200,Assumptions!$A$7:$F$11,3,FALSE),3)+IFERROR(VLOOKUP(O200,Assumptions!$A$7:$F$11,4,FALSE),8)/2)</f>
        <v/>
      </c>
      <c r="U200" s="15">
        <f>M200*S200/(1+Assumptions!$B$3)^T200</f>
        <v/>
      </c>
      <c r="V200" s="11">
        <f>IF(M200=0,"",ROUND(U200/M200*100,1))</f>
        <v/>
      </c>
      <c r="W200" s="16">
        <f>U200*Assumptions!$B$4</f>
        <v/>
      </c>
      <c r="X200" s="11">
        <f>IF(M200=0,"",ROUND(W200/M200*100,1))</f>
        <v/>
      </c>
      <c r="Y200" t="inlineStr">
        <is>
          <t>FLAVOUR MIX IND. E REP. ALIM. E INGR. QUÍMICOS LTDA.</t>
        </is>
      </c>
      <c r="Z200" t="inlineStr">
        <is>
          <t>1000119-75.2025.8.26.0354</t>
        </is>
      </c>
      <c r="AA200" t="inlineStr">
        <is>
          <t>TJSP</t>
        </is>
      </c>
      <c r="AB200" t="inlineStr">
        <is>
          <t>ativosajce.com.br</t>
        </is>
      </c>
      <c r="AC200" t="inlineStr">
        <is>
          <t>BERNARDO JOSE DA CAMARA NETO</t>
        </is>
      </c>
      <c r="AD200" t="inlineStr">
        <is>
          <t>Administrador</t>
        </is>
      </c>
      <c r="AE200" t="inlineStr">
        <is>
          <t>(16) 3303-9796</t>
        </is>
      </c>
      <c r="AF200" t="inlineStr"/>
      <c r="AG200" t="inlineStr"/>
      <c r="AH200" t="inlineStr">
        <is>
          <t>SP</t>
        </is>
      </c>
      <c r="AI200" t="inlineStr">
        <is>
          <t>ARARAQUARA</t>
        </is>
      </c>
      <c r="AJ200" t="inlineStr">
        <is>
          <t>Fabricação de máquinas e equipamentos para as indústrias de alimentos, bebidas e fumo, peças e acessórios</t>
        </is>
      </c>
      <c r="AK200" t="inlineStr">
        <is>
          <t>DEMAIS</t>
        </is>
      </c>
      <c r="AL200" t="inlineStr">
        <is>
          <t>ATIVA</t>
        </is>
      </c>
      <c r="AM200" s="17" t="inlineStr">
        <is>
          <t>https://ativosajce.com.br/admin/download.php?file=files/processo_documento/processo_documento13422625032025_1_.pdf&amp;nome=Relação de Credores - Art. 52º § 1º, da Lei nº 11.101/2005 - 25/02/2025</t>
        </is>
      </c>
      <c r="AN200" s="18" t="inlineStr">
        <is>
          <t>p3 r48; p3 r49; p3 r50; p3 r51; p3 r52; p3 r53; p3 r54; p3 r55</t>
        </is>
      </c>
      <c r="AO200" s="18" t="inlineStr">
        <is>
          <t>p3: R$ 360.000,00; p3: R$ 460.000,00; p3: R$ 460.000,00; p3: R$ 460.000,00; p3: R$ 460.000,00; p3: R$ 460.000,00; p3: R$ 460.000,00; p3: R$ 460.000,00</t>
        </is>
      </c>
      <c r="AP200" s="18" t="inlineStr">
        <is>
          <t>UNKNOWN</t>
        </is>
      </c>
      <c r="AQ200" s="18" t="inlineStr">
        <is>
          <t>2025-02-28</t>
        </is>
      </c>
      <c r="AR200" s="18" t="inlineStr">
        <is>
          <t>OK_NO_TOTALS</t>
        </is>
      </c>
      <c r="AS200" s="18" t="inlineStr">
        <is>
          <t>ROWS:p3r48,p3r49 UNRECONCILED_SOURCE</t>
        </is>
      </c>
      <c r="AT200" s="18" t="inlineStr">
        <is>
          <t>7e2dd0270ed8</t>
        </is>
      </c>
    </row>
    <row r="201">
      <c r="A201" s="9" t="n">
        <v>200</v>
      </c>
      <c r="B201" s="9" t="inlineStr">
        <is>
          <t>NEW</t>
        </is>
      </c>
      <c r="C201" s="9" t="inlineStr"/>
      <c r="D201" s="9" t="n">
        <v>0</v>
      </c>
      <c r="E201" s="9" t="inlineStr"/>
      <c r="F201" s="9" t="inlineStr"/>
      <c r="G201" s="9" t="inlineStr"/>
      <c r="H201" s="9" t="inlineStr"/>
      <c r="I201" t="inlineStr">
        <is>
          <t>MOVEIS SAO CARLOS LTDA</t>
        </is>
      </c>
      <c r="J201" t="inlineStr">
        <is>
          <t>40.887.838/0001-63</t>
        </is>
      </c>
      <c r="K201" t="inlineStr">
        <is>
          <t>40887838</t>
        </is>
      </c>
      <c r="L201" t="inlineStr">
        <is>
          <t>40887838000163</t>
        </is>
      </c>
      <c r="M201" s="10" t="n">
        <v>813501.86</v>
      </c>
      <c r="N201" t="n">
        <v>1</v>
      </c>
      <c r="O201" s="11" t="inlineStr">
        <is>
          <t>C</t>
        </is>
      </c>
      <c r="P201" s="11" t="inlineStr">
        <is>
          <t>ACTIVE</t>
        </is>
      </c>
      <c r="Q201" s="12" t="n">
        <v>43894</v>
      </c>
      <c r="R201" s="11">
        <f>IF(Q201="","",ROUND((TODAY()-Q201)/365.25,1))</f>
        <v/>
      </c>
      <c r="S201" s="13">
        <f>IFERROR(VLOOKUP(O201,Assumptions!$A$7:$F$11,2,FALSE),0.25)</f>
        <v/>
      </c>
      <c r="T201" s="14">
        <f>IF(O201="A",MAX(1,IFERROR(VLOOKUP(O201,Assumptions!$A$7:$F$11,3,FALSE),3)+IFERROR(VLOOKUP(O201,Assumptions!$A$7:$F$11,4,FALSE),8)/2-MAX(0,IF(R201="",0,R201)-IFERROR(VLOOKUP(O201,Assumptions!$A$7:$F$11,5,FALSE),1.5))),IFERROR(VLOOKUP(O201,Assumptions!$A$7:$F$11,5,FALSE),2.5)+IFERROR(VLOOKUP(O201,Assumptions!$A$7:$F$11,3,FALSE),3)+IFERROR(VLOOKUP(O201,Assumptions!$A$7:$F$11,4,FALSE),8)/2)</f>
        <v/>
      </c>
      <c r="U201" s="15">
        <f>M201*S201/(1+Assumptions!$B$3)^T201</f>
        <v/>
      </c>
      <c r="V201" s="11">
        <f>IF(M201=0,"",ROUND(U201/M201*100,1))</f>
        <v/>
      </c>
      <c r="W201" s="16">
        <f>U201*Assumptions!$B$4</f>
        <v/>
      </c>
      <c r="X201" s="11">
        <f>IF(M201=0,"",ROUND(W201/M201*100,1))</f>
        <v/>
      </c>
      <c r="Y201" t="inlineStr">
        <is>
          <t>CREDIMÓVEIS NOVOLAR LTDA.</t>
        </is>
      </c>
      <c r="Z201" t="inlineStr">
        <is>
          <t>0007565-40.2020.8.17.2370</t>
        </is>
      </c>
      <c r="AA201" t="inlineStr">
        <is>
          <t>TJPE</t>
        </is>
      </c>
      <c r="AB201" t="inlineStr">
        <is>
          <t>recuperacaojudicial.squarespace.com</t>
        </is>
      </c>
      <c r="AC201" t="inlineStr">
        <is>
          <t>CARLOS ANTONIO BARROS DE BRITO</t>
        </is>
      </c>
      <c r="AD201" t="inlineStr">
        <is>
          <t>Sócio-Administrador</t>
        </is>
      </c>
      <c r="AE201" t="inlineStr">
        <is>
          <t>(87) 3838-1279</t>
        </is>
      </c>
      <c r="AF201" t="inlineStr"/>
      <c r="AG201" t="inlineStr"/>
      <c r="AH201" t="inlineStr">
        <is>
          <t>PE</t>
        </is>
      </c>
      <c r="AI201" t="inlineStr">
        <is>
          <t>AFOGADOS DA INGAZEIRA</t>
        </is>
      </c>
      <c r="AJ201" t="inlineStr">
        <is>
          <t>Fabricação de móveis com predominância de madeira</t>
        </is>
      </c>
      <c r="AK201" t="inlineStr">
        <is>
          <t>DEMAIS</t>
        </is>
      </c>
      <c r="AL201" t="inlineStr">
        <is>
          <t>ATIVA</t>
        </is>
      </c>
      <c r="AM201" s="17" t="inlineStr">
        <is>
          <t>https://recuperacaojudicial.squarespace.com/s/RJ-Credimoveis-QGC-01082025.pdf</t>
        </is>
      </c>
      <c r="AN201" s="18" t="inlineStr">
        <is>
          <t>p16 r25</t>
        </is>
      </c>
      <c r="AO201" s="18" t="inlineStr">
        <is>
          <t>p16: R$ 813.501,86</t>
        </is>
      </c>
      <c r="AP201" s="18" t="inlineStr">
        <is>
          <t>QGC</t>
        </is>
      </c>
      <c r="AQ201" s="18" t="inlineStr">
        <is>
          <t>2026-01-28</t>
        </is>
      </c>
      <c r="AR201" s="18" t="inlineStr">
        <is>
          <t>OK</t>
        </is>
      </c>
      <c r="AS201" s="18" t="inlineStr">
        <is>
          <t>ROWS:p16r25</t>
        </is>
      </c>
      <c r="AT201" s="18" t="inlineStr">
        <is>
          <t>849d4fe5adce</t>
        </is>
      </c>
    </row>
    <row r="202">
      <c r="A202" s="9" t="n">
        <v>201</v>
      </c>
      <c r="B202" s="9" t="inlineStr">
        <is>
          <t>NEW</t>
        </is>
      </c>
      <c r="C202" s="9" t="inlineStr"/>
      <c r="D202" s="9" t="n">
        <v>0</v>
      </c>
      <c r="E202" s="9" t="inlineStr"/>
      <c r="F202" s="9" t="inlineStr"/>
      <c r="G202" s="9" t="inlineStr"/>
      <c r="H202" s="9" t="inlineStr"/>
      <c r="I202" t="inlineStr">
        <is>
          <t>MEDQUIMICA INDUSTRIA FARMACEUTICA LTDA.</t>
        </is>
      </c>
      <c r="J202" t="inlineStr">
        <is>
          <t>Medquimica Industria Farmaceutica Ltda</t>
        </is>
      </c>
      <c r="K202" t="inlineStr">
        <is>
          <t>17875154</t>
        </is>
      </c>
      <c r="L202" t="inlineStr">
        <is>
          <t>17875154000391</t>
        </is>
      </c>
      <c r="M202" s="10" t="n">
        <v>801264.79</v>
      </c>
      <c r="N202" t="n">
        <v>1</v>
      </c>
      <c r="O202" s="11" t="inlineStr">
        <is>
          <t>C</t>
        </is>
      </c>
      <c r="P202" s="11" t="inlineStr">
        <is>
          <t>ACTIVE</t>
        </is>
      </c>
      <c r="Q202" s="12" t="n">
        <v>44987</v>
      </c>
      <c r="R202" s="11">
        <f>IF(Q202="","",ROUND((TODAY()-Q202)/365.25,1))</f>
        <v/>
      </c>
      <c r="S202" s="13">
        <f>IFERROR(VLOOKUP(O202,Assumptions!$A$7:$F$11,2,FALSE),0.25)</f>
        <v/>
      </c>
      <c r="T202" s="14">
        <f>IF(O202="A",MAX(1,IFERROR(VLOOKUP(O202,Assumptions!$A$7:$F$11,3,FALSE),3)+IFERROR(VLOOKUP(O202,Assumptions!$A$7:$F$11,4,FALSE),8)/2-MAX(0,IF(R202="",0,R202)-IFERROR(VLOOKUP(O202,Assumptions!$A$7:$F$11,5,FALSE),1.5))),IFERROR(VLOOKUP(O202,Assumptions!$A$7:$F$11,5,FALSE),2.5)+IFERROR(VLOOKUP(O202,Assumptions!$A$7:$F$11,3,FALSE),3)+IFERROR(VLOOKUP(O202,Assumptions!$A$7:$F$11,4,FALSE),8)/2)</f>
        <v/>
      </c>
      <c r="U202" s="15">
        <f>M202*S202/(1+Assumptions!$B$3)^T202</f>
        <v/>
      </c>
      <c r="V202" s="11">
        <f>IF(M202=0,"",ROUND(U202/M202*100,1))</f>
        <v/>
      </c>
      <c r="W202" s="16">
        <f>U202*Assumptions!$B$4</f>
        <v/>
      </c>
      <c r="X202" s="11">
        <f>IF(M202=0,"",ROUND(W202/M202*100,1))</f>
        <v/>
      </c>
      <c r="Y202" t="inlineStr">
        <is>
          <t>GRUPO DP4</t>
        </is>
      </c>
      <c r="Z202" t="inlineStr">
        <is>
          <t>0005010-98.2023.8.16.0001</t>
        </is>
      </c>
      <c r="AA202" t="inlineStr">
        <is>
          <t>TJPR</t>
        </is>
      </c>
      <c r="AB202" t="inlineStr">
        <is>
          <t>marquesadmjudicial.com.br</t>
        </is>
      </c>
      <c r="AC202" t="inlineStr">
        <is>
          <t>ALEXANDRE FRANCA</t>
        </is>
      </c>
      <c r="AD202" t="inlineStr">
        <is>
          <t>Administrador</t>
        </is>
      </c>
      <c r="AE202" t="inlineStr">
        <is>
          <t>(32) 2101-4000</t>
        </is>
      </c>
      <c r="AF202" t="inlineStr"/>
      <c r="AG202" t="inlineStr"/>
      <c r="AH202" t="inlineStr">
        <is>
          <t>MG</t>
        </is>
      </c>
      <c r="AI202" t="inlineStr">
        <is>
          <t>JUIZ DE FORA</t>
        </is>
      </c>
      <c r="AJ202" t="inlineStr">
        <is>
          <t>Fabricação de medicamentos alopáticos para uso humano</t>
        </is>
      </c>
      <c r="AK202" t="inlineStr">
        <is>
          <t>DEMAIS</t>
        </is>
      </c>
      <c r="AL202" t="inlineStr">
        <is>
          <t>ATIVA</t>
        </is>
      </c>
      <c r="AM202" s="17" t="inlineStr">
        <is>
          <t>https://marquesadmjudicial.com.br/sgc/download.php?file=files/processo_documento/processo_documento15293208032024_1_.pdf&amp;nome=Relação Nominal de Credores da AJ-Sintética</t>
        </is>
      </c>
      <c r="AN202" s="18" t="inlineStr">
        <is>
          <t>p29 r2</t>
        </is>
      </c>
      <c r="AO202" s="18" t="inlineStr">
        <is>
          <t>p29: R$ 801.264,79</t>
        </is>
      </c>
      <c r="AP202" s="18" t="inlineStr">
        <is>
          <t>AJ_LIST</t>
        </is>
      </c>
      <c r="AQ202" s="18" t="inlineStr">
        <is>
          <t>2023-03-02</t>
        </is>
      </c>
      <c r="AR202" s="18" t="inlineStr">
        <is>
          <t>QUARANTINED</t>
        </is>
      </c>
      <c r="AS202" s="18" t="inlineStr">
        <is>
          <t>PARTIAL_DOC_CLASS_III_RECONCILED ROWS:p29r2</t>
        </is>
      </c>
      <c r="AT202" s="18" t="inlineStr">
        <is>
          <t>b465a5d11eec</t>
        </is>
      </c>
    </row>
    <row r="203">
      <c r="A203" s="9" t="n">
        <v>202</v>
      </c>
      <c r="B203" s="9" t="inlineStr">
        <is>
          <t>NEW</t>
        </is>
      </c>
      <c r="C203" s="9" t="inlineStr"/>
      <c r="D203" s="9" t="n">
        <v>0</v>
      </c>
      <c r="E203" s="9" t="inlineStr"/>
      <c r="F203" s="9" t="inlineStr"/>
      <c r="G203" s="9" t="inlineStr"/>
      <c r="H203" s="9" t="inlineStr"/>
      <c r="I203" t="inlineStr">
        <is>
          <t>SOLUS PECAS AGRICOLAS LTDA</t>
        </is>
      </c>
      <c r="J203" t="inlineStr">
        <is>
          <t>PENDENTE DE REGULARIZAÇÃO</t>
        </is>
      </c>
      <c r="K203" t="inlineStr">
        <is>
          <t>02149075</t>
        </is>
      </c>
      <c r="L203" t="inlineStr">
        <is>
          <t>02149075000164</t>
        </is>
      </c>
      <c r="M203" s="10" t="n">
        <v>798077.09</v>
      </c>
      <c r="N203" t="n">
        <v>1</v>
      </c>
      <c r="O203" s="11" t="inlineStr">
        <is>
          <t>B</t>
        </is>
      </c>
      <c r="P203" s="11" t="inlineStr"/>
      <c r="Q203" s="12" t="inlineStr"/>
      <c r="R203" s="11">
        <f>IF(Q203="","",ROUND((TODAY()-Q203)/365.25,1))</f>
        <v/>
      </c>
      <c r="S203" s="13">
        <f>IFERROR(VLOOKUP(O203,Assumptions!$A$7:$F$11,2,FALSE),0.25)</f>
        <v/>
      </c>
      <c r="T203" s="14">
        <f>IF(O203="A",MAX(1,IFERROR(VLOOKUP(O203,Assumptions!$A$7:$F$11,3,FALSE),3)+IFERROR(VLOOKUP(O203,Assumptions!$A$7:$F$11,4,FALSE),8)/2-MAX(0,IF(R203="",0,R203)-IFERROR(VLOOKUP(O203,Assumptions!$A$7:$F$11,5,FALSE),1.5))),IFERROR(VLOOKUP(O203,Assumptions!$A$7:$F$11,5,FALSE),2.5)+IFERROR(VLOOKUP(O203,Assumptions!$A$7:$F$11,3,FALSE),3)+IFERROR(VLOOKUP(O203,Assumptions!$A$7:$F$11,4,FALSE),8)/2)</f>
        <v/>
      </c>
      <c r="U203" s="15">
        <f>M203*S203/(1+Assumptions!$B$3)^T203</f>
        <v/>
      </c>
      <c r="V203" s="11">
        <f>IF(M203=0,"",ROUND(U203/M203*100,1))</f>
        <v/>
      </c>
      <c r="W203" s="16">
        <f>U203*Assumptions!$B$4</f>
        <v/>
      </c>
      <c r="X203" s="11">
        <f>IF(M203=0,"",ROUND(W203/M203*100,1))</f>
        <v/>
      </c>
      <c r="Y203" t="inlineStr">
        <is>
          <t>Grupo Rech</t>
        </is>
      </c>
      <c r="Z203" t="inlineStr">
        <is>
          <t>5057720-48.2025.8.24.0023</t>
        </is>
      </c>
      <c r="AA203" t="inlineStr"/>
      <c r="AB203" t="inlineStr">
        <is>
          <t>credibilita.com.br</t>
        </is>
      </c>
      <c r="AC203" t="inlineStr">
        <is>
          <t>EVANDRO NERI</t>
        </is>
      </c>
      <c r="AD203" t="inlineStr">
        <is>
          <t>Sócio-Administrador</t>
        </is>
      </c>
      <c r="AE203" t="inlineStr">
        <is>
          <t>(04) 6224-1289</t>
        </is>
      </c>
      <c r="AF203" t="inlineStr"/>
      <c r="AG203" t="inlineStr"/>
      <c r="AH203" t="inlineStr">
        <is>
          <t>PR</t>
        </is>
      </c>
      <c r="AI203" t="inlineStr">
        <is>
          <t>PATO BRANCO</t>
        </is>
      </c>
      <c r="AJ203" t="inlineStr">
        <is>
          <t>Fabricação de máquinas e equipamentos para a agricultura e pecuária, peças e acessórios, exceto para irrigação</t>
        </is>
      </c>
      <c r="AK203" t="inlineStr">
        <is>
          <t>EMPRESA DE PEQUENO PORTE</t>
        </is>
      </c>
      <c r="AL203" t="inlineStr">
        <is>
          <t>ATIVA</t>
        </is>
      </c>
      <c r="AM203" s="17" t="inlineStr">
        <is>
          <t>https://credibilita.com.br/wp-content/uploads/2025/09/Relacao-Credores-29.04.2026.pdf</t>
        </is>
      </c>
      <c r="AN203" s="18" t="inlineStr">
        <is>
          <t>p2 r18</t>
        </is>
      </c>
      <c r="AO203" s="18" t="inlineStr">
        <is>
          <t>p2: R$ 798.077,09</t>
        </is>
      </c>
      <c r="AP203" s="18" t="inlineStr">
        <is>
          <t>QUORUM_LIST</t>
        </is>
      </c>
      <c r="AQ203" s="18" t="inlineStr"/>
      <c r="AR203" s="18" t="inlineStr">
        <is>
          <t>OK_NO_TOTALS</t>
        </is>
      </c>
      <c r="AS203" s="18" t="inlineStr">
        <is>
          <t>ROWS:p2r18 UNRECONCILED_SOURCE VALUE_COL:Valor_Após_Analise CASE_NUMBER_CORRECTED</t>
        </is>
      </c>
      <c r="AT203" s="18" t="inlineStr">
        <is>
          <t>cf92cff797d2</t>
        </is>
      </c>
    </row>
    <row r="204">
      <c r="A204" s="9" t="n">
        <v>203</v>
      </c>
      <c r="B204" s="9" t="inlineStr">
        <is>
          <t>NEW</t>
        </is>
      </c>
      <c r="C204" s="9" t="inlineStr"/>
      <c r="D204" s="9" t="n">
        <v>0</v>
      </c>
      <c r="E204" s="9" t="inlineStr"/>
      <c r="F204" s="9" t="inlineStr"/>
      <c r="G204" s="9" t="inlineStr"/>
      <c r="H204" s="9" t="inlineStr"/>
      <c r="I204" t="inlineStr">
        <is>
          <t>PESCADO CENTRAL LTDA</t>
        </is>
      </c>
      <c r="J204" t="inlineStr">
        <is>
          <t>Rakki Pescados</t>
        </is>
      </c>
      <c r="K204" t="inlineStr">
        <is>
          <t>32126501</t>
        </is>
      </c>
      <c r="L204" t="inlineStr">
        <is>
          <t>32126501000105</t>
        </is>
      </c>
      <c r="M204" s="10" t="n">
        <v>793333.33</v>
      </c>
      <c r="N204" t="n">
        <v>1</v>
      </c>
      <c r="O204" s="11" t="inlineStr">
        <is>
          <t>B</t>
        </is>
      </c>
      <c r="P204" s="11" t="inlineStr">
        <is>
          <t>ACTIVE</t>
        </is>
      </c>
      <c r="Q204" s="12" t="n">
        <v>46130</v>
      </c>
      <c r="R204" s="11">
        <f>IF(Q204="","",ROUND((TODAY()-Q204)/365.25,1))</f>
        <v/>
      </c>
      <c r="S204" s="13">
        <f>IFERROR(VLOOKUP(O204,Assumptions!$A$7:$F$11,2,FALSE),0.25)</f>
        <v/>
      </c>
      <c r="T204" s="14">
        <f>IF(O204="A",MAX(1,IFERROR(VLOOKUP(O204,Assumptions!$A$7:$F$11,3,FALSE),3)+IFERROR(VLOOKUP(O204,Assumptions!$A$7:$F$11,4,FALSE),8)/2-MAX(0,IF(R204="",0,R204)-IFERROR(VLOOKUP(O204,Assumptions!$A$7:$F$11,5,FALSE),1.5))),IFERROR(VLOOKUP(O204,Assumptions!$A$7:$F$11,5,FALSE),2.5)+IFERROR(VLOOKUP(O204,Assumptions!$A$7:$F$11,3,FALSE),3)+IFERROR(VLOOKUP(O204,Assumptions!$A$7:$F$11,4,FALSE),8)/2)</f>
        <v/>
      </c>
      <c r="U204" s="15">
        <f>M204*S204/(1+Assumptions!$B$3)^T204</f>
        <v/>
      </c>
      <c r="V204" s="11">
        <f>IF(M204=0,"",ROUND(U204/M204*100,1))</f>
        <v/>
      </c>
      <c r="W204" s="16">
        <f>U204*Assumptions!$B$4</f>
        <v/>
      </c>
      <c r="X204" s="11">
        <f>IF(M204=0,"",ROUND(W204/M204*100,1))</f>
        <v/>
      </c>
      <c r="Y204" t="inlineStr">
        <is>
          <t>GRUPO 3E</t>
        </is>
      </c>
      <c r="Z204" t="inlineStr">
        <is>
          <t>5341375-33.2026.8.09.0049</t>
        </is>
      </c>
      <c r="AA204" t="inlineStr">
        <is>
          <t>TJGO</t>
        </is>
      </c>
      <c r="AB204" t="inlineStr">
        <is>
          <t>stenius.com.br</t>
        </is>
      </c>
      <c r="AC204" t="inlineStr">
        <is>
          <t>FORTUNATO ANTUNES DE OLIVEIRA</t>
        </is>
      </c>
      <c r="AD204" t="inlineStr">
        <is>
          <t>Sócio-Administrador</t>
        </is>
      </c>
      <c r="AE204" t="inlineStr">
        <is>
          <t>(34) 3293-0600</t>
        </is>
      </c>
      <c r="AF204" t="inlineStr"/>
      <c r="AG204" t="inlineStr"/>
      <c r="AH204" t="inlineStr">
        <is>
          <t>MG</t>
        </is>
      </c>
      <c r="AI204" t="inlineStr">
        <is>
          <t>IPIACU</t>
        </is>
      </c>
      <c r="AJ204" t="inlineStr">
        <is>
          <t>Fabricação de conservas de peixes, crustáceos e moluscos</t>
        </is>
      </c>
      <c r="AK204" t="inlineStr">
        <is>
          <t>DEMAIS</t>
        </is>
      </c>
      <c r="AL204" t="inlineStr">
        <is>
          <t>ATIVA</t>
        </is>
      </c>
      <c r="AM204" s="17" t="inlineStr">
        <is>
          <t>https://stenius.com.br/wp-content/uploads/2026/06/EDITAL-GRUPO-3E.pdf</t>
        </is>
      </c>
      <c r="AN204" s="18" t="inlineStr">
        <is>
          <t>p17 r8</t>
        </is>
      </c>
      <c r="AO204" s="18" t="inlineStr">
        <is>
          <t>p17: R$ 793.333,33</t>
        </is>
      </c>
      <c r="AP204" s="18" t="inlineStr">
        <is>
          <t>DEBTOR_LIST</t>
        </is>
      </c>
      <c r="AQ204" s="18" t="inlineStr">
        <is>
          <t>2026-06-22</t>
        </is>
      </c>
      <c r="AR204" s="18" t="inlineStr">
        <is>
          <t>OK_NO_TOTALS</t>
        </is>
      </c>
      <c r="AS204" s="18" t="inlineStr">
        <is>
          <t>ROWS:p17r8 UNRECONCILED_SOURCE</t>
        </is>
      </c>
      <c r="AT204" s="18" t="inlineStr">
        <is>
          <t>8e8832093a15</t>
        </is>
      </c>
    </row>
    <row r="205">
      <c r="A205" s="9" t="n">
        <v>204</v>
      </c>
      <c r="B205" s="9" t="inlineStr">
        <is>
          <t>NEW</t>
        </is>
      </c>
      <c r="C205" s="9" t="inlineStr"/>
      <c r="D205" s="9" t="n">
        <v>0</v>
      </c>
      <c r="E205" s="9" t="inlineStr"/>
      <c r="F205" s="9" t="inlineStr"/>
      <c r="G205" s="9" t="inlineStr"/>
      <c r="H205" s="9" t="inlineStr"/>
      <c r="I205" t="inlineStr">
        <is>
          <t>A2 COMERCIO ATACADISTA DE ELETRONICOS LTDA</t>
        </is>
      </c>
      <c r="J205" t="inlineStr">
        <is>
          <t>26.910.194/0001-56</t>
        </is>
      </c>
      <c r="K205" t="inlineStr">
        <is>
          <t>26910194</t>
        </is>
      </c>
      <c r="L205" t="inlineStr">
        <is>
          <t>26910194000156</t>
        </is>
      </c>
      <c r="M205" s="10" t="n">
        <v>788981.8199999999</v>
      </c>
      <c r="N205" t="n">
        <v>1</v>
      </c>
      <c r="O205" s="11" t="inlineStr">
        <is>
          <t>C</t>
        </is>
      </c>
      <c r="P205" s="11" t="inlineStr">
        <is>
          <t>ACTIVE</t>
        </is>
      </c>
      <c r="Q205" s="12" t="n">
        <v>43894</v>
      </c>
      <c r="R205" s="11">
        <f>IF(Q205="","",ROUND((TODAY()-Q205)/365.25,1))</f>
        <v/>
      </c>
      <c r="S205" s="13">
        <f>IFERROR(VLOOKUP(O205,Assumptions!$A$7:$F$11,2,FALSE),0.25)</f>
        <v/>
      </c>
      <c r="T205" s="14">
        <f>IF(O205="A",MAX(1,IFERROR(VLOOKUP(O205,Assumptions!$A$7:$F$11,3,FALSE),3)+IFERROR(VLOOKUP(O205,Assumptions!$A$7:$F$11,4,FALSE),8)/2-MAX(0,IF(R205="",0,R205)-IFERROR(VLOOKUP(O205,Assumptions!$A$7:$F$11,5,FALSE),1.5))),IFERROR(VLOOKUP(O205,Assumptions!$A$7:$F$11,5,FALSE),2.5)+IFERROR(VLOOKUP(O205,Assumptions!$A$7:$F$11,3,FALSE),3)+IFERROR(VLOOKUP(O205,Assumptions!$A$7:$F$11,4,FALSE),8)/2)</f>
        <v/>
      </c>
      <c r="U205" s="15">
        <f>M205*S205/(1+Assumptions!$B$3)^T205</f>
        <v/>
      </c>
      <c r="V205" s="11">
        <f>IF(M205=0,"",ROUND(U205/M205*100,1))</f>
        <v/>
      </c>
      <c r="W205" s="16">
        <f>U205*Assumptions!$B$4</f>
        <v/>
      </c>
      <c r="X205" s="11">
        <f>IF(M205=0,"",ROUND(W205/M205*100,1))</f>
        <v/>
      </c>
      <c r="Y205" t="inlineStr">
        <is>
          <t>CREDIMÓVEIS NOVOLAR LTDA.</t>
        </is>
      </c>
      <c r="Z205" t="inlineStr">
        <is>
          <t>0007565-40.2020.8.17.2370</t>
        </is>
      </c>
      <c r="AA205" t="inlineStr">
        <is>
          <t>TJPE</t>
        </is>
      </c>
      <c r="AB205" t="inlineStr">
        <is>
          <t>recuperacaojudicial.squarespace.com</t>
        </is>
      </c>
      <c r="AC205" t="inlineStr">
        <is>
          <t>SEBASTIAO ATANAEL DE REZENDE</t>
        </is>
      </c>
      <c r="AD205" t="inlineStr">
        <is>
          <t>Sócio-Administrador</t>
        </is>
      </c>
      <c r="AE205" t="inlineStr">
        <is>
          <t>(87) 3848-3000</t>
        </is>
      </c>
      <c r="AF205" t="inlineStr"/>
      <c r="AG205" t="inlineStr"/>
      <c r="AH205" t="inlineStr">
        <is>
          <t>PB</t>
        </is>
      </c>
      <c r="AI205" t="inlineStr">
        <is>
          <t>CAMPINA GRANDE</t>
        </is>
      </c>
      <c r="AJ205" t="inlineStr">
        <is>
          <t>Comércio atacadista de aparelhos eletrônicos de uso pessoal e doméstico</t>
        </is>
      </c>
      <c r="AK205" t="inlineStr">
        <is>
          <t>DEMAIS</t>
        </is>
      </c>
      <c r="AL205" t="inlineStr">
        <is>
          <t>ATIVA</t>
        </is>
      </c>
      <c r="AM205" s="17" t="inlineStr">
        <is>
          <t>https://recuperacaojudicial.squarespace.com/s/RJ-Credimoveis-QGC-01082025.pdf</t>
        </is>
      </c>
      <c r="AN205" s="18" t="inlineStr">
        <is>
          <t>p15 r2</t>
        </is>
      </c>
      <c r="AO205" s="18" t="inlineStr">
        <is>
          <t>p15: R$ 788.981,82</t>
        </is>
      </c>
      <c r="AP205" s="18" t="inlineStr">
        <is>
          <t>QGC</t>
        </is>
      </c>
      <c r="AQ205" s="18" t="inlineStr">
        <is>
          <t>2026-01-28</t>
        </is>
      </c>
      <c r="AR205" s="18" t="inlineStr">
        <is>
          <t>OK</t>
        </is>
      </c>
      <c r="AS205" s="18" t="inlineStr">
        <is>
          <t>ROWS:p15r2</t>
        </is>
      </c>
      <c r="AT205" s="18" t="inlineStr">
        <is>
          <t>849d4fe5adce</t>
        </is>
      </c>
    </row>
    <row r="206">
      <c r="A206" s="9" t="n">
        <v>205</v>
      </c>
      <c r="B206" s="9" t="inlineStr">
        <is>
          <t>NEW</t>
        </is>
      </c>
      <c r="C206" s="9" t="inlineStr"/>
      <c r="D206" s="9" t="n">
        <v>0</v>
      </c>
      <c r="E206" s="9" t="inlineStr"/>
      <c r="F206" s="9" t="inlineStr"/>
      <c r="G206" s="9" t="inlineStr"/>
      <c r="H206" s="9" t="inlineStr"/>
      <c r="I206" t="inlineStr">
        <is>
          <t>PAX BRAZIL AGROINDUSTRIA LTDA</t>
        </is>
      </c>
      <c r="J206" t="inlineStr">
        <is>
          <t>Pax Brasil Agroindustria Ltda</t>
        </is>
      </c>
      <c r="K206" t="inlineStr">
        <is>
          <t>13620193</t>
        </is>
      </c>
      <c r="L206" t="inlineStr">
        <is>
          <t>13620193000397</t>
        </is>
      </c>
      <c r="M206" s="10" t="n">
        <v>788640</v>
      </c>
      <c r="N206" t="n">
        <v>1</v>
      </c>
      <c r="O206" s="11" t="inlineStr">
        <is>
          <t>C</t>
        </is>
      </c>
      <c r="P206" s="11" t="inlineStr">
        <is>
          <t>ACTIVE</t>
        </is>
      </c>
      <c r="Q206" s="12" t="n">
        <v>45275</v>
      </c>
      <c r="R206" s="11">
        <f>IF(Q206="","",ROUND((TODAY()-Q206)/365.25,1))</f>
        <v/>
      </c>
      <c r="S206" s="13">
        <f>IFERROR(VLOOKUP(O206,Assumptions!$A$7:$F$11,2,FALSE),0.25)</f>
        <v/>
      </c>
      <c r="T206" s="14">
        <f>IF(O206="A",MAX(1,IFERROR(VLOOKUP(O206,Assumptions!$A$7:$F$11,3,FALSE),3)+IFERROR(VLOOKUP(O206,Assumptions!$A$7:$F$11,4,FALSE),8)/2-MAX(0,IF(R206="",0,R206)-IFERROR(VLOOKUP(O206,Assumptions!$A$7:$F$11,5,FALSE),1.5))),IFERROR(VLOOKUP(O206,Assumptions!$A$7:$F$11,5,FALSE),2.5)+IFERROR(VLOOKUP(O206,Assumptions!$A$7:$F$11,3,FALSE),3)+IFERROR(VLOOKUP(O206,Assumptions!$A$7:$F$11,4,FALSE),8)/2)</f>
        <v/>
      </c>
      <c r="U206" s="15">
        <f>M206*S206/(1+Assumptions!$B$3)^T206</f>
        <v/>
      </c>
      <c r="V206" s="11">
        <f>IF(M206=0,"",ROUND(U206/M206*100,1))</f>
        <v/>
      </c>
      <c r="W206" s="16">
        <f>U206*Assumptions!$B$4</f>
        <v/>
      </c>
      <c r="X206" s="11">
        <f>IF(M206=0,"",ROUND(W206/M206*100,1))</f>
        <v/>
      </c>
      <c r="Y206" t="inlineStr">
        <is>
          <t>Grupo Agromeal</t>
        </is>
      </c>
      <c r="Z206" t="inlineStr">
        <is>
          <t>0003971-03.2023.8.16.0119</t>
        </is>
      </c>
      <c r="AA206" t="inlineStr">
        <is>
          <t>TJPR</t>
        </is>
      </c>
      <c r="AB206" t="inlineStr">
        <is>
          <t>marquesadmjudicial.com.br</t>
        </is>
      </c>
      <c r="AC206" t="inlineStr">
        <is>
          <t>PETRUS ASSEF NUNES</t>
        </is>
      </c>
      <c r="AD206" t="inlineStr">
        <is>
          <t>Sócio-Administrador</t>
        </is>
      </c>
      <c r="AE206" t="inlineStr">
        <is>
          <t>(11) 3628-7656</t>
        </is>
      </c>
      <c r="AF206" t="inlineStr"/>
      <c r="AG206" t="inlineStr"/>
      <c r="AH206" t="inlineStr">
        <is>
          <t>SP</t>
        </is>
      </c>
      <c r="AI206" t="inlineStr">
        <is>
          <t>SAO PAULO</t>
        </is>
      </c>
      <c r="AJ206" t="inlineStr">
        <is>
          <t>Comércio atacadista de produtos alimentícios em geral</t>
        </is>
      </c>
      <c r="AK206" t="inlineStr">
        <is>
          <t>DEMAIS</t>
        </is>
      </c>
      <c r="AL206" t="inlineStr">
        <is>
          <t>ATIVA</t>
        </is>
      </c>
      <c r="AM206" s="17" t="inlineStr">
        <is>
          <t>https://marquesadmjudicial.com.br/sgc/download.php?file=files/processo_documento/processo_documento17040729052024_1_.pdf&amp;nome=Relação Nominal de Credores AJ-Sintética</t>
        </is>
      </c>
      <c r="AN206" s="18" t="inlineStr">
        <is>
          <t>p12 r13</t>
        </is>
      </c>
      <c r="AO206" s="18" t="inlineStr">
        <is>
          <t>p12: R$ 788.640,00</t>
        </is>
      </c>
      <c r="AP206" s="18" t="inlineStr">
        <is>
          <t>AJ_LIST</t>
        </is>
      </c>
      <c r="AQ206" s="18" t="inlineStr">
        <is>
          <t>2024-05-27</t>
        </is>
      </c>
      <c r="AR206" s="18" t="inlineStr">
        <is>
          <t>QUARANTINED</t>
        </is>
      </c>
      <c r="AS206" s="18" t="inlineStr">
        <is>
          <t>PARTIAL_DOC_CLASS_III_RECONCILED ROWS:p12r13</t>
        </is>
      </c>
      <c r="AT206" s="18" t="inlineStr">
        <is>
          <t>1209dafe77b7</t>
        </is>
      </c>
    </row>
    <row r="207">
      <c r="A207" s="9" t="n">
        <v>206</v>
      </c>
      <c r="B207" s="9" t="inlineStr">
        <is>
          <t>NEW</t>
        </is>
      </c>
      <c r="C207" s="9" t="inlineStr"/>
      <c r="D207" s="9" t="n">
        <v>0</v>
      </c>
      <c r="E207" s="9" t="inlineStr"/>
      <c r="F207" s="9" t="inlineStr"/>
      <c r="G207" s="9" t="inlineStr"/>
      <c r="H207" s="9" t="inlineStr"/>
      <c r="I207" t="inlineStr">
        <is>
          <t>TRACBEL SA</t>
        </is>
      </c>
      <c r="J207" t="inlineStr">
        <is>
          <t>Tracbel S/A</t>
        </is>
      </c>
      <c r="K207" t="inlineStr">
        <is>
          <t>17312448</t>
        </is>
      </c>
      <c r="L207" t="inlineStr">
        <is>
          <t>17312448000143</t>
        </is>
      </c>
      <c r="M207" s="10" t="n">
        <v>786462.95</v>
      </c>
      <c r="N207" t="n">
        <v>1</v>
      </c>
      <c r="O207" s="11" t="inlineStr">
        <is>
          <t>B</t>
        </is>
      </c>
      <c r="P207" s="11" t="inlineStr"/>
      <c r="Q207" s="12" t="n">
        <v>45756</v>
      </c>
      <c r="R207" s="11">
        <f>IF(Q207="","",ROUND((TODAY()-Q207)/365.25,1))</f>
        <v/>
      </c>
      <c r="S207" s="13">
        <f>IFERROR(VLOOKUP(O207,Assumptions!$A$7:$F$11,2,FALSE),0.25)</f>
        <v/>
      </c>
      <c r="T207" s="14">
        <f>IF(O207="A",MAX(1,IFERROR(VLOOKUP(O207,Assumptions!$A$7:$F$11,3,FALSE),3)+IFERROR(VLOOKUP(O207,Assumptions!$A$7:$F$11,4,FALSE),8)/2-MAX(0,IF(R207="",0,R207)-IFERROR(VLOOKUP(O207,Assumptions!$A$7:$F$11,5,FALSE),1.5))),IFERROR(VLOOKUP(O207,Assumptions!$A$7:$F$11,5,FALSE),2.5)+IFERROR(VLOOKUP(O207,Assumptions!$A$7:$F$11,3,FALSE),3)+IFERROR(VLOOKUP(O207,Assumptions!$A$7:$F$11,4,FALSE),8)/2)</f>
        <v/>
      </c>
      <c r="U207" s="15">
        <f>M207*S207/(1+Assumptions!$B$3)^T207</f>
        <v/>
      </c>
      <c r="V207" s="11">
        <f>IF(M207=0,"",ROUND(U207/M207*100,1))</f>
        <v/>
      </c>
      <c r="W207" s="16">
        <f>U207*Assumptions!$B$4</f>
        <v/>
      </c>
      <c r="X207" s="11">
        <f>IF(M207=0,"",ROUND(W207/M207*100,1))</f>
        <v/>
      </c>
      <c r="Y207" t="inlineStr">
        <is>
          <t>GRUPO EGESA (EGESA ENG S.A, EGESUR PART E EMP S.A, MATRIX INFRA LTDA, BEMVIVER ENG AMBIENTAL E SERV LTDA, DKF CONST E EMP LTDA, EGEPEL LTDA, ETR ASSESSORIA EMP E PART LTDA, MVT ENG E SERV LTDA, PARQUES DO VALE LTDA, ELMO RIBEIRO E ANA RIBEIRO)</t>
        </is>
      </c>
      <c r="Z207" t="inlineStr">
        <is>
          <t>5088952-81.2025.8.13.0024</t>
        </is>
      </c>
      <c r="AA207" t="inlineStr">
        <is>
          <t>TJMG</t>
        </is>
      </c>
      <c r="AB207" t="inlineStr">
        <is>
          <t>scalzilliaj.com.br</t>
        </is>
      </c>
      <c r="AC207" t="inlineStr">
        <is>
          <t>LUIZ GONZAGA DE MAGALHAES PEREIRA</t>
        </is>
      </c>
      <c r="AD207" t="inlineStr">
        <is>
          <t>Presidente</t>
        </is>
      </c>
      <c r="AE207" t="inlineStr">
        <is>
          <t>(31) 2104-1800</t>
        </is>
      </c>
      <c r="AF207" t="inlineStr"/>
      <c r="AG207" t="inlineStr"/>
      <c r="AH207" t="inlineStr">
        <is>
          <t>MG</t>
        </is>
      </c>
      <c r="AI207" t="inlineStr">
        <is>
          <t>CONTAGEM</t>
        </is>
      </c>
      <c r="AJ207" t="inlineStr">
        <is>
          <t>Comércio atacadista de máquinas, equipamentos para terraplenagem, mineração e construção; partes e peças</t>
        </is>
      </c>
      <c r="AK207" t="inlineStr">
        <is>
          <t>DEMAIS</t>
        </is>
      </c>
      <c r="AL207" t="inlineStr">
        <is>
          <t>ATIVA</t>
        </is>
      </c>
      <c r="AM207" s="17" t="inlineStr">
        <is>
          <t>https://scalzilliaj.com.br/sgc/download.php?file=files/processo_documento/processo_documento09514021082025_1_.pdf&amp;nome=04 - Relação de credores das Recuperandas</t>
        </is>
      </c>
      <c r="AN207" s="18" t="inlineStr">
        <is>
          <t>p74 r10</t>
        </is>
      </c>
      <c r="AO207" s="18" t="inlineStr">
        <is>
          <t>p74: R$ 786.462,95</t>
        </is>
      </c>
      <c r="AP207" s="18" t="inlineStr">
        <is>
          <t>DEBTOR_LIST</t>
        </is>
      </c>
      <c r="AQ207" s="18" t="inlineStr"/>
      <c r="AR207" s="18" t="inlineStr">
        <is>
          <t>OK</t>
        </is>
      </c>
      <c r="AS207" s="18" t="inlineStr">
        <is>
          <t>ROWS:p74r10 VALUE_COL:Valor_Atualizado CASE_NUMBER_CORRECTED CASE_FROM_PORTAL</t>
        </is>
      </c>
      <c r="AT207" s="18" t="inlineStr">
        <is>
          <t>24ed98480a57</t>
        </is>
      </c>
    </row>
    <row r="208">
      <c r="A208" s="9" t="n">
        <v>207</v>
      </c>
      <c r="B208" s="9" t="inlineStr">
        <is>
          <t>NEW</t>
        </is>
      </c>
      <c r="C208" s="9" t="inlineStr"/>
      <c r="D208" s="9" t="n">
        <v>0</v>
      </c>
      <c r="E208" s="9" t="inlineStr"/>
      <c r="F208" s="9" t="inlineStr"/>
      <c r="G208" s="9" t="inlineStr"/>
      <c r="H208" s="9" t="inlineStr"/>
      <c r="I208" t="inlineStr">
        <is>
          <t>PORTAL DO AEROPORTO LOGISTICA LTDA</t>
        </is>
      </c>
      <c r="J208" t="inlineStr">
        <is>
          <t>Portal Do Aeroporto Logistica Ltda</t>
        </is>
      </c>
      <c r="K208" t="inlineStr">
        <is>
          <t>13477127</t>
        </is>
      </c>
      <c r="L208" t="inlineStr">
        <is>
          <t>13477127000148</t>
        </is>
      </c>
      <c r="M208" s="10" t="n">
        <v>780881.58</v>
      </c>
      <c r="N208" t="n">
        <v>1</v>
      </c>
      <c r="O208" s="11" t="inlineStr">
        <is>
          <t>C</t>
        </is>
      </c>
      <c r="P208" s="11" t="inlineStr">
        <is>
          <t>ACTIVE</t>
        </is>
      </c>
      <c r="Q208" s="12" t="n">
        <v>44987</v>
      </c>
      <c r="R208" s="11">
        <f>IF(Q208="","",ROUND((TODAY()-Q208)/365.25,1))</f>
        <v/>
      </c>
      <c r="S208" s="13">
        <f>IFERROR(VLOOKUP(O208,Assumptions!$A$7:$F$11,2,FALSE),0.25)</f>
        <v/>
      </c>
      <c r="T208" s="14">
        <f>IF(O208="A",MAX(1,IFERROR(VLOOKUP(O208,Assumptions!$A$7:$F$11,3,FALSE),3)+IFERROR(VLOOKUP(O208,Assumptions!$A$7:$F$11,4,FALSE),8)/2-MAX(0,IF(R208="",0,R208)-IFERROR(VLOOKUP(O208,Assumptions!$A$7:$F$11,5,FALSE),1.5))),IFERROR(VLOOKUP(O208,Assumptions!$A$7:$F$11,5,FALSE),2.5)+IFERROR(VLOOKUP(O208,Assumptions!$A$7:$F$11,3,FALSE),3)+IFERROR(VLOOKUP(O208,Assumptions!$A$7:$F$11,4,FALSE),8)/2)</f>
        <v/>
      </c>
      <c r="U208" s="15">
        <f>M208*S208/(1+Assumptions!$B$3)^T208</f>
        <v/>
      </c>
      <c r="V208" s="11">
        <f>IF(M208=0,"",ROUND(U208/M208*100,1))</f>
        <v/>
      </c>
      <c r="W208" s="16">
        <f>U208*Assumptions!$B$4</f>
        <v/>
      </c>
      <c r="X208" s="11">
        <f>IF(M208=0,"",ROUND(W208/M208*100,1))</f>
        <v/>
      </c>
      <c r="Y208" t="inlineStr">
        <is>
          <t>GRUPO DP4</t>
        </is>
      </c>
      <c r="Z208" t="inlineStr">
        <is>
          <t>0005010-98.2023.8.16.0001</t>
        </is>
      </c>
      <c r="AA208" t="inlineStr">
        <is>
          <t>TJPR</t>
        </is>
      </c>
      <c r="AB208" t="inlineStr">
        <is>
          <t>marquesadmjudicial.com.br</t>
        </is>
      </c>
      <c r="AC208" t="inlineStr">
        <is>
          <t>CARLOS ROBERTO MARASSI</t>
        </is>
      </c>
      <c r="AD208" t="inlineStr">
        <is>
          <t>Administrador</t>
        </is>
      </c>
      <c r="AE208" t="inlineStr">
        <is>
          <t>(41) 3134-4003</t>
        </is>
      </c>
      <c r="AF208" t="inlineStr"/>
      <c r="AG208" t="inlineStr"/>
      <c r="AH208" t="inlineStr">
        <is>
          <t>PR</t>
        </is>
      </c>
      <c r="AI208" t="inlineStr">
        <is>
          <t>SAO JOSE DOS PINHAIS</t>
        </is>
      </c>
      <c r="AJ208" t="inlineStr">
        <is>
          <t>Aluguel de imóveis próprios</t>
        </is>
      </c>
      <c r="AK208" t="inlineStr">
        <is>
          <t>DEMAIS</t>
        </is>
      </c>
      <c r="AL208" t="inlineStr">
        <is>
          <t>ATIVA</t>
        </is>
      </c>
      <c r="AM208" s="17" t="inlineStr">
        <is>
          <t>https://marquesadmjudicial.com.br/sgc/download.php?file=files/processo_documento/processo_documento15293208032024_1_.pdf&amp;nome=Relação Nominal de Credores da AJ-Sintética</t>
        </is>
      </c>
      <c r="AN208" s="18" t="inlineStr">
        <is>
          <t>p30 r8</t>
        </is>
      </c>
      <c r="AO208" s="18" t="inlineStr">
        <is>
          <t>p30: R$ 780.881,58</t>
        </is>
      </c>
      <c r="AP208" s="18" t="inlineStr">
        <is>
          <t>AJ_LIST</t>
        </is>
      </c>
      <c r="AQ208" s="18" t="inlineStr">
        <is>
          <t>2023-03-02</t>
        </is>
      </c>
      <c r="AR208" s="18" t="inlineStr">
        <is>
          <t>QUARANTINED</t>
        </is>
      </c>
      <c r="AS208" s="18" t="inlineStr">
        <is>
          <t>PARTIAL_DOC_CLASS_III_RECONCILED ROWS:p30r8</t>
        </is>
      </c>
      <c r="AT208" s="18" t="inlineStr">
        <is>
          <t>b465a5d11eec</t>
        </is>
      </c>
    </row>
    <row r="209">
      <c r="A209" s="9" t="n">
        <v>208</v>
      </c>
      <c r="B209" s="9" t="inlineStr">
        <is>
          <t>NEW</t>
        </is>
      </c>
      <c r="C209" s="9" t="inlineStr"/>
      <c r="D209" s="9" t="n">
        <v>0</v>
      </c>
      <c r="E209" s="9" t="inlineStr"/>
      <c r="F209" s="9" t="inlineStr"/>
      <c r="G209" s="9" t="inlineStr"/>
      <c r="H209" s="9" t="inlineStr"/>
      <c r="I209" t="inlineStr">
        <is>
          <t>ITATIAIA ELETRO E MOVEIS S/A</t>
        </is>
      </c>
      <c r="J209" t="inlineStr">
        <is>
          <t>25.331.521/0001-52</t>
        </is>
      </c>
      <c r="K209" t="inlineStr">
        <is>
          <t>25331521</t>
        </is>
      </c>
      <c r="L209" t="inlineStr">
        <is>
          <t>25331521000152</t>
        </is>
      </c>
      <c r="M209" s="10" t="n">
        <v>780425.22</v>
      </c>
      <c r="N209" t="n">
        <v>1</v>
      </c>
      <c r="O209" s="11" t="inlineStr">
        <is>
          <t>C</t>
        </is>
      </c>
      <c r="P209" s="11" t="inlineStr">
        <is>
          <t>ACTIVE</t>
        </is>
      </c>
      <c r="Q209" s="12" t="n">
        <v>43894</v>
      </c>
      <c r="R209" s="11">
        <f>IF(Q209="","",ROUND((TODAY()-Q209)/365.25,1))</f>
        <v/>
      </c>
      <c r="S209" s="13">
        <f>IFERROR(VLOOKUP(O209,Assumptions!$A$7:$F$11,2,FALSE),0.25)</f>
        <v/>
      </c>
      <c r="T209" s="14">
        <f>IF(O209="A",MAX(1,IFERROR(VLOOKUP(O209,Assumptions!$A$7:$F$11,3,FALSE),3)+IFERROR(VLOOKUP(O209,Assumptions!$A$7:$F$11,4,FALSE),8)/2-MAX(0,IF(R209="",0,R209)-IFERROR(VLOOKUP(O209,Assumptions!$A$7:$F$11,5,FALSE),1.5))),IFERROR(VLOOKUP(O209,Assumptions!$A$7:$F$11,5,FALSE),2.5)+IFERROR(VLOOKUP(O209,Assumptions!$A$7:$F$11,3,FALSE),3)+IFERROR(VLOOKUP(O209,Assumptions!$A$7:$F$11,4,FALSE),8)/2)</f>
        <v/>
      </c>
      <c r="U209" s="15">
        <f>M209*S209/(1+Assumptions!$B$3)^T209</f>
        <v/>
      </c>
      <c r="V209" s="11">
        <f>IF(M209=0,"",ROUND(U209/M209*100,1))</f>
        <v/>
      </c>
      <c r="W209" s="16">
        <f>U209*Assumptions!$B$4</f>
        <v/>
      </c>
      <c r="X209" s="11">
        <f>IF(M209=0,"",ROUND(W209/M209*100,1))</f>
        <v/>
      </c>
      <c r="Y209" t="inlineStr">
        <is>
          <t>CREDIMÓVEIS NOVOLAR LTDA.</t>
        </is>
      </c>
      <c r="Z209" t="inlineStr">
        <is>
          <t>0007565-40.2020.8.17.2370</t>
        </is>
      </c>
      <c r="AA209" t="inlineStr">
        <is>
          <t>TJPE</t>
        </is>
      </c>
      <c r="AB209" t="inlineStr">
        <is>
          <t>recuperacaojudicial.squarespace.com</t>
        </is>
      </c>
      <c r="AC209" t="inlineStr">
        <is>
          <t>VICTOR PENNA COSTA</t>
        </is>
      </c>
      <c r="AD209" t="inlineStr">
        <is>
          <t>Presidente</t>
        </is>
      </c>
      <c r="AE209" t="inlineStr">
        <is>
          <t>(32) 3539-1200</t>
        </is>
      </c>
      <c r="AF209" t="inlineStr"/>
      <c r="AG209" t="inlineStr"/>
      <c r="AH209" t="inlineStr">
        <is>
          <t>MG</t>
        </is>
      </c>
      <c r="AI209" t="inlineStr">
        <is>
          <t>UBA</t>
        </is>
      </c>
      <c r="AJ209" t="inlineStr">
        <is>
          <t>Fabricação de móveis com predominância de metal</t>
        </is>
      </c>
      <c r="AK209" t="inlineStr">
        <is>
          <t>DEMAIS</t>
        </is>
      </c>
      <c r="AL209" t="inlineStr">
        <is>
          <t>ATIVA</t>
        </is>
      </c>
      <c r="AM209" s="17" t="inlineStr">
        <is>
          <t>https://recuperacaojudicial.squarespace.com/s/RJ-Credimoveis-QGC-01082025.pdf</t>
        </is>
      </c>
      <c r="AN209" s="18" t="inlineStr">
        <is>
          <t>p15 r63</t>
        </is>
      </c>
      <c r="AO209" s="18" t="inlineStr">
        <is>
          <t>p15: R$ 780.425,22</t>
        </is>
      </c>
      <c r="AP209" s="18" t="inlineStr">
        <is>
          <t>QGC</t>
        </is>
      </c>
      <c r="AQ209" s="18" t="inlineStr">
        <is>
          <t>2026-01-28</t>
        </is>
      </c>
      <c r="AR209" s="18" t="inlineStr">
        <is>
          <t>OK</t>
        </is>
      </c>
      <c r="AS209" s="18" t="inlineStr">
        <is>
          <t>ROWS:p15r63</t>
        </is>
      </c>
      <c r="AT209" s="18" t="inlineStr">
        <is>
          <t>849d4fe5adce</t>
        </is>
      </c>
    </row>
    <row r="210">
      <c r="A210" s="9" t="n">
        <v>209</v>
      </c>
      <c r="B210" s="9" t="inlineStr">
        <is>
          <t>NEW</t>
        </is>
      </c>
      <c r="C210" s="9" t="inlineStr"/>
      <c r="D210" s="9" t="n">
        <v>0</v>
      </c>
      <c r="E210" s="9" t="inlineStr"/>
      <c r="F210" s="9" t="inlineStr"/>
      <c r="G210" s="9" t="inlineStr"/>
      <c r="H210" s="9" t="inlineStr"/>
      <c r="I210" t="inlineStr">
        <is>
          <t>ATLAS INDUSTRIA DE ELETRODOMESTICOS LTDA.</t>
        </is>
      </c>
      <c r="J210" t="inlineStr">
        <is>
          <t>78.242.849/0001-69</t>
        </is>
      </c>
      <c r="K210" t="inlineStr">
        <is>
          <t>78242849</t>
        </is>
      </c>
      <c r="L210" t="inlineStr">
        <is>
          <t>78242849000169</t>
        </is>
      </c>
      <c r="M210" s="10" t="n">
        <v>779392.23</v>
      </c>
      <c r="N210" t="n">
        <v>1</v>
      </c>
      <c r="O210" s="11" t="inlineStr">
        <is>
          <t>C</t>
        </is>
      </c>
      <c r="P210" s="11" t="inlineStr">
        <is>
          <t>ACTIVE</t>
        </is>
      </c>
      <c r="Q210" s="12" t="n">
        <v>43894</v>
      </c>
      <c r="R210" s="11">
        <f>IF(Q210="","",ROUND((TODAY()-Q210)/365.25,1))</f>
        <v/>
      </c>
      <c r="S210" s="13">
        <f>IFERROR(VLOOKUP(O210,Assumptions!$A$7:$F$11,2,FALSE),0.25)</f>
        <v/>
      </c>
      <c r="T210" s="14">
        <f>IF(O210="A",MAX(1,IFERROR(VLOOKUP(O210,Assumptions!$A$7:$F$11,3,FALSE),3)+IFERROR(VLOOKUP(O210,Assumptions!$A$7:$F$11,4,FALSE),8)/2-MAX(0,IF(R210="",0,R210)-IFERROR(VLOOKUP(O210,Assumptions!$A$7:$F$11,5,FALSE),1.5))),IFERROR(VLOOKUP(O210,Assumptions!$A$7:$F$11,5,FALSE),2.5)+IFERROR(VLOOKUP(O210,Assumptions!$A$7:$F$11,3,FALSE),3)+IFERROR(VLOOKUP(O210,Assumptions!$A$7:$F$11,4,FALSE),8)/2)</f>
        <v/>
      </c>
      <c r="U210" s="15">
        <f>M210*S210/(1+Assumptions!$B$3)^T210</f>
        <v/>
      </c>
      <c r="V210" s="11">
        <f>IF(M210=0,"",ROUND(U210/M210*100,1))</f>
        <v/>
      </c>
      <c r="W210" s="16">
        <f>U210*Assumptions!$B$4</f>
        <v/>
      </c>
      <c r="X210" s="11">
        <f>IF(M210=0,"",ROUND(W210/M210*100,1))</f>
        <v/>
      </c>
      <c r="Y210" t="inlineStr">
        <is>
          <t>CREDIMÓVEIS NOVOLAR LTDA.</t>
        </is>
      </c>
      <c r="Z210" t="inlineStr">
        <is>
          <t>0007565-40.2020.8.17.2370</t>
        </is>
      </c>
      <c r="AA210" t="inlineStr">
        <is>
          <t>TJPE</t>
        </is>
      </c>
      <c r="AB210" t="inlineStr">
        <is>
          <t>recuperacaojudicial.squarespace.com</t>
        </is>
      </c>
      <c r="AC210" t="inlineStr">
        <is>
          <t>HERACLITO PETRYCOSKI</t>
        </is>
      </c>
      <c r="AD210" t="inlineStr">
        <is>
          <t>Sócio-Administrador</t>
        </is>
      </c>
      <c r="AE210" t="inlineStr">
        <is>
          <t>(46) 3771-1500</t>
        </is>
      </c>
      <c r="AF210" t="inlineStr">
        <is>
          <t>(46) 3771-5090</t>
        </is>
      </c>
      <c r="AG210" t="inlineStr"/>
      <c r="AH210" t="inlineStr">
        <is>
          <t>PR</t>
        </is>
      </c>
      <c r="AI210" t="inlineStr">
        <is>
          <t>PATO BRANCO</t>
        </is>
      </c>
      <c r="AJ210" t="inlineStr">
        <is>
          <t>Fabricação de fogões, refrigeradores e máquinas de lavar e secar para uso doméstico, peças e acessórios</t>
        </is>
      </c>
      <c r="AK210" t="inlineStr">
        <is>
          <t>DEMAIS</t>
        </is>
      </c>
      <c r="AL210" t="inlineStr">
        <is>
          <t>ATIVA</t>
        </is>
      </c>
      <c r="AM210" s="17" t="inlineStr">
        <is>
          <t>https://recuperacaojudicial.squarespace.com/s/RJ-Credimoveis-QGC-01082025.pdf</t>
        </is>
      </c>
      <c r="AN210" s="18" t="inlineStr">
        <is>
          <t>p15 r11</t>
        </is>
      </c>
      <c r="AO210" s="18" t="inlineStr">
        <is>
          <t>p15: R$ 779.392,23</t>
        </is>
      </c>
      <c r="AP210" s="18" t="inlineStr">
        <is>
          <t>QGC</t>
        </is>
      </c>
      <c r="AQ210" s="18" t="inlineStr">
        <is>
          <t>2026-01-28</t>
        </is>
      </c>
      <c r="AR210" s="18" t="inlineStr">
        <is>
          <t>OK</t>
        </is>
      </c>
      <c r="AS210" s="18" t="inlineStr">
        <is>
          <t>ROWS:p15r11</t>
        </is>
      </c>
      <c r="AT210" s="18" t="inlineStr">
        <is>
          <t>849d4fe5adce</t>
        </is>
      </c>
    </row>
    <row r="211">
      <c r="A211" s="9" t="n">
        <v>210</v>
      </c>
      <c r="B211" s="9" t="inlineStr">
        <is>
          <t>NEW</t>
        </is>
      </c>
      <c r="C211" s="9" t="inlineStr"/>
      <c r="D211" s="9" t="n">
        <v>0</v>
      </c>
      <c r="E211" s="9" t="inlineStr"/>
      <c r="F211" s="9" t="inlineStr"/>
      <c r="G211" s="9" t="inlineStr"/>
      <c r="H211" s="9" t="inlineStr"/>
      <c r="I211" t="inlineStr">
        <is>
          <t>CENTENARO PNEUS LTDA</t>
        </is>
      </c>
      <c r="J211" t="inlineStr">
        <is>
          <t>Centenaro Pneus LTDA</t>
        </is>
      </c>
      <c r="K211" t="inlineStr">
        <is>
          <t>48833163</t>
        </is>
      </c>
      <c r="L211" t="inlineStr">
        <is>
          <t>48833163000181</t>
        </is>
      </c>
      <c r="M211" s="10" t="n">
        <v>770043</v>
      </c>
      <c r="N211" t="n">
        <v>1</v>
      </c>
      <c r="O211" s="11" t="inlineStr">
        <is>
          <t>B</t>
        </is>
      </c>
      <c r="P211" s="11" t="inlineStr">
        <is>
          <t>ACTIVE</t>
        </is>
      </c>
      <c r="Q211" s="12" t="n">
        <v>45460</v>
      </c>
      <c r="R211" s="11">
        <f>IF(Q211="","",ROUND((TODAY()-Q211)/365.25,1))</f>
        <v/>
      </c>
      <c r="S211" s="13">
        <f>IFERROR(VLOOKUP(O211,Assumptions!$A$7:$F$11,2,FALSE),0.25)</f>
        <v/>
      </c>
      <c r="T211" s="14">
        <f>IF(O211="A",MAX(1,IFERROR(VLOOKUP(O211,Assumptions!$A$7:$F$11,3,FALSE),3)+IFERROR(VLOOKUP(O211,Assumptions!$A$7:$F$11,4,FALSE),8)/2-MAX(0,IF(R211="",0,R211)-IFERROR(VLOOKUP(O211,Assumptions!$A$7:$F$11,5,FALSE),1.5))),IFERROR(VLOOKUP(O211,Assumptions!$A$7:$F$11,5,FALSE),2.5)+IFERROR(VLOOKUP(O211,Assumptions!$A$7:$F$11,3,FALSE),3)+IFERROR(VLOOKUP(O211,Assumptions!$A$7:$F$11,4,FALSE),8)/2)</f>
        <v/>
      </c>
      <c r="U211" s="15">
        <f>M211*S211/(1+Assumptions!$B$3)^T211</f>
        <v/>
      </c>
      <c r="V211" s="11">
        <f>IF(M211=0,"",ROUND(U211/M211*100,1))</f>
        <v/>
      </c>
      <c r="W211" s="16">
        <f>U211*Assumptions!$B$4</f>
        <v/>
      </c>
      <c r="X211" s="11">
        <f>IF(M211=0,"",ROUND(W211/M211*100,1))</f>
        <v/>
      </c>
      <c r="Y211" t="inlineStr">
        <is>
          <t>GRUPO D&amp;D</t>
        </is>
      </c>
      <c r="Z211" t="inlineStr">
        <is>
          <t>0001943-40.2024.8.16.0115</t>
        </is>
      </c>
      <c r="AA211" t="inlineStr">
        <is>
          <t>TJPR</t>
        </is>
      </c>
      <c r="AB211" t="inlineStr">
        <is>
          <t>marquesadmjudicial.com.br</t>
        </is>
      </c>
      <c r="AC211" t="inlineStr">
        <is>
          <t>EDUARDO MATHEUS TRENTIN</t>
        </is>
      </c>
      <c r="AD211" t="inlineStr">
        <is>
          <t>Sócio-Administrador</t>
        </is>
      </c>
      <c r="AE211" t="inlineStr">
        <is>
          <t>(67) 3317-2277</t>
        </is>
      </c>
      <c r="AF211" t="inlineStr"/>
      <c r="AG211" t="inlineStr"/>
      <c r="AH211" t="inlineStr">
        <is>
          <t>MS</t>
        </is>
      </c>
      <c r="AI211" t="inlineStr">
        <is>
          <t>CAMPO GRANDE</t>
        </is>
      </c>
      <c r="AJ211" t="inlineStr">
        <is>
          <t>Comércio a varejo de pneumáticos e câmaras-de-ar</t>
        </is>
      </c>
      <c r="AK211" t="inlineStr">
        <is>
          <t>DEMAIS</t>
        </is>
      </c>
      <c r="AL211" t="inlineStr">
        <is>
          <t>ATIVA</t>
        </is>
      </c>
      <c r="AM211" s="17" t="inlineStr">
        <is>
          <t>https://marquesadmjudicial.com.br/sgc/download.php?file=files/processo_documento/processo_documento20014127022025_1_.pdf&amp;nome=Relação Nominal de Credores</t>
        </is>
      </c>
      <c r="AN211" s="18" t="inlineStr">
        <is>
          <t>p4 r11</t>
        </is>
      </c>
      <c r="AO211" s="18" t="inlineStr">
        <is>
          <t>p4: R$ 770.043,00</t>
        </is>
      </c>
      <c r="AP211" s="18" t="inlineStr">
        <is>
          <t>AJ_LIST</t>
        </is>
      </c>
      <c r="AQ211" s="18" t="inlineStr">
        <is>
          <t>2024-11-08</t>
        </is>
      </c>
      <c r="AR211" s="18" t="inlineStr">
        <is>
          <t>QUARANTINED</t>
        </is>
      </c>
      <c r="AS211" s="18" t="inlineStr">
        <is>
          <t>PARTIAL_DOC_CLASS_III_RECONCILED ROWS:p4r11</t>
        </is>
      </c>
      <c r="AT211" s="18" t="inlineStr">
        <is>
          <t>dfc3207dcd0f</t>
        </is>
      </c>
    </row>
    <row r="212">
      <c r="A212" s="9" t="n">
        <v>211</v>
      </c>
      <c r="B212" s="9" t="inlineStr">
        <is>
          <t>NEW</t>
        </is>
      </c>
      <c r="C212" s="9" t="inlineStr"/>
      <c r="D212" s="9" t="n">
        <v>0</v>
      </c>
      <c r="E212" s="9" t="inlineStr"/>
      <c r="F212" s="9" t="inlineStr"/>
      <c r="G212" s="9" t="inlineStr"/>
      <c r="H212" s="9" t="inlineStr"/>
      <c r="I212" t="inlineStr">
        <is>
          <t>PARADOX JEANS CONFECCOES DE ROUPAS E TECIDOS LTDA</t>
        </is>
      </c>
      <c r="J212" t="inlineStr">
        <is>
          <t>PARADOX JEANS CONFECCOES DE ROUPAS E TECIDOS LTDA</t>
        </is>
      </c>
      <c r="K212" t="inlineStr">
        <is>
          <t>21577893</t>
        </is>
      </c>
      <c r="L212" t="inlineStr">
        <is>
          <t>21577893000102</t>
        </is>
      </c>
      <c r="M212" s="10" t="n">
        <v>769232.88</v>
      </c>
      <c r="N212" t="n">
        <v>2</v>
      </c>
      <c r="O212" s="11" t="inlineStr">
        <is>
          <t>C</t>
        </is>
      </c>
      <c r="P212" s="11" t="inlineStr">
        <is>
          <t>ACTIVE</t>
        </is>
      </c>
      <c r="Q212" s="12" t="n">
        <v>44571</v>
      </c>
      <c r="R212" s="11">
        <f>IF(Q212="","",ROUND((TODAY()-Q212)/365.25,1))</f>
        <v/>
      </c>
      <c r="S212" s="13">
        <f>IFERROR(VLOOKUP(O212,Assumptions!$A$7:$F$11,2,FALSE),0.25)</f>
        <v/>
      </c>
      <c r="T212" s="14">
        <f>IF(O212="A",MAX(1,IFERROR(VLOOKUP(O212,Assumptions!$A$7:$F$11,3,FALSE),3)+IFERROR(VLOOKUP(O212,Assumptions!$A$7:$F$11,4,FALSE),8)/2-MAX(0,IF(R212="",0,R212)-IFERROR(VLOOKUP(O212,Assumptions!$A$7:$F$11,5,FALSE),1.5))),IFERROR(VLOOKUP(O212,Assumptions!$A$7:$F$11,5,FALSE),2.5)+IFERROR(VLOOKUP(O212,Assumptions!$A$7:$F$11,3,FALSE),3)+IFERROR(VLOOKUP(O212,Assumptions!$A$7:$F$11,4,FALSE),8)/2)</f>
        <v/>
      </c>
      <c r="U212" s="15">
        <f>M212*S212/(1+Assumptions!$B$3)^T212</f>
        <v/>
      </c>
      <c r="V212" s="11">
        <f>IF(M212=0,"",ROUND(U212/M212*100,1))</f>
        <v/>
      </c>
      <c r="W212" s="16">
        <f>U212*Assumptions!$B$4</f>
        <v/>
      </c>
      <c r="X212" s="11">
        <f>IF(M212=0,"",ROUND(W212/M212*100,1))</f>
        <v/>
      </c>
      <c r="Y212" t="inlineStr">
        <is>
          <t>GRUPO CATTAN</t>
        </is>
      </c>
      <c r="Z212" t="inlineStr">
        <is>
          <t>0002484-82.2022.8.17.2001</t>
        </is>
      </c>
      <c r="AA212" t="inlineStr">
        <is>
          <t>TJPE</t>
        </is>
      </c>
      <c r="AB212" t="inlineStr">
        <is>
          <t>lrflideres.com.br</t>
        </is>
      </c>
      <c r="AC212" t="inlineStr">
        <is>
          <t>JOE EL SAMED</t>
        </is>
      </c>
      <c r="AD212" t="inlineStr">
        <is>
          <t>Sócio-Administrador</t>
        </is>
      </c>
      <c r="AE212" t="inlineStr">
        <is>
          <t>(11) 2693-6106</t>
        </is>
      </c>
      <c r="AF212" t="inlineStr"/>
      <c r="AG212" t="inlineStr"/>
      <c r="AH212" t="inlineStr">
        <is>
          <t>SP</t>
        </is>
      </c>
      <c r="AI212" t="inlineStr">
        <is>
          <t>SAO PAULO</t>
        </is>
      </c>
      <c r="AJ212" t="inlineStr">
        <is>
          <t>Confecção de peças de vestuário, exceto roupas íntimas e as confeccionadas sob medida</t>
        </is>
      </c>
      <c r="AK212" t="inlineStr">
        <is>
          <t>DEMAIS</t>
        </is>
      </c>
      <c r="AL212" t="inlineStr">
        <is>
          <t>ATIVA</t>
        </is>
      </c>
      <c r="AM212" s="17" t="inlineStr">
        <is>
          <t>https://lrflideres.com.br/wp-content/plugins/download-attachments/includes/download.php?id=4023</t>
        </is>
      </c>
      <c r="AN212" s="18" t="inlineStr">
        <is>
          <t>p7 r115; p9 r86</t>
        </is>
      </c>
      <c r="AO212" s="18" t="inlineStr">
        <is>
          <t>p7: R$ 663.239,28; p9: R$ 105.993,60</t>
        </is>
      </c>
      <c r="AP212" s="18" t="inlineStr">
        <is>
          <t>DEBTOR_LIST</t>
        </is>
      </c>
      <c r="AQ212" s="18" t="inlineStr"/>
      <c r="AR212" s="18" t="inlineStr">
        <is>
          <t>QUARANTINED</t>
        </is>
      </c>
      <c r="AS212" s="18" t="inlineStr">
        <is>
          <t>PARTIAL_DOC_CLASS_III_RECONCILED ROWS:p7r115,p9r86</t>
        </is>
      </c>
      <c r="AT212" s="18" t="inlineStr">
        <is>
          <t>f3b6182e3aa2</t>
        </is>
      </c>
    </row>
    <row r="213">
      <c r="A213" s="9" t="n">
        <v>212</v>
      </c>
      <c r="B213" s="9" t="inlineStr">
        <is>
          <t>NEW</t>
        </is>
      </c>
      <c r="C213" s="9" t="inlineStr"/>
      <c r="D213" s="9" t="n">
        <v>0</v>
      </c>
      <c r="E213" s="9" t="inlineStr"/>
      <c r="F213" s="9" t="inlineStr"/>
      <c r="G213" s="9" t="inlineStr"/>
      <c r="H213" s="9" t="inlineStr"/>
      <c r="I213" t="inlineStr">
        <is>
          <t>RSG GESTAO DE ATIVOS LTDA</t>
        </is>
      </c>
      <c r="J213" t="inlineStr">
        <is>
          <t>RSG GESTAO DE ATIVOS LTDA (</t>
        </is>
      </c>
      <c r="K213" t="inlineStr">
        <is>
          <t>30080657</t>
        </is>
      </c>
      <c r="L213" t="inlineStr">
        <is>
          <t>30080657000177</t>
        </is>
      </c>
      <c r="M213" s="10" t="n">
        <v>760513.79</v>
      </c>
      <c r="N213" t="n">
        <v>1</v>
      </c>
      <c r="O213" s="11" t="inlineStr">
        <is>
          <t>C</t>
        </is>
      </c>
      <c r="P213" s="11" t="inlineStr">
        <is>
          <t>ACTIVE</t>
        </is>
      </c>
      <c r="Q213" s="12" t="n">
        <v>45252</v>
      </c>
      <c r="R213" s="11">
        <f>IF(Q213="","",ROUND((TODAY()-Q213)/365.25,1))</f>
        <v/>
      </c>
      <c r="S213" s="13">
        <f>IFERROR(VLOOKUP(O213,Assumptions!$A$7:$F$11,2,FALSE),0.25)</f>
        <v/>
      </c>
      <c r="T213" s="14">
        <f>IF(O213="A",MAX(1,IFERROR(VLOOKUP(O213,Assumptions!$A$7:$F$11,3,FALSE),3)+IFERROR(VLOOKUP(O213,Assumptions!$A$7:$F$11,4,FALSE),8)/2-MAX(0,IF(R213="",0,R213)-IFERROR(VLOOKUP(O213,Assumptions!$A$7:$F$11,5,FALSE),1.5))),IFERROR(VLOOKUP(O213,Assumptions!$A$7:$F$11,5,FALSE),2.5)+IFERROR(VLOOKUP(O213,Assumptions!$A$7:$F$11,3,FALSE),3)+IFERROR(VLOOKUP(O213,Assumptions!$A$7:$F$11,4,FALSE),8)/2)</f>
        <v/>
      </c>
      <c r="U213" s="15">
        <f>M213*S213/(1+Assumptions!$B$3)^T213</f>
        <v/>
      </c>
      <c r="V213" s="11">
        <f>IF(M213=0,"",ROUND(U213/M213*100,1))</f>
        <v/>
      </c>
      <c r="W213" s="16">
        <f>U213*Assumptions!$B$4</f>
        <v/>
      </c>
      <c r="X213" s="11">
        <f>IF(M213=0,"",ROUND(W213/M213*100,1))</f>
        <v/>
      </c>
      <c r="Y213" t="inlineStr">
        <is>
          <t>GAMAC IMPORTACAO E EXPORTACAO LTDA (EM RECUPERAÇÃO JUDICIAL)</t>
        </is>
      </c>
      <c r="Z213" t="inlineStr">
        <is>
          <t>5012295-78.2023.8.24.0019</t>
        </is>
      </c>
      <c r="AA213" t="inlineStr">
        <is>
          <t>TJSC</t>
        </is>
      </c>
      <c r="AB213" t="inlineStr">
        <is>
          <t>scalzilliaj.com.br</t>
        </is>
      </c>
      <c r="AC213" t="inlineStr">
        <is>
          <t>RODRIGO CANO PASSOS</t>
        </is>
      </c>
      <c r="AD213" t="inlineStr">
        <is>
          <t>Administrador</t>
        </is>
      </c>
      <c r="AE213" t="inlineStr">
        <is>
          <t>(47) 3248-6000</t>
        </is>
      </c>
      <c r="AF213" t="inlineStr"/>
      <c r="AG213" t="inlineStr"/>
      <c r="AH213" t="inlineStr">
        <is>
          <t>SC</t>
        </is>
      </c>
      <c r="AI213" t="inlineStr">
        <is>
          <t>ITAJAI</t>
        </is>
      </c>
      <c r="AJ213" t="inlineStr">
        <is>
          <t>Gestão de ativos intangíveis não-financeiros</t>
        </is>
      </c>
      <c r="AK213" t="inlineStr">
        <is>
          <t>DEMAIS</t>
        </is>
      </c>
      <c r="AL213" t="inlineStr">
        <is>
          <t>ATIVA</t>
        </is>
      </c>
      <c r="AM213" s="17" t="inlineStr">
        <is>
          <t>https://scalzilliaj.com.br/sgc/download.php?file=files/processo_documento/processo_documento10141405032024_1_.pdf&amp;nome=10 - Edital do art. 7º, §2º da Lei 11.101/2005 (segunda lista de credores)</t>
        </is>
      </c>
      <c r="AN213" s="18" t="inlineStr">
        <is>
          <t>p2 r15</t>
        </is>
      </c>
      <c r="AO213" s="18" t="inlineStr">
        <is>
          <t>p2: R$ 760.513,79</t>
        </is>
      </c>
      <c r="AP213" s="18" t="inlineStr">
        <is>
          <t>QGC</t>
        </is>
      </c>
      <c r="AQ213" s="18" t="inlineStr">
        <is>
          <t>2024-03-05</t>
        </is>
      </c>
      <c r="AR213" s="18" t="inlineStr">
        <is>
          <t>OK_NO_TOTALS</t>
        </is>
      </c>
      <c r="AS213" s="18" t="inlineStr">
        <is>
          <t>ROWS:p2r15 UNRECONCILED_SOURCE</t>
        </is>
      </c>
      <c r="AT213" s="18" t="inlineStr">
        <is>
          <t>a57b29e07c6d</t>
        </is>
      </c>
    </row>
    <row r="214">
      <c r="A214" s="9" t="n">
        <v>213</v>
      </c>
      <c r="B214" s="9" t="inlineStr">
        <is>
          <t>NEW</t>
        </is>
      </c>
      <c r="C214" s="9" t="inlineStr"/>
      <c r="D214" s="9" t="n">
        <v>0</v>
      </c>
      <c r="E214" s="9" t="inlineStr"/>
      <c r="F214" s="9" t="inlineStr"/>
      <c r="G214" s="9" t="inlineStr"/>
      <c r="H214" s="9" t="inlineStr"/>
      <c r="I214" t="inlineStr">
        <is>
          <t>UNIPETRO NOVA ANDRADINA DISTRIBUIDORA DE PETROLEO LTDA</t>
        </is>
      </c>
      <c r="J214" t="inlineStr">
        <is>
          <t>1 UNIPETRO NOVA ANDRADINA EDITAL DO ART. 7º, §2º, E AVISO DO ART. 53, PARÁGRAFO ÚNICO, DISTRIBUIDORA DE PETRÓLEO LTDA (</t>
        </is>
      </c>
      <c r="K214" t="inlineStr">
        <is>
          <t>00210633</t>
        </is>
      </c>
      <c r="L214" t="inlineStr">
        <is>
          <t>00210633000124</t>
        </is>
      </c>
      <c r="M214" s="10" t="n">
        <v>753950</v>
      </c>
      <c r="N214" t="n">
        <v>1</v>
      </c>
      <c r="O214" s="11" t="inlineStr">
        <is>
          <t>B</t>
        </is>
      </c>
      <c r="P214" s="11" t="inlineStr">
        <is>
          <t>ACTIVE</t>
        </is>
      </c>
      <c r="Q214" s="12" t="n">
        <v>45594</v>
      </c>
      <c r="R214" s="11">
        <f>IF(Q214="","",ROUND((TODAY()-Q214)/365.25,1))</f>
        <v/>
      </c>
      <c r="S214" s="13">
        <f>IFERROR(VLOOKUP(O214,Assumptions!$A$7:$F$11,2,FALSE),0.25)</f>
        <v/>
      </c>
      <c r="T214" s="14">
        <f>IF(O214="A",MAX(1,IFERROR(VLOOKUP(O214,Assumptions!$A$7:$F$11,3,FALSE),3)+IFERROR(VLOOKUP(O214,Assumptions!$A$7:$F$11,4,FALSE),8)/2-MAX(0,IF(R214="",0,R214)-IFERROR(VLOOKUP(O214,Assumptions!$A$7:$F$11,5,FALSE),1.5))),IFERROR(VLOOKUP(O214,Assumptions!$A$7:$F$11,5,FALSE),2.5)+IFERROR(VLOOKUP(O214,Assumptions!$A$7:$F$11,3,FALSE),3)+IFERROR(VLOOKUP(O214,Assumptions!$A$7:$F$11,4,FALSE),8)/2)</f>
        <v/>
      </c>
      <c r="U214" s="15">
        <f>M214*S214/(1+Assumptions!$B$3)^T214</f>
        <v/>
      </c>
      <c r="V214" s="11">
        <f>IF(M214=0,"",ROUND(U214/M214*100,1))</f>
        <v/>
      </c>
      <c r="W214" s="16">
        <f>U214*Assumptions!$B$4</f>
        <v/>
      </c>
      <c r="X214" s="11">
        <f>IF(M214=0,"",ROUND(W214/M214*100,1))</f>
        <v/>
      </c>
      <c r="Y214" t="inlineStr">
        <is>
          <t>ENIVALDO BARELLA TIRONI, MATEUS MANHANI BARELLA, LEILA REGINA MANHANI BARELLA, B&amp;F AGRO COMÉRCIO DE GRÃOS E INSUMOS AGRÍCOLAS LTDA, BARELLA &amp; FILHOS LTDA E M M LOCAÇÃO EIRELI</t>
        </is>
      </c>
      <c r="Z214" t="inlineStr">
        <is>
          <t>0028131-73.2024.8.16.0017</t>
        </is>
      </c>
      <c r="AA214" t="inlineStr">
        <is>
          <t>TJPR</t>
        </is>
      </c>
      <c r="AB214" t="inlineStr">
        <is>
          <t>scalzilliaj.com.br</t>
        </is>
      </c>
      <c r="AC214" t="inlineStr">
        <is>
          <t>ALVARO RODRIGUES ANTUNES DE FARIA</t>
        </is>
      </c>
      <c r="AD214" t="inlineStr">
        <is>
          <t>Sócio-Administrador</t>
        </is>
      </c>
      <c r="AE214" t="inlineStr">
        <is>
          <t>(11) 3990-4090</t>
        </is>
      </c>
      <c r="AF214" t="inlineStr"/>
      <c r="AG214" t="inlineStr"/>
      <c r="AH214" t="inlineStr">
        <is>
          <t>MS</t>
        </is>
      </c>
      <c r="AI214" t="inlineStr">
        <is>
          <t>NOVA ANDRADINA</t>
        </is>
      </c>
      <c r="AJ214" t="inlineStr">
        <is>
          <t>Comércio atacadista de combustíveis realizado por transportador retalhista (T.R.R.)</t>
        </is>
      </c>
      <c r="AK214" t="inlineStr">
        <is>
          <t>DEMAIS</t>
        </is>
      </c>
      <c r="AL214" t="inlineStr">
        <is>
          <t>ATIVA</t>
        </is>
      </c>
      <c r="AM214" s="17" t="inlineStr">
        <is>
          <t>https://scalzilliaj.com.br/sgc/download.php?file=files/processo_documento/processo_documento15542620022025_1_.pdf&amp;nome=11 - Relação de credores - art. 7º, §2º, da LREF</t>
        </is>
      </c>
      <c r="AN214" s="18" t="inlineStr">
        <is>
          <t>p1 r4</t>
        </is>
      </c>
      <c r="AO214" s="18" t="inlineStr">
        <is>
          <t>p1: R$ 753.950,00</t>
        </is>
      </c>
      <c r="AP214" s="18" t="inlineStr">
        <is>
          <t>AJ_LIST</t>
        </is>
      </c>
      <c r="AQ214" s="18" t="inlineStr">
        <is>
          <t>2025-02-19</t>
        </is>
      </c>
      <c r="AR214" s="18" t="inlineStr">
        <is>
          <t>OK_NO_TOTALS</t>
        </is>
      </c>
      <c r="AS214" s="18" t="inlineStr">
        <is>
          <t>ROWS:p1r4 UNRECONCILED_SOURCE</t>
        </is>
      </c>
      <c r="AT214" s="18" t="inlineStr">
        <is>
          <t>70eb7014739f</t>
        </is>
      </c>
    </row>
    <row r="215">
      <c r="A215" s="9" t="n">
        <v>214</v>
      </c>
      <c r="B215" s="9" t="inlineStr">
        <is>
          <t>NEW</t>
        </is>
      </c>
      <c r="C215" s="9" t="inlineStr"/>
      <c r="D215" s="9" t="n">
        <v>0</v>
      </c>
      <c r="E215" s="9" t="inlineStr"/>
      <c r="F215" s="9" t="inlineStr"/>
      <c r="G215" s="9" t="inlineStr"/>
      <c r="H215" s="9" t="inlineStr"/>
      <c r="I215" t="inlineStr">
        <is>
          <t>MERCOFRICON S/A</t>
        </is>
      </c>
      <c r="J215" t="inlineStr">
        <is>
          <t>02.802.419/0001-92</t>
        </is>
      </c>
      <c r="K215" t="inlineStr">
        <is>
          <t>02802419</t>
        </is>
      </c>
      <c r="L215" t="inlineStr">
        <is>
          <t>02802419000192</t>
        </is>
      </c>
      <c r="M215" s="10" t="n">
        <v>744752.65</v>
      </c>
      <c r="N215" t="n">
        <v>1</v>
      </c>
      <c r="O215" s="11" t="inlineStr">
        <is>
          <t>C</t>
        </is>
      </c>
      <c r="P215" s="11" t="inlineStr">
        <is>
          <t>ACTIVE</t>
        </is>
      </c>
      <c r="Q215" s="12" t="n">
        <v>43894</v>
      </c>
      <c r="R215" s="11">
        <f>IF(Q215="","",ROUND((TODAY()-Q215)/365.25,1))</f>
        <v/>
      </c>
      <c r="S215" s="13">
        <f>IFERROR(VLOOKUP(O215,Assumptions!$A$7:$F$11,2,FALSE),0.25)</f>
        <v/>
      </c>
      <c r="T215" s="14">
        <f>IF(O215="A",MAX(1,IFERROR(VLOOKUP(O215,Assumptions!$A$7:$F$11,3,FALSE),3)+IFERROR(VLOOKUP(O215,Assumptions!$A$7:$F$11,4,FALSE),8)/2-MAX(0,IF(R215="",0,R215)-IFERROR(VLOOKUP(O215,Assumptions!$A$7:$F$11,5,FALSE),1.5))),IFERROR(VLOOKUP(O215,Assumptions!$A$7:$F$11,5,FALSE),2.5)+IFERROR(VLOOKUP(O215,Assumptions!$A$7:$F$11,3,FALSE),3)+IFERROR(VLOOKUP(O215,Assumptions!$A$7:$F$11,4,FALSE),8)/2)</f>
        <v/>
      </c>
      <c r="U215" s="15">
        <f>M215*S215/(1+Assumptions!$B$3)^T215</f>
        <v/>
      </c>
      <c r="V215" s="11">
        <f>IF(M215=0,"",ROUND(U215/M215*100,1))</f>
        <v/>
      </c>
      <c r="W215" s="16">
        <f>U215*Assumptions!$B$4</f>
        <v/>
      </c>
      <c r="X215" s="11">
        <f>IF(M215=0,"",ROUND(W215/M215*100,1))</f>
        <v/>
      </c>
      <c r="Y215" t="inlineStr">
        <is>
          <t>CREDIMÓVEIS NOVOLAR LTDA.</t>
        </is>
      </c>
      <c r="Z215" t="inlineStr">
        <is>
          <t>0007565-40.2020.8.17.2370</t>
        </is>
      </c>
      <c r="AA215" t="inlineStr">
        <is>
          <t>TJPE</t>
        </is>
      </c>
      <c r="AB215" t="inlineStr">
        <is>
          <t>recuperacaojudicial.squarespace.com</t>
        </is>
      </c>
      <c r="AC215" t="inlineStr">
        <is>
          <t>RUI MANUEL COUTINHO DE AZEVEDO</t>
        </is>
      </c>
      <c r="AD215" t="inlineStr">
        <is>
          <t>Presidente</t>
        </is>
      </c>
      <c r="AE215" t="inlineStr">
        <is>
          <t>(81) 2121-5047</t>
        </is>
      </c>
      <c r="AF215" t="inlineStr"/>
      <c r="AG215" t="inlineStr"/>
      <c r="AH215" t="inlineStr">
        <is>
          <t>PE</t>
        </is>
      </c>
      <c r="AI215" t="inlineStr">
        <is>
          <t>PAULISTA</t>
        </is>
      </c>
      <c r="AJ215" t="inlineStr">
        <is>
          <t>Fabricação de máquinas e aparelhos de refrigeração e ventilação para uso industrial e comercial, peças e acessórios</t>
        </is>
      </c>
      <c r="AK215" t="inlineStr">
        <is>
          <t>DEMAIS</t>
        </is>
      </c>
      <c r="AL215" t="inlineStr">
        <is>
          <t>ATIVA</t>
        </is>
      </c>
      <c r="AM215" s="17" t="inlineStr">
        <is>
          <t>https://recuperacaojudicial.squarespace.com/s/RJ-Credimoveis-QGC-01082025.pdf</t>
        </is>
      </c>
      <c r="AN215" s="18" t="inlineStr">
        <is>
          <t>p16 r17</t>
        </is>
      </c>
      <c r="AO215" s="18" t="inlineStr">
        <is>
          <t>p16: R$ 744.752,65</t>
        </is>
      </c>
      <c r="AP215" s="18" t="inlineStr">
        <is>
          <t>QGC</t>
        </is>
      </c>
      <c r="AQ215" s="18" t="inlineStr">
        <is>
          <t>2026-01-28</t>
        </is>
      </c>
      <c r="AR215" s="18" t="inlineStr">
        <is>
          <t>OK</t>
        </is>
      </c>
      <c r="AS215" s="18" t="inlineStr">
        <is>
          <t>ROWS:p16r17</t>
        </is>
      </c>
      <c r="AT215" s="18" t="inlineStr">
        <is>
          <t>849d4fe5adce</t>
        </is>
      </c>
    </row>
    <row r="216">
      <c r="A216" s="9" t="n">
        <v>215</v>
      </c>
      <c r="B216" s="9" t="inlineStr">
        <is>
          <t>NEW</t>
        </is>
      </c>
      <c r="C216" s="9" t="inlineStr"/>
      <c r="D216" s="9" t="n">
        <v>0</v>
      </c>
      <c r="E216" s="9" t="inlineStr"/>
      <c r="F216" s="9" t="inlineStr"/>
      <c r="G216" s="9" t="inlineStr"/>
      <c r="H216" s="9" t="inlineStr"/>
      <c r="I216" t="inlineStr">
        <is>
          <t>BRIDGESTONE DO BRASIL INDUSTRIA E COMERCIO LTDA.</t>
        </is>
      </c>
      <c r="J216" t="inlineStr">
        <is>
          <t>AV.QUEIRO DOS SANTOS 1717 - SANTO ANDRE-SP - CEP 03011-590</t>
        </is>
      </c>
      <c r="K216" t="inlineStr">
        <is>
          <t>57497539</t>
        </is>
      </c>
      <c r="L216" t="inlineStr">
        <is>
          <t>57497539000115</t>
        </is>
      </c>
      <c r="M216" s="10" t="n">
        <v>741870.48</v>
      </c>
      <c r="N216" t="n">
        <v>1</v>
      </c>
      <c r="O216" s="11" t="inlineStr">
        <is>
          <t>U</t>
        </is>
      </c>
      <c r="P216" s="11" t="inlineStr"/>
      <c r="Q216" s="12" t="inlineStr"/>
      <c r="R216" s="11">
        <f>IF(Q216="","",ROUND((TODAY()-Q216)/365.25,1))</f>
        <v/>
      </c>
      <c r="S216" s="13">
        <f>IFERROR(VLOOKUP(O216,Assumptions!$A$7:$F$11,2,FALSE),0.25)</f>
        <v/>
      </c>
      <c r="T216" s="14">
        <f>IF(O216="A",MAX(1,IFERROR(VLOOKUP(O216,Assumptions!$A$7:$F$11,3,FALSE),3)+IFERROR(VLOOKUP(O216,Assumptions!$A$7:$F$11,4,FALSE),8)/2-MAX(0,IF(R216="",0,R216)-IFERROR(VLOOKUP(O216,Assumptions!$A$7:$F$11,5,FALSE),1.5))),IFERROR(VLOOKUP(O216,Assumptions!$A$7:$F$11,5,FALSE),2.5)+IFERROR(VLOOKUP(O216,Assumptions!$A$7:$F$11,3,FALSE),3)+IFERROR(VLOOKUP(O216,Assumptions!$A$7:$F$11,4,FALSE),8)/2)</f>
        <v/>
      </c>
      <c r="U216" s="15">
        <f>M216*S216/(1+Assumptions!$B$3)^T216</f>
        <v/>
      </c>
      <c r="V216" s="11">
        <f>IF(M216=0,"",ROUND(U216/M216*100,1))</f>
        <v/>
      </c>
      <c r="W216" s="16">
        <f>U216*Assumptions!$B$4</f>
        <v/>
      </c>
      <c r="X216" s="11">
        <f>IF(M216=0,"",ROUND(W216/M216*100,1))</f>
        <v/>
      </c>
      <c r="Y216" t="inlineStr">
        <is>
          <t>Base</t>
        </is>
      </c>
      <c r="Z216" t="inlineStr">
        <is>
          <t>(not found in document)</t>
        </is>
      </c>
      <c r="AA216" t="inlineStr"/>
      <c r="AB216" t="inlineStr">
        <is>
          <t>ajruiz.com.br</t>
        </is>
      </c>
      <c r="AC216" t="inlineStr">
        <is>
          <t>CARLOS LEONARDO RODRIGUES BOAVENTURA</t>
        </is>
      </c>
      <c r="AD216" t="inlineStr">
        <is>
          <t>Administrador</t>
        </is>
      </c>
      <c r="AE216" t="inlineStr">
        <is>
          <t>(11) 3636-1012</t>
        </is>
      </c>
      <c r="AF216" t="inlineStr"/>
      <c r="AG216" t="inlineStr"/>
      <c r="AH216" t="inlineStr">
        <is>
          <t>SP</t>
        </is>
      </c>
      <c r="AI216" t="inlineStr">
        <is>
          <t>SANTO ANDRE</t>
        </is>
      </c>
      <c r="AJ216" t="inlineStr">
        <is>
          <t>Fabricação de pneumáticos e de câmaras-de-ar</t>
        </is>
      </c>
      <c r="AK216" t="inlineStr">
        <is>
          <t>DEMAIS</t>
        </is>
      </c>
      <c r="AL216" t="inlineStr">
        <is>
          <t>ATIVA</t>
        </is>
      </c>
      <c r="AM216" s="17" t="inlineStr">
        <is>
          <t>https://ajruiz.com.br/sites/default/files/public/arquivos-processos/2023-11/4_relacao_de_credores_analitica_art._51_iii_da_lre.pdf</t>
        </is>
      </c>
      <c r="AN216" s="18" t="inlineStr">
        <is>
          <t>p2 r22</t>
        </is>
      </c>
      <c r="AO216" s="18" t="inlineStr">
        <is>
          <t>p2: R$ 741.870,48</t>
        </is>
      </c>
      <c r="AP216" s="18" t="inlineStr">
        <is>
          <t>UNKNOWN</t>
        </is>
      </c>
      <c r="AQ216" s="18" t="inlineStr"/>
      <c r="AR216" s="18" t="inlineStr">
        <is>
          <t>OK</t>
        </is>
      </c>
      <c r="AS216" s="18" t="inlineStr">
        <is>
          <t>ALT_VALUE:FORNECEDORES ROWS:p2r22 VALUE_COL:Valor_Do_Crédito CASE_NUMBER_CORRECTED</t>
        </is>
      </c>
      <c r="AT216" s="18" t="inlineStr">
        <is>
          <t>2407a56c3502</t>
        </is>
      </c>
    </row>
    <row r="217">
      <c r="A217" s="9" t="n">
        <v>216</v>
      </c>
      <c r="B217" s="9" t="inlineStr">
        <is>
          <t>NEW</t>
        </is>
      </c>
      <c r="C217" s="9" t="inlineStr"/>
      <c r="D217" s="9" t="n">
        <v>0</v>
      </c>
      <c r="E217" s="9" t="inlineStr"/>
      <c r="F217" s="9" t="inlineStr"/>
      <c r="G217" s="9" t="inlineStr"/>
      <c r="H217" s="9" t="inlineStr"/>
      <c r="I217" t="inlineStr">
        <is>
          <t>BRF S.A.</t>
        </is>
      </c>
      <c r="J217" t="inlineStr">
        <is>
          <t>Brf - Brasil Foods S.A.</t>
        </is>
      </c>
      <c r="K217" t="inlineStr">
        <is>
          <t>01838723</t>
        </is>
      </c>
      <c r="L217" t="inlineStr">
        <is>
          <t>01838723030891</t>
        </is>
      </c>
      <c r="M217" s="10" t="n">
        <v>741289.9</v>
      </c>
      <c r="N217" t="n">
        <v>1</v>
      </c>
      <c r="O217" s="11" t="inlineStr">
        <is>
          <t>B</t>
        </is>
      </c>
      <c r="P217" s="11" t="inlineStr">
        <is>
          <t>ACTIVE</t>
        </is>
      </c>
      <c r="Q217" s="12" t="n">
        <v>46130</v>
      </c>
      <c r="R217" s="11">
        <f>IF(Q217="","",ROUND((TODAY()-Q217)/365.25,1))</f>
        <v/>
      </c>
      <c r="S217" s="13">
        <f>IFERROR(VLOOKUP(O217,Assumptions!$A$7:$F$11,2,FALSE),0.25)</f>
        <v/>
      </c>
      <c r="T217" s="14">
        <f>IF(O217="A",MAX(1,IFERROR(VLOOKUP(O217,Assumptions!$A$7:$F$11,3,FALSE),3)+IFERROR(VLOOKUP(O217,Assumptions!$A$7:$F$11,4,FALSE),8)/2-MAX(0,IF(R217="",0,R217)-IFERROR(VLOOKUP(O217,Assumptions!$A$7:$F$11,5,FALSE),1.5))),IFERROR(VLOOKUP(O217,Assumptions!$A$7:$F$11,5,FALSE),2.5)+IFERROR(VLOOKUP(O217,Assumptions!$A$7:$F$11,3,FALSE),3)+IFERROR(VLOOKUP(O217,Assumptions!$A$7:$F$11,4,FALSE),8)/2)</f>
        <v/>
      </c>
      <c r="U217" s="15">
        <f>M217*S217/(1+Assumptions!$B$3)^T217</f>
        <v/>
      </c>
      <c r="V217" s="11">
        <f>IF(M217=0,"",ROUND(U217/M217*100,1))</f>
        <v/>
      </c>
      <c r="W217" s="16">
        <f>U217*Assumptions!$B$4</f>
        <v/>
      </c>
      <c r="X217" s="11">
        <f>IF(M217=0,"",ROUND(W217/M217*100,1))</f>
        <v/>
      </c>
      <c r="Y217" t="inlineStr">
        <is>
          <t>GRUPO 3E</t>
        </is>
      </c>
      <c r="Z217" t="inlineStr">
        <is>
          <t>5341375-33.2026.8.09.0049</t>
        </is>
      </c>
      <c r="AA217" t="inlineStr">
        <is>
          <t>TJGO</t>
        </is>
      </c>
      <c r="AB217" t="inlineStr">
        <is>
          <t>stenius.com.br</t>
        </is>
      </c>
      <c r="AC217" t="inlineStr">
        <is>
          <t>MIGUEL DE SOUZA GULARTE</t>
        </is>
      </c>
      <c r="AD217" t="inlineStr">
        <is>
          <t>Presidente</t>
        </is>
      </c>
      <c r="AE217" t="inlineStr">
        <is>
          <t>(47) 3249-4100</t>
        </is>
      </c>
      <c r="AF217" t="inlineStr"/>
      <c r="AG217" t="inlineStr"/>
      <c r="AH217" t="inlineStr">
        <is>
          <t>SC</t>
        </is>
      </c>
      <c r="AI217" t="inlineStr">
        <is>
          <t>ITAJAI</t>
        </is>
      </c>
      <c r="AJ217" t="inlineStr">
        <is>
          <t>Abate de aves</t>
        </is>
      </c>
      <c r="AK217" t="inlineStr">
        <is>
          <t>DEMAIS</t>
        </is>
      </c>
      <c r="AL217" t="inlineStr">
        <is>
          <t>ATIVA</t>
        </is>
      </c>
      <c r="AM217" s="17" t="inlineStr">
        <is>
          <t>https://stenius.com.br/wp-content/uploads/2026/06/EDITAL-GRUPO-3E.pdf</t>
        </is>
      </c>
      <c r="AN217" s="18" t="inlineStr">
        <is>
          <t>p11 r11</t>
        </is>
      </c>
      <c r="AO217" s="18" t="inlineStr">
        <is>
          <t>p11: R$ 741.289,90</t>
        </is>
      </c>
      <c r="AP217" s="18" t="inlineStr">
        <is>
          <t>DEBTOR_LIST</t>
        </is>
      </c>
      <c r="AQ217" s="18" t="inlineStr">
        <is>
          <t>2026-06-22</t>
        </is>
      </c>
      <c r="AR217" s="18" t="inlineStr">
        <is>
          <t>OK_NO_TOTALS</t>
        </is>
      </c>
      <c r="AS217" s="18" t="inlineStr">
        <is>
          <t>ROWS:p11r11 UNRECONCILED_SOURCE</t>
        </is>
      </c>
      <c r="AT217" s="18" t="inlineStr">
        <is>
          <t>8e8832093a15</t>
        </is>
      </c>
    </row>
    <row r="218">
      <c r="A218" s="9" t="n">
        <v>217</v>
      </c>
      <c r="B218" s="9" t="inlineStr">
        <is>
          <t>NEW</t>
        </is>
      </c>
      <c r="C218" s="9" t="inlineStr"/>
      <c r="D218" s="9" t="n">
        <v>0</v>
      </c>
      <c r="E218" s="9" t="inlineStr"/>
      <c r="F218" s="9" t="inlineStr"/>
      <c r="G218" s="9" t="inlineStr"/>
      <c r="H218" s="9" t="inlineStr"/>
      <c r="I218" t="inlineStr">
        <is>
          <t>IMPROTEC COMERCIO DE MATERIAL CIRURGICO SA</t>
        </is>
      </c>
      <c r="J218" t="inlineStr">
        <is>
          <t>IMPROTEC COMERCIO DE MATERIAL CIRURGICO LTDA (</t>
        </is>
      </c>
      <c r="K218" t="inlineStr">
        <is>
          <t>94868742</t>
        </is>
      </c>
      <c r="L218" t="inlineStr">
        <is>
          <t>94868742000187</t>
        </is>
      </c>
      <c r="M218" s="10" t="n">
        <v>730000</v>
      </c>
      <c r="N218" t="n">
        <v>1</v>
      </c>
      <c r="O218" s="11" t="inlineStr">
        <is>
          <t>C</t>
        </is>
      </c>
      <c r="P218" s="11" t="inlineStr">
        <is>
          <t>ACTIVE</t>
        </is>
      </c>
      <c r="Q218" s="12" t="n">
        <v>44735</v>
      </c>
      <c r="R218" s="11">
        <f>IF(Q218="","",ROUND((TODAY()-Q218)/365.25,1))</f>
        <v/>
      </c>
      <c r="S218" s="13">
        <f>IFERROR(VLOOKUP(O218,Assumptions!$A$7:$F$11,2,FALSE),0.25)</f>
        <v/>
      </c>
      <c r="T218" s="14">
        <f>IF(O218="A",MAX(1,IFERROR(VLOOKUP(O218,Assumptions!$A$7:$F$11,3,FALSE),3)+IFERROR(VLOOKUP(O218,Assumptions!$A$7:$F$11,4,FALSE),8)/2-MAX(0,IF(R218="",0,R218)-IFERROR(VLOOKUP(O218,Assumptions!$A$7:$F$11,5,FALSE),1.5))),IFERROR(VLOOKUP(O218,Assumptions!$A$7:$F$11,5,FALSE),2.5)+IFERROR(VLOOKUP(O218,Assumptions!$A$7:$F$11,3,FALSE),3)+IFERROR(VLOOKUP(O218,Assumptions!$A$7:$F$11,4,FALSE),8)/2)</f>
        <v/>
      </c>
      <c r="U218" s="15">
        <f>M218*S218/(1+Assumptions!$B$3)^T218</f>
        <v/>
      </c>
      <c r="V218" s="11">
        <f>IF(M218=0,"",ROUND(U218/M218*100,1))</f>
        <v/>
      </c>
      <c r="W218" s="16">
        <f>U218*Assumptions!$B$4</f>
        <v/>
      </c>
      <c r="X218" s="11">
        <f>IF(M218=0,"",ROUND(W218/M218*100,1))</f>
        <v/>
      </c>
      <c r="Y218" t="inlineStr">
        <is>
          <t>ASSOCIAÇÃO DE CARIDADE SANTA CASA DO RIO GRANDE</t>
        </is>
      </c>
      <c r="Z218" t="inlineStr">
        <is>
          <t>5012306-16.2022.8.21.0023</t>
        </is>
      </c>
      <c r="AA218" t="inlineStr">
        <is>
          <t>TJRS</t>
        </is>
      </c>
      <c r="AB218" t="inlineStr">
        <is>
          <t>scalzilliaj.com.br</t>
        </is>
      </c>
      <c r="AC218" t="inlineStr">
        <is>
          <t>FRANCISCO JOSE DAMBROS</t>
        </is>
      </c>
      <c r="AD218" t="inlineStr">
        <is>
          <t>Diretor</t>
        </is>
      </c>
      <c r="AE218" t="inlineStr">
        <is>
          <t>(51) 3361-4560</t>
        </is>
      </c>
      <c r="AF218" t="inlineStr"/>
      <c r="AG218" t="inlineStr"/>
      <c r="AH218" t="inlineStr">
        <is>
          <t>RS</t>
        </is>
      </c>
      <c r="AI218" t="inlineStr">
        <is>
          <t>PORTO ALEGRE</t>
        </is>
      </c>
      <c r="AJ218" t="inlineStr">
        <is>
          <t>Comércio atacadista de instrumentos e materiais para uso médico, cirúrgico, hospitalar e de laboratórios</t>
        </is>
      </c>
      <c r="AK218" t="inlineStr">
        <is>
          <t>DEMAIS</t>
        </is>
      </c>
      <c r="AL218" t="inlineStr">
        <is>
          <t>ATIVA</t>
        </is>
      </c>
      <c r="AM218" s="17" t="inlineStr">
        <is>
          <t>https://scalzilliaj.com.br/sgc/download.php?file=files/processo_documento/processo_documento09120721032023_1_.pdf&amp;nome=15 - Edital do art. 7º, §2º e 53 da Lei 11.101/2005 (segunda lista de credores e recebimento do plano))</t>
        </is>
      </c>
      <c r="AN218" s="18" t="inlineStr">
        <is>
          <t>p27 r55</t>
        </is>
      </c>
      <c r="AO218" s="18" t="inlineStr">
        <is>
          <t>p27: R$ 730.000,00</t>
        </is>
      </c>
      <c r="AP218" s="18" t="inlineStr">
        <is>
          <t>AJ_LIST</t>
        </is>
      </c>
      <c r="AQ218" s="18" t="inlineStr">
        <is>
          <t>2023-03-21</t>
        </is>
      </c>
      <c r="AR218" s="18" t="inlineStr">
        <is>
          <t>OK_NO_TOTALS</t>
        </is>
      </c>
      <c r="AS218" s="18" t="inlineStr">
        <is>
          <t>ROWS:p27r55 UNRECONCILED_SOURCE</t>
        </is>
      </c>
      <c r="AT218" s="18" t="inlineStr">
        <is>
          <t>ebfb999b457c</t>
        </is>
      </c>
    </row>
    <row r="219">
      <c r="A219" s="9" t="n">
        <v>218</v>
      </c>
      <c r="B219" s="9" t="inlineStr">
        <is>
          <t>NEW</t>
        </is>
      </c>
      <c r="C219" s="9" t="inlineStr"/>
      <c r="D219" s="9" t="n">
        <v>0</v>
      </c>
      <c r="E219" s="9" t="inlineStr"/>
      <c r="F219" s="9" t="inlineStr"/>
      <c r="G219" s="9" t="inlineStr"/>
      <c r="H219" s="9" t="inlineStr"/>
      <c r="I219" t="inlineStr">
        <is>
          <t>SH INDUSTRIA TEXTIL LTDA.</t>
        </is>
      </c>
      <c r="J219" t="inlineStr">
        <is>
          <t>SH INDUSTRIA TEXTIL LTDA</t>
        </is>
      </c>
      <c r="K219" t="inlineStr">
        <is>
          <t>07790530</t>
        </is>
      </c>
      <c r="L219" t="inlineStr">
        <is>
          <t>07790530000120</t>
        </is>
      </c>
      <c r="M219" s="10" t="n">
        <v>723908</v>
      </c>
      <c r="N219" t="n">
        <v>1</v>
      </c>
      <c r="O219" s="11" t="inlineStr">
        <is>
          <t>C</t>
        </is>
      </c>
      <c r="P219" s="11" t="inlineStr">
        <is>
          <t>ACTIVE</t>
        </is>
      </c>
      <c r="Q219" s="12" t="n">
        <v>44571</v>
      </c>
      <c r="R219" s="11">
        <f>IF(Q219="","",ROUND((TODAY()-Q219)/365.25,1))</f>
        <v/>
      </c>
      <c r="S219" s="13">
        <f>IFERROR(VLOOKUP(O219,Assumptions!$A$7:$F$11,2,FALSE),0.25)</f>
        <v/>
      </c>
      <c r="T219" s="14">
        <f>IF(O219="A",MAX(1,IFERROR(VLOOKUP(O219,Assumptions!$A$7:$F$11,3,FALSE),3)+IFERROR(VLOOKUP(O219,Assumptions!$A$7:$F$11,4,FALSE),8)/2-MAX(0,IF(R219="",0,R219)-IFERROR(VLOOKUP(O219,Assumptions!$A$7:$F$11,5,FALSE),1.5))),IFERROR(VLOOKUP(O219,Assumptions!$A$7:$F$11,5,FALSE),2.5)+IFERROR(VLOOKUP(O219,Assumptions!$A$7:$F$11,3,FALSE),3)+IFERROR(VLOOKUP(O219,Assumptions!$A$7:$F$11,4,FALSE),8)/2)</f>
        <v/>
      </c>
      <c r="U219" s="15">
        <f>M219*S219/(1+Assumptions!$B$3)^T219</f>
        <v/>
      </c>
      <c r="V219" s="11">
        <f>IF(M219=0,"",ROUND(U219/M219*100,1))</f>
        <v/>
      </c>
      <c r="W219" s="16">
        <f>U219*Assumptions!$B$4</f>
        <v/>
      </c>
      <c r="X219" s="11">
        <f>IF(M219=0,"",ROUND(W219/M219*100,1))</f>
        <v/>
      </c>
      <c r="Y219" t="inlineStr">
        <is>
          <t>GRUPO CATTAN</t>
        </is>
      </c>
      <c r="Z219" t="inlineStr">
        <is>
          <t>0002484-82.2022.8.17.2001</t>
        </is>
      </c>
      <c r="AA219" t="inlineStr">
        <is>
          <t>TJPE</t>
        </is>
      </c>
      <c r="AB219" t="inlineStr">
        <is>
          <t>lrflideres.com.br</t>
        </is>
      </c>
      <c r="AC219" t="inlineStr">
        <is>
          <t>IVANILDE CRISTINA DE PAULA HAMMES</t>
        </is>
      </c>
      <c r="AD219" t="inlineStr">
        <is>
          <t>Sócio-Administrador</t>
        </is>
      </c>
      <c r="AE219" t="inlineStr">
        <is>
          <t>(24) 2103-9003</t>
        </is>
      </c>
      <c r="AF219" t="inlineStr"/>
      <c r="AG219" t="inlineStr"/>
      <c r="AH219" t="inlineStr">
        <is>
          <t>RJ</t>
        </is>
      </c>
      <c r="AI219" t="inlineStr">
        <is>
          <t>PETROPOLIS</t>
        </is>
      </c>
      <c r="AJ219" t="inlineStr">
        <is>
          <t>Fabricação de tecidos de malha</t>
        </is>
      </c>
      <c r="AK219" t="inlineStr">
        <is>
          <t>DEMAIS</t>
        </is>
      </c>
      <c r="AL219" t="inlineStr">
        <is>
          <t>ATIVA</t>
        </is>
      </c>
      <c r="AM219" s="17" t="inlineStr">
        <is>
          <t>https://lrflideres.com.br/wp-content/plugins/download-attachments/includes/download.php?id=4023</t>
        </is>
      </c>
      <c r="AN219" s="18" t="inlineStr">
        <is>
          <t>p4 r91</t>
        </is>
      </c>
      <c r="AO219" s="18" t="inlineStr">
        <is>
          <t>p4: R$ 723.908,00</t>
        </is>
      </c>
      <c r="AP219" s="18" t="inlineStr">
        <is>
          <t>DEBTOR_LIST</t>
        </is>
      </c>
      <c r="AQ219" s="18" t="inlineStr"/>
      <c r="AR219" s="18" t="inlineStr">
        <is>
          <t>QUARANTINED</t>
        </is>
      </c>
      <c r="AS219" s="18" t="inlineStr">
        <is>
          <t>PARTIAL_DOC_CLASS_III_RECONCILED ROWS:p4r91</t>
        </is>
      </c>
      <c r="AT219" s="18" t="inlineStr">
        <is>
          <t>f3b6182e3aa2</t>
        </is>
      </c>
    </row>
    <row r="220">
      <c r="A220" s="9" t="n">
        <v>219</v>
      </c>
      <c r="B220" s="9" t="inlineStr">
        <is>
          <t>NEW</t>
        </is>
      </c>
      <c r="C220" s="9" t="inlineStr"/>
      <c r="D220" s="9" t="n">
        <v>0</v>
      </c>
      <c r="E220" s="9" t="inlineStr"/>
      <c r="F220" s="9" t="inlineStr"/>
      <c r="G220" s="9" t="inlineStr"/>
      <c r="H220" s="9" t="inlineStr"/>
      <c r="I220" t="inlineStr">
        <is>
          <t>RDF CONSULTORIA EMPRESARIAL LTDA</t>
        </is>
      </c>
      <c r="J220" t="inlineStr">
        <is>
          <t>RDF CONSULTORIA EMPRESARIAL LTDA (</t>
        </is>
      </c>
      <c r="K220" t="inlineStr">
        <is>
          <t>19362088</t>
        </is>
      </c>
      <c r="L220" t="inlineStr">
        <is>
          <t>19362088000110</t>
        </is>
      </c>
      <c r="M220" s="10" t="n">
        <v>709622.12</v>
      </c>
      <c r="N220" t="n">
        <v>1</v>
      </c>
      <c r="O220" s="11" t="inlineStr">
        <is>
          <t>C</t>
        </is>
      </c>
      <c r="P220" s="11" t="inlineStr">
        <is>
          <t>ACTIVE</t>
        </is>
      </c>
      <c r="Q220" s="12" t="n">
        <v>44354</v>
      </c>
      <c r="R220" s="11">
        <f>IF(Q220="","",ROUND((TODAY()-Q220)/365.25,1))</f>
        <v/>
      </c>
      <c r="S220" s="13">
        <f>IFERROR(VLOOKUP(O220,Assumptions!$A$7:$F$11,2,FALSE),0.25)</f>
        <v/>
      </c>
      <c r="T220" s="14">
        <f>IF(O220="A",MAX(1,IFERROR(VLOOKUP(O220,Assumptions!$A$7:$F$11,3,FALSE),3)+IFERROR(VLOOKUP(O220,Assumptions!$A$7:$F$11,4,FALSE),8)/2-MAX(0,IF(R220="",0,R220)-IFERROR(VLOOKUP(O220,Assumptions!$A$7:$F$11,5,FALSE),1.5))),IFERROR(VLOOKUP(O220,Assumptions!$A$7:$F$11,5,FALSE),2.5)+IFERROR(VLOOKUP(O220,Assumptions!$A$7:$F$11,3,FALSE),3)+IFERROR(VLOOKUP(O220,Assumptions!$A$7:$F$11,4,FALSE),8)/2)</f>
        <v/>
      </c>
      <c r="U220" s="15">
        <f>M220*S220/(1+Assumptions!$B$3)^T220</f>
        <v/>
      </c>
      <c r="V220" s="11">
        <f>IF(M220=0,"",ROUND(U220/M220*100,1))</f>
        <v/>
      </c>
      <c r="W220" s="16">
        <f>U220*Assumptions!$B$4</f>
        <v/>
      </c>
      <c r="X220" s="11">
        <f>IF(M220=0,"",ROUND(W220/M220*100,1))</f>
        <v/>
      </c>
      <c r="Y220" t="inlineStr">
        <is>
          <t>VECTOR INDÚSTRIA DE PRODUTOS METALÚRGICOS LTDA.</t>
        </is>
      </c>
      <c r="Z220" t="inlineStr">
        <is>
          <t>5014104-85.2021.8.21.0010</t>
        </is>
      </c>
      <c r="AA220" t="inlineStr">
        <is>
          <t>TJRS</t>
        </is>
      </c>
      <c r="AB220" t="inlineStr">
        <is>
          <t>scalzilliaj.com.br</t>
        </is>
      </c>
      <c r="AC220" t="inlineStr">
        <is>
          <t>EDUARDO SCHULTZE BRAESKE ROTUNNO</t>
        </is>
      </c>
      <c r="AD220" t="inlineStr">
        <is>
          <t>Sócio-Administrador</t>
        </is>
      </c>
      <c r="AE220" t="inlineStr">
        <is>
          <t>(51) 3377-9787</t>
        </is>
      </c>
      <c r="AF220" t="inlineStr"/>
      <c r="AG220" t="inlineStr"/>
      <c r="AH220" t="inlineStr">
        <is>
          <t>RS</t>
        </is>
      </c>
      <c r="AI220" t="inlineStr">
        <is>
          <t>PORTO ALEGRE</t>
        </is>
      </c>
      <c r="AJ220" t="inlineStr">
        <is>
          <t>Atividades de consultoria em gestão empresarial, exceto consultoria técnica específica</t>
        </is>
      </c>
      <c r="AK220" t="inlineStr">
        <is>
          <t>DEMAIS</t>
        </is>
      </c>
      <c r="AL220" t="inlineStr">
        <is>
          <t>ATIVA</t>
        </is>
      </c>
      <c r="AM220" s="17" t="inlineStr">
        <is>
          <t>https://scalzilliaj.com.br/sgc/download.php?file=files/processo_documento/processo_documento15513401112022_1_.pdf&amp;nome=15 - Edital do art. 7º, §2º (segunda lista de credores) e do art. 53 da Lei 11.101/2005 (recebimento do plano)</t>
        </is>
      </c>
      <c r="AN220" s="18" t="inlineStr">
        <is>
          <t>p9 r12</t>
        </is>
      </c>
      <c r="AO220" s="18" t="inlineStr">
        <is>
          <t>p9: R$ 709.622,12</t>
        </is>
      </c>
      <c r="AP220" s="18" t="inlineStr">
        <is>
          <t>AJ_LIST</t>
        </is>
      </c>
      <c r="AQ220" s="18" t="inlineStr">
        <is>
          <t>2022-11-01</t>
        </is>
      </c>
      <c r="AR220" s="18" t="inlineStr">
        <is>
          <t>OK_NO_TOTALS</t>
        </is>
      </c>
      <c r="AS220" s="18" t="inlineStr">
        <is>
          <t>ROWS:p9r12 UNRECONCILED_SOURCE</t>
        </is>
      </c>
      <c r="AT220" s="18" t="inlineStr">
        <is>
          <t>84c586360a66</t>
        </is>
      </c>
    </row>
    <row r="221">
      <c r="A221" s="9" t="n">
        <v>220</v>
      </c>
      <c r="B221" s="9" t="inlineStr">
        <is>
          <t>NEW</t>
        </is>
      </c>
      <c r="C221" s="9" t="inlineStr"/>
      <c r="D221" s="9" t="n">
        <v>0</v>
      </c>
      <c r="E221" s="9" t="inlineStr"/>
      <c r="F221" s="9" t="inlineStr"/>
      <c r="G221" s="9" t="inlineStr"/>
      <c r="H221" s="9" t="inlineStr"/>
      <c r="I221" t="inlineStr">
        <is>
          <t>CG LOCACAO DE GUINDASTES LTDA.</t>
        </is>
      </c>
      <c r="J221" t="inlineStr">
        <is>
          <t>CG Locação de Guindastes LTDA</t>
        </is>
      </c>
      <c r="K221" t="inlineStr">
        <is>
          <t>08226396</t>
        </is>
      </c>
      <c r="L221" t="inlineStr">
        <is>
          <t>08226396000100</t>
        </is>
      </c>
      <c r="M221" s="10" t="n">
        <v>706167.48</v>
      </c>
      <c r="N221" t="n">
        <v>1</v>
      </c>
      <c r="O221" s="11" t="inlineStr">
        <is>
          <t>B</t>
        </is>
      </c>
      <c r="P221" s="11" t="inlineStr"/>
      <c r="Q221" s="12" t="n">
        <v>45756</v>
      </c>
      <c r="R221" s="11">
        <f>IF(Q221="","",ROUND((TODAY()-Q221)/365.25,1))</f>
        <v/>
      </c>
      <c r="S221" s="13">
        <f>IFERROR(VLOOKUP(O221,Assumptions!$A$7:$F$11,2,FALSE),0.25)</f>
        <v/>
      </c>
      <c r="T221" s="14">
        <f>IF(O221="A",MAX(1,IFERROR(VLOOKUP(O221,Assumptions!$A$7:$F$11,3,FALSE),3)+IFERROR(VLOOKUP(O221,Assumptions!$A$7:$F$11,4,FALSE),8)/2-MAX(0,IF(R221="",0,R221)-IFERROR(VLOOKUP(O221,Assumptions!$A$7:$F$11,5,FALSE),1.5))),IFERROR(VLOOKUP(O221,Assumptions!$A$7:$F$11,5,FALSE),2.5)+IFERROR(VLOOKUP(O221,Assumptions!$A$7:$F$11,3,FALSE),3)+IFERROR(VLOOKUP(O221,Assumptions!$A$7:$F$11,4,FALSE),8)/2)</f>
        <v/>
      </c>
      <c r="U221" s="15">
        <f>M221*S221/(1+Assumptions!$B$3)^T221</f>
        <v/>
      </c>
      <c r="V221" s="11">
        <f>IF(M221=0,"",ROUND(U221/M221*100,1))</f>
        <v/>
      </c>
      <c r="W221" s="16">
        <f>U221*Assumptions!$B$4</f>
        <v/>
      </c>
      <c r="X221" s="11">
        <f>IF(M221=0,"",ROUND(W221/M221*100,1))</f>
        <v/>
      </c>
      <c r="Y221" t="inlineStr">
        <is>
          <t>GRUPO EGESA (EGESA ENG S.A, EGESUR PART E EMP S.A, MATRIX INFRA LTDA, BEMVIVER ENG AMBIENTAL E SERV LTDA, DKF CONST E EMP LTDA, EGEPEL LTDA, ETR ASSESSORIA EMP E PART LTDA, MVT ENG E SERV LTDA, PARQUES DO VALE LTDA, ELMO RIBEIRO E ANA RIBEIRO)</t>
        </is>
      </c>
      <c r="Z221" t="inlineStr">
        <is>
          <t>5088952-81.2025.8.13.0024</t>
        </is>
      </c>
      <c r="AA221" t="inlineStr">
        <is>
          <t>TJMG</t>
        </is>
      </c>
      <c r="AB221" t="inlineStr">
        <is>
          <t>scalzilliaj.com.br</t>
        </is>
      </c>
      <c r="AC221" t="inlineStr">
        <is>
          <t>ANDREA LOUCATELLI CARRAMENHA</t>
        </is>
      </c>
      <c r="AD221" t="inlineStr">
        <is>
          <t>Sócio-Administrador</t>
        </is>
      </c>
      <c r="AE221" t="inlineStr">
        <is>
          <t>(11) 6916-3000</t>
        </is>
      </c>
      <c r="AF221" t="inlineStr"/>
      <c r="AG221" t="inlineStr"/>
      <c r="AH221" t="inlineStr">
        <is>
          <t>SP</t>
        </is>
      </c>
      <c r="AI221" t="inlineStr">
        <is>
          <t>SAO PAULO</t>
        </is>
      </c>
      <c r="AJ221" t="inlineStr">
        <is>
          <t>Aluguel de máquinas e equipamentos para construção sem operador, exceto andaimes</t>
        </is>
      </c>
      <c r="AK221" t="inlineStr">
        <is>
          <t>DEMAIS</t>
        </is>
      </c>
      <c r="AL221" t="inlineStr">
        <is>
          <t>ATIVA</t>
        </is>
      </c>
      <c r="AM221" s="17" t="inlineStr">
        <is>
          <t>https://scalzilliaj.com.br/sgc/download.php?file=files/processo_documento/processo_documento09514021082025_1_.pdf&amp;nome=04 - Relação de credores das Recuperandas</t>
        </is>
      </c>
      <c r="AN221" s="18" t="inlineStr">
        <is>
          <t>p64 r6</t>
        </is>
      </c>
      <c r="AO221" s="18" t="inlineStr">
        <is>
          <t>p64: R$ 706.167,48</t>
        </is>
      </c>
      <c r="AP221" s="18" t="inlineStr">
        <is>
          <t>DEBTOR_LIST</t>
        </is>
      </c>
      <c r="AQ221" s="18" t="inlineStr"/>
      <c r="AR221" s="18" t="inlineStr">
        <is>
          <t>OK</t>
        </is>
      </c>
      <c r="AS221" s="18" t="inlineStr">
        <is>
          <t>ROWS:p64r6 VALUE_COL:Valor_Atualizado CASE_NUMBER_CORRECTED CASE_FROM_PORTAL</t>
        </is>
      </c>
      <c r="AT221" s="18" t="inlineStr">
        <is>
          <t>24ed98480a57</t>
        </is>
      </c>
    </row>
    <row r="222">
      <c r="A222" s="9" t="n">
        <v>221</v>
      </c>
      <c r="B222" s="9" t="inlineStr">
        <is>
          <t>NEW</t>
        </is>
      </c>
      <c r="C222" s="9" t="inlineStr"/>
      <c r="D222" s="9" t="n">
        <v>0</v>
      </c>
      <c r="E222" s="9" t="inlineStr"/>
      <c r="F222" s="9" t="inlineStr"/>
      <c r="G222" s="9" t="inlineStr"/>
      <c r="H222" s="9" t="inlineStr"/>
      <c r="I222" t="inlineStr">
        <is>
          <t>CHARRUA COMERCIAL AGRICOLA LTDA</t>
        </is>
      </c>
      <c r="J222" t="inlineStr">
        <is>
          <t>Charrua</t>
        </is>
      </c>
      <c r="K222" t="inlineStr">
        <is>
          <t>37031044</t>
        </is>
      </c>
      <c r="L222" t="inlineStr">
        <is>
          <t>37031044001241</t>
        </is>
      </c>
      <c r="M222" s="10" t="n">
        <v>704080</v>
      </c>
      <c r="N222" t="n">
        <v>1</v>
      </c>
      <c r="O222" s="11" t="inlineStr">
        <is>
          <t>B</t>
        </is>
      </c>
      <c r="P222" s="11" t="inlineStr">
        <is>
          <t>ACTIVE</t>
        </is>
      </c>
      <c r="Q222" s="12" t="n">
        <v>46130</v>
      </c>
      <c r="R222" s="11">
        <f>IF(Q222="","",ROUND((TODAY()-Q222)/365.25,1))</f>
        <v/>
      </c>
      <c r="S222" s="13">
        <f>IFERROR(VLOOKUP(O222,Assumptions!$A$7:$F$11,2,FALSE),0.25)</f>
        <v/>
      </c>
      <c r="T222" s="14">
        <f>IF(O222="A",MAX(1,IFERROR(VLOOKUP(O222,Assumptions!$A$7:$F$11,3,FALSE),3)+IFERROR(VLOOKUP(O222,Assumptions!$A$7:$F$11,4,FALSE),8)/2-MAX(0,IF(R222="",0,R222)-IFERROR(VLOOKUP(O222,Assumptions!$A$7:$F$11,5,FALSE),1.5))),IFERROR(VLOOKUP(O222,Assumptions!$A$7:$F$11,5,FALSE),2.5)+IFERROR(VLOOKUP(O222,Assumptions!$A$7:$F$11,3,FALSE),3)+IFERROR(VLOOKUP(O222,Assumptions!$A$7:$F$11,4,FALSE),8)/2)</f>
        <v/>
      </c>
      <c r="U222" s="15">
        <f>M222*S222/(1+Assumptions!$B$3)^T222</f>
        <v/>
      </c>
      <c r="V222" s="11">
        <f>IF(M222=0,"",ROUND(U222/M222*100,1))</f>
        <v/>
      </c>
      <c r="W222" s="16">
        <f>U222*Assumptions!$B$4</f>
        <v/>
      </c>
      <c r="X222" s="11">
        <f>IF(M222=0,"",ROUND(W222/M222*100,1))</f>
        <v/>
      </c>
      <c r="Y222" t="inlineStr">
        <is>
          <t>GRUPO 3E</t>
        </is>
      </c>
      <c r="Z222" t="inlineStr">
        <is>
          <t>5341375-33.2026.8.09.0049</t>
        </is>
      </c>
      <c r="AA222" t="inlineStr">
        <is>
          <t>TJGO</t>
        </is>
      </c>
      <c r="AB222" t="inlineStr">
        <is>
          <t>stenius.com.br</t>
        </is>
      </c>
      <c r="AC222" t="inlineStr">
        <is>
          <t>JOEL ANDRE PES</t>
        </is>
      </c>
      <c r="AD222" t="inlineStr">
        <is>
          <t>Sócio-Administrador</t>
        </is>
      </c>
      <c r="AE222" t="inlineStr">
        <is>
          <t>(54) 3311-2615</t>
        </is>
      </c>
      <c r="AF222" t="inlineStr"/>
      <c r="AG222" t="inlineStr"/>
      <c r="AH222" t="inlineStr">
        <is>
          <t>GO</t>
        </is>
      </c>
      <c r="AI222" t="inlineStr">
        <is>
          <t>FORMOSA</t>
        </is>
      </c>
      <c r="AJ222" t="inlineStr">
        <is>
          <t>Comércio atacadista de defensivos agrícolas, adubos, fertilizantes e corretivos do solo</t>
        </is>
      </c>
      <c r="AK222" t="inlineStr">
        <is>
          <t>DEMAIS</t>
        </is>
      </c>
      <c r="AL222" t="inlineStr">
        <is>
          <t>ATIVA</t>
        </is>
      </c>
      <c r="AM222" s="17" t="inlineStr">
        <is>
          <t>https://stenius.com.br/wp-content/uploads/2026/06/EDITAL-GRUPO-3E.pdf</t>
        </is>
      </c>
      <c r="AN222" s="18" t="inlineStr">
        <is>
          <t>p11 r59</t>
        </is>
      </c>
      <c r="AO222" s="18" t="inlineStr">
        <is>
          <t>p11: R$ 704.080,00</t>
        </is>
      </c>
      <c r="AP222" s="18" t="inlineStr">
        <is>
          <t>DEBTOR_LIST</t>
        </is>
      </c>
      <c r="AQ222" s="18" t="inlineStr">
        <is>
          <t>2026-06-22</t>
        </is>
      </c>
      <c r="AR222" s="18" t="inlineStr">
        <is>
          <t>OK_NO_TOTALS</t>
        </is>
      </c>
      <c r="AS222" s="18" t="inlineStr">
        <is>
          <t>ROWS:p11r59 UNRECONCILED_SOURCE</t>
        </is>
      </c>
      <c r="AT222" s="18" t="inlineStr">
        <is>
          <t>8e8832093a15</t>
        </is>
      </c>
    </row>
    <row r="223">
      <c r="A223" s="9" t="n">
        <v>222</v>
      </c>
      <c r="B223" s="9" t="inlineStr">
        <is>
          <t>NEW</t>
        </is>
      </c>
      <c r="C223" s="9" t="inlineStr"/>
      <c r="D223" s="9" t="n">
        <v>0</v>
      </c>
      <c r="E223" s="9" t="inlineStr"/>
      <c r="F223" s="9" t="inlineStr"/>
      <c r="G223" s="9" t="inlineStr"/>
      <c r="H223" s="9" t="inlineStr"/>
      <c r="I223" t="inlineStr">
        <is>
          <t>GE HEALTHCARE DO BRASIL COMERCIO E SERVICOS PARA EQUIPAMENTOS MEDICO-HOSPITALARES LTDA</t>
        </is>
      </c>
      <c r="J223" t="inlineStr">
        <is>
          <t>GE HEALTHCARE DO BRASIL COM E (</t>
        </is>
      </c>
      <c r="K223" t="inlineStr">
        <is>
          <t>00029372</t>
        </is>
      </c>
      <c r="L223" t="inlineStr">
        <is>
          <t>00029372000221</t>
        </is>
      </c>
      <c r="M223" s="10" t="n">
        <v>693357.04</v>
      </c>
      <c r="N223" t="n">
        <v>1</v>
      </c>
      <c r="O223" s="11" t="inlineStr">
        <is>
          <t>C</t>
        </is>
      </c>
      <c r="P223" s="11" t="inlineStr">
        <is>
          <t>ACTIVE</t>
        </is>
      </c>
      <c r="Q223" s="12" t="n">
        <v>44735</v>
      </c>
      <c r="R223" s="11">
        <f>IF(Q223="","",ROUND((TODAY()-Q223)/365.25,1))</f>
        <v/>
      </c>
      <c r="S223" s="13">
        <f>IFERROR(VLOOKUP(O223,Assumptions!$A$7:$F$11,2,FALSE),0.25)</f>
        <v/>
      </c>
      <c r="T223" s="14">
        <f>IF(O223="A",MAX(1,IFERROR(VLOOKUP(O223,Assumptions!$A$7:$F$11,3,FALSE),3)+IFERROR(VLOOKUP(O223,Assumptions!$A$7:$F$11,4,FALSE),8)/2-MAX(0,IF(R223="",0,R223)-IFERROR(VLOOKUP(O223,Assumptions!$A$7:$F$11,5,FALSE),1.5))),IFERROR(VLOOKUP(O223,Assumptions!$A$7:$F$11,5,FALSE),2.5)+IFERROR(VLOOKUP(O223,Assumptions!$A$7:$F$11,3,FALSE),3)+IFERROR(VLOOKUP(O223,Assumptions!$A$7:$F$11,4,FALSE),8)/2)</f>
        <v/>
      </c>
      <c r="U223" s="15">
        <f>M223*S223/(1+Assumptions!$B$3)^T223</f>
        <v/>
      </c>
      <c r="V223" s="11">
        <f>IF(M223=0,"",ROUND(U223/M223*100,1))</f>
        <v/>
      </c>
      <c r="W223" s="16">
        <f>U223*Assumptions!$B$4</f>
        <v/>
      </c>
      <c r="X223" s="11">
        <f>IF(M223=0,"",ROUND(W223/M223*100,1))</f>
        <v/>
      </c>
      <c r="Y223" t="inlineStr">
        <is>
          <t>ASSOCIAÇÃO DE CARIDADE SANTA CASA DO RIO GRANDE</t>
        </is>
      </c>
      <c r="Z223" t="inlineStr">
        <is>
          <t>5012306-16.2022.8.21.0023</t>
        </is>
      </c>
      <c r="AA223" t="inlineStr">
        <is>
          <t>TJRS</t>
        </is>
      </c>
      <c r="AB223" t="inlineStr">
        <is>
          <t>scalzilliaj.com.br</t>
        </is>
      </c>
      <c r="AC223" t="inlineStr">
        <is>
          <t>ANTONIO SABRE NASSER FILHO</t>
        </is>
      </c>
      <c r="AD223" t="inlineStr">
        <is>
          <t>Administrador</t>
        </is>
      </c>
      <c r="AE223" t="inlineStr">
        <is>
          <t>(11) 3067-8181</t>
        </is>
      </c>
      <c r="AF223" t="inlineStr">
        <is>
          <t>(11) 3067-8095</t>
        </is>
      </c>
      <c r="AG223" t="inlineStr"/>
      <c r="AH223" t="inlineStr">
        <is>
          <t>SP</t>
        </is>
      </c>
      <c r="AI223" t="inlineStr">
        <is>
          <t>SAO PAULO</t>
        </is>
      </c>
      <c r="AJ223" t="inlineStr">
        <is>
          <t>Comércio atacadista de máquinas, aparelhos e equipamentos para uso odonto-médico-hospitalar; partes e peças</t>
        </is>
      </c>
      <c r="AK223" t="inlineStr">
        <is>
          <t>DEMAIS</t>
        </is>
      </c>
      <c r="AL223" t="inlineStr">
        <is>
          <t>ATIVA</t>
        </is>
      </c>
      <c r="AM223" s="17" t="inlineStr">
        <is>
          <t>https://scalzilliaj.com.br/sgc/download.php?file=files/processo_documento/processo_documento09120721032023_1_.pdf&amp;nome=15 - Edital do art. 7º, §2º e 53 da Lei 11.101/2005 (segunda lista de credores e recebimento do plano))</t>
        </is>
      </c>
      <c r="AN223" s="18" t="inlineStr">
        <is>
          <t>p27 r39</t>
        </is>
      </c>
      <c r="AO223" s="18" t="inlineStr">
        <is>
          <t>p27: R$ 693.357,04</t>
        </is>
      </c>
      <c r="AP223" s="18" t="inlineStr">
        <is>
          <t>AJ_LIST</t>
        </is>
      </c>
      <c r="AQ223" s="18" t="inlineStr">
        <is>
          <t>2023-03-21</t>
        </is>
      </c>
      <c r="AR223" s="18" t="inlineStr">
        <is>
          <t>OK_NO_TOTALS</t>
        </is>
      </c>
      <c r="AS223" s="18" t="inlineStr">
        <is>
          <t>ROWS:p27r39 UNRECONCILED_SOURCE</t>
        </is>
      </c>
      <c r="AT223" s="18" t="inlineStr">
        <is>
          <t>ebfb999b457c</t>
        </is>
      </c>
    </row>
    <row r="224">
      <c r="A224" s="9" t="n">
        <v>223</v>
      </c>
      <c r="B224" s="9" t="inlineStr">
        <is>
          <t>NEW</t>
        </is>
      </c>
      <c r="C224" s="9" t="inlineStr"/>
      <c r="D224" s="9" t="n">
        <v>0</v>
      </c>
      <c r="E224" s="9" t="inlineStr"/>
      <c r="F224" s="9" t="inlineStr"/>
      <c r="G224" s="9" t="inlineStr"/>
      <c r="H224" s="9" t="inlineStr"/>
      <c r="I224" t="inlineStr">
        <is>
          <t>CAMPO BOM INSUMOS AGRICOLAS LTDA</t>
        </is>
      </c>
      <c r="J224" t="inlineStr">
        <is>
          <t>CAMPO BOM INSUMOS AGRÍCOLAS LTDA</t>
        </is>
      </c>
      <c r="K224" t="inlineStr">
        <is>
          <t>08078241</t>
        </is>
      </c>
      <c r="L224" t="inlineStr">
        <is>
          <t>08078241000165</t>
        </is>
      </c>
      <c r="M224" s="10" t="n">
        <v>691120</v>
      </c>
      <c r="N224" t="n">
        <v>1</v>
      </c>
      <c r="O224" s="11" t="inlineStr">
        <is>
          <t>B</t>
        </is>
      </c>
      <c r="P224" s="11" t="inlineStr">
        <is>
          <t>ACTIVE</t>
        </is>
      </c>
      <c r="Q224" s="12" t="n">
        <v>46030</v>
      </c>
      <c r="R224" s="11">
        <f>IF(Q224="","",ROUND((TODAY()-Q224)/365.25,1))</f>
        <v/>
      </c>
      <c r="S224" s="13">
        <f>IFERROR(VLOOKUP(O224,Assumptions!$A$7:$F$11,2,FALSE),0.25)</f>
        <v/>
      </c>
      <c r="T224" s="14">
        <f>IF(O224="A",MAX(1,IFERROR(VLOOKUP(O224,Assumptions!$A$7:$F$11,3,FALSE),3)+IFERROR(VLOOKUP(O224,Assumptions!$A$7:$F$11,4,FALSE),8)/2-MAX(0,IF(R224="",0,R224)-IFERROR(VLOOKUP(O224,Assumptions!$A$7:$F$11,5,FALSE),1.5))),IFERROR(VLOOKUP(O224,Assumptions!$A$7:$F$11,5,FALSE),2.5)+IFERROR(VLOOKUP(O224,Assumptions!$A$7:$F$11,3,FALSE),3)+IFERROR(VLOOKUP(O224,Assumptions!$A$7:$F$11,4,FALSE),8)/2)</f>
        <v/>
      </c>
      <c r="U224" s="15">
        <f>M224*S224/(1+Assumptions!$B$3)^T224</f>
        <v/>
      </c>
      <c r="V224" s="11">
        <f>IF(M224=0,"",ROUND(U224/M224*100,1))</f>
        <v/>
      </c>
      <c r="W224" s="16">
        <f>U224*Assumptions!$B$4</f>
        <v/>
      </c>
      <c r="X224" s="11">
        <f>IF(M224=0,"",ROUND(W224/M224*100,1))</f>
        <v/>
      </c>
      <c r="Y224" t="inlineStr">
        <is>
          <t>GRUPO FERRARI (ALEX, ALEXANDRE , ANDRIELLE FERRARI MANTELLI, ARCIR LUIS, ERICA SANTOS ASSIS LIMA, FERNANDO MANTELLI, IDELSI, TALITA LEITE SILVA, AGROPECUARIA FERRARI LTDA E FERRARI ARMAZENS GERAIS)</t>
        </is>
      </c>
      <c r="Z224" t="inlineStr">
        <is>
          <t>5011369-81.2026.8.09.0093</t>
        </is>
      </c>
      <c r="AA224" t="inlineStr">
        <is>
          <t>TJGO</t>
        </is>
      </c>
      <c r="AB224" t="inlineStr">
        <is>
          <t>scalzilliaj.com.br</t>
        </is>
      </c>
      <c r="AC224" t="inlineStr">
        <is>
          <t>ANDREIA PATRICIA MAGGIONI MOURA</t>
        </is>
      </c>
      <c r="AD224" t="inlineStr">
        <is>
          <t>Sócio-Administrador</t>
        </is>
      </c>
      <c r="AE224" t="inlineStr">
        <is>
          <t>(64) 3636-2178</t>
        </is>
      </c>
      <c r="AF224" t="inlineStr"/>
      <c r="AG224" t="inlineStr"/>
      <c r="AH224" t="inlineStr">
        <is>
          <t>GO</t>
        </is>
      </c>
      <c r="AI224" t="inlineStr">
        <is>
          <t>JATAI</t>
        </is>
      </c>
      <c r="AJ224" t="inlineStr">
        <is>
          <t>Comércio atacadista de defensivos agrícolas, adubos, fertilizantes e corretivos do solo</t>
        </is>
      </c>
      <c r="AK224" t="inlineStr">
        <is>
          <t>DEMAIS</t>
        </is>
      </c>
      <c r="AL224" t="inlineStr">
        <is>
          <t>ATIVA</t>
        </is>
      </c>
      <c r="AM224" s="17" t="inlineStr">
        <is>
          <t>https://scalzilliaj.com.br/sgc/download.php?file=files/processo_documento/processo_documento11421222052026_1_.pdf&amp;nome=08. Lista de credores do edital do art. 52, §1º da LREF</t>
        </is>
      </c>
      <c r="AN224" s="18" t="inlineStr">
        <is>
          <t>p2 r2</t>
        </is>
      </c>
      <c r="AO224" s="18" t="inlineStr">
        <is>
          <t>p2: R$ 691.120,00</t>
        </is>
      </c>
      <c r="AP224" s="18" t="inlineStr">
        <is>
          <t>UNKNOWN</t>
        </is>
      </c>
      <c r="AQ224" s="18" t="inlineStr"/>
      <c r="AR224" s="18" t="inlineStr">
        <is>
          <t>OK_NO_TOTALS</t>
        </is>
      </c>
      <c r="AS224" s="18" t="inlineStr">
        <is>
          <t>ROWS:p2r2 UNRECONCILED_SOURCE</t>
        </is>
      </c>
      <c r="AT224" s="18" t="inlineStr">
        <is>
          <t>c536a2fa4da3</t>
        </is>
      </c>
    </row>
    <row r="225">
      <c r="A225" s="9" t="n">
        <v>224</v>
      </c>
      <c r="B225" s="9" t="inlineStr">
        <is>
          <t>NEW</t>
        </is>
      </c>
      <c r="C225" s="9" t="inlineStr"/>
      <c r="D225" s="9" t="n">
        <v>0</v>
      </c>
      <c r="E225" s="9" t="inlineStr"/>
      <c r="F225" s="9" t="inlineStr"/>
      <c r="G225" s="9" t="inlineStr"/>
      <c r="H225" s="9" t="inlineStr"/>
      <c r="I225" t="inlineStr">
        <is>
          <t>COOPERATIVA UNIMED CENTRAL DE COOPERATIVAS UNIMED DO RIO GRANDE DO SUL LTDA</t>
        </is>
      </c>
      <c r="J225" t="inlineStr">
        <is>
          <t>COOP.CENT.COOPERATIVAS UNIMED (</t>
        </is>
      </c>
      <c r="K225" t="inlineStr">
        <is>
          <t>02494715</t>
        </is>
      </c>
      <c r="L225" t="inlineStr">
        <is>
          <t>02494715000173</t>
        </is>
      </c>
      <c r="M225" s="10" t="n">
        <v>686964.09</v>
      </c>
      <c r="N225" t="n">
        <v>1</v>
      </c>
      <c r="O225" s="11" t="inlineStr">
        <is>
          <t>C</t>
        </is>
      </c>
      <c r="P225" s="11" t="inlineStr">
        <is>
          <t>ACTIVE</t>
        </is>
      </c>
      <c r="Q225" s="12" t="n">
        <v>44735</v>
      </c>
      <c r="R225" s="11">
        <f>IF(Q225="","",ROUND((TODAY()-Q225)/365.25,1))</f>
        <v/>
      </c>
      <c r="S225" s="13">
        <f>IFERROR(VLOOKUP(O225,Assumptions!$A$7:$F$11,2,FALSE),0.25)</f>
        <v/>
      </c>
      <c r="T225" s="14">
        <f>IF(O225="A",MAX(1,IFERROR(VLOOKUP(O225,Assumptions!$A$7:$F$11,3,FALSE),3)+IFERROR(VLOOKUP(O225,Assumptions!$A$7:$F$11,4,FALSE),8)/2-MAX(0,IF(R225="",0,R225)-IFERROR(VLOOKUP(O225,Assumptions!$A$7:$F$11,5,FALSE),1.5))),IFERROR(VLOOKUP(O225,Assumptions!$A$7:$F$11,5,FALSE),2.5)+IFERROR(VLOOKUP(O225,Assumptions!$A$7:$F$11,3,FALSE),3)+IFERROR(VLOOKUP(O225,Assumptions!$A$7:$F$11,4,FALSE),8)/2)</f>
        <v/>
      </c>
      <c r="U225" s="15">
        <f>M225*S225/(1+Assumptions!$B$3)^T225</f>
        <v/>
      </c>
      <c r="V225" s="11">
        <f>IF(M225=0,"",ROUND(U225/M225*100,1))</f>
        <v/>
      </c>
      <c r="W225" s="16">
        <f>U225*Assumptions!$B$4</f>
        <v/>
      </c>
      <c r="X225" s="11">
        <f>IF(M225=0,"",ROUND(W225/M225*100,1))</f>
        <v/>
      </c>
      <c r="Y225" t="inlineStr">
        <is>
          <t>ASSOCIAÇÃO DE CARIDADE SANTA CASA DO RIO GRANDE</t>
        </is>
      </c>
      <c r="Z225" t="inlineStr">
        <is>
          <t>5012306-16.2022.8.21.0023</t>
        </is>
      </c>
      <c r="AA225" t="inlineStr">
        <is>
          <t>TJRS</t>
        </is>
      </c>
      <c r="AB225" t="inlineStr">
        <is>
          <t>scalzilliaj.com.br</t>
        </is>
      </c>
      <c r="AC225" t="inlineStr">
        <is>
          <t>HENDLEY RESCHKE</t>
        </is>
      </c>
      <c r="AD225" t="inlineStr">
        <is>
          <t>Administrador</t>
        </is>
      </c>
      <c r="AE225" t="inlineStr">
        <is>
          <t>(51) 3462-6400</t>
        </is>
      </c>
      <c r="AF225" t="inlineStr">
        <is>
          <t>(51) 3462-6428</t>
        </is>
      </c>
      <c r="AG225" t="inlineStr"/>
      <c r="AH225" t="inlineStr">
        <is>
          <t>RS</t>
        </is>
      </c>
      <c r="AI225" t="inlineStr">
        <is>
          <t>CANOAS</t>
        </is>
      </c>
      <c r="AJ225" t="inlineStr">
        <is>
          <t>Comércio atacadista de instrumentos e materiais para uso médico, cirúrgico, hospitalar e de laboratórios</t>
        </is>
      </c>
      <c r="AK225" t="inlineStr">
        <is>
          <t>DEMAIS</t>
        </is>
      </c>
      <c r="AL225" t="inlineStr">
        <is>
          <t>ATIVA</t>
        </is>
      </c>
      <c r="AM225" s="17" t="inlineStr">
        <is>
          <t>https://scalzilliaj.com.br/sgc/download.php?file=files/processo_documento/processo_documento09120721032023_1_.pdf&amp;nome=15 - Edital do art. 7º, §2º e 53 da Lei 11.101/2005 (segunda lista de credores e recebimento do plano))</t>
        </is>
      </c>
      <c r="AN225" s="18" t="inlineStr">
        <is>
          <t>p26 r48</t>
        </is>
      </c>
      <c r="AO225" s="18" t="inlineStr">
        <is>
          <t>p26: R$ 686.964,09</t>
        </is>
      </c>
      <c r="AP225" s="18" t="inlineStr">
        <is>
          <t>AJ_LIST</t>
        </is>
      </c>
      <c r="AQ225" s="18" t="inlineStr">
        <is>
          <t>2023-03-21</t>
        </is>
      </c>
      <c r="AR225" s="18" t="inlineStr">
        <is>
          <t>OK_NO_TOTALS</t>
        </is>
      </c>
      <c r="AS225" s="18" t="inlineStr">
        <is>
          <t>ROWS:p26r48 UNRECONCILED_SOURCE</t>
        </is>
      </c>
      <c r="AT225" s="18" t="inlineStr">
        <is>
          <t>ebfb999b457c</t>
        </is>
      </c>
    </row>
    <row r="226">
      <c r="A226" s="9" t="n">
        <v>225</v>
      </c>
      <c r="B226" s="9" t="inlineStr">
        <is>
          <t>NEW</t>
        </is>
      </c>
      <c r="C226" s="9" t="inlineStr"/>
      <c r="D226" s="9" t="n">
        <v>0</v>
      </c>
      <c r="E226" s="9" t="inlineStr"/>
      <c r="F226" s="9" t="inlineStr"/>
      <c r="G226" s="9" t="inlineStr"/>
      <c r="H226" s="9" t="inlineStr"/>
      <c r="I226" t="inlineStr">
        <is>
          <t>MMB SPORTS PARTICIPACOES LTDA</t>
        </is>
      </c>
      <c r="J226" t="inlineStr">
        <is>
          <t>MMB SPORTS E PARTICIPACOES LTDA, CPF/CNPJ Nº</t>
        </is>
      </c>
      <c r="K226" t="inlineStr">
        <is>
          <t>10394384</t>
        </is>
      </c>
      <c r="L226" t="inlineStr">
        <is>
          <t>10394384000128</t>
        </is>
      </c>
      <c r="M226" s="10" t="n">
        <v>680417.28</v>
      </c>
      <c r="N226" t="n">
        <v>1</v>
      </c>
      <c r="O226" s="11" t="inlineStr">
        <is>
          <t>C</t>
        </is>
      </c>
      <c r="P226" s="11" t="inlineStr">
        <is>
          <t>ACTIVE</t>
        </is>
      </c>
      <c r="Q226" s="12" t="n">
        <v>44966</v>
      </c>
      <c r="R226" s="11">
        <f>IF(Q226="","",ROUND((TODAY()-Q226)/365.25,1))</f>
        <v/>
      </c>
      <c r="S226" s="13">
        <f>IFERROR(VLOOKUP(O226,Assumptions!$A$7:$F$11,2,FALSE),0.25)</f>
        <v/>
      </c>
      <c r="T226" s="14">
        <f>IF(O226="A",MAX(1,IFERROR(VLOOKUP(O226,Assumptions!$A$7:$F$11,3,FALSE),3)+IFERROR(VLOOKUP(O226,Assumptions!$A$7:$F$11,4,FALSE),8)/2-MAX(0,IF(R226="",0,R226)-IFERROR(VLOOKUP(O226,Assumptions!$A$7:$F$11,5,FALSE),1.5))),IFERROR(VLOOKUP(O226,Assumptions!$A$7:$F$11,5,FALSE),2.5)+IFERROR(VLOOKUP(O226,Assumptions!$A$7:$F$11,3,FALSE),3)+IFERROR(VLOOKUP(O226,Assumptions!$A$7:$F$11,4,FALSE),8)/2)</f>
        <v/>
      </c>
      <c r="U226" s="15">
        <f>M226*S226/(1+Assumptions!$B$3)^T226</f>
        <v/>
      </c>
      <c r="V226" s="11">
        <f>IF(M226=0,"",ROUND(U226/M226*100,1))</f>
        <v/>
      </c>
      <c r="W226" s="16">
        <f>U226*Assumptions!$B$4</f>
        <v/>
      </c>
      <c r="X226" s="11">
        <f>IF(M226=0,"",ROUND(W226/M226*100,1))</f>
        <v/>
      </c>
      <c r="Y226" t="inlineStr">
        <is>
          <t>CLUBE NÁUTICO CAPIBARIBE</t>
        </is>
      </c>
      <c r="Z226" t="inlineStr">
        <is>
          <t>0011283-80.2023.8.17.2001</t>
        </is>
      </c>
      <c r="AA226" t="inlineStr">
        <is>
          <t>TJPE</t>
        </is>
      </c>
      <c r="AB226" t="inlineStr">
        <is>
          <t>lrflideres.com.br</t>
        </is>
      </c>
      <c r="AC226" t="inlineStr">
        <is>
          <t>MARCIO CARVALHO BITTENCOURT</t>
        </is>
      </c>
      <c r="AD226" t="inlineStr">
        <is>
          <t>Sócio-Administrador</t>
        </is>
      </c>
      <c r="AE226" t="inlineStr">
        <is>
          <t>(21) 9711-8264</t>
        </is>
      </c>
      <c r="AF226" t="inlineStr"/>
      <c r="AG226" t="inlineStr"/>
      <c r="AH226" t="inlineStr">
        <is>
          <t>RJ</t>
        </is>
      </c>
      <c r="AI226" t="inlineStr">
        <is>
          <t>RIO DE JANEIRO</t>
        </is>
      </c>
      <c r="AJ226" t="inlineStr">
        <is>
          <t>Outras atividades de publicidade não especificadas anteriormente</t>
        </is>
      </c>
      <c r="AK226" t="inlineStr">
        <is>
          <t>MICRO EMPRESA</t>
        </is>
      </c>
      <c r="AL226" t="inlineStr">
        <is>
          <t>ATIVA</t>
        </is>
      </c>
      <c r="AM226" s="17" t="inlineStr">
        <is>
          <t>https://lrflideres.com.br/wp-content/plugins/download-attachments/includes/download.php?id=5589</t>
        </is>
      </c>
      <c r="AN226" s="18" t="inlineStr">
        <is>
          <t>p12 r34</t>
        </is>
      </c>
      <c r="AO226" s="18" t="inlineStr">
        <is>
          <t>p12: R$ 680.417,28</t>
        </is>
      </c>
      <c r="AP226" s="18" t="inlineStr">
        <is>
          <t>AJ_LIST</t>
        </is>
      </c>
      <c r="AQ226" s="18" t="inlineStr">
        <is>
          <t>2023-11-27</t>
        </is>
      </c>
      <c r="AR226" s="18" t="inlineStr">
        <is>
          <t>QUARANTINED</t>
        </is>
      </c>
      <c r="AS226" s="18" t="inlineStr">
        <is>
          <t>PARTIAL_DOC_CLASS_III_RECONCILED ROWS:p12r34</t>
        </is>
      </c>
      <c r="AT226" s="18" t="inlineStr">
        <is>
          <t>677be5783c06</t>
        </is>
      </c>
    </row>
    <row r="227">
      <c r="A227" s="9" t="n">
        <v>226</v>
      </c>
      <c r="B227" s="9" t="inlineStr">
        <is>
          <t>NEW</t>
        </is>
      </c>
      <c r="C227" s="9" t="inlineStr"/>
      <c r="D227" s="9" t="n">
        <v>0</v>
      </c>
      <c r="E227" s="9" t="inlineStr"/>
      <c r="F227" s="9" t="inlineStr"/>
      <c r="G227" s="9" t="inlineStr"/>
      <c r="H227" s="9" t="inlineStr"/>
      <c r="I227" t="inlineStr">
        <is>
          <t>CAIRU INDUSTRIA DE BICICLETAS LTDA</t>
        </is>
      </c>
      <c r="J227" t="inlineStr">
        <is>
          <t>10.288.920/0001-00</t>
        </is>
      </c>
      <c r="K227" t="inlineStr">
        <is>
          <t>10288920</t>
        </is>
      </c>
      <c r="L227" t="inlineStr">
        <is>
          <t>10288920000100</t>
        </is>
      </c>
      <c r="M227" s="10" t="n">
        <v>680366.63</v>
      </c>
      <c r="N227" t="n">
        <v>1</v>
      </c>
      <c r="O227" s="11" t="inlineStr">
        <is>
          <t>C</t>
        </is>
      </c>
      <c r="P227" s="11" t="inlineStr">
        <is>
          <t>ACTIVE</t>
        </is>
      </c>
      <c r="Q227" s="12" t="n">
        <v>43894</v>
      </c>
      <c r="R227" s="11">
        <f>IF(Q227="","",ROUND((TODAY()-Q227)/365.25,1))</f>
        <v/>
      </c>
      <c r="S227" s="13">
        <f>IFERROR(VLOOKUP(O227,Assumptions!$A$7:$F$11,2,FALSE),0.25)</f>
        <v/>
      </c>
      <c r="T227" s="14">
        <f>IF(O227="A",MAX(1,IFERROR(VLOOKUP(O227,Assumptions!$A$7:$F$11,3,FALSE),3)+IFERROR(VLOOKUP(O227,Assumptions!$A$7:$F$11,4,FALSE),8)/2-MAX(0,IF(R227="",0,R227)-IFERROR(VLOOKUP(O227,Assumptions!$A$7:$F$11,5,FALSE),1.5))),IFERROR(VLOOKUP(O227,Assumptions!$A$7:$F$11,5,FALSE),2.5)+IFERROR(VLOOKUP(O227,Assumptions!$A$7:$F$11,3,FALSE),3)+IFERROR(VLOOKUP(O227,Assumptions!$A$7:$F$11,4,FALSE),8)/2)</f>
        <v/>
      </c>
      <c r="U227" s="15">
        <f>M227*S227/(1+Assumptions!$B$3)^T227</f>
        <v/>
      </c>
      <c r="V227" s="11">
        <f>IF(M227=0,"",ROUND(U227/M227*100,1))</f>
        <v/>
      </c>
      <c r="W227" s="16">
        <f>U227*Assumptions!$B$4</f>
        <v/>
      </c>
      <c r="X227" s="11">
        <f>IF(M227=0,"",ROUND(W227/M227*100,1))</f>
        <v/>
      </c>
      <c r="Y227" t="inlineStr">
        <is>
          <t>CREDIMÓVEIS NOVOLAR LTDA.</t>
        </is>
      </c>
      <c r="Z227" t="inlineStr">
        <is>
          <t>0007565-40.2020.8.17.2370</t>
        </is>
      </c>
      <c r="AA227" t="inlineStr">
        <is>
          <t>TJPE</t>
        </is>
      </c>
      <c r="AB227" t="inlineStr">
        <is>
          <t>recuperacaojudicial.squarespace.com</t>
        </is>
      </c>
      <c r="AC227" t="inlineStr">
        <is>
          <t>EUFLAVIO ODILON RIBEIRO</t>
        </is>
      </c>
      <c r="AD227" t="inlineStr">
        <is>
          <t>Sócio-Administrador</t>
        </is>
      </c>
      <c r="AE227" t="inlineStr">
        <is>
          <t>(69) 3451-0500</t>
        </is>
      </c>
      <c r="AF227" t="inlineStr">
        <is>
          <t>(69) 8142-0004</t>
        </is>
      </c>
      <c r="AG227" t="inlineStr"/>
      <c r="AH227" t="inlineStr">
        <is>
          <t>RO</t>
        </is>
      </c>
      <c r="AI227" t="inlineStr">
        <is>
          <t>PIMENTA BUENO</t>
        </is>
      </c>
      <c r="AJ227" t="inlineStr">
        <is>
          <t>Fabricação de bicicletas e triciclos não-motorizados, peças e acessórios</t>
        </is>
      </c>
      <c r="AK227" t="inlineStr">
        <is>
          <t>DEMAIS</t>
        </is>
      </c>
      <c r="AL227" t="inlineStr">
        <is>
          <t>ATIVA</t>
        </is>
      </c>
      <c r="AM227" s="17" t="inlineStr">
        <is>
          <t>https://recuperacaojudicial.squarespace.com/s/RJ-Credimoveis-QGC-01082025.pdf</t>
        </is>
      </c>
      <c r="AN227" s="18" t="inlineStr">
        <is>
          <t>p15 r27</t>
        </is>
      </c>
      <c r="AO227" s="18" t="inlineStr">
        <is>
          <t>p15: R$ 680.366,63</t>
        </is>
      </c>
      <c r="AP227" s="18" t="inlineStr">
        <is>
          <t>QGC</t>
        </is>
      </c>
      <c r="AQ227" s="18" t="inlineStr">
        <is>
          <t>2026-01-28</t>
        </is>
      </c>
      <c r="AR227" s="18" t="inlineStr">
        <is>
          <t>OK</t>
        </is>
      </c>
      <c r="AS227" s="18" t="inlineStr">
        <is>
          <t>ROWS:p15r27</t>
        </is>
      </c>
      <c r="AT227" s="18" t="inlineStr">
        <is>
          <t>849d4fe5adce</t>
        </is>
      </c>
    </row>
    <row r="228">
      <c r="A228" s="9" t="n">
        <v>227</v>
      </c>
      <c r="B228" s="9" t="inlineStr">
        <is>
          <t>NEW</t>
        </is>
      </c>
      <c r="C228" s="9" t="inlineStr"/>
      <c r="D228" s="9" t="n">
        <v>0</v>
      </c>
      <c r="E228" s="9" t="inlineStr"/>
      <c r="F228" s="9" t="inlineStr"/>
      <c r="G228" s="9" t="inlineStr"/>
      <c r="H228" s="9" t="inlineStr"/>
      <c r="I228" t="inlineStr">
        <is>
          <t>FAN STORE ENTRETENIMENTO S.A</t>
        </is>
      </c>
      <c r="J228" t="inlineStr">
        <is>
          <t>FAN STORE ENTRETENIMENTO S.A</t>
        </is>
      </c>
      <c r="K228" t="inlineStr">
        <is>
          <t>01424397</t>
        </is>
      </c>
      <c r="L228" t="inlineStr">
        <is>
          <t>01424397000373</t>
        </is>
      </c>
      <c r="M228" s="10" t="n">
        <v>677400.38</v>
      </c>
      <c r="N228" t="n">
        <v>3</v>
      </c>
      <c r="O228" s="11" t="inlineStr">
        <is>
          <t>C</t>
        </is>
      </c>
      <c r="P228" s="11" t="inlineStr">
        <is>
          <t>ACTIVE</t>
        </is>
      </c>
      <c r="Q228" s="12" t="n">
        <v>44571</v>
      </c>
      <c r="R228" s="11">
        <f>IF(Q228="","",ROUND((TODAY()-Q228)/365.25,1))</f>
        <v/>
      </c>
      <c r="S228" s="13">
        <f>IFERROR(VLOOKUP(O228,Assumptions!$A$7:$F$11,2,FALSE),0.25)</f>
        <v/>
      </c>
      <c r="T228" s="14">
        <f>IF(O228="A",MAX(1,IFERROR(VLOOKUP(O228,Assumptions!$A$7:$F$11,3,FALSE),3)+IFERROR(VLOOKUP(O228,Assumptions!$A$7:$F$11,4,FALSE),8)/2-MAX(0,IF(R228="",0,R228)-IFERROR(VLOOKUP(O228,Assumptions!$A$7:$F$11,5,FALSE),1.5))),IFERROR(VLOOKUP(O228,Assumptions!$A$7:$F$11,5,FALSE),2.5)+IFERROR(VLOOKUP(O228,Assumptions!$A$7:$F$11,3,FALSE),3)+IFERROR(VLOOKUP(O228,Assumptions!$A$7:$F$11,4,FALSE),8)/2)</f>
        <v/>
      </c>
      <c r="U228" s="15">
        <f>M228*S228/(1+Assumptions!$B$3)^T228</f>
        <v/>
      </c>
      <c r="V228" s="11">
        <f>IF(M228=0,"",ROUND(U228/M228*100,1))</f>
        <v/>
      </c>
      <c r="W228" s="16">
        <f>U228*Assumptions!$B$4</f>
        <v/>
      </c>
      <c r="X228" s="11">
        <f>IF(M228=0,"",ROUND(W228/M228*100,1))</f>
        <v/>
      </c>
      <c r="Y228" t="inlineStr">
        <is>
          <t>GRUPO CATTAN</t>
        </is>
      </c>
      <c r="Z228" t="inlineStr">
        <is>
          <t>0002484-82.2022.8.17.2001</t>
        </is>
      </c>
      <c r="AA228" t="inlineStr">
        <is>
          <t>TJPE</t>
        </is>
      </c>
      <c r="AB228" t="inlineStr">
        <is>
          <t>lrflideres.com.br</t>
        </is>
      </c>
      <c r="AC228" t="inlineStr">
        <is>
          <t>BRUNO DE MARCHI FILHO</t>
        </is>
      </c>
      <c r="AD228" t="inlineStr">
        <is>
          <t>Diretor</t>
        </is>
      </c>
      <c r="AE228" t="inlineStr">
        <is>
          <t>(14) 3604-2024</t>
        </is>
      </c>
      <c r="AF228" t="inlineStr"/>
      <c r="AG228" t="inlineStr"/>
      <c r="AH228" t="inlineStr">
        <is>
          <t>SP</t>
        </is>
      </c>
      <c r="AI228" t="inlineStr">
        <is>
          <t>BARRA BONITA</t>
        </is>
      </c>
      <c r="AJ228" t="inlineStr">
        <is>
          <t>Estamparia e texturização em fios, tecidos, artefatos têxteis e peças do vestuário</t>
        </is>
      </c>
      <c r="AK228" t="inlineStr">
        <is>
          <t>DEMAIS</t>
        </is>
      </c>
      <c r="AL228" t="inlineStr">
        <is>
          <t>ATIVA</t>
        </is>
      </c>
      <c r="AM228" s="17" t="inlineStr">
        <is>
          <t>https://lrflideres.com.br/wp-content/plugins/download-attachments/includes/download.php?id=4023</t>
        </is>
      </c>
      <c r="AN228" s="18" t="inlineStr">
        <is>
          <t>p4 r71; p7 r95; p9 r70</t>
        </is>
      </c>
      <c r="AO228" s="18" t="inlineStr">
        <is>
          <t>p4: R$ 25.111,29; p7: R$ 553.175,46; p9: R$ 99.113,63</t>
        </is>
      </c>
      <c r="AP228" s="18" t="inlineStr">
        <is>
          <t>DEBTOR_LIST</t>
        </is>
      </c>
      <c r="AQ228" s="18" t="inlineStr"/>
      <c r="AR228" s="18" t="inlineStr">
        <is>
          <t>QUARANTINED</t>
        </is>
      </c>
      <c r="AS228" s="18" t="inlineStr">
        <is>
          <t>PARTIAL_DOC_CLASS_III_RECONCILED ROWS:p4r71,p7r95,p9r70</t>
        </is>
      </c>
      <c r="AT228" s="18" t="inlineStr">
        <is>
          <t>f3b6182e3aa2</t>
        </is>
      </c>
    </row>
    <row r="229">
      <c r="A229" s="9" t="n">
        <v>228</v>
      </c>
      <c r="B229" s="9" t="inlineStr">
        <is>
          <t>NEW</t>
        </is>
      </c>
      <c r="C229" s="9" t="inlineStr"/>
      <c r="D229" s="9" t="n">
        <v>0</v>
      </c>
      <c r="E229" s="9" t="inlineStr"/>
      <c r="F229" s="9" t="inlineStr"/>
      <c r="G229" s="9" t="inlineStr"/>
      <c r="H229" s="9" t="inlineStr"/>
      <c r="I229" t="inlineStr">
        <is>
          <t>MACCAFERRI DO BRASIL LTDA</t>
        </is>
      </c>
      <c r="J229" t="inlineStr">
        <is>
          <t>Maccaferri do Brasil Ltda</t>
        </is>
      </c>
      <c r="K229" t="inlineStr">
        <is>
          <t>43876960</t>
        </is>
      </c>
      <c r="L229" t="inlineStr">
        <is>
          <t>43876960000122</t>
        </is>
      </c>
      <c r="M229" s="10" t="n">
        <v>676208.62</v>
      </c>
      <c r="N229" t="n">
        <v>1</v>
      </c>
      <c r="O229" s="11" t="inlineStr">
        <is>
          <t>B</t>
        </is>
      </c>
      <c r="P229" s="11" t="inlineStr"/>
      <c r="Q229" s="12" t="n">
        <v>45756</v>
      </c>
      <c r="R229" s="11">
        <f>IF(Q229="","",ROUND((TODAY()-Q229)/365.25,1))</f>
        <v/>
      </c>
      <c r="S229" s="13">
        <f>IFERROR(VLOOKUP(O229,Assumptions!$A$7:$F$11,2,FALSE),0.25)</f>
        <v/>
      </c>
      <c r="T229" s="14">
        <f>IF(O229="A",MAX(1,IFERROR(VLOOKUP(O229,Assumptions!$A$7:$F$11,3,FALSE),3)+IFERROR(VLOOKUP(O229,Assumptions!$A$7:$F$11,4,FALSE),8)/2-MAX(0,IF(R229="",0,R229)-IFERROR(VLOOKUP(O229,Assumptions!$A$7:$F$11,5,FALSE),1.5))),IFERROR(VLOOKUP(O229,Assumptions!$A$7:$F$11,5,FALSE),2.5)+IFERROR(VLOOKUP(O229,Assumptions!$A$7:$F$11,3,FALSE),3)+IFERROR(VLOOKUP(O229,Assumptions!$A$7:$F$11,4,FALSE),8)/2)</f>
        <v/>
      </c>
      <c r="U229" s="15">
        <f>M229*S229/(1+Assumptions!$B$3)^T229</f>
        <v/>
      </c>
      <c r="V229" s="11">
        <f>IF(M229=0,"",ROUND(U229/M229*100,1))</f>
        <v/>
      </c>
      <c r="W229" s="16">
        <f>U229*Assumptions!$B$4</f>
        <v/>
      </c>
      <c r="X229" s="11">
        <f>IF(M229=0,"",ROUND(W229/M229*100,1))</f>
        <v/>
      </c>
      <c r="Y229" t="inlineStr">
        <is>
          <t>GRUPO EGESA (EGESA ENG S.A, EGESUR PART E EMP S.A, MATRIX INFRA LTDA, BEMVIVER ENG AMBIENTAL E SERV LTDA, DKF CONST E EMP LTDA, EGEPEL LTDA, ETR ASSESSORIA EMP E PART LTDA, MVT ENG E SERV LTDA, PARQUES DO VALE LTDA, ELMO RIBEIRO E ANA RIBEIRO)</t>
        </is>
      </c>
      <c r="Z229" t="inlineStr">
        <is>
          <t>5088952-81.2025.8.13.0024</t>
        </is>
      </c>
      <c r="AA229" t="inlineStr">
        <is>
          <t>TJMG</t>
        </is>
      </c>
      <c r="AB229" t="inlineStr">
        <is>
          <t>scalzilliaj.com.br</t>
        </is>
      </c>
      <c r="AC229" t="inlineStr">
        <is>
          <t>ALEXANDRE MARCOS TEXEIRA</t>
        </is>
      </c>
      <c r="AD229" t="inlineStr">
        <is>
          <t>Administrador</t>
        </is>
      </c>
      <c r="AE229" t="inlineStr">
        <is>
          <t>(11) 4525-5000</t>
        </is>
      </c>
      <c r="AF229" t="inlineStr">
        <is>
          <t>(11) 4525-5056</t>
        </is>
      </c>
      <c r="AG229" t="inlineStr"/>
      <c r="AH229" t="inlineStr">
        <is>
          <t>SP</t>
        </is>
      </c>
      <c r="AI229" t="inlineStr">
        <is>
          <t>JUNDIAI</t>
        </is>
      </c>
      <c r="AJ229" t="inlineStr">
        <is>
          <t>Fabricação de outros produtos de metal não especificados anteriormente</t>
        </is>
      </c>
      <c r="AK229" t="inlineStr">
        <is>
          <t>DEMAIS</t>
        </is>
      </c>
      <c r="AL229" t="inlineStr">
        <is>
          <t>ATIVA</t>
        </is>
      </c>
      <c r="AM229" s="17" t="inlineStr">
        <is>
          <t>https://scalzilliaj.com.br/sgc/download.php?file=files/processo_documento/processo_documento09514021082025_1_.pdf&amp;nome=04 - Relação de credores das Recuperandas</t>
        </is>
      </c>
      <c r="AN229" s="18" t="inlineStr">
        <is>
          <t>p69 r10</t>
        </is>
      </c>
      <c r="AO229" s="18" t="inlineStr">
        <is>
          <t>p69: R$ 676.208,62</t>
        </is>
      </c>
      <c r="AP229" s="18" t="inlineStr">
        <is>
          <t>DEBTOR_LIST</t>
        </is>
      </c>
      <c r="AQ229" s="18" t="inlineStr"/>
      <c r="AR229" s="18" t="inlineStr">
        <is>
          <t>OK</t>
        </is>
      </c>
      <c r="AS229" s="18" t="inlineStr">
        <is>
          <t>ROWS:p69r10 VALUE_COL:Valor_Atualizado CASE_NUMBER_CORRECTED CASE_FROM_PORTAL</t>
        </is>
      </c>
      <c r="AT229" s="18" t="inlineStr">
        <is>
          <t>24ed98480a57</t>
        </is>
      </c>
    </row>
    <row r="230">
      <c r="A230" s="9" t="n">
        <v>229</v>
      </c>
      <c r="B230" s="9" t="inlineStr">
        <is>
          <t>NEW</t>
        </is>
      </c>
      <c r="C230" s="9" t="inlineStr"/>
      <c r="D230" s="9" t="n">
        <v>0</v>
      </c>
      <c r="E230" s="9" t="inlineStr"/>
      <c r="F230" s="9" t="inlineStr"/>
      <c r="G230" s="9" t="inlineStr"/>
      <c r="H230" s="9" t="inlineStr"/>
      <c r="I230" t="inlineStr">
        <is>
          <t>CIMAR - CIMENTOS DO MARANHAO S.A.</t>
        </is>
      </c>
      <c r="J230" t="inlineStr">
        <is>
          <t>RUA PRINCIPAL, 002 - ACES.BR135, VILA MARANHAO - 65091-242, SAO LUIS - MA</t>
        </is>
      </c>
      <c r="K230" t="inlineStr">
        <is>
          <t>15129010</t>
        </is>
      </c>
      <c r="L230" t="inlineStr">
        <is>
          <t>15129010000107</t>
        </is>
      </c>
      <c r="M230" s="10" t="n">
        <v>675124.95</v>
      </c>
      <c r="N230" t="n">
        <v>1</v>
      </c>
      <c r="O230" s="11" t="inlineStr">
        <is>
          <t>C</t>
        </is>
      </c>
      <c r="P230" s="11" t="inlineStr"/>
      <c r="Q230" s="12" t="inlineStr"/>
      <c r="R230" s="11">
        <f>IF(Q230="","",ROUND((TODAY()-Q230)/365.25,1))</f>
        <v/>
      </c>
      <c r="S230" s="13">
        <f>IFERROR(VLOOKUP(O230,Assumptions!$A$7:$F$11,2,FALSE),0.25)</f>
        <v/>
      </c>
      <c r="T230" s="14">
        <f>IF(O230="A",MAX(1,IFERROR(VLOOKUP(O230,Assumptions!$A$7:$F$11,3,FALSE),3)+IFERROR(VLOOKUP(O230,Assumptions!$A$7:$F$11,4,FALSE),8)/2-MAX(0,IF(R230="",0,R230)-IFERROR(VLOOKUP(O230,Assumptions!$A$7:$F$11,5,FALSE),1.5))),IFERROR(VLOOKUP(O230,Assumptions!$A$7:$F$11,5,FALSE),2.5)+IFERROR(VLOOKUP(O230,Assumptions!$A$7:$F$11,3,FALSE),3)+IFERROR(VLOOKUP(O230,Assumptions!$A$7:$F$11,4,FALSE),8)/2)</f>
        <v/>
      </c>
      <c r="U230" s="15">
        <f>M230*S230/(1+Assumptions!$B$3)^T230</f>
        <v/>
      </c>
      <c r="V230" s="11">
        <f>IF(M230=0,"",ROUND(U230/M230*100,1))</f>
        <v/>
      </c>
      <c r="W230" s="16">
        <f>U230*Assumptions!$B$4</f>
        <v/>
      </c>
      <c r="X230" s="11">
        <f>IF(M230=0,"",ROUND(W230/M230*100,1))</f>
        <v/>
      </c>
      <c r="Y230" t="inlineStr">
        <is>
          <t>Roque Materiais para Construção</t>
        </is>
      </c>
      <c r="Z230" t="inlineStr">
        <is>
          <t>0802426-35.2019.8.10.0000</t>
        </is>
      </c>
      <c r="AA230" t="inlineStr"/>
      <c r="AB230" t="inlineStr">
        <is>
          <t>realbrasil.com.br</t>
        </is>
      </c>
      <c r="AC230" t="inlineStr">
        <is>
          <t>JOSE ANTERO DOS SANTOS</t>
        </is>
      </c>
      <c r="AD230" t="inlineStr">
        <is>
          <t>Presidente</t>
        </is>
      </c>
      <c r="AE230" t="inlineStr">
        <is>
          <t>(11) 2360-2033</t>
        </is>
      </c>
      <c r="AF230" t="inlineStr">
        <is>
          <t>(98) 3232-3232</t>
        </is>
      </c>
      <c r="AG230" t="inlineStr"/>
      <c r="AH230" t="inlineStr">
        <is>
          <t>MA</t>
        </is>
      </c>
      <c r="AI230" t="inlineStr">
        <is>
          <t>SAO LUIS</t>
        </is>
      </c>
      <c r="AJ230" t="inlineStr">
        <is>
          <t>Fabricação de cimento</t>
        </is>
      </c>
      <c r="AK230" t="inlineStr">
        <is>
          <t>DEMAIS</t>
        </is>
      </c>
      <c r="AL230" t="inlineStr">
        <is>
          <t>ATIVA</t>
        </is>
      </c>
      <c r="AM230" s="17" t="inlineStr">
        <is>
          <t>https://realbrasil.com.br/wp-content/uploads/2018/06/2_LISTA-DE-CREDORES-DA-RECUPERANDA_ROQUE.pdf</t>
        </is>
      </c>
      <c r="AN230" s="18" t="inlineStr">
        <is>
          <t>p2 r5</t>
        </is>
      </c>
      <c r="AO230" s="18" t="inlineStr">
        <is>
          <t>p2: R$ 675.124,95</t>
        </is>
      </c>
      <c r="AP230" s="18" t="inlineStr">
        <is>
          <t>UNKNOWN</t>
        </is>
      </c>
      <c r="AQ230" s="18" t="inlineStr"/>
      <c r="AR230" s="18" t="inlineStr">
        <is>
          <t>OK</t>
        </is>
      </c>
      <c r="AS230" s="18" t="inlineStr">
        <is>
          <t>ROWS:p2r5 VALUE_COL:Saldo_Total</t>
        </is>
      </c>
      <c r="AT230" s="18" t="inlineStr">
        <is>
          <t>d85bdfbfbdc8</t>
        </is>
      </c>
    </row>
    <row r="231">
      <c r="A231" s="9" t="n">
        <v>230</v>
      </c>
      <c r="B231" s="9" t="inlineStr">
        <is>
          <t>NEW</t>
        </is>
      </c>
      <c r="C231" s="9" t="inlineStr"/>
      <c r="D231" s="9" t="n">
        <v>0</v>
      </c>
      <c r="E231" s="9" t="inlineStr"/>
      <c r="F231" s="9" t="inlineStr"/>
      <c r="G231" s="9" t="inlineStr"/>
      <c r="H231" s="9" t="inlineStr"/>
      <c r="I231" t="inlineStr">
        <is>
          <t>MAXINUTRI SUPLEMENTOS NUTRICIONAIS LTDA</t>
        </is>
      </c>
      <c r="J231" t="inlineStr">
        <is>
          <t>Maxinutri Suplementos Nutricionais Ltda</t>
        </is>
      </c>
      <c r="K231" t="inlineStr">
        <is>
          <t>39452556</t>
        </is>
      </c>
      <c r="L231" t="inlineStr">
        <is>
          <t>39452556000154</t>
        </is>
      </c>
      <c r="M231" s="10" t="n">
        <v>664358.4399999999</v>
      </c>
      <c r="N231" t="n">
        <v>1</v>
      </c>
      <c r="O231" s="11" t="inlineStr">
        <is>
          <t>C</t>
        </is>
      </c>
      <c r="P231" s="11" t="inlineStr">
        <is>
          <t>ACTIVE</t>
        </is>
      </c>
      <c r="Q231" s="12" t="n">
        <v>44987</v>
      </c>
      <c r="R231" s="11">
        <f>IF(Q231="","",ROUND((TODAY()-Q231)/365.25,1))</f>
        <v/>
      </c>
      <c r="S231" s="13">
        <f>IFERROR(VLOOKUP(O231,Assumptions!$A$7:$F$11,2,FALSE),0.25)</f>
        <v/>
      </c>
      <c r="T231" s="14">
        <f>IF(O231="A",MAX(1,IFERROR(VLOOKUP(O231,Assumptions!$A$7:$F$11,3,FALSE),3)+IFERROR(VLOOKUP(O231,Assumptions!$A$7:$F$11,4,FALSE),8)/2-MAX(0,IF(R231="",0,R231)-IFERROR(VLOOKUP(O231,Assumptions!$A$7:$F$11,5,FALSE),1.5))),IFERROR(VLOOKUP(O231,Assumptions!$A$7:$F$11,5,FALSE),2.5)+IFERROR(VLOOKUP(O231,Assumptions!$A$7:$F$11,3,FALSE),3)+IFERROR(VLOOKUP(O231,Assumptions!$A$7:$F$11,4,FALSE),8)/2)</f>
        <v/>
      </c>
      <c r="U231" s="15">
        <f>M231*S231/(1+Assumptions!$B$3)^T231</f>
        <v/>
      </c>
      <c r="V231" s="11">
        <f>IF(M231=0,"",ROUND(U231/M231*100,1))</f>
        <v/>
      </c>
      <c r="W231" s="16">
        <f>U231*Assumptions!$B$4</f>
        <v/>
      </c>
      <c r="X231" s="11">
        <f>IF(M231=0,"",ROUND(W231/M231*100,1))</f>
        <v/>
      </c>
      <c r="Y231" t="inlineStr">
        <is>
          <t>GRUPO DP4</t>
        </is>
      </c>
      <c r="Z231" t="inlineStr">
        <is>
          <t>0005010-98.2023.8.16.0001</t>
        </is>
      </c>
      <c r="AA231" t="inlineStr">
        <is>
          <t>TJPR</t>
        </is>
      </c>
      <c r="AB231" t="inlineStr">
        <is>
          <t>marquesadmjudicial.com.br</t>
        </is>
      </c>
      <c r="AC231" t="inlineStr">
        <is>
          <t>FERNANDO FERDINANDI</t>
        </is>
      </c>
      <c r="AD231" t="inlineStr">
        <is>
          <t>Administrador</t>
        </is>
      </c>
      <c r="AE231" t="inlineStr">
        <is>
          <t>(43) 3274-5262</t>
        </is>
      </c>
      <c r="AF231" t="inlineStr"/>
      <c r="AG231" t="inlineStr"/>
      <c r="AH231" t="inlineStr">
        <is>
          <t>PR</t>
        </is>
      </c>
      <c r="AI231" t="inlineStr">
        <is>
          <t>ARAPONGAS</t>
        </is>
      </c>
      <c r="AJ231" t="inlineStr">
        <is>
          <t>Fabricação de outros produtos alimentícios não especificados anteriormente</t>
        </is>
      </c>
      <c r="AK231" t="inlineStr">
        <is>
          <t>DEMAIS</t>
        </is>
      </c>
      <c r="AL231" t="inlineStr">
        <is>
          <t>ATIVA</t>
        </is>
      </c>
      <c r="AM231" s="17" t="inlineStr">
        <is>
          <t>https://marquesadmjudicial.com.br/sgc/download.php?file=files/processo_documento/processo_documento15293208032024_1_.pdf&amp;nome=Relação Nominal de Credores da AJ-Sintética</t>
        </is>
      </c>
      <c r="AN231" s="18" t="inlineStr">
        <is>
          <t>p28 r12</t>
        </is>
      </c>
      <c r="AO231" s="18" t="inlineStr">
        <is>
          <t>p28: R$ 664.358,44</t>
        </is>
      </c>
      <c r="AP231" s="18" t="inlineStr">
        <is>
          <t>AJ_LIST</t>
        </is>
      </c>
      <c r="AQ231" s="18" t="inlineStr">
        <is>
          <t>2023-03-02</t>
        </is>
      </c>
      <c r="AR231" s="18" t="inlineStr">
        <is>
          <t>QUARANTINED</t>
        </is>
      </c>
      <c r="AS231" s="18" t="inlineStr">
        <is>
          <t>PARTIAL_DOC_CLASS_III_RECONCILED ROWS:p28r12</t>
        </is>
      </c>
      <c r="AT231" s="18" t="inlineStr">
        <is>
          <t>b465a5d11eec</t>
        </is>
      </c>
    </row>
    <row r="232">
      <c r="A232" s="9" t="n">
        <v>231</v>
      </c>
      <c r="B232" s="9" t="inlineStr">
        <is>
          <t>NEW</t>
        </is>
      </c>
      <c r="C232" s="9" t="inlineStr"/>
      <c r="D232" s="9" t="n">
        <v>0</v>
      </c>
      <c r="E232" s="9" t="inlineStr"/>
      <c r="F232" s="9" t="inlineStr"/>
      <c r="G232" s="9" t="inlineStr"/>
      <c r="H232" s="9" t="inlineStr"/>
      <c r="I232" t="inlineStr">
        <is>
          <t>ITW PPF BRASIL ADESIVOS LTDA.</t>
        </is>
      </c>
      <c r="J232" t="inlineStr">
        <is>
          <t>ITW PPF BRASIL ADESIVOS LTDA</t>
        </is>
      </c>
      <c r="K232" t="inlineStr">
        <is>
          <t>05858780</t>
        </is>
      </c>
      <c r="L232" t="inlineStr">
        <is>
          <t>05858780000129</t>
        </is>
      </c>
      <c r="M232" s="10" t="n">
        <v>662505.99</v>
      </c>
      <c r="N232" t="n">
        <v>1</v>
      </c>
      <c r="O232" s="11" t="inlineStr">
        <is>
          <t>D</t>
        </is>
      </c>
      <c r="P232" s="11" t="inlineStr"/>
      <c r="Q232" s="12" t="inlineStr"/>
      <c r="R232" s="11">
        <f>IF(Q232="","",ROUND((TODAY()-Q232)/365.25,1))</f>
        <v/>
      </c>
      <c r="S232" s="13">
        <f>IFERROR(VLOOKUP(O232,Assumptions!$A$7:$F$11,2,FALSE),0.25)</f>
        <v/>
      </c>
      <c r="T232" s="14">
        <f>IF(O232="A",MAX(1,IFERROR(VLOOKUP(O232,Assumptions!$A$7:$F$11,3,FALSE),3)+IFERROR(VLOOKUP(O232,Assumptions!$A$7:$F$11,4,FALSE),8)/2-MAX(0,IF(R232="",0,R232)-IFERROR(VLOOKUP(O232,Assumptions!$A$7:$F$11,5,FALSE),1.5))),IFERROR(VLOOKUP(O232,Assumptions!$A$7:$F$11,5,FALSE),2.5)+IFERROR(VLOOKUP(O232,Assumptions!$A$7:$F$11,3,FALSE),3)+IFERROR(VLOOKUP(O232,Assumptions!$A$7:$F$11,4,FALSE),8)/2)</f>
        <v/>
      </c>
      <c r="U232" s="15">
        <f>M232*S232/(1+Assumptions!$B$3)^T232</f>
        <v/>
      </c>
      <c r="V232" s="11">
        <f>IF(M232=0,"",ROUND(U232/M232*100,1))</f>
        <v/>
      </c>
      <c r="W232" s="16">
        <f>U232*Assumptions!$B$4</f>
        <v/>
      </c>
      <c r="X232" s="11">
        <f>IF(M232=0,"",ROUND(W232/M232*100,1))</f>
        <v/>
      </c>
      <c r="Y232" t="inlineStr">
        <is>
          <t>Mannes</t>
        </is>
      </c>
      <c r="Z232" t="inlineStr">
        <is>
          <t>0005010-50.2013.8.24.0026</t>
        </is>
      </c>
      <c r="AA232" t="inlineStr"/>
      <c r="AB232" t="inlineStr">
        <is>
          <t>administradorajudicialgs.com.br</t>
        </is>
      </c>
      <c r="AC232" t="inlineStr">
        <is>
          <t>DANIEL DE ANDRADE PRADO</t>
        </is>
      </c>
      <c r="AD232" t="inlineStr">
        <is>
          <t>Administrador</t>
        </is>
      </c>
      <c r="AE232" t="inlineStr">
        <is>
          <t>(19) 2138-7643</t>
        </is>
      </c>
      <c r="AF232" t="inlineStr">
        <is>
          <t>(19) 2138-7642</t>
        </is>
      </c>
      <c r="AG232" t="inlineStr"/>
      <c r="AH232" t="inlineStr">
        <is>
          <t>SP</t>
        </is>
      </c>
      <c r="AI232" t="inlineStr">
        <is>
          <t>VALINHOS</t>
        </is>
      </c>
      <c r="AJ232" t="inlineStr">
        <is>
          <t>Fabricação de adesivos e selantes</t>
        </is>
      </c>
      <c r="AK232" t="inlineStr">
        <is>
          <t>DEMAIS</t>
        </is>
      </c>
      <c r="AL232" t="inlineStr">
        <is>
          <t>ATIVA</t>
        </is>
      </c>
      <c r="AM232" s="17" t="inlineStr">
        <is>
          <t>https://administradorajudicialgs.com.br/wp-content/uploads/2024/12/relacao-de-credores-da-falida.pdf</t>
        </is>
      </c>
      <c r="AN232" s="18" t="inlineStr">
        <is>
          <t>p15 r41</t>
        </is>
      </c>
      <c r="AO232" s="18" t="inlineStr">
        <is>
          <t>p15: R$ 662.505,99</t>
        </is>
      </c>
      <c r="AP232" s="18" t="inlineStr">
        <is>
          <t>OTHER</t>
        </is>
      </c>
      <c r="AQ232" s="18" t="inlineStr">
        <is>
          <t>2025-03-25</t>
        </is>
      </c>
      <c r="AR232" s="18" t="inlineStr">
        <is>
          <t>OK_NO_TOTALS</t>
        </is>
      </c>
      <c r="AS232" s="18" t="inlineStr">
        <is>
          <t>ROWS:p15r41 UNRECONCILED_SOURCE CASE_NUMBER_CORRECTED</t>
        </is>
      </c>
      <c r="AT232" s="18" t="inlineStr">
        <is>
          <t>ea17ba43b261</t>
        </is>
      </c>
    </row>
    <row r="233">
      <c r="A233" s="9" t="n">
        <v>232</v>
      </c>
      <c r="B233" s="9" t="inlineStr">
        <is>
          <t>NEW</t>
        </is>
      </c>
      <c r="C233" s="9" t="inlineStr"/>
      <c r="D233" s="9" t="n">
        <v>0</v>
      </c>
      <c r="E233" s="9" t="inlineStr"/>
      <c r="F233" s="9" t="inlineStr"/>
      <c r="G233" s="9" t="inlineStr"/>
      <c r="H233" s="9" t="inlineStr"/>
      <c r="I233" t="inlineStr">
        <is>
          <t>SUECA ROLAMENTOS E SOLUCOES INDUSTRIAIS LTDA</t>
        </is>
      </c>
      <c r="J233" t="inlineStr">
        <is>
          <t>PENDENTE DE REGULARIZAÇÃO</t>
        </is>
      </c>
      <c r="K233" t="inlineStr">
        <is>
          <t>02410500</t>
        </is>
      </c>
      <c r="L233" t="inlineStr">
        <is>
          <t>02410500000631</t>
        </is>
      </c>
      <c r="M233" s="10" t="n">
        <v>657691.6</v>
      </c>
      <c r="N233" t="n">
        <v>1</v>
      </c>
      <c r="O233" s="11" t="inlineStr">
        <is>
          <t>B</t>
        </is>
      </c>
      <c r="P233" s="11" t="inlineStr"/>
      <c r="Q233" s="12" t="inlineStr"/>
      <c r="R233" s="11">
        <f>IF(Q233="","",ROUND((TODAY()-Q233)/365.25,1))</f>
        <v/>
      </c>
      <c r="S233" s="13">
        <f>IFERROR(VLOOKUP(O233,Assumptions!$A$7:$F$11,2,FALSE),0.25)</f>
        <v/>
      </c>
      <c r="T233" s="14">
        <f>IF(O233="A",MAX(1,IFERROR(VLOOKUP(O233,Assumptions!$A$7:$F$11,3,FALSE),3)+IFERROR(VLOOKUP(O233,Assumptions!$A$7:$F$11,4,FALSE),8)/2-MAX(0,IF(R233="",0,R233)-IFERROR(VLOOKUP(O233,Assumptions!$A$7:$F$11,5,FALSE),1.5))),IFERROR(VLOOKUP(O233,Assumptions!$A$7:$F$11,5,FALSE),2.5)+IFERROR(VLOOKUP(O233,Assumptions!$A$7:$F$11,3,FALSE),3)+IFERROR(VLOOKUP(O233,Assumptions!$A$7:$F$11,4,FALSE),8)/2)</f>
        <v/>
      </c>
      <c r="U233" s="15">
        <f>M233*S233/(1+Assumptions!$B$3)^T233</f>
        <v/>
      </c>
      <c r="V233" s="11">
        <f>IF(M233=0,"",ROUND(U233/M233*100,1))</f>
        <v/>
      </c>
      <c r="W233" s="16">
        <f>U233*Assumptions!$B$4</f>
        <v/>
      </c>
      <c r="X233" s="11">
        <f>IF(M233=0,"",ROUND(W233/M233*100,1))</f>
        <v/>
      </c>
      <c r="Y233" t="inlineStr">
        <is>
          <t>Grupo Rech</t>
        </is>
      </c>
      <c r="Z233" t="inlineStr">
        <is>
          <t>5057720-48.2025.8.24.0023</t>
        </is>
      </c>
      <c r="AA233" t="inlineStr"/>
      <c r="AB233" t="inlineStr">
        <is>
          <t>credibilita.com.br</t>
        </is>
      </c>
      <c r="AC233" t="inlineStr">
        <is>
          <t>ARTHUR CALEFFI</t>
        </is>
      </c>
      <c r="AD233" t="inlineStr">
        <is>
          <t>Sócio-Administrador</t>
        </is>
      </c>
      <c r="AE233" t="inlineStr">
        <is>
          <t>(51) 3337-8477</t>
        </is>
      </c>
      <c r="AF233" t="inlineStr"/>
      <c r="AG233" t="inlineStr"/>
      <c r="AH233" t="inlineStr">
        <is>
          <t>RS</t>
        </is>
      </c>
      <c r="AI233" t="inlineStr">
        <is>
          <t>PORTO ALEGRE</t>
        </is>
      </c>
      <c r="AJ233" t="inlineStr">
        <is>
          <t>Comércio atacadista de Máquinas e equipamentos para uso industrial; partes e peças</t>
        </is>
      </c>
      <c r="AK233" t="inlineStr">
        <is>
          <t>DEMAIS</t>
        </is>
      </c>
      <c r="AL233" t="inlineStr">
        <is>
          <t>ATIVA</t>
        </is>
      </c>
      <c r="AM233" s="17" t="inlineStr">
        <is>
          <t>https://credibilita.com.br/wp-content/uploads/2025/09/Relacao-Credores-29.04.2026.pdf</t>
        </is>
      </c>
      <c r="AN233" s="18" t="inlineStr">
        <is>
          <t>p2 r19</t>
        </is>
      </c>
      <c r="AO233" s="18" t="inlineStr">
        <is>
          <t>p2: R$ 657.691,60</t>
        </is>
      </c>
      <c r="AP233" s="18" t="inlineStr">
        <is>
          <t>QUORUM_LIST</t>
        </is>
      </c>
      <c r="AQ233" s="18" t="inlineStr"/>
      <c r="AR233" s="18" t="inlineStr">
        <is>
          <t>OK_NO_TOTALS</t>
        </is>
      </c>
      <c r="AS233" s="18" t="inlineStr">
        <is>
          <t>ROWS:p2r19 UNRECONCILED_SOURCE VALUE_COL:Valor_Após_Analise CASE_NUMBER_CORRECTED</t>
        </is>
      </c>
      <c r="AT233" s="18" t="inlineStr">
        <is>
          <t>cf92cff797d2</t>
        </is>
      </c>
    </row>
    <row r="234">
      <c r="A234" s="9" t="n">
        <v>233</v>
      </c>
      <c r="B234" s="9" t="inlineStr">
        <is>
          <t>NEW</t>
        </is>
      </c>
      <c r="C234" s="9" t="inlineStr"/>
      <c r="D234" s="9" t="n">
        <v>0</v>
      </c>
      <c r="E234" s="9" t="inlineStr"/>
      <c r="F234" s="9" t="inlineStr"/>
      <c r="G234" s="9" t="inlineStr"/>
      <c r="H234" s="9" t="inlineStr"/>
      <c r="I234" t="inlineStr">
        <is>
          <t>KSPG AUTOMOTIVE BRAZIL LTDA.</t>
        </is>
      </c>
      <c r="J234" t="inlineStr">
        <is>
          <t>PENDENTE DE REGULARIZAÇÃO</t>
        </is>
      </c>
      <c r="K234" t="inlineStr">
        <is>
          <t>57576274</t>
        </is>
      </c>
      <c r="L234" t="inlineStr">
        <is>
          <t>57576274000140</t>
        </is>
      </c>
      <c r="M234" s="10" t="n">
        <v>651861.65</v>
      </c>
      <c r="N234" t="n">
        <v>1</v>
      </c>
      <c r="O234" s="11" t="inlineStr">
        <is>
          <t>B</t>
        </is>
      </c>
      <c r="P234" s="11" t="inlineStr"/>
      <c r="Q234" s="12" t="inlineStr"/>
      <c r="R234" s="11">
        <f>IF(Q234="","",ROUND((TODAY()-Q234)/365.25,1))</f>
        <v/>
      </c>
      <c r="S234" s="13">
        <f>IFERROR(VLOOKUP(O234,Assumptions!$A$7:$F$11,2,FALSE),0.25)</f>
        <v/>
      </c>
      <c r="T234" s="14">
        <f>IF(O234="A",MAX(1,IFERROR(VLOOKUP(O234,Assumptions!$A$7:$F$11,3,FALSE),3)+IFERROR(VLOOKUP(O234,Assumptions!$A$7:$F$11,4,FALSE),8)/2-MAX(0,IF(R234="",0,R234)-IFERROR(VLOOKUP(O234,Assumptions!$A$7:$F$11,5,FALSE),1.5))),IFERROR(VLOOKUP(O234,Assumptions!$A$7:$F$11,5,FALSE),2.5)+IFERROR(VLOOKUP(O234,Assumptions!$A$7:$F$11,3,FALSE),3)+IFERROR(VLOOKUP(O234,Assumptions!$A$7:$F$11,4,FALSE),8)/2)</f>
        <v/>
      </c>
      <c r="U234" s="15">
        <f>M234*S234/(1+Assumptions!$B$3)^T234</f>
        <v/>
      </c>
      <c r="V234" s="11">
        <f>IF(M234=0,"",ROUND(U234/M234*100,1))</f>
        <v/>
      </c>
      <c r="W234" s="16">
        <f>U234*Assumptions!$B$4</f>
        <v/>
      </c>
      <c r="X234" s="11">
        <f>IF(M234=0,"",ROUND(W234/M234*100,1))</f>
        <v/>
      </c>
      <c r="Y234" t="inlineStr">
        <is>
          <t>Grupo Rech</t>
        </is>
      </c>
      <c r="Z234" t="inlineStr">
        <is>
          <t>5057720-48.2025.8.24.0023</t>
        </is>
      </c>
      <c r="AA234" t="inlineStr"/>
      <c r="AB234" t="inlineStr">
        <is>
          <t>credibilita.com.br</t>
        </is>
      </c>
      <c r="AC234" t="inlineStr">
        <is>
          <t>FLAVIO PEREIRA SOTO</t>
        </is>
      </c>
      <c r="AD234" t="inlineStr">
        <is>
          <t>Administrador</t>
        </is>
      </c>
      <c r="AE234" t="inlineStr">
        <is>
          <t>(19) 3466-9842</t>
        </is>
      </c>
      <c r="AF234" t="inlineStr">
        <is>
          <t>(19) 3466-9777</t>
        </is>
      </c>
      <c r="AG234" t="inlineStr"/>
      <c r="AH234" t="inlineStr">
        <is>
          <t>SP</t>
        </is>
      </c>
      <c r="AI234" t="inlineStr">
        <is>
          <t>NOVA ODESSA</t>
        </is>
      </c>
      <c r="AJ234" t="inlineStr">
        <is>
          <t>Fabricação de peças e acessórios para o sistema motor de veículos automotores</t>
        </is>
      </c>
      <c r="AK234" t="inlineStr">
        <is>
          <t>DEMAIS</t>
        </is>
      </c>
      <c r="AL234" t="inlineStr">
        <is>
          <t>ATIVA</t>
        </is>
      </c>
      <c r="AM234" s="17" t="inlineStr">
        <is>
          <t>https://credibilita.com.br/wp-content/uploads/2025/09/Relacao-Credores-29.04.2026.pdf</t>
        </is>
      </c>
      <c r="AN234" s="18" t="inlineStr">
        <is>
          <t>p1 r32</t>
        </is>
      </c>
      <c r="AO234" s="18" t="inlineStr">
        <is>
          <t>p1: R$ 651.861,65</t>
        </is>
      </c>
      <c r="AP234" s="18" t="inlineStr">
        <is>
          <t>QUORUM_LIST</t>
        </is>
      </c>
      <c r="AQ234" s="18" t="inlineStr"/>
      <c r="AR234" s="18" t="inlineStr">
        <is>
          <t>OK_NO_TOTALS</t>
        </is>
      </c>
      <c r="AS234" s="18" t="inlineStr">
        <is>
          <t>ROWS:p1r32 UNRECONCILED_SOURCE VALUE_COL:Valor_Após_Analise CASE_NUMBER_CORRECTED</t>
        </is>
      </c>
      <c r="AT234" s="18" t="inlineStr">
        <is>
          <t>cf92cff797d2</t>
        </is>
      </c>
    </row>
    <row r="235">
      <c r="A235" s="9" t="n">
        <v>234</v>
      </c>
      <c r="B235" s="9" t="inlineStr">
        <is>
          <t>NEW</t>
        </is>
      </c>
      <c r="C235" s="9" t="inlineStr"/>
      <c r="D235" s="9" t="n">
        <v>0</v>
      </c>
      <c r="E235" s="9" t="inlineStr"/>
      <c r="F235" s="9" t="inlineStr"/>
      <c r="G235" s="9" t="inlineStr"/>
      <c r="H235" s="9" t="inlineStr"/>
      <c r="I235" t="inlineStr">
        <is>
          <t>INCOTERM SOLUCOES EM MEDICAO LTDA</t>
        </is>
      </c>
      <c r="J235" t="inlineStr">
        <is>
          <t>Incoterm Solucoes em Medicao Ltda</t>
        </is>
      </c>
      <c r="K235" t="inlineStr">
        <is>
          <t>87156352</t>
        </is>
      </c>
      <c r="L235" t="inlineStr">
        <is>
          <t>87156352000119</t>
        </is>
      </c>
      <c r="M235" s="10" t="n">
        <v>650761.62</v>
      </c>
      <c r="N235" t="n">
        <v>1</v>
      </c>
      <c r="O235" s="11" t="inlineStr">
        <is>
          <t>C</t>
        </is>
      </c>
      <c r="P235" s="11" t="inlineStr">
        <is>
          <t>ACTIVE</t>
        </is>
      </c>
      <c r="Q235" s="12" t="n">
        <v>44987</v>
      </c>
      <c r="R235" s="11">
        <f>IF(Q235="","",ROUND((TODAY()-Q235)/365.25,1))</f>
        <v/>
      </c>
      <c r="S235" s="13">
        <f>IFERROR(VLOOKUP(O235,Assumptions!$A$7:$F$11,2,FALSE),0.25)</f>
        <v/>
      </c>
      <c r="T235" s="14">
        <f>IF(O235="A",MAX(1,IFERROR(VLOOKUP(O235,Assumptions!$A$7:$F$11,3,FALSE),3)+IFERROR(VLOOKUP(O235,Assumptions!$A$7:$F$11,4,FALSE),8)/2-MAX(0,IF(R235="",0,R235)-IFERROR(VLOOKUP(O235,Assumptions!$A$7:$F$11,5,FALSE),1.5))),IFERROR(VLOOKUP(O235,Assumptions!$A$7:$F$11,5,FALSE),2.5)+IFERROR(VLOOKUP(O235,Assumptions!$A$7:$F$11,3,FALSE),3)+IFERROR(VLOOKUP(O235,Assumptions!$A$7:$F$11,4,FALSE),8)/2)</f>
        <v/>
      </c>
      <c r="U235" s="15">
        <f>M235*S235/(1+Assumptions!$B$3)^T235</f>
        <v/>
      </c>
      <c r="V235" s="11">
        <f>IF(M235=0,"",ROUND(U235/M235*100,1))</f>
        <v/>
      </c>
      <c r="W235" s="16">
        <f>U235*Assumptions!$B$4</f>
        <v/>
      </c>
      <c r="X235" s="11">
        <f>IF(M235=0,"",ROUND(W235/M235*100,1))</f>
        <v/>
      </c>
      <c r="Y235" t="inlineStr">
        <is>
          <t>GRUPO DP4</t>
        </is>
      </c>
      <c r="Z235" t="inlineStr">
        <is>
          <t>0005010-98.2023.8.16.0001</t>
        </is>
      </c>
      <c r="AA235" t="inlineStr">
        <is>
          <t>TJPR</t>
        </is>
      </c>
      <c r="AB235" t="inlineStr">
        <is>
          <t>marquesadmjudicial.com.br</t>
        </is>
      </c>
      <c r="AC235" t="inlineStr">
        <is>
          <t>ANDREAS WEIMER</t>
        </is>
      </c>
      <c r="AD235" t="inlineStr">
        <is>
          <t>Sócio-Administrador</t>
        </is>
      </c>
      <c r="AE235" t="inlineStr">
        <is>
          <t>(51) 3245-7112</t>
        </is>
      </c>
      <c r="AF235" t="inlineStr">
        <is>
          <t>(51) 3245-7157</t>
        </is>
      </c>
      <c r="AG235" t="inlineStr"/>
      <c r="AH235" t="inlineStr">
        <is>
          <t>RS</t>
        </is>
      </c>
      <c r="AI235" t="inlineStr">
        <is>
          <t>PORTO ALEGRE</t>
        </is>
      </c>
      <c r="AJ235" t="inlineStr">
        <is>
          <t>Fabricação de aparelhos e equipamentos de medida, teste e controle</t>
        </is>
      </c>
      <c r="AK235" t="inlineStr">
        <is>
          <t>DEMAIS</t>
        </is>
      </c>
      <c r="AL235" t="inlineStr">
        <is>
          <t>ATIVA</t>
        </is>
      </c>
      <c r="AM235" s="17" t="inlineStr">
        <is>
          <t>https://marquesadmjudicial.com.br/sgc/download.php?file=files/processo_documento/processo_documento15293208032024_1_.pdf&amp;nome=Relação Nominal de Credores da AJ-Sintética</t>
        </is>
      </c>
      <c r="AN235" s="18" t="inlineStr">
        <is>
          <t>p26 r11</t>
        </is>
      </c>
      <c r="AO235" s="18" t="inlineStr">
        <is>
          <t>p26: R$ 650.761,62</t>
        </is>
      </c>
      <c r="AP235" s="18" t="inlineStr">
        <is>
          <t>AJ_LIST</t>
        </is>
      </c>
      <c r="AQ235" s="18" t="inlineStr">
        <is>
          <t>2023-03-02</t>
        </is>
      </c>
      <c r="AR235" s="18" t="inlineStr">
        <is>
          <t>QUARANTINED</t>
        </is>
      </c>
      <c r="AS235" s="18" t="inlineStr">
        <is>
          <t>PARTIAL_DOC_CLASS_III_RECONCILED ROWS:p26r11</t>
        </is>
      </c>
      <c r="AT235" s="18" t="inlineStr">
        <is>
          <t>b465a5d11eec</t>
        </is>
      </c>
    </row>
    <row r="236">
      <c r="A236" s="9" t="n">
        <v>235</v>
      </c>
      <c r="B236" s="9" t="inlineStr">
        <is>
          <t>NEW</t>
        </is>
      </c>
      <c r="C236" s="9" t="inlineStr"/>
      <c r="D236" s="9" t="n">
        <v>0</v>
      </c>
      <c r="E236" s="9" t="inlineStr"/>
      <c r="F236" s="9" t="inlineStr"/>
      <c r="G236" s="9" t="inlineStr"/>
      <c r="H236" s="9" t="inlineStr"/>
      <c r="I236" t="inlineStr">
        <is>
          <t>MAGNUM DISTRIBUIDORA DE PNEUS S/A</t>
        </is>
      </c>
      <c r="J236" t="inlineStr">
        <is>
          <t>MAGNUM DISTRIBUIDORA DE PNEUS S/A</t>
        </is>
      </c>
      <c r="K236" t="inlineStr">
        <is>
          <t>19403406</t>
        </is>
      </c>
      <c r="L236" t="inlineStr">
        <is>
          <t>19403406001549</t>
        </is>
      </c>
      <c r="M236" s="10" t="n">
        <v>644893.08</v>
      </c>
      <c r="N236" t="n">
        <v>1</v>
      </c>
      <c r="O236" s="11" t="inlineStr">
        <is>
          <t>C</t>
        </is>
      </c>
      <c r="P236" s="11" t="inlineStr">
        <is>
          <t>ACTIVE</t>
        </is>
      </c>
      <c r="Q236" s="12" t="n">
        <v>44798</v>
      </c>
      <c r="R236" s="11">
        <f>IF(Q236="","",ROUND((TODAY()-Q236)/365.25,1))</f>
        <v/>
      </c>
      <c r="S236" s="13">
        <f>IFERROR(VLOOKUP(O236,Assumptions!$A$7:$F$11,2,FALSE),0.25)</f>
        <v/>
      </c>
      <c r="T236" s="14">
        <f>IF(O236="A",MAX(1,IFERROR(VLOOKUP(O236,Assumptions!$A$7:$F$11,3,FALSE),3)+IFERROR(VLOOKUP(O236,Assumptions!$A$7:$F$11,4,FALSE),8)/2-MAX(0,IF(R236="",0,R236)-IFERROR(VLOOKUP(O236,Assumptions!$A$7:$F$11,5,FALSE),1.5))),IFERROR(VLOOKUP(O236,Assumptions!$A$7:$F$11,5,FALSE),2.5)+IFERROR(VLOOKUP(O236,Assumptions!$A$7:$F$11,3,FALSE),3)+IFERROR(VLOOKUP(O236,Assumptions!$A$7:$F$11,4,FALSE),8)/2)</f>
        <v/>
      </c>
      <c r="U236" s="15">
        <f>M236*S236/(1+Assumptions!$B$3)^T236</f>
        <v/>
      </c>
      <c r="V236" s="11">
        <f>IF(M236=0,"",ROUND(U236/M236*100,1))</f>
        <v/>
      </c>
      <c r="W236" s="16">
        <f>U236*Assumptions!$B$4</f>
        <v/>
      </c>
      <c r="X236" s="11">
        <f>IF(M236=0,"",ROUND(W236/M236*100,1))</f>
        <v/>
      </c>
      <c r="Y236" t="inlineStr">
        <is>
          <t>SECULAR COMÉRCIO CONSTRUÇÃO E REPRESENTAÇÃO LTDA - ME, EM RECUPERAÇÃO JUDICIAL</t>
        </is>
      </c>
      <c r="Z236" t="inlineStr">
        <is>
          <t>0804204-35.2022.8.15.0731</t>
        </is>
      </c>
      <c r="AA236" t="inlineStr">
        <is>
          <t>TJPB</t>
        </is>
      </c>
      <c r="AB236" t="inlineStr">
        <is>
          <t>lrflideres.com.br</t>
        </is>
      </c>
      <c r="AC236" t="inlineStr">
        <is>
          <t>ANTONIO CARLOS CAVALCANTI DE ARAUJO FILHO</t>
        </is>
      </c>
      <c r="AD236" t="inlineStr">
        <is>
          <t>Presidente</t>
        </is>
      </c>
      <c r="AE236" t="inlineStr">
        <is>
          <t>(81) 3797-6245</t>
        </is>
      </c>
      <c r="AF236" t="inlineStr">
        <is>
          <t>(81) 3797-6246</t>
        </is>
      </c>
      <c r="AG236" t="inlineStr"/>
      <c r="AH236" t="inlineStr">
        <is>
          <t>PE</t>
        </is>
      </c>
      <c r="AI236" t="inlineStr">
        <is>
          <t>JABOATAO DOS GUARARAPES</t>
        </is>
      </c>
      <c r="AJ236" t="inlineStr">
        <is>
          <t>Comércio por atacado de pneumáticos e câmaras-de-ar</t>
        </is>
      </c>
      <c r="AK236" t="inlineStr">
        <is>
          <t>DEMAIS</t>
        </is>
      </c>
      <c r="AL236" t="inlineStr">
        <is>
          <t>ATIVA</t>
        </is>
      </c>
      <c r="AM236" s="17" t="inlineStr">
        <is>
          <t>https://lrflideres.com.br/wp-content/uploads/2022/08/4.-EDITAL-2a-LISTA-DE-CREDORES.pdf</t>
        </is>
      </c>
      <c r="AN236" s="18" t="inlineStr">
        <is>
          <t>p1 r21</t>
        </is>
      </c>
      <c r="AO236" s="18" t="inlineStr">
        <is>
          <t>p1: R$ 644.893,08</t>
        </is>
      </c>
      <c r="AP236" s="18" t="inlineStr">
        <is>
          <t>AJ_LIST</t>
        </is>
      </c>
      <c r="AQ236" s="18" t="inlineStr">
        <is>
          <t>2023-12-04</t>
        </is>
      </c>
      <c r="AR236" s="18" t="inlineStr">
        <is>
          <t>OK</t>
        </is>
      </c>
      <c r="AS236" s="18" t="inlineStr">
        <is>
          <t>ROWS:p1r21</t>
        </is>
      </c>
      <c r="AT236" s="18" t="inlineStr">
        <is>
          <t>1355f93a13cd</t>
        </is>
      </c>
    </row>
    <row r="237">
      <c r="A237" s="9" t="n">
        <v>236</v>
      </c>
      <c r="B237" s="9" t="inlineStr">
        <is>
          <t>NEW</t>
        </is>
      </c>
      <c r="C237" s="9" t="inlineStr"/>
      <c r="D237" s="9" t="n">
        <v>0</v>
      </c>
      <c r="E237" s="9" t="inlineStr"/>
      <c r="F237" s="9" t="inlineStr"/>
      <c r="G237" s="9" t="inlineStr"/>
      <c r="H237" s="9" t="inlineStr"/>
      <c r="I237" t="inlineStr">
        <is>
          <t>COMPANHIA ENERGETICA DE PERNAMBUCO</t>
        </is>
      </c>
      <c r="J237" t="inlineStr">
        <is>
          <t>NEONERGIA PERNAMBUCO - CIA ENERGETICA DE PERNAMBUCO</t>
        </is>
      </c>
      <c r="K237" t="inlineStr">
        <is>
          <t>10835932</t>
        </is>
      </c>
      <c r="L237" t="inlineStr">
        <is>
          <t>10835932000108</t>
        </is>
      </c>
      <c r="M237" s="10" t="n">
        <v>642987.9399999999</v>
      </c>
      <c r="N237" t="n">
        <v>1</v>
      </c>
      <c r="O237" s="11" t="inlineStr">
        <is>
          <t>D</t>
        </is>
      </c>
      <c r="P237" s="11" t="inlineStr"/>
      <c r="Q237" s="12" t="inlineStr"/>
      <c r="R237" s="11">
        <f>IF(Q237="","",ROUND((TODAY()-Q237)/365.25,1))</f>
        <v/>
      </c>
      <c r="S237" s="13">
        <f>IFERROR(VLOOKUP(O237,Assumptions!$A$7:$F$11,2,FALSE),0.25)</f>
        <v/>
      </c>
      <c r="T237" s="14">
        <f>IF(O237="A",MAX(1,IFERROR(VLOOKUP(O237,Assumptions!$A$7:$F$11,3,FALSE),3)+IFERROR(VLOOKUP(O237,Assumptions!$A$7:$F$11,4,FALSE),8)/2-MAX(0,IF(R237="",0,R237)-IFERROR(VLOOKUP(O237,Assumptions!$A$7:$F$11,5,FALSE),1.5))),IFERROR(VLOOKUP(O237,Assumptions!$A$7:$F$11,5,FALSE),2.5)+IFERROR(VLOOKUP(O237,Assumptions!$A$7:$F$11,3,FALSE),3)+IFERROR(VLOOKUP(O237,Assumptions!$A$7:$F$11,4,FALSE),8)/2)</f>
        <v/>
      </c>
      <c r="U237" s="15">
        <f>M237*S237/(1+Assumptions!$B$3)^T237</f>
        <v/>
      </c>
      <c r="V237" s="11">
        <f>IF(M237=0,"",ROUND(U237/M237*100,1))</f>
        <v/>
      </c>
      <c r="W237" s="16">
        <f>U237*Assumptions!$B$4</f>
        <v/>
      </c>
      <c r="X237" s="11">
        <f>IF(M237=0,"",ROUND(W237/M237*100,1))</f>
        <v/>
      </c>
      <c r="Y237" t="inlineStr">
        <is>
          <t>COPA FRUIT IMPORTAÇÃO E EXPORTAÇÃO S.A</t>
        </is>
      </c>
      <c r="Z237" t="inlineStr">
        <is>
          <t>0032731-52.2010.8.17.0001</t>
        </is>
      </c>
      <c r="AA237" t="inlineStr"/>
      <c r="AB237" t="inlineStr">
        <is>
          <t>diligence.adm.br</t>
        </is>
      </c>
      <c r="AC237" t="inlineStr">
        <is>
          <t>SAULO CABRAL E SILVA</t>
        </is>
      </c>
      <c r="AD237" t="inlineStr">
        <is>
          <t>Presidente</t>
        </is>
      </c>
      <c r="AE237" t="inlineStr">
        <is>
          <t>(81) 3217-5226</t>
        </is>
      </c>
      <c r="AF237" t="inlineStr"/>
      <c r="AG237" t="inlineStr"/>
      <c r="AH237" t="inlineStr">
        <is>
          <t>PE</t>
        </is>
      </c>
      <c r="AI237" t="inlineStr">
        <is>
          <t>RECIFE</t>
        </is>
      </c>
      <c r="AJ237" t="inlineStr">
        <is>
          <t>Distribuição de energia elétrica</t>
        </is>
      </c>
      <c r="AK237" t="inlineStr">
        <is>
          <t>DEMAIS</t>
        </is>
      </c>
      <c r="AL237" t="inlineStr">
        <is>
          <t>ATIVA</t>
        </is>
      </c>
      <c r="AM237" s="17" t="inlineStr">
        <is>
          <t>https://diligence.adm.br/wp-content/plugins/download-attachments/includes/download.php?id=4579</t>
        </is>
      </c>
      <c r="AN237" s="18" t="inlineStr">
        <is>
          <t>p8 r9</t>
        </is>
      </c>
      <c r="AO237" s="18" t="inlineStr">
        <is>
          <t>p8: R$ 642.987,94</t>
        </is>
      </c>
      <c r="AP237" s="18" t="inlineStr">
        <is>
          <t>AJ_LIST</t>
        </is>
      </c>
      <c r="AQ237" s="18" t="inlineStr">
        <is>
          <t>2024-06-11</t>
        </is>
      </c>
      <c r="AR237" s="18" t="inlineStr">
        <is>
          <t>OK_NO_TOTALS</t>
        </is>
      </c>
      <c r="AS237" s="18" t="inlineStr">
        <is>
          <t>ROWS:p8r9 UNRECONCILED_SOURCE VALUE_COL:Crédito_1ª_Lista</t>
        </is>
      </c>
      <c r="AT237" s="18" t="inlineStr">
        <is>
          <t>bf3c4e448c3e</t>
        </is>
      </c>
    </row>
    <row r="238">
      <c r="A238" s="9" t="n">
        <v>237</v>
      </c>
      <c r="B238" s="9" t="inlineStr">
        <is>
          <t>NEW</t>
        </is>
      </c>
      <c r="C238" s="9" t="inlineStr"/>
      <c r="D238" s="9" t="n">
        <v>0</v>
      </c>
      <c r="E238" s="9" t="inlineStr"/>
      <c r="F238" s="9" t="inlineStr"/>
      <c r="G238" s="9" t="inlineStr"/>
      <c r="H238" s="9" t="inlineStr"/>
      <c r="I238" t="inlineStr">
        <is>
          <t>GAZIN INDUSTRIA E COMERCIO DE MOVEIS E ELETRODOMESTICOS S.A</t>
        </is>
      </c>
      <c r="J238" t="inlineStr">
        <is>
          <t>77.941.490/0195-06</t>
        </is>
      </c>
      <c r="K238" t="inlineStr">
        <is>
          <t>77941490</t>
        </is>
      </c>
      <c r="L238" t="inlineStr">
        <is>
          <t>77941490019506</t>
        </is>
      </c>
      <c r="M238" s="10" t="n">
        <v>641648.34</v>
      </c>
      <c r="N238" t="n">
        <v>1</v>
      </c>
      <c r="O238" s="11" t="inlineStr">
        <is>
          <t>C</t>
        </is>
      </c>
      <c r="P238" s="11" t="inlineStr">
        <is>
          <t>ACTIVE</t>
        </is>
      </c>
      <c r="Q238" s="12" t="n">
        <v>43894</v>
      </c>
      <c r="R238" s="11">
        <f>IF(Q238="","",ROUND((TODAY()-Q238)/365.25,1))</f>
        <v/>
      </c>
      <c r="S238" s="13">
        <f>IFERROR(VLOOKUP(O238,Assumptions!$A$7:$F$11,2,FALSE),0.25)</f>
        <v/>
      </c>
      <c r="T238" s="14">
        <f>IF(O238="A",MAX(1,IFERROR(VLOOKUP(O238,Assumptions!$A$7:$F$11,3,FALSE),3)+IFERROR(VLOOKUP(O238,Assumptions!$A$7:$F$11,4,FALSE),8)/2-MAX(0,IF(R238="",0,R238)-IFERROR(VLOOKUP(O238,Assumptions!$A$7:$F$11,5,FALSE),1.5))),IFERROR(VLOOKUP(O238,Assumptions!$A$7:$F$11,5,FALSE),2.5)+IFERROR(VLOOKUP(O238,Assumptions!$A$7:$F$11,3,FALSE),3)+IFERROR(VLOOKUP(O238,Assumptions!$A$7:$F$11,4,FALSE),8)/2)</f>
        <v/>
      </c>
      <c r="U238" s="15">
        <f>M238*S238/(1+Assumptions!$B$3)^T238</f>
        <v/>
      </c>
      <c r="V238" s="11">
        <f>IF(M238=0,"",ROUND(U238/M238*100,1))</f>
        <v/>
      </c>
      <c r="W238" s="16">
        <f>U238*Assumptions!$B$4</f>
        <v/>
      </c>
      <c r="X238" s="11">
        <f>IF(M238=0,"",ROUND(W238/M238*100,1))</f>
        <v/>
      </c>
      <c r="Y238" t="inlineStr">
        <is>
          <t>CREDIMÓVEIS NOVOLAR LTDA.</t>
        </is>
      </c>
      <c r="Z238" t="inlineStr">
        <is>
          <t>0007565-40.2020.8.17.2370</t>
        </is>
      </c>
      <c r="AA238" t="inlineStr">
        <is>
          <t>TJPE</t>
        </is>
      </c>
      <c r="AB238" t="inlineStr">
        <is>
          <t>recuperacaojudicial.squarespace.com</t>
        </is>
      </c>
      <c r="AC238" t="inlineStr">
        <is>
          <t>GILMAR ALVES DE OLIVEIRA</t>
        </is>
      </c>
      <c r="AD238" t="inlineStr">
        <is>
          <t>Administrador</t>
        </is>
      </c>
      <c r="AE238" t="inlineStr">
        <is>
          <t>(44) 3663-8000</t>
        </is>
      </c>
      <c r="AF238" t="inlineStr">
        <is>
          <t>(44) 3663-8000</t>
        </is>
      </c>
      <c r="AG238" t="inlineStr"/>
      <c r="AH238" t="inlineStr">
        <is>
          <t>PR</t>
        </is>
      </c>
      <c r="AI238" t="inlineStr">
        <is>
          <t>DOURADINA</t>
        </is>
      </c>
      <c r="AJ238" t="inlineStr">
        <is>
          <t>Comércio varejista especializado de eletrodomésticos e equipamentos de áudio e vídeo</t>
        </is>
      </c>
      <c r="AK238" t="inlineStr">
        <is>
          <t>DEMAIS</t>
        </is>
      </c>
      <c r="AL238" t="inlineStr">
        <is>
          <t>ATIVA</t>
        </is>
      </c>
      <c r="AM238" s="17" t="inlineStr">
        <is>
          <t>https://recuperacaojudicial.squarespace.com/s/RJ-Credimoveis-QGC-01082025.pdf</t>
        </is>
      </c>
      <c r="AN238" s="18" t="inlineStr">
        <is>
          <t>p15 r46</t>
        </is>
      </c>
      <c r="AO238" s="18" t="inlineStr">
        <is>
          <t>p15: R$ 641.648,34</t>
        </is>
      </c>
      <c r="AP238" s="18" t="inlineStr">
        <is>
          <t>QGC</t>
        </is>
      </c>
      <c r="AQ238" s="18" t="inlineStr">
        <is>
          <t>2026-01-28</t>
        </is>
      </c>
      <c r="AR238" s="18" t="inlineStr">
        <is>
          <t>OK</t>
        </is>
      </c>
      <c r="AS238" s="18" t="inlineStr">
        <is>
          <t>ROWS:p15r46</t>
        </is>
      </c>
      <c r="AT238" s="18" t="inlineStr">
        <is>
          <t>849d4fe5adce</t>
        </is>
      </c>
    </row>
    <row r="239">
      <c r="A239" s="9" t="n">
        <v>238</v>
      </c>
      <c r="B239" s="9" t="inlineStr">
        <is>
          <t>NEW</t>
        </is>
      </c>
      <c r="C239" s="9" t="inlineStr"/>
      <c r="D239" s="9" t="n">
        <v>0</v>
      </c>
      <c r="E239" s="9" t="inlineStr"/>
      <c r="F239" s="9" t="inlineStr"/>
      <c r="G239" s="9" t="inlineStr"/>
      <c r="H239" s="9" t="inlineStr"/>
      <c r="I239" t="inlineStr">
        <is>
          <t>VEREDA ALIMENTOS LTDA</t>
        </is>
      </c>
      <c r="J239" t="inlineStr">
        <is>
          <t>Abatedouro Vereda</t>
        </is>
      </c>
      <c r="K239" t="inlineStr">
        <is>
          <t>04454667</t>
        </is>
      </c>
      <c r="L239" t="inlineStr">
        <is>
          <t>04454667000115</t>
        </is>
      </c>
      <c r="M239" s="10" t="n">
        <v>634021.16</v>
      </c>
      <c r="N239" t="n">
        <v>1</v>
      </c>
      <c r="O239" s="11" t="inlineStr">
        <is>
          <t>B</t>
        </is>
      </c>
      <c r="P239" s="11" t="inlineStr">
        <is>
          <t>ACTIVE</t>
        </is>
      </c>
      <c r="Q239" s="12" t="n">
        <v>46130</v>
      </c>
      <c r="R239" s="11">
        <f>IF(Q239="","",ROUND((TODAY()-Q239)/365.25,1))</f>
        <v/>
      </c>
      <c r="S239" s="13">
        <f>IFERROR(VLOOKUP(O239,Assumptions!$A$7:$F$11,2,FALSE),0.25)</f>
        <v/>
      </c>
      <c r="T239" s="14">
        <f>IF(O239="A",MAX(1,IFERROR(VLOOKUP(O239,Assumptions!$A$7:$F$11,3,FALSE),3)+IFERROR(VLOOKUP(O239,Assumptions!$A$7:$F$11,4,FALSE),8)/2-MAX(0,IF(R239="",0,R239)-IFERROR(VLOOKUP(O239,Assumptions!$A$7:$F$11,5,FALSE),1.5))),IFERROR(VLOOKUP(O239,Assumptions!$A$7:$F$11,5,FALSE),2.5)+IFERROR(VLOOKUP(O239,Assumptions!$A$7:$F$11,3,FALSE),3)+IFERROR(VLOOKUP(O239,Assumptions!$A$7:$F$11,4,FALSE),8)/2)</f>
        <v/>
      </c>
      <c r="U239" s="15">
        <f>M239*S239/(1+Assumptions!$B$3)^T239</f>
        <v/>
      </c>
      <c r="V239" s="11">
        <f>IF(M239=0,"",ROUND(U239/M239*100,1))</f>
        <v/>
      </c>
      <c r="W239" s="16">
        <f>U239*Assumptions!$B$4</f>
        <v/>
      </c>
      <c r="X239" s="11">
        <f>IF(M239=0,"",ROUND(W239/M239*100,1))</f>
        <v/>
      </c>
      <c r="Y239" t="inlineStr">
        <is>
          <t>GRUPO 3E</t>
        </is>
      </c>
      <c r="Z239" t="inlineStr">
        <is>
          <t>5341375-33.2026.8.09.0049</t>
        </is>
      </c>
      <c r="AA239" t="inlineStr">
        <is>
          <t>TJGO</t>
        </is>
      </c>
      <c r="AB239" t="inlineStr">
        <is>
          <t>stenius.com.br</t>
        </is>
      </c>
      <c r="AC239" t="inlineStr">
        <is>
          <t>EDVALDO ANTONIO LOPES</t>
        </is>
      </c>
      <c r="AD239" t="inlineStr">
        <is>
          <t>Administrador</t>
        </is>
      </c>
      <c r="AE239" t="inlineStr">
        <is>
          <t>(62) 8147-9122</t>
        </is>
      </c>
      <c r="AF239" t="inlineStr"/>
      <c r="AG239" t="inlineStr"/>
      <c r="AH239" t="inlineStr">
        <is>
          <t>GO</t>
        </is>
      </c>
      <c r="AI239" t="inlineStr">
        <is>
          <t>GOIANESIA</t>
        </is>
      </c>
      <c r="AJ239" t="inlineStr">
        <is>
          <t>Frigorífico - abate de bovinos</t>
        </is>
      </c>
      <c r="AK239" t="inlineStr">
        <is>
          <t>DEMAIS</t>
        </is>
      </c>
      <c r="AL239" t="inlineStr">
        <is>
          <t>ATIVA</t>
        </is>
      </c>
      <c r="AM239" s="17" t="inlineStr">
        <is>
          <t>https://stenius.com.br/wp-content/uploads/2026/06/EDITAL-GRUPO-3E.pdf</t>
        </is>
      </c>
      <c r="AN239" s="18" t="inlineStr">
        <is>
          <t>p9 r11</t>
        </is>
      </c>
      <c r="AO239" s="18" t="inlineStr">
        <is>
          <t>p9: R$ 634.021,16</t>
        </is>
      </c>
      <c r="AP239" s="18" t="inlineStr">
        <is>
          <t>DEBTOR_LIST</t>
        </is>
      </c>
      <c r="AQ239" s="18" t="inlineStr">
        <is>
          <t>2026-06-22</t>
        </is>
      </c>
      <c r="AR239" s="18" t="inlineStr">
        <is>
          <t>OK_NO_TOTALS</t>
        </is>
      </c>
      <c r="AS239" s="18" t="inlineStr">
        <is>
          <t>ROWS:p9r11 UNRECONCILED_SOURCE</t>
        </is>
      </c>
      <c r="AT239" s="18" t="inlineStr">
        <is>
          <t>8e8832093a15</t>
        </is>
      </c>
    </row>
    <row r="240">
      <c r="A240" s="9" t="n">
        <v>239</v>
      </c>
      <c r="B240" s="9" t="inlineStr">
        <is>
          <t>NEW</t>
        </is>
      </c>
      <c r="C240" s="9" t="inlineStr"/>
      <c r="D240" s="9" t="n">
        <v>0</v>
      </c>
      <c r="E240" s="9" t="inlineStr"/>
      <c r="F240" s="9" t="inlineStr"/>
      <c r="G240" s="9" t="inlineStr"/>
      <c r="H240" s="9" t="inlineStr"/>
      <c r="I240" t="inlineStr">
        <is>
          <t>EVERTON FPS INDUSTRIA E COMERCIO DE PECAS LTDA</t>
        </is>
      </c>
      <c r="J240" t="inlineStr">
        <is>
          <t>pessoa jurídica de direito privado, devidamente inscrita no CNPJ/MF sob o nº</t>
        </is>
      </c>
      <c r="K240" t="inlineStr">
        <is>
          <t>07243854</t>
        </is>
      </c>
      <c r="L240" t="inlineStr">
        <is>
          <t>07243854000148</t>
        </is>
      </c>
      <c r="M240" s="10" t="n">
        <v>632893.59</v>
      </c>
      <c r="N240" t="n">
        <v>1</v>
      </c>
      <c r="O240" s="11" t="inlineStr">
        <is>
          <t>C</t>
        </is>
      </c>
      <c r="P240" s="11" t="inlineStr"/>
      <c r="Q240" s="12" t="inlineStr"/>
      <c r="R240" s="11">
        <f>IF(Q240="","",ROUND((TODAY()-Q240)/365.25,1))</f>
        <v/>
      </c>
      <c r="S240" s="13">
        <f>IFERROR(VLOOKUP(O240,Assumptions!$A$7:$F$11,2,FALSE),0.25)</f>
        <v/>
      </c>
      <c r="T240" s="14">
        <f>IF(O240="A",MAX(1,IFERROR(VLOOKUP(O240,Assumptions!$A$7:$F$11,3,FALSE),3)+IFERROR(VLOOKUP(O240,Assumptions!$A$7:$F$11,4,FALSE),8)/2-MAX(0,IF(R240="",0,R240)-IFERROR(VLOOKUP(O240,Assumptions!$A$7:$F$11,5,FALSE),1.5))),IFERROR(VLOOKUP(O240,Assumptions!$A$7:$F$11,5,FALSE),2.5)+IFERROR(VLOOKUP(O240,Assumptions!$A$7:$F$11,3,FALSE),3)+IFERROR(VLOOKUP(O240,Assumptions!$A$7:$F$11,4,FALSE),8)/2)</f>
        <v/>
      </c>
      <c r="U240" s="15">
        <f>M240*S240/(1+Assumptions!$B$3)^T240</f>
        <v/>
      </c>
      <c r="V240" s="11">
        <f>IF(M240=0,"",ROUND(U240/M240*100,1))</f>
        <v/>
      </c>
      <c r="W240" s="16">
        <f>U240*Assumptions!$B$4</f>
        <v/>
      </c>
      <c r="X240" s="11">
        <f>IF(M240=0,"",ROUND(W240/M240*100,1))</f>
        <v/>
      </c>
      <c r="Y240" t="inlineStr">
        <is>
          <t>EVER TON FPS IMPORTAÇÃO E EXPORTAÇÃO LTDA EPP E OUTRAS</t>
        </is>
      </c>
      <c r="Z240" t="inlineStr">
        <is>
          <t>1054969-12.2018.8.26.0100</t>
        </is>
      </c>
      <c r="AA240" t="inlineStr"/>
      <c r="AB240" t="inlineStr">
        <is>
          <t>brasiltrustee.com.br</t>
        </is>
      </c>
      <c r="AC240" t="inlineStr">
        <is>
          <t>ANTONIO JADIR MIRANDA</t>
        </is>
      </c>
      <c r="AD240" t="inlineStr">
        <is>
          <t>Sócio-Administrador</t>
        </is>
      </c>
      <c r="AE240" t="inlineStr">
        <is>
          <t>(11) 3525-8700</t>
        </is>
      </c>
      <c r="AF240" t="inlineStr">
        <is>
          <t>(11) 3525-8712</t>
        </is>
      </c>
      <c r="AG240" t="inlineStr"/>
      <c r="AH240" t="inlineStr">
        <is>
          <t>SP</t>
        </is>
      </c>
      <c r="AI240" t="inlineStr">
        <is>
          <t>COTIA</t>
        </is>
      </c>
      <c r="AJ240" t="inlineStr">
        <is>
          <t>Fabricação de máquinas e equipamentos para uso industrial específico não especificados anteriormente, peças e acessórios</t>
        </is>
      </c>
      <c r="AK240" t="inlineStr">
        <is>
          <t>EMPRESA DE PEQUENO PORTE</t>
        </is>
      </c>
      <c r="AL240" t="inlineStr">
        <is>
          <t>ATIVA</t>
        </is>
      </c>
      <c r="AM240" s="17" t="inlineStr">
        <is>
          <t>https://violet-wolf-754008.hostingersite.com/wp-content/uploads/recuperacoes-judiciais/ever-ton/1º-edital.pdf</t>
        </is>
      </c>
      <c r="AN240" s="18" t="inlineStr">
        <is>
          <t>p4 r8</t>
        </is>
      </c>
      <c r="AO240" s="18" t="inlineStr">
        <is>
          <t>p4: R$ 632.893,59</t>
        </is>
      </c>
      <c r="AP240" s="18" t="inlineStr">
        <is>
          <t>QGC</t>
        </is>
      </c>
      <c r="AQ240" s="18" t="inlineStr"/>
      <c r="AR240" s="18" t="inlineStr">
        <is>
          <t>OK_NO_TOTALS</t>
        </is>
      </c>
      <c r="AS240" s="18" t="inlineStr">
        <is>
          <t>ROWS:p4r8 UNRECONCILED_SOURCE</t>
        </is>
      </c>
      <c r="AT240" s="18" t="inlineStr">
        <is>
          <t>814b9783cf48</t>
        </is>
      </c>
    </row>
    <row r="241">
      <c r="A241" s="9" t="n">
        <v>240</v>
      </c>
      <c r="B241" s="9" t="inlineStr">
        <is>
          <t>NEW</t>
        </is>
      </c>
      <c r="C241" s="9" t="inlineStr"/>
      <c r="D241" s="9" t="n">
        <v>0</v>
      </c>
      <c r="E241" s="9" t="inlineStr"/>
      <c r="F241" s="9" t="inlineStr"/>
      <c r="G241" s="9" t="inlineStr"/>
      <c r="H241" s="9" t="inlineStr"/>
      <c r="I241" t="inlineStr">
        <is>
          <t>WALDMAN COMERCIO IMPORTACAO E EXPORTACAO LTDA</t>
        </is>
      </c>
      <c r="J241" t="inlineStr">
        <is>
          <t>Avenida Tucunaré, nº 550, 1º Pavilhão, Escritório 6, Tamboré, CEP nº 06-460-020, Baureri/SP</t>
        </is>
      </c>
      <c r="K241" t="inlineStr">
        <is>
          <t>71800296</t>
        </is>
      </c>
      <c r="L241" t="inlineStr">
        <is>
          <t>71800296000173</t>
        </is>
      </c>
      <c r="M241" s="10" t="n">
        <v>628894.45</v>
      </c>
      <c r="N241" t="n">
        <v>2</v>
      </c>
      <c r="O241" s="11" t="inlineStr">
        <is>
          <t>B</t>
        </is>
      </c>
      <c r="P241" s="11" t="inlineStr">
        <is>
          <t>ACTIVE</t>
        </is>
      </c>
      <c r="Q241" s="12" t="n">
        <v>45644</v>
      </c>
      <c r="R241" s="11">
        <f>IF(Q241="","",ROUND((TODAY()-Q241)/365.25,1))</f>
        <v/>
      </c>
      <c r="S241" s="13">
        <f>IFERROR(VLOOKUP(O241,Assumptions!$A$7:$F$11,2,FALSE),0.25)</f>
        <v/>
      </c>
      <c r="T241" s="14">
        <f>IF(O241="A",MAX(1,IFERROR(VLOOKUP(O241,Assumptions!$A$7:$F$11,3,FALSE),3)+IFERROR(VLOOKUP(O241,Assumptions!$A$7:$F$11,4,FALSE),8)/2-MAX(0,IF(R241="",0,R241)-IFERROR(VLOOKUP(O241,Assumptions!$A$7:$F$11,5,FALSE),1.5))),IFERROR(VLOOKUP(O241,Assumptions!$A$7:$F$11,5,FALSE),2.5)+IFERROR(VLOOKUP(O241,Assumptions!$A$7:$F$11,3,FALSE),3)+IFERROR(VLOOKUP(O241,Assumptions!$A$7:$F$11,4,FALSE),8)/2)</f>
        <v/>
      </c>
      <c r="U241" s="15">
        <f>M241*S241/(1+Assumptions!$B$3)^T241</f>
        <v/>
      </c>
      <c r="V241" s="11">
        <f>IF(M241=0,"",ROUND(U241/M241*100,1))</f>
        <v/>
      </c>
      <c r="W241" s="16">
        <f>U241*Assumptions!$B$4</f>
        <v/>
      </c>
      <c r="X241" s="11">
        <f>IF(M241=0,"",ROUND(W241/M241*100,1))</f>
        <v/>
      </c>
      <c r="Y241" t="inlineStr">
        <is>
          <t>GRUPO RIVER MUSIC</t>
        </is>
      </c>
      <c r="Z241" t="inlineStr">
        <is>
          <t>1001174-80.2024.8.26.0359</t>
        </is>
      </c>
      <c r="AA241" t="inlineStr">
        <is>
          <t>TJSP</t>
        </is>
      </c>
      <c r="AB241" t="inlineStr">
        <is>
          <t>ativosajce.com.br</t>
        </is>
      </c>
      <c r="AC241" t="inlineStr">
        <is>
          <t>EVERTON WALDMAN</t>
        </is>
      </c>
      <c r="AD241" t="inlineStr">
        <is>
          <t>Sócio-Administrador</t>
        </is>
      </c>
      <c r="AE241" t="inlineStr">
        <is>
          <t>(11) 2199-2999</t>
        </is>
      </c>
      <c r="AF241" t="inlineStr"/>
      <c r="AG241" t="inlineStr"/>
      <c r="AH241" t="inlineStr">
        <is>
          <t>SP</t>
        </is>
      </c>
      <c r="AI241" t="inlineStr">
        <is>
          <t>BARUERI</t>
        </is>
      </c>
      <c r="AJ241" t="inlineStr">
        <is>
          <t>Comércio atacadista de outros equipamentos e artigos de uso pessoal e doméstico não especificados anteriormente</t>
        </is>
      </c>
      <c r="AK241" t="inlineStr">
        <is>
          <t>DEMAIS</t>
        </is>
      </c>
      <c r="AL241" t="inlineStr">
        <is>
          <t>ATIVA</t>
        </is>
      </c>
      <c r="AM241" s="17" t="inlineStr">
        <is>
          <t>https://ativosajce.com.br/admin/download.php?file=files/processo_documento/processo_documento18543908052025_1_.pdf&amp;nome=Relação de Credores - art. 52, §1º da Lei 11.101/05 - 27/01/2025</t>
        </is>
      </c>
      <c r="AN241" s="18" t="inlineStr">
        <is>
          <t>p3 r12; p3 r28</t>
        </is>
      </c>
      <c r="AO241" s="18" t="inlineStr">
        <is>
          <t>p3: R$ 75.600,00; p3: R$ 553.294,45</t>
        </is>
      </c>
      <c r="AP241" s="18" t="inlineStr">
        <is>
          <t>UNKNOWN</t>
        </is>
      </c>
      <c r="AQ241" s="18" t="inlineStr"/>
      <c r="AR241" s="18" t="inlineStr">
        <is>
          <t>OK_NO_TOTALS</t>
        </is>
      </c>
      <c r="AS241" s="18" t="inlineStr">
        <is>
          <t>ROWS:p3r12,p3r28 UNRECONCILED_SOURCE VALUE_COL:Valor_Do_Créidto</t>
        </is>
      </c>
      <c r="AT241" s="18" t="inlineStr">
        <is>
          <t>442539f948e0</t>
        </is>
      </c>
    </row>
    <row r="242">
      <c r="A242" s="9" t="n">
        <v>241</v>
      </c>
      <c r="B242" s="9" t="inlineStr">
        <is>
          <t>NEW</t>
        </is>
      </c>
      <c r="C242" s="9" t="inlineStr"/>
      <c r="D242" s="9" t="n">
        <v>0</v>
      </c>
      <c r="E242" s="9" t="inlineStr"/>
      <c r="F242" s="9" t="inlineStr"/>
      <c r="G242" s="9" t="inlineStr"/>
      <c r="H242" s="9" t="inlineStr"/>
      <c r="I242" t="inlineStr">
        <is>
          <t>COMPANHIA ENERGETICA DE PERNAMBUCO</t>
        </is>
      </c>
      <c r="J242" t="inlineStr">
        <is>
          <t>NEOENERGIA</t>
        </is>
      </c>
      <c r="K242" t="inlineStr">
        <is>
          <t>10835932</t>
        </is>
      </c>
      <c r="L242" t="inlineStr">
        <is>
          <t>10835932000108</t>
        </is>
      </c>
      <c r="M242" s="10" t="n">
        <v>628007.87</v>
      </c>
      <c r="N242" t="n">
        <v>1</v>
      </c>
      <c r="O242" s="11" t="inlineStr">
        <is>
          <t>B</t>
        </is>
      </c>
      <c r="P242" s="11" t="inlineStr">
        <is>
          <t>ACTIVE</t>
        </is>
      </c>
      <c r="Q242" s="12" t="n">
        <v>45425</v>
      </c>
      <c r="R242" s="11">
        <f>IF(Q242="","",ROUND((TODAY()-Q242)/365.25,1))</f>
        <v/>
      </c>
      <c r="S242" s="13">
        <f>IFERROR(VLOOKUP(O242,Assumptions!$A$7:$F$11,2,FALSE),0.25)</f>
        <v/>
      </c>
      <c r="T242" s="14">
        <f>IF(O242="A",MAX(1,IFERROR(VLOOKUP(O242,Assumptions!$A$7:$F$11,3,FALSE),3)+IFERROR(VLOOKUP(O242,Assumptions!$A$7:$F$11,4,FALSE),8)/2-MAX(0,IF(R242="",0,R242)-IFERROR(VLOOKUP(O242,Assumptions!$A$7:$F$11,5,FALSE),1.5))),IFERROR(VLOOKUP(O242,Assumptions!$A$7:$F$11,5,FALSE),2.5)+IFERROR(VLOOKUP(O242,Assumptions!$A$7:$F$11,3,FALSE),3)+IFERROR(VLOOKUP(O242,Assumptions!$A$7:$F$11,4,FALSE),8)/2)</f>
        <v/>
      </c>
      <c r="U242" s="15">
        <f>M242*S242/(1+Assumptions!$B$3)^T242</f>
        <v/>
      </c>
      <c r="V242" s="11">
        <f>IF(M242=0,"",ROUND(U242/M242*100,1))</f>
        <v/>
      </c>
      <c r="W242" s="16">
        <f>U242*Assumptions!$B$4</f>
        <v/>
      </c>
      <c r="X242" s="11">
        <f>IF(M242=0,"",ROUND(W242/M242*100,1))</f>
        <v/>
      </c>
      <c r="Y242" t="inlineStr">
        <is>
          <t>GRUPO DIVINA</t>
        </is>
      </c>
      <c r="Z242" t="inlineStr">
        <is>
          <t>0000721-61.2024.8.17.2620</t>
        </is>
      </c>
      <c r="AA242" t="inlineStr">
        <is>
          <t>TJPE</t>
        </is>
      </c>
      <c r="AB242" t="inlineStr">
        <is>
          <t>lrflideres.com.br</t>
        </is>
      </c>
      <c r="AC242" t="inlineStr">
        <is>
          <t>SAULO CABRAL E SILVA</t>
        </is>
      </c>
      <c r="AD242" t="inlineStr">
        <is>
          <t>Presidente</t>
        </is>
      </c>
      <c r="AE242" t="inlineStr">
        <is>
          <t>(81) 3217-5226</t>
        </is>
      </c>
      <c r="AF242" t="inlineStr"/>
      <c r="AG242" t="inlineStr"/>
      <c r="AH242" t="inlineStr">
        <is>
          <t>PE</t>
        </is>
      </c>
      <c r="AI242" t="inlineStr">
        <is>
          <t>RECIFE</t>
        </is>
      </c>
      <c r="AJ242" t="inlineStr">
        <is>
          <t>Distribuição de energia elétrica</t>
        </is>
      </c>
      <c r="AK242" t="inlineStr">
        <is>
          <t>DEMAIS</t>
        </is>
      </c>
      <c r="AL242" t="inlineStr">
        <is>
          <t>ATIVA</t>
        </is>
      </c>
      <c r="AM242" s="17" t="inlineStr">
        <is>
          <t>https://lrflideres.com.br/wp-content/plugins/download-attachments/includes/download.php?id=6252</t>
        </is>
      </c>
      <c r="AN242" s="18" t="inlineStr">
        <is>
          <t>p2 r63</t>
        </is>
      </c>
      <c r="AO242" s="18" t="inlineStr">
        <is>
          <t>p2: R$ 628.007,87</t>
        </is>
      </c>
      <c r="AP242" s="18" t="inlineStr">
        <is>
          <t>AJ_LIST</t>
        </is>
      </c>
      <c r="AQ242" s="18" t="inlineStr">
        <is>
          <t>2024-11-27</t>
        </is>
      </c>
      <c r="AR242" s="18" t="inlineStr">
        <is>
          <t>QUARANTINED</t>
        </is>
      </c>
      <c r="AS242" s="18" t="inlineStr">
        <is>
          <t>PARTIAL_DOC_CLASS_III_RECONCILED ROWS:p2r63</t>
        </is>
      </c>
      <c r="AT242" s="18" t="inlineStr">
        <is>
          <t>38f0c15b8a2d</t>
        </is>
      </c>
    </row>
    <row r="243">
      <c r="A243" s="9" t="n">
        <v>242</v>
      </c>
      <c r="B243" s="9" t="inlineStr">
        <is>
          <t>NEW</t>
        </is>
      </c>
      <c r="C243" s="9" t="inlineStr"/>
      <c r="D243" s="9" t="n">
        <v>0</v>
      </c>
      <c r="E243" s="9" t="inlineStr"/>
      <c r="F243" s="9" t="inlineStr"/>
      <c r="G243" s="9" t="inlineStr"/>
      <c r="H243" s="9" t="inlineStr"/>
      <c r="I243" t="inlineStr">
        <is>
          <t>LINK COMERCIAL IMPORTADORA E EXPORTADORA LTDA</t>
        </is>
      </c>
      <c r="J243" t="inlineStr">
        <is>
          <t>LINK COMERCIAL IMPORTADORA E ESPORTADORA LTDA</t>
        </is>
      </c>
      <c r="K243" t="inlineStr">
        <is>
          <t>06089521</t>
        </is>
      </c>
      <c r="L243" t="inlineStr">
        <is>
          <t>06089521000143</t>
        </is>
      </c>
      <c r="M243" s="10" t="n">
        <v>622086.4</v>
      </c>
      <c r="N243" t="n">
        <v>1</v>
      </c>
      <c r="O243" s="11" t="inlineStr">
        <is>
          <t>C</t>
        </is>
      </c>
      <c r="P243" s="11" t="inlineStr"/>
      <c r="Q243" s="12" t="inlineStr"/>
      <c r="R243" s="11">
        <f>IF(Q243="","",ROUND((TODAY()-Q243)/365.25,1))</f>
        <v/>
      </c>
      <c r="S243" s="13">
        <f>IFERROR(VLOOKUP(O243,Assumptions!$A$7:$F$11,2,FALSE),0.25)</f>
        <v/>
      </c>
      <c r="T243" s="14">
        <f>IF(O243="A",MAX(1,IFERROR(VLOOKUP(O243,Assumptions!$A$7:$F$11,3,FALSE),3)+IFERROR(VLOOKUP(O243,Assumptions!$A$7:$F$11,4,FALSE),8)/2-MAX(0,IF(R243="",0,R243)-IFERROR(VLOOKUP(O243,Assumptions!$A$7:$F$11,5,FALSE),1.5))),IFERROR(VLOOKUP(O243,Assumptions!$A$7:$F$11,5,FALSE),2.5)+IFERROR(VLOOKUP(O243,Assumptions!$A$7:$F$11,3,FALSE),3)+IFERROR(VLOOKUP(O243,Assumptions!$A$7:$F$11,4,FALSE),8)/2)</f>
        <v/>
      </c>
      <c r="U243" s="15">
        <f>M243*S243/(1+Assumptions!$B$3)^T243</f>
        <v/>
      </c>
      <c r="V243" s="11">
        <f>IF(M243=0,"",ROUND(U243/M243*100,1))</f>
        <v/>
      </c>
      <c r="W243" s="16">
        <f>U243*Assumptions!$B$4</f>
        <v/>
      </c>
      <c r="X243" s="11">
        <f>IF(M243=0,"",ROUND(W243/M243*100,1))</f>
        <v/>
      </c>
      <c r="Y243" t="inlineStr">
        <is>
          <t>BLUTRAFOS BLUMENAU TRANSFORMADORES LTDA</t>
        </is>
      </c>
      <c r="Z243" t="inlineStr">
        <is>
          <t>0022845-08.2013.8.24.0008</t>
        </is>
      </c>
      <c r="AA243" t="inlineStr"/>
      <c r="AB243" t="inlineStr">
        <is>
          <t>administradorajudicialgs.com.br</t>
        </is>
      </c>
      <c r="AC243" t="inlineStr">
        <is>
          <t>ELIAS MARTINS</t>
        </is>
      </c>
      <c r="AD243" t="inlineStr">
        <is>
          <t>Administrador</t>
        </is>
      </c>
      <c r="AE243" t="inlineStr">
        <is>
          <t>(47) 9712-3161</t>
        </is>
      </c>
      <c r="AF243" t="inlineStr"/>
      <c r="AG243" t="inlineStr"/>
      <c r="AH243" t="inlineStr">
        <is>
          <t>SC</t>
        </is>
      </c>
      <c r="AI243" t="inlineStr">
        <is>
          <t>POMERODE</t>
        </is>
      </c>
      <c r="AJ243" t="inlineStr">
        <is>
          <t>Comércio atacadista especializado em outros produtos intermediários não especificados anteriormente</t>
        </is>
      </c>
      <c r="AK243" t="inlineStr">
        <is>
          <t>DEMAIS</t>
        </is>
      </c>
      <c r="AL243" t="inlineStr">
        <is>
          <t>ATIVA</t>
        </is>
      </c>
      <c r="AM243" s="17" t="inlineStr">
        <is>
          <t>https://administradorajudicialgs.com.br/wp-content/uploads/2023/08/advogados-sgrott-doc-22-relacao-de-credores-do-administrador-judicial-classe-iii-05-02-14.pdf</t>
        </is>
      </c>
      <c r="AN243" s="18" t="inlineStr">
        <is>
          <t>p4 r4</t>
        </is>
      </c>
      <c r="AO243" s="18" t="inlineStr">
        <is>
          <t>p4: R$ 622.086,40</t>
        </is>
      </c>
      <c r="AP243" s="18" t="inlineStr">
        <is>
          <t>UNKNOWN</t>
        </is>
      </c>
      <c r="AQ243" s="18" t="inlineStr"/>
      <c r="AR243" s="18" t="inlineStr">
        <is>
          <t>OK</t>
        </is>
      </c>
      <c r="AS243" s="18" t="inlineStr">
        <is>
          <t>ROWS:p4r4</t>
        </is>
      </c>
      <c r="AT243" s="18" t="inlineStr">
        <is>
          <t>22ac347cfe4f</t>
        </is>
      </c>
    </row>
    <row r="244">
      <c r="A244" s="9" t="n">
        <v>243</v>
      </c>
      <c r="B244" s="9" t="inlineStr">
        <is>
          <t>NEW</t>
        </is>
      </c>
      <c r="C244" s="9" t="inlineStr"/>
      <c r="D244" s="9" t="n">
        <v>0</v>
      </c>
      <c r="E244" s="9" t="inlineStr"/>
      <c r="F244" s="9" t="inlineStr"/>
      <c r="G244" s="9" t="inlineStr"/>
      <c r="H244" s="9" t="inlineStr"/>
      <c r="I244" t="inlineStr">
        <is>
          <t>ALGAR AVIATION TAXI AEREO S/A</t>
        </is>
      </c>
      <c r="J244" t="inlineStr">
        <is>
          <t>Algar Aviation Taxi Aereo S/A</t>
        </is>
      </c>
      <c r="K244" t="inlineStr">
        <is>
          <t>17186172</t>
        </is>
      </c>
      <c r="L244" t="inlineStr">
        <is>
          <t>17186172000102</t>
        </is>
      </c>
      <c r="M244" s="10" t="n">
        <v>620879.4300000001</v>
      </c>
      <c r="N244" t="n">
        <v>1</v>
      </c>
      <c r="O244" s="11" t="inlineStr">
        <is>
          <t>B</t>
        </is>
      </c>
      <c r="P244" s="11" t="inlineStr"/>
      <c r="Q244" s="12" t="n">
        <v>45756</v>
      </c>
      <c r="R244" s="11">
        <f>IF(Q244="","",ROUND((TODAY()-Q244)/365.25,1))</f>
        <v/>
      </c>
      <c r="S244" s="13">
        <f>IFERROR(VLOOKUP(O244,Assumptions!$A$7:$F$11,2,FALSE),0.25)</f>
        <v/>
      </c>
      <c r="T244" s="14">
        <f>IF(O244="A",MAX(1,IFERROR(VLOOKUP(O244,Assumptions!$A$7:$F$11,3,FALSE),3)+IFERROR(VLOOKUP(O244,Assumptions!$A$7:$F$11,4,FALSE),8)/2-MAX(0,IF(R244="",0,R244)-IFERROR(VLOOKUP(O244,Assumptions!$A$7:$F$11,5,FALSE),1.5))),IFERROR(VLOOKUP(O244,Assumptions!$A$7:$F$11,5,FALSE),2.5)+IFERROR(VLOOKUP(O244,Assumptions!$A$7:$F$11,3,FALSE),3)+IFERROR(VLOOKUP(O244,Assumptions!$A$7:$F$11,4,FALSE),8)/2)</f>
        <v/>
      </c>
      <c r="U244" s="15">
        <f>M244*S244/(1+Assumptions!$B$3)^T244</f>
        <v/>
      </c>
      <c r="V244" s="11">
        <f>IF(M244=0,"",ROUND(U244/M244*100,1))</f>
        <v/>
      </c>
      <c r="W244" s="16">
        <f>U244*Assumptions!$B$4</f>
        <v/>
      </c>
      <c r="X244" s="11">
        <f>IF(M244=0,"",ROUND(W244/M244*100,1))</f>
        <v/>
      </c>
      <c r="Y244" t="inlineStr">
        <is>
          <t>GRUPO EGESA (EGESA ENG S.A, EGESUR PART E EMP S.A, MATRIX INFRA LTDA, BEMVIVER ENG AMBIENTAL E SERV LTDA, DKF CONST E EMP LTDA, EGEPEL LTDA, ETR ASSESSORIA EMP E PART LTDA, MVT ENG E SERV LTDA, PARQUES DO VALE LTDA, ELMO RIBEIRO E ANA RIBEIRO)</t>
        </is>
      </c>
      <c r="Z244" t="inlineStr">
        <is>
          <t>5088952-81.2025.8.13.0024</t>
        </is>
      </c>
      <c r="AA244" t="inlineStr">
        <is>
          <t>TJMG</t>
        </is>
      </c>
      <c r="AB244" t="inlineStr">
        <is>
          <t>scalzilliaj.com.br</t>
        </is>
      </c>
      <c r="AC244" t="inlineStr">
        <is>
          <t>FERNANDA APARECIDA SANTOS</t>
        </is>
      </c>
      <c r="AD244" t="inlineStr">
        <is>
          <t>Diretor</t>
        </is>
      </c>
      <c r="AE244" t="inlineStr">
        <is>
          <t>(34) 2589-4663</t>
        </is>
      </c>
      <c r="AF244" t="inlineStr">
        <is>
          <t>(34) 2589-4662</t>
        </is>
      </c>
      <c r="AG244" t="inlineStr"/>
      <c r="AH244" t="inlineStr">
        <is>
          <t>MG</t>
        </is>
      </c>
      <c r="AI244" t="inlineStr">
        <is>
          <t>UBERLANDIA</t>
        </is>
      </c>
      <c r="AJ244" t="inlineStr">
        <is>
          <t>Serviço de táxi aéreo e locação de aeronaves com tripulação</t>
        </is>
      </c>
      <c r="AK244" t="inlineStr">
        <is>
          <t>DEMAIS</t>
        </is>
      </c>
      <c r="AL244" t="inlineStr">
        <is>
          <t>ATIVA</t>
        </is>
      </c>
      <c r="AM244" s="17" t="inlineStr">
        <is>
          <t>https://scalzilliaj.com.br/sgc/download.php?file=files/processo_documento/processo_documento09514021082025_1_.pdf&amp;nome=04 - Relação de credores das Recuperandas</t>
        </is>
      </c>
      <c r="AN244" s="18" t="inlineStr">
        <is>
          <t>p62 r1</t>
        </is>
      </c>
      <c r="AO244" s="18" t="inlineStr">
        <is>
          <t>p62: R$ 620.879,43</t>
        </is>
      </c>
      <c r="AP244" s="18" t="inlineStr">
        <is>
          <t>DEBTOR_LIST</t>
        </is>
      </c>
      <c r="AQ244" s="18" t="inlineStr"/>
      <c r="AR244" s="18" t="inlineStr">
        <is>
          <t>OK</t>
        </is>
      </c>
      <c r="AS244" s="18" t="inlineStr">
        <is>
          <t>ROWS:p62r1 VALUE_COL:Valor_Atualizado CASE_NUMBER_CORRECTED CASE_FROM_PORTAL</t>
        </is>
      </c>
      <c r="AT244" s="18" t="inlineStr">
        <is>
          <t>24ed98480a57</t>
        </is>
      </c>
    </row>
    <row r="245">
      <c r="A245" s="9" t="n">
        <v>244</v>
      </c>
      <c r="B245" s="9" t="inlineStr">
        <is>
          <t>NEW</t>
        </is>
      </c>
      <c r="C245" s="9" t="inlineStr"/>
      <c r="D245" s="9" t="n">
        <v>0</v>
      </c>
      <c r="E245" s="9" t="inlineStr"/>
      <c r="F245" s="9" t="inlineStr"/>
      <c r="G245" s="9" t="inlineStr"/>
      <c r="H245" s="9" t="inlineStr"/>
      <c r="I245" t="inlineStr">
        <is>
          <t>CONFECCOES ALTA MODA LTDA</t>
        </is>
      </c>
      <c r="J245" t="inlineStr">
        <is>
          <t>CONFECCOES ALTA MODA LTDA</t>
        </is>
      </c>
      <c r="K245" t="inlineStr">
        <is>
          <t>04273385</t>
        </is>
      </c>
      <c r="L245" t="inlineStr">
        <is>
          <t>04273385000464</t>
        </is>
      </c>
      <c r="M245" s="10" t="n">
        <v>619038.5600000001</v>
      </c>
      <c r="N245" t="n">
        <v>2</v>
      </c>
      <c r="O245" s="11" t="inlineStr">
        <is>
          <t>C</t>
        </is>
      </c>
      <c r="P245" s="11" t="inlineStr">
        <is>
          <t>ACTIVE</t>
        </is>
      </c>
      <c r="Q245" s="12" t="n">
        <v>44571</v>
      </c>
      <c r="R245" s="11">
        <f>IF(Q245="","",ROUND((TODAY()-Q245)/365.25,1))</f>
        <v/>
      </c>
      <c r="S245" s="13">
        <f>IFERROR(VLOOKUP(O245,Assumptions!$A$7:$F$11,2,FALSE),0.25)</f>
        <v/>
      </c>
      <c r="T245" s="14">
        <f>IF(O245="A",MAX(1,IFERROR(VLOOKUP(O245,Assumptions!$A$7:$F$11,3,FALSE),3)+IFERROR(VLOOKUP(O245,Assumptions!$A$7:$F$11,4,FALSE),8)/2-MAX(0,IF(R245="",0,R245)-IFERROR(VLOOKUP(O245,Assumptions!$A$7:$F$11,5,FALSE),1.5))),IFERROR(VLOOKUP(O245,Assumptions!$A$7:$F$11,5,FALSE),2.5)+IFERROR(VLOOKUP(O245,Assumptions!$A$7:$F$11,3,FALSE),3)+IFERROR(VLOOKUP(O245,Assumptions!$A$7:$F$11,4,FALSE),8)/2)</f>
        <v/>
      </c>
      <c r="U245" s="15">
        <f>M245*S245/(1+Assumptions!$B$3)^T245</f>
        <v/>
      </c>
      <c r="V245" s="11">
        <f>IF(M245=0,"",ROUND(U245/M245*100,1))</f>
        <v/>
      </c>
      <c r="W245" s="16">
        <f>U245*Assumptions!$B$4</f>
        <v/>
      </c>
      <c r="X245" s="11">
        <f>IF(M245=0,"",ROUND(W245/M245*100,1))</f>
        <v/>
      </c>
      <c r="Y245" t="inlineStr">
        <is>
          <t>GRUPO CATTAN</t>
        </is>
      </c>
      <c r="Z245" t="inlineStr">
        <is>
          <t>0002484-82.2022.8.17.2001</t>
        </is>
      </c>
      <c r="AA245" t="inlineStr">
        <is>
          <t>TJPE</t>
        </is>
      </c>
      <c r="AB245" t="inlineStr">
        <is>
          <t>lrflideres.com.br</t>
        </is>
      </c>
      <c r="AC245" t="inlineStr">
        <is>
          <t>ELY AKKARI</t>
        </is>
      </c>
      <c r="AD245" t="inlineStr">
        <is>
          <t>Sócio-Administrador</t>
        </is>
      </c>
      <c r="AE245" t="inlineStr">
        <is>
          <t>(11) 2698-0111</t>
        </is>
      </c>
      <c r="AF245" t="inlineStr"/>
      <c r="AG245" t="inlineStr"/>
      <c r="AH245" t="inlineStr">
        <is>
          <t>SP</t>
        </is>
      </c>
      <c r="AI245" t="inlineStr">
        <is>
          <t>SAO PAULO</t>
        </is>
      </c>
      <c r="AJ245" t="inlineStr">
        <is>
          <t>Confecção de peças de vestuário, exceto roupas íntimas e as confeccionadas sob medida</t>
        </is>
      </c>
      <c r="AK245" t="inlineStr">
        <is>
          <t>DEMAIS</t>
        </is>
      </c>
      <c r="AL245" t="inlineStr">
        <is>
          <t>ATIVA</t>
        </is>
      </c>
      <c r="AM245" s="17" t="inlineStr">
        <is>
          <t>https://lrflideres.com.br/wp-content/plugins/download-attachments/includes/download.php?id=4023</t>
        </is>
      </c>
      <c r="AN245" s="18" t="inlineStr">
        <is>
          <t>p7 r86; p9 r64</t>
        </is>
      </c>
      <c r="AO245" s="18" t="inlineStr">
        <is>
          <t>p7: R$ 522.841,76; p9: R$ 96.196,80</t>
        </is>
      </c>
      <c r="AP245" s="18" t="inlineStr">
        <is>
          <t>DEBTOR_LIST</t>
        </is>
      </c>
      <c r="AQ245" s="18" t="inlineStr"/>
      <c r="AR245" s="18" t="inlineStr">
        <is>
          <t>QUARANTINED</t>
        </is>
      </c>
      <c r="AS245" s="18" t="inlineStr">
        <is>
          <t>PARTIAL_DOC_CLASS_III_RECONCILED ROWS:p7r86,p9r64</t>
        </is>
      </c>
      <c r="AT245" s="18" t="inlineStr">
        <is>
          <t>f3b6182e3aa2</t>
        </is>
      </c>
    </row>
    <row r="246">
      <c r="A246" s="9" t="n">
        <v>245</v>
      </c>
      <c r="B246" s="9" t="inlineStr">
        <is>
          <t>NEW</t>
        </is>
      </c>
      <c r="C246" s="9" t="inlineStr"/>
      <c r="D246" s="9" t="n">
        <v>0</v>
      </c>
      <c r="E246" s="9" t="inlineStr"/>
      <c r="F246" s="9" t="inlineStr"/>
      <c r="G246" s="9" t="inlineStr"/>
      <c r="H246" s="9" t="inlineStr"/>
      <c r="I246" t="inlineStr">
        <is>
          <t>TOTALCLEAN - COMERCIO DE PRODUTOS DE HIGIENE E LIMPEZA LTDA</t>
        </is>
      </c>
      <c r="J246" t="inlineStr">
        <is>
          <t>TOTALCLEAN - COMERCIO DE PRODUTOS DE HIGIENE E LIMPEZA LTDA (</t>
        </is>
      </c>
      <c r="K246" t="inlineStr">
        <is>
          <t>07911181</t>
        </is>
      </c>
      <c r="L246" t="inlineStr">
        <is>
          <t>07911181000157</t>
        </is>
      </c>
      <c r="M246" s="10" t="n">
        <v>617079.91</v>
      </c>
      <c r="N246" t="n">
        <v>1</v>
      </c>
      <c r="O246" s="11" t="inlineStr">
        <is>
          <t>C</t>
        </is>
      </c>
      <c r="P246" s="11" t="inlineStr">
        <is>
          <t>ACTIVE</t>
        </is>
      </c>
      <c r="Q246" s="12" t="n">
        <v>44735</v>
      </c>
      <c r="R246" s="11">
        <f>IF(Q246="","",ROUND((TODAY()-Q246)/365.25,1))</f>
        <v/>
      </c>
      <c r="S246" s="13">
        <f>IFERROR(VLOOKUP(O246,Assumptions!$A$7:$F$11,2,FALSE),0.25)</f>
        <v/>
      </c>
      <c r="T246" s="14">
        <f>IF(O246="A",MAX(1,IFERROR(VLOOKUP(O246,Assumptions!$A$7:$F$11,3,FALSE),3)+IFERROR(VLOOKUP(O246,Assumptions!$A$7:$F$11,4,FALSE),8)/2-MAX(0,IF(R246="",0,R246)-IFERROR(VLOOKUP(O246,Assumptions!$A$7:$F$11,5,FALSE),1.5))),IFERROR(VLOOKUP(O246,Assumptions!$A$7:$F$11,5,FALSE),2.5)+IFERROR(VLOOKUP(O246,Assumptions!$A$7:$F$11,3,FALSE),3)+IFERROR(VLOOKUP(O246,Assumptions!$A$7:$F$11,4,FALSE),8)/2)</f>
        <v/>
      </c>
      <c r="U246" s="15">
        <f>M246*S246/(1+Assumptions!$B$3)^T246</f>
        <v/>
      </c>
      <c r="V246" s="11">
        <f>IF(M246=0,"",ROUND(U246/M246*100,1))</f>
        <v/>
      </c>
      <c r="W246" s="16">
        <f>U246*Assumptions!$B$4</f>
        <v/>
      </c>
      <c r="X246" s="11">
        <f>IF(M246=0,"",ROUND(W246/M246*100,1))</f>
        <v/>
      </c>
      <c r="Y246" t="inlineStr">
        <is>
          <t>ASSOCIAÇÃO DE CARIDADE SANTA CASA DO RIO GRANDE</t>
        </is>
      </c>
      <c r="Z246" t="inlineStr">
        <is>
          <t>5012306-16.2022.8.21.0023</t>
        </is>
      </c>
      <c r="AA246" t="inlineStr">
        <is>
          <t>TJRS</t>
        </is>
      </c>
      <c r="AB246" t="inlineStr">
        <is>
          <t>scalzilliaj.com.br</t>
        </is>
      </c>
      <c r="AC246" t="inlineStr">
        <is>
          <t>JOSE NEI PARODES</t>
        </is>
      </c>
      <c r="AD246" t="inlineStr">
        <is>
          <t>Sócio-Administrador</t>
        </is>
      </c>
      <c r="AE246" t="inlineStr">
        <is>
          <t>(53) 8402-0212</t>
        </is>
      </c>
      <c r="AF246" t="inlineStr"/>
      <c r="AG246" t="inlineStr"/>
      <c r="AH246" t="inlineStr">
        <is>
          <t>RS</t>
        </is>
      </c>
      <c r="AI246" t="inlineStr">
        <is>
          <t>PELOTAS</t>
        </is>
      </c>
      <c r="AJ246" t="inlineStr">
        <is>
          <t>Comércio atacadista de produtos de higiene, limpeza e conservação domiciliar</t>
        </is>
      </c>
      <c r="AK246" t="inlineStr">
        <is>
          <t>MICRO EMPRESA</t>
        </is>
      </c>
      <c r="AL246" t="inlineStr">
        <is>
          <t>ATIVA</t>
        </is>
      </c>
      <c r="AM246" s="17" t="inlineStr">
        <is>
          <t>https://scalzilliaj.com.br/sgc/download.php?file=files/processo_documento/processo_documento09120721032023_1_.pdf&amp;nome=15 - Edital do art. 7º, §2º e 53 da Lei 11.101/2005 (segunda lista de credores e recebimento do plano))</t>
        </is>
      </c>
      <c r="AN246" s="18" t="inlineStr">
        <is>
          <t>p30 r21</t>
        </is>
      </c>
      <c r="AO246" s="18" t="inlineStr">
        <is>
          <t>p30: R$ 617.079,91</t>
        </is>
      </c>
      <c r="AP246" s="18" t="inlineStr">
        <is>
          <t>AJ_LIST</t>
        </is>
      </c>
      <c r="AQ246" s="18" t="inlineStr">
        <is>
          <t>2023-03-21</t>
        </is>
      </c>
      <c r="AR246" s="18" t="inlineStr">
        <is>
          <t>OK_NO_TOTALS</t>
        </is>
      </c>
      <c r="AS246" s="18" t="inlineStr">
        <is>
          <t>ROWS:p30r21 UNRECONCILED_SOURCE</t>
        </is>
      </c>
      <c r="AT246" s="18" t="inlineStr">
        <is>
          <t>ebfb999b457c</t>
        </is>
      </c>
    </row>
    <row r="247">
      <c r="A247" s="9" t="n">
        <v>246</v>
      </c>
      <c r="B247" s="9" t="inlineStr">
        <is>
          <t>NEW</t>
        </is>
      </c>
      <c r="C247" s="9" t="inlineStr"/>
      <c r="D247" s="9" t="n">
        <v>0</v>
      </c>
      <c r="E247" s="9" t="inlineStr"/>
      <c r="F247" s="9" t="inlineStr"/>
      <c r="G247" s="9" t="inlineStr"/>
      <c r="H247" s="9" t="inlineStr"/>
      <c r="I247" t="inlineStr">
        <is>
          <t>RBG PRODUTOS THERAPEUTICOS S/A</t>
        </is>
      </c>
      <c r="J247" t="inlineStr">
        <is>
          <t>RBG PRODUTOS THERAPEUTICOS S/A (</t>
        </is>
      </c>
      <c r="K247" t="inlineStr">
        <is>
          <t>03882840</t>
        </is>
      </c>
      <c r="L247" t="inlineStr">
        <is>
          <t>03882840000113</t>
        </is>
      </c>
      <c r="M247" s="10" t="n">
        <v>616054.5</v>
      </c>
      <c r="N247" t="n">
        <v>1</v>
      </c>
      <c r="O247" s="11" t="inlineStr">
        <is>
          <t>C</t>
        </is>
      </c>
      <c r="P247" s="11" t="inlineStr">
        <is>
          <t>ACTIVE</t>
        </is>
      </c>
      <c r="Q247" s="12" t="n">
        <v>44735</v>
      </c>
      <c r="R247" s="11">
        <f>IF(Q247="","",ROUND((TODAY()-Q247)/365.25,1))</f>
        <v/>
      </c>
      <c r="S247" s="13">
        <f>IFERROR(VLOOKUP(O247,Assumptions!$A$7:$F$11,2,FALSE),0.25)</f>
        <v/>
      </c>
      <c r="T247" s="14">
        <f>IF(O247="A",MAX(1,IFERROR(VLOOKUP(O247,Assumptions!$A$7:$F$11,3,FALSE),3)+IFERROR(VLOOKUP(O247,Assumptions!$A$7:$F$11,4,FALSE),8)/2-MAX(0,IF(R247="",0,R247)-IFERROR(VLOOKUP(O247,Assumptions!$A$7:$F$11,5,FALSE),1.5))),IFERROR(VLOOKUP(O247,Assumptions!$A$7:$F$11,5,FALSE),2.5)+IFERROR(VLOOKUP(O247,Assumptions!$A$7:$F$11,3,FALSE),3)+IFERROR(VLOOKUP(O247,Assumptions!$A$7:$F$11,4,FALSE),8)/2)</f>
        <v/>
      </c>
      <c r="U247" s="15">
        <f>M247*S247/(1+Assumptions!$B$3)^T247</f>
        <v/>
      </c>
      <c r="V247" s="11">
        <f>IF(M247=0,"",ROUND(U247/M247*100,1))</f>
        <v/>
      </c>
      <c r="W247" s="16">
        <f>U247*Assumptions!$B$4</f>
        <v/>
      </c>
      <c r="X247" s="11">
        <f>IF(M247=0,"",ROUND(W247/M247*100,1))</f>
        <v/>
      </c>
      <c r="Y247" t="inlineStr">
        <is>
          <t>ASSOCIAÇÃO DE CARIDADE SANTA CASA DO RIO GRANDE</t>
        </is>
      </c>
      <c r="Z247" t="inlineStr">
        <is>
          <t>5012306-16.2022.8.21.0023</t>
        </is>
      </c>
      <c r="AA247" t="inlineStr">
        <is>
          <t>TJRS</t>
        </is>
      </c>
      <c r="AB247" t="inlineStr">
        <is>
          <t>scalzilliaj.com.br</t>
        </is>
      </c>
      <c r="AC247" t="inlineStr">
        <is>
          <t>URANIO RUGGERI</t>
        </is>
      </c>
      <c r="AD247" t="inlineStr">
        <is>
          <t>Presidente</t>
        </is>
      </c>
      <c r="AE247" t="inlineStr">
        <is>
          <t>(51) 3382-3350</t>
        </is>
      </c>
      <c r="AF247" t="inlineStr"/>
      <c r="AG247" t="inlineStr"/>
      <c r="AH247" t="inlineStr">
        <is>
          <t>RS</t>
        </is>
      </c>
      <c r="AI247" t="inlineStr">
        <is>
          <t>PORTO ALEGRE</t>
        </is>
      </c>
      <c r="AJ247" t="inlineStr">
        <is>
          <t>Comércio atacadista de instrumentos e materiais para uso médico, cirúrgico, hospitalar e de laboratórios</t>
        </is>
      </c>
      <c r="AK247" t="inlineStr">
        <is>
          <t>DEMAIS</t>
        </is>
      </c>
      <c r="AL247" t="inlineStr">
        <is>
          <t>ATIVA</t>
        </is>
      </c>
      <c r="AM247" s="17" t="inlineStr">
        <is>
          <t>https://scalzilliaj.com.br/sgc/download.php?file=files/processo_documento/processo_documento09120721032023_1_.pdf&amp;nome=15 - Edital do art. 7º, §2º e 53 da Lei 11.101/2005 (segunda lista de credores e recebimento do plano))</t>
        </is>
      </c>
      <c r="AN247" s="18" t="inlineStr">
        <is>
          <t>p29 r30</t>
        </is>
      </c>
      <c r="AO247" s="18" t="inlineStr">
        <is>
          <t>p29: R$ 616.054,50</t>
        </is>
      </c>
      <c r="AP247" s="18" t="inlineStr">
        <is>
          <t>AJ_LIST</t>
        </is>
      </c>
      <c r="AQ247" s="18" t="inlineStr">
        <is>
          <t>2023-03-21</t>
        </is>
      </c>
      <c r="AR247" s="18" t="inlineStr">
        <is>
          <t>OK_NO_TOTALS</t>
        </is>
      </c>
      <c r="AS247" s="18" t="inlineStr">
        <is>
          <t>ROWS:p29r30 UNRECONCILED_SOURCE</t>
        </is>
      </c>
      <c r="AT247" s="18" t="inlineStr">
        <is>
          <t>ebfb999b457c</t>
        </is>
      </c>
    </row>
    <row r="248">
      <c r="A248" s="9" t="n">
        <v>247</v>
      </c>
      <c r="B248" s="9" t="inlineStr">
        <is>
          <t>NEW</t>
        </is>
      </c>
      <c r="C248" s="9" t="inlineStr"/>
      <c r="D248" s="9" t="n">
        <v>0</v>
      </c>
      <c r="E248" s="9" t="inlineStr"/>
      <c r="F248" s="9" t="inlineStr"/>
      <c r="G248" s="9" t="inlineStr"/>
      <c r="H248" s="9" t="inlineStr"/>
      <c r="I248" t="inlineStr">
        <is>
          <t>CIAPETRO DISTRIBUIDORA DE COMBUSTIVEIS LTDA</t>
        </is>
      </c>
      <c r="J248" t="inlineStr">
        <is>
          <t>Ciapreto Distribuidora De Combustiveis LTDA</t>
        </is>
      </c>
      <c r="K248" t="inlineStr">
        <is>
          <t>01466091</t>
        </is>
      </c>
      <c r="L248" t="inlineStr">
        <is>
          <t>01466091000460</t>
        </is>
      </c>
      <c r="M248" s="10" t="n">
        <v>614493.12</v>
      </c>
      <c r="N248" t="n">
        <v>1</v>
      </c>
      <c r="O248" s="11" t="inlineStr">
        <is>
          <t>B</t>
        </is>
      </c>
      <c r="P248" s="11" t="inlineStr">
        <is>
          <t>ACTIVE</t>
        </is>
      </c>
      <c r="Q248" s="12" t="n">
        <v>45460</v>
      </c>
      <c r="R248" s="11">
        <f>IF(Q248="","",ROUND((TODAY()-Q248)/365.25,1))</f>
        <v/>
      </c>
      <c r="S248" s="13">
        <f>IFERROR(VLOOKUP(O248,Assumptions!$A$7:$F$11,2,FALSE),0.25)</f>
        <v/>
      </c>
      <c r="T248" s="14">
        <f>IF(O248="A",MAX(1,IFERROR(VLOOKUP(O248,Assumptions!$A$7:$F$11,3,FALSE),3)+IFERROR(VLOOKUP(O248,Assumptions!$A$7:$F$11,4,FALSE),8)/2-MAX(0,IF(R248="",0,R248)-IFERROR(VLOOKUP(O248,Assumptions!$A$7:$F$11,5,FALSE),1.5))),IFERROR(VLOOKUP(O248,Assumptions!$A$7:$F$11,5,FALSE),2.5)+IFERROR(VLOOKUP(O248,Assumptions!$A$7:$F$11,3,FALSE),3)+IFERROR(VLOOKUP(O248,Assumptions!$A$7:$F$11,4,FALSE),8)/2)</f>
        <v/>
      </c>
      <c r="U248" s="15">
        <f>M248*S248/(1+Assumptions!$B$3)^T248</f>
        <v/>
      </c>
      <c r="V248" s="11">
        <f>IF(M248=0,"",ROUND(U248/M248*100,1))</f>
        <v/>
      </c>
      <c r="W248" s="16">
        <f>U248*Assumptions!$B$4</f>
        <v/>
      </c>
      <c r="X248" s="11">
        <f>IF(M248=0,"",ROUND(W248/M248*100,1))</f>
        <v/>
      </c>
      <c r="Y248" t="inlineStr">
        <is>
          <t>GRUPO D&amp;D</t>
        </is>
      </c>
      <c r="Z248" t="inlineStr">
        <is>
          <t>0001943-40.2024.8.16.0115</t>
        </is>
      </c>
      <c r="AA248" t="inlineStr">
        <is>
          <t>TJPR</t>
        </is>
      </c>
      <c r="AB248" t="inlineStr">
        <is>
          <t>marquesadmjudicial.com.br</t>
        </is>
      </c>
      <c r="AC248" t="inlineStr">
        <is>
          <t>MARCELO RODRIGUES DE OLIVEIRA</t>
        </is>
      </c>
      <c r="AD248" t="inlineStr">
        <is>
          <t>Administrador</t>
        </is>
      </c>
      <c r="AE248" t="inlineStr">
        <is>
          <t>(44) 3619-6400</t>
        </is>
      </c>
      <c r="AF248" t="inlineStr"/>
      <c r="AG248" t="inlineStr"/>
      <c r="AH248" t="inlineStr">
        <is>
          <t>PR</t>
        </is>
      </c>
      <c r="AI248" t="inlineStr">
        <is>
          <t>CIANORTE</t>
        </is>
      </c>
      <c r="AJ248" t="inlineStr">
        <is>
          <t>Comércio atacadista de álcool carburante, biodiesel, gasolina e demais derivados de petróleo, exceto lubrificantes, não realizado por transportador re</t>
        </is>
      </c>
      <c r="AK248" t="inlineStr">
        <is>
          <t>DEMAIS</t>
        </is>
      </c>
      <c r="AL248" t="inlineStr">
        <is>
          <t>ATIVA</t>
        </is>
      </c>
      <c r="AM248" s="17" t="inlineStr">
        <is>
          <t>https://marquesadmjudicial.com.br/sgc/download.php?file=files/processo_documento/processo_documento20014127022025_1_.pdf&amp;nome=Relação Nominal de Credores</t>
        </is>
      </c>
      <c r="AN248" s="18" t="inlineStr">
        <is>
          <t>p4 r12</t>
        </is>
      </c>
      <c r="AO248" s="18" t="inlineStr">
        <is>
          <t>p4: R$ 614.493,12</t>
        </is>
      </c>
      <c r="AP248" s="18" t="inlineStr">
        <is>
          <t>AJ_LIST</t>
        </is>
      </c>
      <c r="AQ248" s="18" t="inlineStr">
        <is>
          <t>2024-11-08</t>
        </is>
      </c>
      <c r="AR248" s="18" t="inlineStr">
        <is>
          <t>QUARANTINED</t>
        </is>
      </c>
      <c r="AS248" s="18" t="inlineStr">
        <is>
          <t>PARTIAL_DOC_CLASS_III_RECONCILED ROWS:p4r12</t>
        </is>
      </c>
      <c r="AT248" s="18" t="inlineStr">
        <is>
          <t>dfc3207dcd0f</t>
        </is>
      </c>
    </row>
    <row r="249">
      <c r="A249" s="9" t="n">
        <v>248</v>
      </c>
      <c r="B249" s="9" t="inlineStr">
        <is>
          <t>NEW</t>
        </is>
      </c>
      <c r="C249" s="9" t="inlineStr"/>
      <c r="D249" s="9" t="n">
        <v>0</v>
      </c>
      <c r="E249" s="9" t="inlineStr"/>
      <c r="F249" s="9" t="inlineStr"/>
      <c r="G249" s="9" t="inlineStr"/>
      <c r="H249" s="9" t="inlineStr"/>
      <c r="I249" t="inlineStr">
        <is>
          <t>ROSINA ALIMENTOS LTDA</t>
        </is>
      </c>
      <c r="J249" t="inlineStr">
        <is>
          <t>ROSINA ALIMENTOS LTDA</t>
        </is>
      </c>
      <c r="K249" t="inlineStr">
        <is>
          <t>04253854</t>
        </is>
      </c>
      <c r="L249" t="inlineStr">
        <is>
          <t>04253854000130</t>
        </is>
      </c>
      <c r="M249" s="10" t="n">
        <v>614157.33</v>
      </c>
      <c r="N249" t="n">
        <v>1</v>
      </c>
      <c r="O249" s="11" t="inlineStr">
        <is>
          <t>B</t>
        </is>
      </c>
      <c r="P249" s="11" t="inlineStr">
        <is>
          <t>ACTIVE</t>
        </is>
      </c>
      <c r="Q249" s="12" t="n">
        <v>45987</v>
      </c>
      <c r="R249" s="11">
        <f>IF(Q249="","",ROUND((TODAY()-Q249)/365.25,1))</f>
        <v/>
      </c>
      <c r="S249" s="13">
        <f>IFERROR(VLOOKUP(O249,Assumptions!$A$7:$F$11,2,FALSE),0.25)</f>
        <v/>
      </c>
      <c r="T249" s="14">
        <f>IF(O249="A",MAX(1,IFERROR(VLOOKUP(O249,Assumptions!$A$7:$F$11,3,FALSE),3)+IFERROR(VLOOKUP(O249,Assumptions!$A$7:$F$11,4,FALSE),8)/2-MAX(0,IF(R249="",0,R249)-IFERROR(VLOOKUP(O249,Assumptions!$A$7:$F$11,5,FALSE),1.5))),IFERROR(VLOOKUP(O249,Assumptions!$A$7:$F$11,5,FALSE),2.5)+IFERROR(VLOOKUP(O249,Assumptions!$A$7:$F$11,3,FALSE),3)+IFERROR(VLOOKUP(O249,Assumptions!$A$7:$F$11,4,FALSE),8)/2)</f>
        <v/>
      </c>
      <c r="U249" s="15">
        <f>M249*S249/(1+Assumptions!$B$3)^T249</f>
        <v/>
      </c>
      <c r="V249" s="11">
        <f>IF(M249=0,"",ROUND(U249/M249*100,1))</f>
        <v/>
      </c>
      <c r="W249" s="16">
        <f>U249*Assumptions!$B$4</f>
        <v/>
      </c>
      <c r="X249" s="11">
        <f>IF(M249=0,"",ROUND(W249/M249*100,1))</f>
        <v/>
      </c>
      <c r="Y249" t="inlineStr">
        <is>
          <t>Cerealista Safrasul Ltda</t>
        </is>
      </c>
      <c r="Z249" t="inlineStr">
        <is>
          <t>4000167-23.2025.8.26.0373</t>
        </is>
      </c>
      <c r="AA249" t="inlineStr">
        <is>
          <t>TJSP</t>
        </is>
      </c>
      <c r="AB249" t="inlineStr">
        <is>
          <t>ajruiz.com.br</t>
        </is>
      </c>
      <c r="AC249" t="inlineStr">
        <is>
          <t>OMERO OLAVO SCHAKER</t>
        </is>
      </c>
      <c r="AD249" t="inlineStr">
        <is>
          <t>Sócio-Administrador</t>
        </is>
      </c>
      <c r="AE249" t="inlineStr"/>
      <c r="AF249" t="inlineStr"/>
      <c r="AG249" t="inlineStr"/>
      <c r="AH249" t="inlineStr">
        <is>
          <t>RS</t>
        </is>
      </c>
      <c r="AI249" t="inlineStr">
        <is>
          <t>SERTAO SANTANA</t>
        </is>
      </c>
      <c r="AJ249" t="inlineStr">
        <is>
          <t>Beneficiamento de arroz</t>
        </is>
      </c>
      <c r="AK249" t="inlineStr">
        <is>
          <t>DEMAIS</t>
        </is>
      </c>
      <c r="AL249" t="inlineStr">
        <is>
          <t>ATIVA</t>
        </is>
      </c>
      <c r="AM249" s="17" t="inlineStr">
        <is>
          <t>https://ajruiz.com.br/sites/default/files/public/arquivos-processos/2026-01/safrasul_relacao_de_credores_recuperanda.pdf</t>
        </is>
      </c>
      <c r="AN249" s="18" t="inlineStr">
        <is>
          <t>p8 r37</t>
        </is>
      </c>
      <c r="AO249" s="18" t="inlineStr">
        <is>
          <t>p8: R$ 614.157,33</t>
        </is>
      </c>
      <c r="AP249" s="18" t="inlineStr">
        <is>
          <t>AJ_LIST</t>
        </is>
      </c>
      <c r="AQ249" s="18" t="inlineStr">
        <is>
          <t>2026-01-14</t>
        </is>
      </c>
      <c r="AR249" s="18" t="inlineStr">
        <is>
          <t>OK_NO_TOTALS</t>
        </is>
      </c>
      <c r="AS249" s="18" t="inlineStr">
        <is>
          <t>ROWS:p8r37 UNRECONCILED_SOURCE</t>
        </is>
      </c>
      <c r="AT249" s="18" t="inlineStr">
        <is>
          <t>18975be46188</t>
        </is>
      </c>
    </row>
    <row r="250">
      <c r="A250" s="9" t="n">
        <v>249</v>
      </c>
      <c r="B250" s="9" t="inlineStr">
        <is>
          <t>NEW</t>
        </is>
      </c>
      <c r="C250" s="9" t="inlineStr"/>
      <c r="D250" s="9" t="n">
        <v>0</v>
      </c>
      <c r="E250" s="9" t="inlineStr"/>
      <c r="F250" s="9" t="inlineStr"/>
      <c r="G250" s="9" t="inlineStr"/>
      <c r="H250" s="9" t="inlineStr"/>
      <c r="I250" t="inlineStr">
        <is>
          <t>SOTIN SOLUCOES TECNICAS, INDUSTRIA E COMERCIO LTDA</t>
        </is>
      </c>
      <c r="J250" t="inlineStr">
        <is>
          <t>SOTIN SOLUÇÕES TECNICAS IND E COMERCIO LTDA</t>
        </is>
      </c>
      <c r="K250" t="inlineStr">
        <is>
          <t>38733545</t>
        </is>
      </c>
      <c r="L250" t="inlineStr">
        <is>
          <t>38733545000180</t>
        </is>
      </c>
      <c r="M250" s="10" t="n">
        <v>611207.1</v>
      </c>
      <c r="N250" t="n">
        <v>1</v>
      </c>
      <c r="O250" s="11" t="inlineStr">
        <is>
          <t>C</t>
        </is>
      </c>
      <c r="P250" s="11" t="inlineStr">
        <is>
          <t>ACTIVE</t>
        </is>
      </c>
      <c r="Q250" s="12" t="n">
        <v>44798</v>
      </c>
      <c r="R250" s="11">
        <f>IF(Q250="","",ROUND((TODAY()-Q250)/365.25,1))</f>
        <v/>
      </c>
      <c r="S250" s="13">
        <f>IFERROR(VLOOKUP(O250,Assumptions!$A$7:$F$11,2,FALSE),0.25)</f>
        <v/>
      </c>
      <c r="T250" s="14">
        <f>IF(O250="A",MAX(1,IFERROR(VLOOKUP(O250,Assumptions!$A$7:$F$11,3,FALSE),3)+IFERROR(VLOOKUP(O250,Assumptions!$A$7:$F$11,4,FALSE),8)/2-MAX(0,IF(R250="",0,R250)-IFERROR(VLOOKUP(O250,Assumptions!$A$7:$F$11,5,FALSE),1.5))),IFERROR(VLOOKUP(O250,Assumptions!$A$7:$F$11,5,FALSE),2.5)+IFERROR(VLOOKUP(O250,Assumptions!$A$7:$F$11,3,FALSE),3)+IFERROR(VLOOKUP(O250,Assumptions!$A$7:$F$11,4,FALSE),8)/2)</f>
        <v/>
      </c>
      <c r="U250" s="15">
        <f>M250*S250/(1+Assumptions!$B$3)^T250</f>
        <v/>
      </c>
      <c r="V250" s="11">
        <f>IF(M250=0,"",ROUND(U250/M250*100,1))</f>
        <v/>
      </c>
      <c r="W250" s="16">
        <f>U250*Assumptions!$B$4</f>
        <v/>
      </c>
      <c r="X250" s="11">
        <f>IF(M250=0,"",ROUND(W250/M250*100,1))</f>
        <v/>
      </c>
      <c r="Y250" t="inlineStr">
        <is>
          <t>SECULAR COMÉRCIO CONSTRUÇÃO E REPRESENTAÇÃO LTDA - ME, EM RECUPERAÇÃO JUDICIAL</t>
        </is>
      </c>
      <c r="Z250" t="inlineStr">
        <is>
          <t>0804204-35.2022.8.15.0731</t>
        </is>
      </c>
      <c r="AA250" t="inlineStr">
        <is>
          <t>TJPB</t>
        </is>
      </c>
      <c r="AB250" t="inlineStr">
        <is>
          <t>lrflideres.com.br</t>
        </is>
      </c>
      <c r="AC250" t="inlineStr">
        <is>
          <t>SPENCER WILLIAM STELLA JUNIOR</t>
        </is>
      </c>
      <c r="AD250" t="inlineStr">
        <is>
          <t>Sócio-Administrador</t>
        </is>
      </c>
      <c r="AE250" t="inlineStr">
        <is>
          <t>(11) 4496-8888</t>
        </is>
      </c>
      <c r="AF250" t="inlineStr"/>
      <c r="AG250" t="inlineStr"/>
      <c r="AH250" t="inlineStr">
        <is>
          <t>SP</t>
        </is>
      </c>
      <c r="AI250" t="inlineStr">
        <is>
          <t>JUNDIAI</t>
        </is>
      </c>
      <c r="AJ250" t="inlineStr">
        <is>
          <t>Fabricação de outros produtos de metal não especificados anteriormente</t>
        </is>
      </c>
      <c r="AK250" t="inlineStr">
        <is>
          <t>DEMAIS</t>
        </is>
      </c>
      <c r="AL250" t="inlineStr">
        <is>
          <t>ATIVA</t>
        </is>
      </c>
      <c r="AM250" s="17" t="inlineStr">
        <is>
          <t>https://lrflideres.com.br/wp-content/uploads/2022/08/4.-EDITAL-2a-LISTA-DE-CREDORES.pdf</t>
        </is>
      </c>
      <c r="AN250" s="18" t="inlineStr">
        <is>
          <t>p2 r9</t>
        </is>
      </c>
      <c r="AO250" s="18" t="inlineStr">
        <is>
          <t>p2: R$ 611.207,10</t>
        </is>
      </c>
      <c r="AP250" s="18" t="inlineStr">
        <is>
          <t>AJ_LIST</t>
        </is>
      </c>
      <c r="AQ250" s="18" t="inlineStr">
        <is>
          <t>2023-12-04</t>
        </is>
      </c>
      <c r="AR250" s="18" t="inlineStr">
        <is>
          <t>OK</t>
        </is>
      </c>
      <c r="AS250" s="18" t="inlineStr">
        <is>
          <t>ROWS:p2r9</t>
        </is>
      </c>
      <c r="AT250" s="18" t="inlineStr">
        <is>
          <t>1355f93a13cd</t>
        </is>
      </c>
    </row>
    <row r="251">
      <c r="A251" s="9" t="n">
        <v>250</v>
      </c>
      <c r="B251" s="9" t="inlineStr">
        <is>
          <t>NEW</t>
        </is>
      </c>
      <c r="C251" s="9" t="inlineStr"/>
      <c r="D251" s="9" t="n">
        <v>0</v>
      </c>
      <c r="E251" s="9" t="inlineStr"/>
      <c r="F251" s="9" t="inlineStr"/>
      <c r="G251" s="9" t="inlineStr"/>
      <c r="H251" s="9" t="inlineStr"/>
      <c r="I251" t="inlineStr">
        <is>
          <t>COBREMACK INDUSTRIA DE CONDUTORES ELETRICOS LIMITADA EM RECUPERACAO JUDICIAL EM RECUPERACAO JUDICIAL</t>
        </is>
      </c>
      <c r="J251" t="inlineStr">
        <is>
          <t>COBREMACK INDUSTRIA DE CONDUTORES ELETRI</t>
        </is>
      </c>
      <c r="K251" t="inlineStr">
        <is>
          <t>11065453</t>
        </is>
      </c>
      <c r="L251" t="inlineStr">
        <is>
          <t>11065453000201</t>
        </is>
      </c>
      <c r="M251" s="10" t="n">
        <v>611009.25</v>
      </c>
      <c r="N251" t="n">
        <v>2</v>
      </c>
      <c r="O251" s="11" t="inlineStr">
        <is>
          <t>C</t>
        </is>
      </c>
      <c r="P251" s="11" t="inlineStr">
        <is>
          <t>ACTIVE</t>
        </is>
      </c>
      <c r="Q251" s="12" t="n">
        <v>45068</v>
      </c>
      <c r="R251" s="11">
        <f>IF(Q251="","",ROUND((TODAY()-Q251)/365.25,1))</f>
        <v/>
      </c>
      <c r="S251" s="13">
        <f>IFERROR(VLOOKUP(O251,Assumptions!$A$7:$F$11,2,FALSE),0.25)</f>
        <v/>
      </c>
      <c r="T251" s="14">
        <f>IF(O251="A",MAX(1,IFERROR(VLOOKUP(O251,Assumptions!$A$7:$F$11,3,FALSE),3)+IFERROR(VLOOKUP(O251,Assumptions!$A$7:$F$11,4,FALSE),8)/2-MAX(0,IF(R251="",0,R251)-IFERROR(VLOOKUP(O251,Assumptions!$A$7:$F$11,5,FALSE),1.5))),IFERROR(VLOOKUP(O251,Assumptions!$A$7:$F$11,5,FALSE),2.5)+IFERROR(VLOOKUP(O251,Assumptions!$A$7:$F$11,3,FALSE),3)+IFERROR(VLOOKUP(O251,Assumptions!$A$7:$F$11,4,FALSE),8)/2)</f>
        <v/>
      </c>
      <c r="U251" s="15">
        <f>M251*S251/(1+Assumptions!$B$3)^T251</f>
        <v/>
      </c>
      <c r="V251" s="11">
        <f>IF(M251=0,"",ROUND(U251/M251*100,1))</f>
        <v/>
      </c>
      <c r="W251" s="16">
        <f>U251*Assumptions!$B$4</f>
        <v/>
      </c>
      <c r="X251" s="11">
        <f>IF(M251=0,"",ROUND(W251/M251*100,1))</f>
        <v/>
      </c>
      <c r="Y251" t="inlineStr">
        <is>
          <t>Grupo Conduscabos</t>
        </is>
      </c>
      <c r="Z251" t="inlineStr">
        <is>
          <t>8005129-09.2023.8.05.0039</t>
        </is>
      </c>
      <c r="AA251" t="inlineStr">
        <is>
          <t>TJBA</t>
        </is>
      </c>
      <c r="AB251" t="inlineStr">
        <is>
          <t>assistjud.com.br</t>
        </is>
      </c>
      <c r="AC251" t="inlineStr">
        <is>
          <t>JOSE CARLOS MENDES MATUIAMA</t>
        </is>
      </c>
      <c r="AD251" t="inlineStr">
        <is>
          <t>Sócio-Administrador</t>
        </is>
      </c>
      <c r="AE251" t="inlineStr">
        <is>
          <t>(11) 4156-5531</t>
        </is>
      </c>
      <c r="AF251" t="inlineStr"/>
      <c r="AG251" t="inlineStr"/>
      <c r="AH251" t="inlineStr">
        <is>
          <t>BA</t>
        </is>
      </c>
      <c r="AI251" t="inlineStr">
        <is>
          <t>LAURO DE FREITAS</t>
        </is>
      </c>
      <c r="AJ251" t="inlineStr">
        <is>
          <t>Fabricação de fios, cabos e condutores elétricos isolados</t>
        </is>
      </c>
      <c r="AK251" t="inlineStr">
        <is>
          <t>DEMAIS</t>
        </is>
      </c>
      <c r="AL251" t="inlineStr">
        <is>
          <t>ATIVA</t>
        </is>
      </c>
      <c r="AM251" s="17" t="inlineStr">
        <is>
          <t>https://assistjud.com.br/wp-content/uploads/elementor/forms/65098c80a5824.pdf</t>
        </is>
      </c>
      <c r="AN251" s="18" t="inlineStr">
        <is>
          <t>p6 r8; p17 r10</t>
        </is>
      </c>
      <c r="AO251" s="18" t="inlineStr">
        <is>
          <t>p6: R$ 420.273,65; p17: R$ 190.735,60</t>
        </is>
      </c>
      <c r="AP251" s="18" t="inlineStr">
        <is>
          <t>AJ_LIST</t>
        </is>
      </c>
      <c r="AQ251" s="18" t="inlineStr">
        <is>
          <t>2023-09-18</t>
        </is>
      </c>
      <c r="AR251" s="18" t="inlineStr">
        <is>
          <t>OK_NO_TOTALS</t>
        </is>
      </c>
      <c r="AS251" s="18" t="inlineStr">
        <is>
          <t>ROWS:p6r8,p17r10 UNRECONCILED_SOURCE VALUE_COL:Valor_Do_Crédito_2º_Edital_De_Credores</t>
        </is>
      </c>
      <c r="AT251" s="18" t="inlineStr">
        <is>
          <t>a0ae32a59c29</t>
        </is>
      </c>
    </row>
    <row r="252">
      <c r="A252" s="9" t="n">
        <v>251</v>
      </c>
      <c r="B252" s="9" t="inlineStr">
        <is>
          <t>NEW</t>
        </is>
      </c>
      <c r="C252" s="9" t="inlineStr"/>
      <c r="D252" s="9" t="n">
        <v>0</v>
      </c>
      <c r="E252" s="9" t="inlineStr"/>
      <c r="F252" s="9" t="inlineStr"/>
      <c r="G252" s="9" t="inlineStr"/>
      <c r="H252" s="9" t="inlineStr"/>
      <c r="I252" t="inlineStr">
        <is>
          <t>LOG GOIANIA II</t>
        </is>
      </c>
      <c r="J252" t="inlineStr">
        <is>
          <t>NÃO</t>
        </is>
      </c>
      <c r="K252" t="inlineStr">
        <is>
          <t>47365763</t>
        </is>
      </c>
      <c r="L252" t="inlineStr">
        <is>
          <t>47365763000108</t>
        </is>
      </c>
      <c r="M252" s="10" t="n">
        <v>610696.38</v>
      </c>
      <c r="N252" t="n">
        <v>1</v>
      </c>
      <c r="O252" s="11" t="inlineStr">
        <is>
          <t>B</t>
        </is>
      </c>
      <c r="P252" s="11" t="inlineStr"/>
      <c r="Q252" s="12" t="inlineStr"/>
      <c r="R252" s="11">
        <f>IF(Q252="","",ROUND((TODAY()-Q252)/365.25,1))</f>
        <v/>
      </c>
      <c r="S252" s="13">
        <f>IFERROR(VLOOKUP(O252,Assumptions!$A$7:$F$11,2,FALSE),0.25)</f>
        <v/>
      </c>
      <c r="T252" s="14">
        <f>IF(O252="A",MAX(1,IFERROR(VLOOKUP(O252,Assumptions!$A$7:$F$11,3,FALSE),3)+IFERROR(VLOOKUP(O252,Assumptions!$A$7:$F$11,4,FALSE),8)/2-MAX(0,IF(R252="",0,R252)-IFERROR(VLOOKUP(O252,Assumptions!$A$7:$F$11,5,FALSE),1.5))),IFERROR(VLOOKUP(O252,Assumptions!$A$7:$F$11,5,FALSE),2.5)+IFERROR(VLOOKUP(O252,Assumptions!$A$7:$F$11,3,FALSE),3)+IFERROR(VLOOKUP(O252,Assumptions!$A$7:$F$11,4,FALSE),8)/2)</f>
        <v/>
      </c>
      <c r="U252" s="15">
        <f>M252*S252/(1+Assumptions!$B$3)^T252</f>
        <v/>
      </c>
      <c r="V252" s="11">
        <f>IF(M252=0,"",ROUND(U252/M252*100,1))</f>
        <v/>
      </c>
      <c r="W252" s="16">
        <f>U252*Assumptions!$B$4</f>
        <v/>
      </c>
      <c r="X252" s="11">
        <f>IF(M252=0,"",ROUND(W252/M252*100,1))</f>
        <v/>
      </c>
      <c r="Y252" t="inlineStr">
        <is>
          <t>Grupo Rech</t>
        </is>
      </c>
      <c r="Z252" t="inlineStr">
        <is>
          <t>5057720-48.2025.8.24.0023</t>
        </is>
      </c>
      <c r="AA252" t="inlineStr"/>
      <c r="AB252" t="inlineStr">
        <is>
          <t>credibilita.com.br</t>
        </is>
      </c>
      <c r="AC252" t="inlineStr"/>
      <c r="AD252" t="inlineStr"/>
      <c r="AE252" t="inlineStr">
        <is>
          <t>(31) 3615-8248</t>
        </is>
      </c>
      <c r="AF252" t="inlineStr"/>
      <c r="AG252" t="inlineStr"/>
      <c r="AH252" t="inlineStr">
        <is>
          <t>GO</t>
        </is>
      </c>
      <c r="AI252" t="inlineStr">
        <is>
          <t>HIDROLANDIA</t>
        </is>
      </c>
      <c r="AJ252" t="inlineStr">
        <is>
          <t>Condomínios prediais</t>
        </is>
      </c>
      <c r="AK252" t="inlineStr">
        <is>
          <t>DEMAIS</t>
        </is>
      </c>
      <c r="AL252" t="inlineStr">
        <is>
          <t>ATIVA</t>
        </is>
      </c>
      <c r="AM252" s="17" t="inlineStr">
        <is>
          <t>https://credibilita.com.br/wp-content/uploads/2025/09/Relacao-Credores-29.04.2026.pdf</t>
        </is>
      </c>
      <c r="AN252" s="18" t="inlineStr">
        <is>
          <t>p2 r1</t>
        </is>
      </c>
      <c r="AO252" s="18" t="inlineStr">
        <is>
          <t>p2: R$ 610.696,38</t>
        </is>
      </c>
      <c r="AP252" s="18" t="inlineStr">
        <is>
          <t>QUORUM_LIST</t>
        </is>
      </c>
      <c r="AQ252" s="18" t="inlineStr"/>
      <c r="AR252" s="18" t="inlineStr">
        <is>
          <t>OK_NO_TOTALS</t>
        </is>
      </c>
      <c r="AS252" s="18" t="inlineStr">
        <is>
          <t>ROWS:p2r1 UNRECONCILED_SOURCE VALUE_COL:Valor_Após_Analise CASE_NUMBER_CORRECTED</t>
        </is>
      </c>
      <c r="AT252" s="18" t="inlineStr">
        <is>
          <t>cf92cff797d2</t>
        </is>
      </c>
    </row>
    <row r="253">
      <c r="A253" s="9" t="n">
        <v>252</v>
      </c>
      <c r="B253" s="9" t="inlineStr">
        <is>
          <t>NEW</t>
        </is>
      </c>
      <c r="C253" s="9" t="inlineStr"/>
      <c r="D253" s="9" t="n">
        <v>0</v>
      </c>
      <c r="E253" s="9" t="inlineStr"/>
      <c r="F253" s="9" t="inlineStr"/>
      <c r="G253" s="9" t="inlineStr"/>
      <c r="H253" s="9" t="inlineStr"/>
      <c r="I253" t="inlineStr">
        <is>
          <t>IPIRANGA PRODUTOS DE PETROLEO S.A.</t>
        </is>
      </c>
      <c r="J253" t="inlineStr">
        <is>
          <t>Ipiranga Produtos De Petroleo S.A.</t>
        </is>
      </c>
      <c r="K253" t="inlineStr">
        <is>
          <t>33337122</t>
        </is>
      </c>
      <c r="L253" t="inlineStr">
        <is>
          <t>33337122019227</t>
        </is>
      </c>
      <c r="M253" s="10" t="n">
        <v>608385.4</v>
      </c>
      <c r="N253" t="n">
        <v>1</v>
      </c>
      <c r="O253" s="11" t="inlineStr">
        <is>
          <t>B</t>
        </is>
      </c>
      <c r="P253" s="11" t="inlineStr">
        <is>
          <t>ACTIVE</t>
        </is>
      </c>
      <c r="Q253" s="12" t="n">
        <v>45460</v>
      </c>
      <c r="R253" s="11">
        <f>IF(Q253="","",ROUND((TODAY()-Q253)/365.25,1))</f>
        <v/>
      </c>
      <c r="S253" s="13">
        <f>IFERROR(VLOOKUP(O253,Assumptions!$A$7:$F$11,2,FALSE),0.25)</f>
        <v/>
      </c>
      <c r="T253" s="14">
        <f>IF(O253="A",MAX(1,IFERROR(VLOOKUP(O253,Assumptions!$A$7:$F$11,3,FALSE),3)+IFERROR(VLOOKUP(O253,Assumptions!$A$7:$F$11,4,FALSE),8)/2-MAX(0,IF(R253="",0,R253)-IFERROR(VLOOKUP(O253,Assumptions!$A$7:$F$11,5,FALSE),1.5))),IFERROR(VLOOKUP(O253,Assumptions!$A$7:$F$11,5,FALSE),2.5)+IFERROR(VLOOKUP(O253,Assumptions!$A$7:$F$11,3,FALSE),3)+IFERROR(VLOOKUP(O253,Assumptions!$A$7:$F$11,4,FALSE),8)/2)</f>
        <v/>
      </c>
      <c r="U253" s="15">
        <f>M253*S253/(1+Assumptions!$B$3)^T253</f>
        <v/>
      </c>
      <c r="V253" s="11">
        <f>IF(M253=0,"",ROUND(U253/M253*100,1))</f>
        <v/>
      </c>
      <c r="W253" s="16">
        <f>U253*Assumptions!$B$4</f>
        <v/>
      </c>
      <c r="X253" s="11">
        <f>IF(M253=0,"",ROUND(W253/M253*100,1))</f>
        <v/>
      </c>
      <c r="Y253" t="inlineStr">
        <is>
          <t>GRUPO D&amp;D</t>
        </is>
      </c>
      <c r="Z253" t="inlineStr">
        <is>
          <t>0001943-40.2024.8.16.0115</t>
        </is>
      </c>
      <c r="AA253" t="inlineStr">
        <is>
          <t>TJPR</t>
        </is>
      </c>
      <c r="AB253" t="inlineStr">
        <is>
          <t>marquesadmjudicial.com.br</t>
        </is>
      </c>
      <c r="AC253" t="inlineStr">
        <is>
          <t>CARLOS FREDERICO RESENDE</t>
        </is>
      </c>
      <c r="AD253" t="inlineStr">
        <is>
          <t>Administrador</t>
        </is>
      </c>
      <c r="AE253" t="inlineStr">
        <is>
          <t>(21) 2574-5858</t>
        </is>
      </c>
      <c r="AF253" t="inlineStr"/>
      <c r="AG253" t="inlineStr"/>
      <c r="AH253" t="inlineStr">
        <is>
          <t>RJ</t>
        </is>
      </c>
      <c r="AI253" t="inlineStr">
        <is>
          <t>RIO DE JANEIRO</t>
        </is>
      </c>
      <c r="AJ253" t="inlineStr">
        <is>
          <t>Comércio atacadista de álcool carburante, biodiesel, gasolina e demais derivados de petróleo, exceto lubrificantes, não realizado por transportador re</t>
        </is>
      </c>
      <c r="AK253" t="inlineStr">
        <is>
          <t>DEMAIS</t>
        </is>
      </c>
      <c r="AL253" t="inlineStr">
        <is>
          <t>ATIVA</t>
        </is>
      </c>
      <c r="AM253" s="17" t="inlineStr">
        <is>
          <t>https://marquesadmjudicial.com.br/sgc/download.php?file=files/processo_documento/processo_documento20014127022025_1_.pdf&amp;nome=Relação Nominal de Credores</t>
        </is>
      </c>
      <c r="AN253" s="18" t="inlineStr">
        <is>
          <t>p5 r5</t>
        </is>
      </c>
      <c r="AO253" s="18" t="inlineStr">
        <is>
          <t>p5: R$ 608.385,40</t>
        </is>
      </c>
      <c r="AP253" s="18" t="inlineStr">
        <is>
          <t>AJ_LIST</t>
        </is>
      </c>
      <c r="AQ253" s="18" t="inlineStr">
        <is>
          <t>2024-11-08</t>
        </is>
      </c>
      <c r="AR253" s="18" t="inlineStr">
        <is>
          <t>QUARANTINED</t>
        </is>
      </c>
      <c r="AS253" s="18" t="inlineStr">
        <is>
          <t>PARTIAL_DOC_CLASS_III_RECONCILED ROWS:p5r5</t>
        </is>
      </c>
      <c r="AT253" s="18" t="inlineStr">
        <is>
          <t>dfc3207dcd0f</t>
        </is>
      </c>
    </row>
    <row r="254">
      <c r="A254" s="9" t="n">
        <v>253</v>
      </c>
      <c r="B254" s="9" t="inlineStr">
        <is>
          <t>NEW</t>
        </is>
      </c>
      <c r="C254" s="9" t="inlineStr"/>
      <c r="D254" s="9" t="n">
        <v>0</v>
      </c>
      <c r="E254" s="9" t="inlineStr"/>
      <c r="F254" s="9" t="inlineStr"/>
      <c r="G254" s="9" t="inlineStr"/>
      <c r="H254" s="9" t="inlineStr"/>
      <c r="I254" t="inlineStr">
        <is>
          <t>ATIVA EMPREENDIMENTOS LTDA</t>
        </is>
      </c>
      <c r="J254" t="inlineStr">
        <is>
          <t>ATIVA EMPREENDIMENTOS LTDA</t>
        </is>
      </c>
      <c r="K254" t="inlineStr">
        <is>
          <t>05399862</t>
        </is>
      </c>
      <c r="L254" t="inlineStr">
        <is>
          <t>05399862000152</t>
        </is>
      </c>
      <c r="M254" s="10" t="n">
        <v>605635.3199999999</v>
      </c>
      <c r="N254" t="n">
        <v>1</v>
      </c>
      <c r="O254" s="11" t="inlineStr">
        <is>
          <t>C</t>
        </is>
      </c>
      <c r="P254" s="11" t="inlineStr"/>
      <c r="Q254" s="12" t="inlineStr"/>
      <c r="R254" s="11">
        <f>IF(Q254="","",ROUND((TODAY()-Q254)/365.25,1))</f>
        <v/>
      </c>
      <c r="S254" s="13">
        <f>IFERROR(VLOOKUP(O254,Assumptions!$A$7:$F$11,2,FALSE),0.25)</f>
        <v/>
      </c>
      <c r="T254" s="14">
        <f>IF(O254="A",MAX(1,IFERROR(VLOOKUP(O254,Assumptions!$A$7:$F$11,3,FALSE),3)+IFERROR(VLOOKUP(O254,Assumptions!$A$7:$F$11,4,FALSE),8)/2-MAX(0,IF(R254="",0,R254)-IFERROR(VLOOKUP(O254,Assumptions!$A$7:$F$11,5,FALSE),1.5))),IFERROR(VLOOKUP(O254,Assumptions!$A$7:$F$11,5,FALSE),2.5)+IFERROR(VLOOKUP(O254,Assumptions!$A$7:$F$11,3,FALSE),3)+IFERROR(VLOOKUP(O254,Assumptions!$A$7:$F$11,4,FALSE),8)/2)</f>
        <v/>
      </c>
      <c r="U254" s="15">
        <f>M254*S254/(1+Assumptions!$B$3)^T254</f>
        <v/>
      </c>
      <c r="V254" s="11">
        <f>IF(M254=0,"",ROUND(U254/M254*100,1))</f>
        <v/>
      </c>
      <c r="W254" s="16">
        <f>U254*Assumptions!$B$4</f>
        <v/>
      </c>
      <c r="X254" s="11">
        <f>IF(M254=0,"",ROUND(W254/M254*100,1))</f>
        <v/>
      </c>
      <c r="Y254" t="inlineStr">
        <is>
          <t>GRUPO ARNON DE MELLO</t>
        </is>
      </c>
      <c r="Z254" t="inlineStr">
        <is>
          <t>0700256-03.2019.8.02.0066</t>
        </is>
      </c>
      <c r="AA254" t="inlineStr"/>
      <c r="AB254" t="inlineStr">
        <is>
          <t>recuperacaojudicial.squarespace.com</t>
        </is>
      </c>
      <c r="AC254" t="inlineStr">
        <is>
          <t>ARTHUR MALTA DE AMORIM</t>
        </is>
      </c>
      <c r="AD254" t="inlineStr">
        <is>
          <t>Administrador</t>
        </is>
      </c>
      <c r="AE254" t="inlineStr">
        <is>
          <t>(82) 3316-8570</t>
        </is>
      </c>
      <c r="AF254" t="inlineStr"/>
      <c r="AG254" t="inlineStr"/>
      <c r="AH254" t="inlineStr">
        <is>
          <t>AL</t>
        </is>
      </c>
      <c r="AI254" t="inlineStr">
        <is>
          <t>MACEIO</t>
        </is>
      </c>
      <c r="AJ254" t="inlineStr">
        <is>
          <t>Construção de edifícios</t>
        </is>
      </c>
      <c r="AK254" t="inlineStr">
        <is>
          <t>DEMAIS</t>
        </is>
      </c>
      <c r="AL254" t="inlineStr">
        <is>
          <t>ATIVA</t>
        </is>
      </c>
      <c r="AM254" s="17" t="inlineStr">
        <is>
          <t>https://recuperacaojudicial.squarespace.com/s/RJ-Grupo-Arnon-de-Melo-Lista-de-Credores-Consolidada-abril-2022.pdf</t>
        </is>
      </c>
      <c r="AN254" s="18" t="inlineStr">
        <is>
          <t>p7 r17</t>
        </is>
      </c>
      <c r="AO254" s="18" t="inlineStr">
        <is>
          <t>p7: R$ 605.635,32</t>
        </is>
      </c>
      <c r="AP254" s="18" t="inlineStr">
        <is>
          <t>AJ_LIST</t>
        </is>
      </c>
      <c r="AQ254" s="18" t="inlineStr"/>
      <c r="AR254" s="18" t="inlineStr">
        <is>
          <t>OK_NO_TOTALS</t>
        </is>
      </c>
      <c r="AS254" s="18" t="inlineStr">
        <is>
          <t>ROWS:p7r17 UNRECONCILED_SOURCE</t>
        </is>
      </c>
      <c r="AT254" s="18" t="inlineStr">
        <is>
          <t>60fd9c017d90</t>
        </is>
      </c>
    </row>
    <row r="255">
      <c r="A255" s="9" t="n">
        <v>254</v>
      </c>
      <c r="B255" s="9" t="inlineStr">
        <is>
          <t>NEW</t>
        </is>
      </c>
      <c r="C255" s="9" t="inlineStr"/>
      <c r="D255" s="9" t="n">
        <v>0</v>
      </c>
      <c r="E255" s="9" t="inlineStr"/>
      <c r="F255" s="9" t="inlineStr"/>
      <c r="G255" s="9" t="inlineStr"/>
      <c r="H255" s="9" t="inlineStr"/>
      <c r="I255" t="inlineStr">
        <is>
          <t>ALUMINIO SAO JOSE LTDA.</t>
        </is>
      </c>
      <c r="J255" t="inlineStr">
        <is>
          <t>ALUMINIO SAO JOSE LTDA</t>
        </is>
      </c>
      <c r="K255" t="inlineStr">
        <is>
          <t>04954155</t>
        </is>
      </c>
      <c r="L255" t="inlineStr">
        <is>
          <t>04954155000118</t>
        </is>
      </c>
      <c r="M255" s="10" t="n">
        <v>596077.15</v>
      </c>
      <c r="N255" t="n">
        <v>1</v>
      </c>
      <c r="O255" s="11" t="inlineStr">
        <is>
          <t>D</t>
        </is>
      </c>
      <c r="P255" s="11" t="inlineStr"/>
      <c r="Q255" s="12" t="inlineStr"/>
      <c r="R255" s="11">
        <f>IF(Q255="","",ROUND((TODAY()-Q255)/365.25,1))</f>
        <v/>
      </c>
      <c r="S255" s="13">
        <f>IFERROR(VLOOKUP(O255,Assumptions!$A$7:$F$11,2,FALSE),0.25)</f>
        <v/>
      </c>
      <c r="T255" s="14">
        <f>IF(O255="A",MAX(1,IFERROR(VLOOKUP(O255,Assumptions!$A$7:$F$11,3,FALSE),3)+IFERROR(VLOOKUP(O255,Assumptions!$A$7:$F$11,4,FALSE),8)/2-MAX(0,IF(R255="",0,R255)-IFERROR(VLOOKUP(O255,Assumptions!$A$7:$F$11,5,FALSE),1.5))),IFERROR(VLOOKUP(O255,Assumptions!$A$7:$F$11,5,FALSE),2.5)+IFERROR(VLOOKUP(O255,Assumptions!$A$7:$F$11,3,FALSE),3)+IFERROR(VLOOKUP(O255,Assumptions!$A$7:$F$11,4,FALSE),8)/2)</f>
        <v/>
      </c>
      <c r="U255" s="15">
        <f>M255*S255/(1+Assumptions!$B$3)^T255</f>
        <v/>
      </c>
      <c r="V255" s="11">
        <f>IF(M255=0,"",ROUND(U255/M255*100,1))</f>
        <v/>
      </c>
      <c r="W255" s="16">
        <f>U255*Assumptions!$B$4</f>
        <v/>
      </c>
      <c r="X255" s="11">
        <f>IF(M255=0,"",ROUND(W255/M255*100,1))</f>
        <v/>
      </c>
      <c r="Y255" t="inlineStr">
        <is>
          <t>AGIMAX ESQUADRIAS METALICAS LTDA</t>
        </is>
      </c>
      <c r="Z255" t="inlineStr">
        <is>
          <t>5009529-81.2025.8.24.0019</t>
        </is>
      </c>
      <c r="AA255" t="inlineStr"/>
      <c r="AB255" t="inlineStr">
        <is>
          <t>scalzilliaj.com.br</t>
        </is>
      </c>
      <c r="AC255" t="inlineStr">
        <is>
          <t>HENRIQUE DE SOUZA</t>
        </is>
      </c>
      <c r="AD255" t="inlineStr">
        <is>
          <t>Sócio-Administrador</t>
        </is>
      </c>
      <c r="AE255" t="inlineStr">
        <is>
          <t>(48) 2106-6600</t>
        </is>
      </c>
      <c r="AF255" t="inlineStr"/>
      <c r="AG255" t="inlineStr"/>
      <c r="AH255" t="inlineStr">
        <is>
          <t>SC</t>
        </is>
      </c>
      <c r="AI255" t="inlineStr">
        <is>
          <t>SAO JOSE</t>
        </is>
      </c>
      <c r="AJ255" t="inlineStr">
        <is>
          <t>Comércio atacadista de ferragens e ferramentas</t>
        </is>
      </c>
      <c r="AK255" t="inlineStr">
        <is>
          <t>DEMAIS</t>
        </is>
      </c>
      <c r="AL255" t="inlineStr">
        <is>
          <t>ATIVA</t>
        </is>
      </c>
      <c r="AM255" s="17" t="inlineStr">
        <is>
          <t>https://scalzilliaj.com.br/sgc/download.php?file=files/processo_documento/processo_documento15180810062026_1_.pdf&amp;nome=10 - Relação de credores do art. 7º, §2º, da Lei 11.101/2005</t>
        </is>
      </c>
      <c r="AN255" s="18" t="inlineStr">
        <is>
          <t>p1 r17</t>
        </is>
      </c>
      <c r="AO255" s="18" t="inlineStr">
        <is>
          <t>p1: R$ 596.077,15</t>
        </is>
      </c>
      <c r="AP255" s="18" t="inlineStr">
        <is>
          <t>AJ_LIST</t>
        </is>
      </c>
      <c r="AQ255" s="18" t="inlineStr"/>
      <c r="AR255" s="18" t="inlineStr">
        <is>
          <t>OK_NO_TOTALS</t>
        </is>
      </c>
      <c r="AS255" s="18" t="inlineStr">
        <is>
          <t>ROWS:p1r17 UNRECONCILED_SOURCE VALUE_COL:Valor_(Art._7º,_§2º)</t>
        </is>
      </c>
      <c r="AT255" s="18" t="inlineStr">
        <is>
          <t>2e4641168857</t>
        </is>
      </c>
    </row>
    <row r="256">
      <c r="A256" s="9" t="n">
        <v>255</v>
      </c>
      <c r="B256" s="9" t="inlineStr">
        <is>
          <t>NEW</t>
        </is>
      </c>
      <c r="C256" s="9" t="inlineStr"/>
      <c r="D256" s="9" t="n">
        <v>0</v>
      </c>
      <c r="E256" s="9" t="inlineStr"/>
      <c r="F256" s="9" t="inlineStr"/>
      <c r="G256" s="9" t="inlineStr"/>
      <c r="H256" s="9" t="inlineStr"/>
      <c r="I256" t="inlineStr">
        <is>
          <t>TESSIN INDUSTRIA E COMERCIO LTDA</t>
        </is>
      </c>
      <c r="J256" t="inlineStr">
        <is>
          <t>TESSIN IND. E COMERCIO LTDA</t>
        </is>
      </c>
      <c r="K256" t="inlineStr">
        <is>
          <t>44412435</t>
        </is>
      </c>
      <c r="L256" t="inlineStr">
        <is>
          <t>44412435000461</t>
        </is>
      </c>
      <c r="M256" s="10" t="n">
        <v>588544.67</v>
      </c>
      <c r="N256" t="n">
        <v>1</v>
      </c>
      <c r="O256" s="11" t="inlineStr">
        <is>
          <t>C</t>
        </is>
      </c>
      <c r="P256" s="11" t="inlineStr"/>
      <c r="Q256" s="12" t="inlineStr"/>
      <c r="R256" s="11">
        <f>IF(Q256="","",ROUND((TODAY()-Q256)/365.25,1))</f>
        <v/>
      </c>
      <c r="S256" s="13">
        <f>IFERROR(VLOOKUP(O256,Assumptions!$A$7:$F$11,2,FALSE),0.25)</f>
        <v/>
      </c>
      <c r="T256" s="14">
        <f>IF(O256="A",MAX(1,IFERROR(VLOOKUP(O256,Assumptions!$A$7:$F$11,3,FALSE),3)+IFERROR(VLOOKUP(O256,Assumptions!$A$7:$F$11,4,FALSE),8)/2-MAX(0,IF(R256="",0,R256)-IFERROR(VLOOKUP(O256,Assumptions!$A$7:$F$11,5,FALSE),1.5))),IFERROR(VLOOKUP(O256,Assumptions!$A$7:$F$11,5,FALSE),2.5)+IFERROR(VLOOKUP(O256,Assumptions!$A$7:$F$11,3,FALSE),3)+IFERROR(VLOOKUP(O256,Assumptions!$A$7:$F$11,4,FALSE),8)/2)</f>
        <v/>
      </c>
      <c r="U256" s="15">
        <f>M256*S256/(1+Assumptions!$B$3)^T256</f>
        <v/>
      </c>
      <c r="V256" s="11">
        <f>IF(M256=0,"",ROUND(U256/M256*100,1))</f>
        <v/>
      </c>
      <c r="W256" s="16">
        <f>U256*Assumptions!$B$4</f>
        <v/>
      </c>
      <c r="X256" s="11">
        <f>IF(M256=0,"",ROUND(W256/M256*100,1))</f>
        <v/>
      </c>
      <c r="Y256" t="inlineStr">
        <is>
          <t>BLUTRAFOS BLUMENAU TRANSFORMADORES LTDA</t>
        </is>
      </c>
      <c r="Z256" t="inlineStr">
        <is>
          <t>0022845-08.2013.8.24.0008</t>
        </is>
      </c>
      <c r="AA256" t="inlineStr"/>
      <c r="AB256" t="inlineStr">
        <is>
          <t>administradorajudicialgs.com.br</t>
        </is>
      </c>
      <c r="AC256" t="inlineStr">
        <is>
          <t>AMON YAMAGUCHI NISHIKUNI</t>
        </is>
      </c>
      <c r="AD256" t="inlineStr">
        <is>
          <t>Sócio-Administrador</t>
        </is>
      </c>
      <c r="AE256" t="inlineStr">
        <is>
          <t>(11) 4748-3922</t>
        </is>
      </c>
      <c r="AF256" t="inlineStr"/>
      <c r="AG256" t="inlineStr"/>
      <c r="AH256" t="inlineStr">
        <is>
          <t>SP</t>
        </is>
      </c>
      <c r="AI256" t="inlineStr">
        <is>
          <t>SUZANO</t>
        </is>
      </c>
      <c r="AJ256" t="inlineStr">
        <is>
          <t>Fabricação de componentes eletrônicos</t>
        </is>
      </c>
      <c r="AK256" t="inlineStr">
        <is>
          <t>DEMAIS</t>
        </is>
      </c>
      <c r="AL256" t="inlineStr">
        <is>
          <t>ATIVA</t>
        </is>
      </c>
      <c r="AM256" s="17" t="inlineStr">
        <is>
          <t>https://administradorajudicialgs.com.br/wp-content/uploads/2023/08/advogados-sgrott-doc-22-relacao-de-credores-do-administrador-judicial-classe-iii-05-02-14.pdf</t>
        </is>
      </c>
      <c r="AN256" s="18" t="inlineStr">
        <is>
          <t>p6 r3</t>
        </is>
      </c>
      <c r="AO256" s="18" t="inlineStr">
        <is>
          <t>p6: R$ 588.544,67</t>
        </is>
      </c>
      <c r="AP256" s="18" t="inlineStr">
        <is>
          <t>UNKNOWN</t>
        </is>
      </c>
      <c r="AQ256" s="18" t="inlineStr"/>
      <c r="AR256" s="18" t="inlineStr">
        <is>
          <t>OK</t>
        </is>
      </c>
      <c r="AS256" s="18" t="inlineStr">
        <is>
          <t>ROWS:p6r3</t>
        </is>
      </c>
      <c r="AT256" s="18" t="inlineStr">
        <is>
          <t>22ac347cfe4f</t>
        </is>
      </c>
    </row>
    <row r="257">
      <c r="A257" s="9" t="n">
        <v>256</v>
      </c>
      <c r="B257" s="9" t="inlineStr">
        <is>
          <t>NEW</t>
        </is>
      </c>
      <c r="C257" s="9" t="inlineStr"/>
      <c r="D257" s="9" t="n">
        <v>0</v>
      </c>
      <c r="E257" s="9" t="inlineStr"/>
      <c r="F257" s="9" t="inlineStr"/>
      <c r="G257" s="9" t="inlineStr"/>
      <c r="H257" s="9" t="inlineStr"/>
      <c r="I257" t="inlineStr">
        <is>
          <t>SUPRA EMBALAGENS LTDA</t>
        </is>
      </c>
      <c r="J257" t="inlineStr">
        <is>
          <t>SUPRA EMBALAGENS LTDA</t>
        </is>
      </c>
      <c r="K257" t="inlineStr">
        <is>
          <t>08582585</t>
        </is>
      </c>
      <c r="L257" t="inlineStr">
        <is>
          <t>08582585000107</t>
        </is>
      </c>
      <c r="M257" s="10" t="n">
        <v>587814.25</v>
      </c>
      <c r="N257" t="n">
        <v>1</v>
      </c>
      <c r="O257" s="11" t="inlineStr">
        <is>
          <t>C</t>
        </is>
      </c>
      <c r="P257" s="11" t="inlineStr">
        <is>
          <t>ACTIVE</t>
        </is>
      </c>
      <c r="Q257" s="12" t="n">
        <v>45057</v>
      </c>
      <c r="R257" s="11">
        <f>IF(Q257="","",ROUND((TODAY()-Q257)/365.25,1))</f>
        <v/>
      </c>
      <c r="S257" s="13">
        <f>IFERROR(VLOOKUP(O257,Assumptions!$A$7:$F$11,2,FALSE),0.25)</f>
        <v/>
      </c>
      <c r="T257" s="14">
        <f>IF(O257="A",MAX(1,IFERROR(VLOOKUP(O257,Assumptions!$A$7:$F$11,3,FALSE),3)+IFERROR(VLOOKUP(O257,Assumptions!$A$7:$F$11,4,FALSE),8)/2-MAX(0,IF(R257="",0,R257)-IFERROR(VLOOKUP(O257,Assumptions!$A$7:$F$11,5,FALSE),1.5))),IFERROR(VLOOKUP(O257,Assumptions!$A$7:$F$11,5,FALSE),2.5)+IFERROR(VLOOKUP(O257,Assumptions!$A$7:$F$11,3,FALSE),3)+IFERROR(VLOOKUP(O257,Assumptions!$A$7:$F$11,4,FALSE),8)/2)</f>
        <v/>
      </c>
      <c r="U257" s="15">
        <f>M257*S257/(1+Assumptions!$B$3)^T257</f>
        <v/>
      </c>
      <c r="V257" s="11">
        <f>IF(M257=0,"",ROUND(U257/M257*100,1))</f>
        <v/>
      </c>
      <c r="W257" s="16">
        <f>U257*Assumptions!$B$4</f>
        <v/>
      </c>
      <c r="X257" s="11">
        <f>IF(M257=0,"",ROUND(W257/M257*100,1))</f>
        <v/>
      </c>
      <c r="Y257" t="inlineStr">
        <is>
          <t>TOP TEXTIL EMBALAGENS LTDA</t>
        </is>
      </c>
      <c r="Z257" t="inlineStr">
        <is>
          <t>5011460-87.2023.8.24.0020</t>
        </is>
      </c>
      <c r="AA257" t="inlineStr">
        <is>
          <t>TJSC</t>
        </is>
      </c>
      <c r="AB257" t="inlineStr">
        <is>
          <t>cataliseaj.com.br</t>
        </is>
      </c>
      <c r="AC257" t="inlineStr">
        <is>
          <t>EDILSON ARAUJO MARTINS</t>
        </is>
      </c>
      <c r="AD257" t="inlineStr">
        <is>
          <t>Sócio-Administrador</t>
        </is>
      </c>
      <c r="AE257" t="inlineStr">
        <is>
          <t>(42) 3627-7722</t>
        </is>
      </c>
      <c r="AF257" t="inlineStr"/>
      <c r="AG257" t="inlineStr"/>
      <c r="AH257" t="inlineStr">
        <is>
          <t>PR</t>
        </is>
      </c>
      <c r="AI257" t="inlineStr">
        <is>
          <t>GUARAPUAVA</t>
        </is>
      </c>
      <c r="AJ257" t="inlineStr">
        <is>
          <t>Fabricação de embalagens de material plástico</t>
        </is>
      </c>
      <c r="AK257" t="inlineStr">
        <is>
          <t>DEMAIS</t>
        </is>
      </c>
      <c r="AL257" t="inlineStr">
        <is>
          <t>ATIVA</t>
        </is>
      </c>
      <c r="AM257" s="17" t="inlineStr">
        <is>
          <t>https://cataliseaj.com.br/sgc/download.php?file=files/processo_documento/processo_documento15092204102024_1_.pdf&amp;nome=02. RELAÇÃO DE CREDORES</t>
        </is>
      </c>
      <c r="AN257" s="18" t="inlineStr">
        <is>
          <t>p3 r22</t>
        </is>
      </c>
      <c r="AO257" s="18" t="inlineStr">
        <is>
          <t>p3: R$ 587.814,25</t>
        </is>
      </c>
      <c r="AP257" s="18" t="inlineStr">
        <is>
          <t>DEBTOR_LIST</t>
        </is>
      </c>
      <c r="AQ257" s="18" t="inlineStr"/>
      <c r="AR257" s="18" t="inlineStr">
        <is>
          <t>OK_NO_TOTALS</t>
        </is>
      </c>
      <c r="AS257" s="18" t="inlineStr">
        <is>
          <t>ROWS:p3r22 UNRECONCILED_SOURCE</t>
        </is>
      </c>
      <c r="AT257" s="18" t="inlineStr">
        <is>
          <t>741aed48dd00</t>
        </is>
      </c>
    </row>
    <row r="258">
      <c r="A258" s="9" t="n">
        <v>257</v>
      </c>
      <c r="B258" s="9" t="inlineStr">
        <is>
          <t>NEW</t>
        </is>
      </c>
      <c r="C258" s="9" t="inlineStr"/>
      <c r="D258" s="9" t="n">
        <v>0</v>
      </c>
      <c r="E258" s="9" t="inlineStr"/>
      <c r="F258" s="9" t="inlineStr"/>
      <c r="G258" s="9" t="inlineStr"/>
      <c r="H258" s="9" t="inlineStr"/>
      <c r="I258" t="inlineStr">
        <is>
          <t>TOTVS S.A.</t>
        </is>
      </c>
      <c r="J258" t="inlineStr">
        <is>
          <t>Av. Rio Branco, 45, Sala 905, lado impar, Centro - CEP 20090003</t>
        </is>
      </c>
      <c r="K258" t="inlineStr">
        <is>
          <t>53113791</t>
        </is>
      </c>
      <c r="L258" t="inlineStr">
        <is>
          <t>53113791000122</t>
        </is>
      </c>
      <c r="M258" s="10" t="n">
        <v>584334.6800000001</v>
      </c>
      <c r="N258" t="n">
        <v>1</v>
      </c>
      <c r="O258" s="11" t="inlineStr">
        <is>
          <t>C</t>
        </is>
      </c>
      <c r="P258" s="11" t="inlineStr"/>
      <c r="Q258" s="12" t="inlineStr"/>
      <c r="R258" s="11">
        <f>IF(Q258="","",ROUND((TODAY()-Q258)/365.25,1))</f>
        <v/>
      </c>
      <c r="S258" s="13">
        <f>IFERROR(VLOOKUP(O258,Assumptions!$A$7:$F$11,2,FALSE),0.25)</f>
        <v/>
      </c>
      <c r="T258" s="14">
        <f>IF(O258="A",MAX(1,IFERROR(VLOOKUP(O258,Assumptions!$A$7:$F$11,3,FALSE),3)+IFERROR(VLOOKUP(O258,Assumptions!$A$7:$F$11,4,FALSE),8)/2-MAX(0,IF(R258="",0,R258)-IFERROR(VLOOKUP(O258,Assumptions!$A$7:$F$11,5,FALSE),1.5))),IFERROR(VLOOKUP(O258,Assumptions!$A$7:$F$11,5,FALSE),2.5)+IFERROR(VLOOKUP(O258,Assumptions!$A$7:$F$11,3,FALSE),3)+IFERROR(VLOOKUP(O258,Assumptions!$A$7:$F$11,4,FALSE),8)/2)</f>
        <v/>
      </c>
      <c r="U258" s="15">
        <f>M258*S258/(1+Assumptions!$B$3)^T258</f>
        <v/>
      </c>
      <c r="V258" s="11">
        <f>IF(M258=0,"",ROUND(U258/M258*100,1))</f>
        <v/>
      </c>
      <c r="W258" s="16">
        <f>U258*Assumptions!$B$4</f>
        <v/>
      </c>
      <c r="X258" s="11">
        <f>IF(M258=0,"",ROUND(W258/M258*100,1))</f>
        <v/>
      </c>
      <c r="Y258" t="inlineStr">
        <is>
          <t>REAL DISTRIBUIDORA ÚNICA RIO COMÉRCIO DE REFRIGERAÇÃO LTDA.</t>
        </is>
      </c>
      <c r="Z258" t="inlineStr">
        <is>
          <t>0873061-47.2023.8.19.0001</t>
        </is>
      </c>
      <c r="AA258" t="inlineStr"/>
      <c r="AB258" t="inlineStr">
        <is>
          <t>inova-aj.com.br</t>
        </is>
      </c>
      <c r="AC258" t="inlineStr">
        <is>
          <t>DENNIS HERSZKOWICZ</t>
        </is>
      </c>
      <c r="AD258" t="inlineStr">
        <is>
          <t>Presidente</t>
        </is>
      </c>
      <c r="AE258" t="inlineStr">
        <is>
          <t>(11) 4004-0015</t>
        </is>
      </c>
      <c r="AF258" t="inlineStr"/>
      <c r="AG258" t="inlineStr"/>
      <c r="AH258" t="inlineStr">
        <is>
          <t>SP</t>
        </is>
      </c>
      <c r="AI258" t="inlineStr">
        <is>
          <t>SAO PAULO</t>
        </is>
      </c>
      <c r="AJ258" t="inlineStr">
        <is>
          <t>Desenvolvimento de programas de computador sob encomenda</t>
        </is>
      </c>
      <c r="AK258" t="inlineStr">
        <is>
          <t>DEMAIS</t>
        </is>
      </c>
      <c r="AL258" t="inlineStr">
        <is>
          <t>ATIVA</t>
        </is>
      </c>
      <c r="AM258" s="17" t="inlineStr">
        <is>
          <t>https://inova-aj.com.br/wp-content/uploads/2026/08/1a-Relacao-de-Credores-Real.pdf</t>
        </is>
      </c>
      <c r="AN258" s="18" t="inlineStr">
        <is>
          <t>p2 r11</t>
        </is>
      </c>
      <c r="AO258" s="18" t="inlineStr">
        <is>
          <t>p2: R$ 584.334,68</t>
        </is>
      </c>
      <c r="AP258" s="18" t="inlineStr">
        <is>
          <t>AJ_LIST</t>
        </is>
      </c>
      <c r="AQ258" s="18" t="inlineStr">
        <is>
          <t>2023-06-05</t>
        </is>
      </c>
      <c r="AR258" s="18" t="inlineStr">
        <is>
          <t>OK</t>
        </is>
      </c>
      <c r="AS258" s="18" t="inlineStr">
        <is>
          <t>ALT_VALUE:R$424.874,45 ROWS:p2r11</t>
        </is>
      </c>
      <c r="AT258" s="18" t="inlineStr">
        <is>
          <t>8eb5d0d64353</t>
        </is>
      </c>
    </row>
    <row r="259">
      <c r="A259" s="9" t="n">
        <v>258</v>
      </c>
      <c r="B259" s="9" t="inlineStr">
        <is>
          <t>NEW</t>
        </is>
      </c>
      <c r="C259" s="9" t="inlineStr"/>
      <c r="D259" s="9" t="n">
        <v>0</v>
      </c>
      <c r="E259" s="9" t="inlineStr"/>
      <c r="F259" s="9" t="inlineStr"/>
      <c r="G259" s="9" t="inlineStr"/>
      <c r="H259" s="9" t="inlineStr"/>
      <c r="I259" t="inlineStr">
        <is>
          <t>LICHT COMERCIO IMPORTACAO E EXPORTACAO LTDA</t>
        </is>
      </c>
      <c r="J259" t="inlineStr">
        <is>
          <t>LICHT COMERCIO IMPORTACAO E EXPORTACAO LTDA</t>
        </is>
      </c>
      <c r="K259" t="inlineStr">
        <is>
          <t>40777556</t>
        </is>
      </c>
      <c r="L259" t="inlineStr">
        <is>
          <t>40777556000456</t>
        </is>
      </c>
      <c r="M259" s="10" t="n">
        <v>583200</v>
      </c>
      <c r="N259" t="n">
        <v>7</v>
      </c>
      <c r="O259" s="11" t="inlineStr">
        <is>
          <t>B</t>
        </is>
      </c>
      <c r="P259" s="11" t="inlineStr"/>
      <c r="Q259" s="12" t="inlineStr"/>
      <c r="R259" s="11">
        <f>IF(Q259="","",ROUND((TODAY()-Q259)/365.25,1))</f>
        <v/>
      </c>
      <c r="S259" s="13">
        <f>IFERROR(VLOOKUP(O259,Assumptions!$A$7:$F$11,2,FALSE),0.25)</f>
        <v/>
      </c>
      <c r="T259" s="14">
        <f>IF(O259="A",MAX(1,IFERROR(VLOOKUP(O259,Assumptions!$A$7:$F$11,3,FALSE),3)+IFERROR(VLOOKUP(O259,Assumptions!$A$7:$F$11,4,FALSE),8)/2-MAX(0,IF(R259="",0,R259)-IFERROR(VLOOKUP(O259,Assumptions!$A$7:$F$11,5,FALSE),1.5))),IFERROR(VLOOKUP(O259,Assumptions!$A$7:$F$11,5,FALSE),2.5)+IFERROR(VLOOKUP(O259,Assumptions!$A$7:$F$11,3,FALSE),3)+IFERROR(VLOOKUP(O259,Assumptions!$A$7:$F$11,4,FALSE),8)/2)</f>
        <v/>
      </c>
      <c r="U259" s="15">
        <f>M259*S259/(1+Assumptions!$B$3)^T259</f>
        <v/>
      </c>
      <c r="V259" s="11">
        <f>IF(M259=0,"",ROUND(U259/M259*100,1))</f>
        <v/>
      </c>
      <c r="W259" s="16">
        <f>U259*Assumptions!$B$4</f>
        <v/>
      </c>
      <c r="X259" s="11">
        <f>IF(M259=0,"",ROUND(W259/M259*100,1))</f>
        <v/>
      </c>
      <c r="Y259" t="inlineStr">
        <is>
          <t>Base</t>
        </is>
      </c>
      <c r="Z259" t="inlineStr">
        <is>
          <t>1022634-27.2024.8.26.0100</t>
        </is>
      </c>
      <c r="AA259" t="inlineStr"/>
      <c r="AB259" t="inlineStr">
        <is>
          <t>ajruiz.com.br</t>
        </is>
      </c>
      <c r="AC259" t="inlineStr">
        <is>
          <t>RODRIGO ABEL TENORIO</t>
        </is>
      </c>
      <c r="AD259" t="inlineStr">
        <is>
          <t>Sócio-Administrador</t>
        </is>
      </c>
      <c r="AE259" t="inlineStr">
        <is>
          <t>(11) 2724-2007</t>
        </is>
      </c>
      <c r="AF259" t="inlineStr"/>
      <c r="AG259" t="inlineStr"/>
      <c r="AH259" t="inlineStr">
        <is>
          <t>SP</t>
        </is>
      </c>
      <c r="AI259" t="inlineStr">
        <is>
          <t>RIBEIRAO PRETO</t>
        </is>
      </c>
      <c r="AJ259" t="inlineStr">
        <is>
          <t>Serviços combinados de escritório e apoio administrativo</t>
        </is>
      </c>
      <c r="AK259" t="inlineStr">
        <is>
          <t>DEMAIS</t>
        </is>
      </c>
      <c r="AL259" t="inlineStr">
        <is>
          <t>ATIVA</t>
        </is>
      </c>
      <c r="AM259" s="17" t="inlineStr">
        <is>
          <t>https://ajruiz.com.br/sites/default/files/public/arquivos-processos/2024-04/relacao_de_credores_recuperanda_1.pdf</t>
        </is>
      </c>
      <c r="AN259" s="18" t="inlineStr">
        <is>
          <t>p8 r1; p8 r2; p8 r3; p8 r4; p8 r5; p8 r6; p8 r7; p8 r8; p8 r9</t>
        </is>
      </c>
      <c r="AO259" s="18" t="inlineStr">
        <is>
          <t>p8: R$ 70.000,00; p8: R$ 196.000,00; p8: R$ 1.500,00; p8: R$ 52.500,00; p8: R$ 58.800,00; p8: R$ 182.000,00; p8: R$ 196.000,00; p8: R$ 196.000,00; p8: R$ 22.400,00</t>
        </is>
      </c>
      <c r="AP259" s="18" t="inlineStr">
        <is>
          <t>QGC</t>
        </is>
      </c>
      <c r="AQ259" s="18" t="inlineStr">
        <is>
          <t>2024-01-31</t>
        </is>
      </c>
      <c r="AR259" s="18" t="inlineStr">
        <is>
          <t>OK</t>
        </is>
      </c>
      <c r="AS259" s="18" t="inlineStr">
        <is>
          <t>ROWS:p8r1,p8r2,p8r3,p8r4,p8r5,p8r6,p8r9 CASE_NUMBER_CORRECTED</t>
        </is>
      </c>
      <c r="AT259" s="18" t="inlineStr">
        <is>
          <t>380922480f80</t>
        </is>
      </c>
    </row>
    <row r="260">
      <c r="A260" s="9" t="n">
        <v>259</v>
      </c>
      <c r="B260" s="9" t="inlineStr">
        <is>
          <t>NEW</t>
        </is>
      </c>
      <c r="C260" s="9" t="inlineStr"/>
      <c r="D260" s="9" t="n">
        <v>0</v>
      </c>
      <c r="E260" s="9" t="inlineStr"/>
      <c r="F260" s="9" t="inlineStr"/>
      <c r="G260" s="9" t="inlineStr"/>
      <c r="H260" s="9" t="inlineStr"/>
      <c r="I260" t="inlineStr">
        <is>
          <t>TELEFONICA CLOUD E TECNOLOGIA DO BRASIL S.A.</t>
        </is>
      </c>
      <c r="J260" t="inlineStr">
        <is>
          <t>NÃO</t>
        </is>
      </c>
      <c r="K260" t="inlineStr">
        <is>
          <t>35473014</t>
        </is>
      </c>
      <c r="L260" t="inlineStr">
        <is>
          <t>35473014000107</t>
        </is>
      </c>
      <c r="M260" s="10" t="n">
        <v>581750.48</v>
      </c>
      <c r="N260" t="n">
        <v>1</v>
      </c>
      <c r="O260" s="11" t="inlineStr">
        <is>
          <t>B</t>
        </is>
      </c>
      <c r="P260" s="11" t="inlineStr"/>
      <c r="Q260" s="12" t="inlineStr"/>
      <c r="R260" s="11">
        <f>IF(Q260="","",ROUND((TODAY()-Q260)/365.25,1))</f>
        <v/>
      </c>
      <c r="S260" s="13">
        <f>IFERROR(VLOOKUP(O260,Assumptions!$A$7:$F$11,2,FALSE),0.25)</f>
        <v/>
      </c>
      <c r="T260" s="14">
        <f>IF(O260="A",MAX(1,IFERROR(VLOOKUP(O260,Assumptions!$A$7:$F$11,3,FALSE),3)+IFERROR(VLOOKUP(O260,Assumptions!$A$7:$F$11,4,FALSE),8)/2-MAX(0,IF(R260="",0,R260)-IFERROR(VLOOKUP(O260,Assumptions!$A$7:$F$11,5,FALSE),1.5))),IFERROR(VLOOKUP(O260,Assumptions!$A$7:$F$11,5,FALSE),2.5)+IFERROR(VLOOKUP(O260,Assumptions!$A$7:$F$11,3,FALSE),3)+IFERROR(VLOOKUP(O260,Assumptions!$A$7:$F$11,4,FALSE),8)/2)</f>
        <v/>
      </c>
      <c r="U260" s="15">
        <f>M260*S260/(1+Assumptions!$B$3)^T260</f>
        <v/>
      </c>
      <c r="V260" s="11">
        <f>IF(M260=0,"",ROUND(U260/M260*100,1))</f>
        <v/>
      </c>
      <c r="W260" s="16">
        <f>U260*Assumptions!$B$4</f>
        <v/>
      </c>
      <c r="X260" s="11">
        <f>IF(M260=0,"",ROUND(W260/M260*100,1))</f>
        <v/>
      </c>
      <c r="Y260" t="inlineStr">
        <is>
          <t>Grupo Rech</t>
        </is>
      </c>
      <c r="Z260" t="inlineStr">
        <is>
          <t>5057720-48.2025.8.24.0023</t>
        </is>
      </c>
      <c r="AA260" t="inlineStr"/>
      <c r="AB260" t="inlineStr">
        <is>
          <t>credibilita.com.br</t>
        </is>
      </c>
      <c r="AC260" t="inlineStr">
        <is>
          <t>DEBORA HEREDIA IGNACIO BORTOLASI</t>
        </is>
      </c>
      <c r="AD260" t="inlineStr">
        <is>
          <t>Presidente</t>
        </is>
      </c>
      <c r="AE260" t="inlineStr">
        <is>
          <t>(11) 3430-2145</t>
        </is>
      </c>
      <c r="AF260" t="inlineStr"/>
      <c r="AG260" t="inlineStr"/>
      <c r="AH260" t="inlineStr">
        <is>
          <t>SP</t>
        </is>
      </c>
      <c r="AI260" t="inlineStr">
        <is>
          <t>SANTANA DE PARNAIBA</t>
        </is>
      </c>
      <c r="AJ260" t="inlineStr">
        <is>
          <t>Consultoria em tecnologia da informação</t>
        </is>
      </c>
      <c r="AK260" t="inlineStr">
        <is>
          <t>DEMAIS</t>
        </is>
      </c>
      <c r="AL260" t="inlineStr">
        <is>
          <t>ATIVA</t>
        </is>
      </c>
      <c r="AM260" s="17" t="inlineStr">
        <is>
          <t>https://credibilita.com.br/wp-content/uploads/2025/09/Relacao-Credores-29.04.2026.pdf</t>
        </is>
      </c>
      <c r="AN260" s="18" t="inlineStr">
        <is>
          <t>p2 r20</t>
        </is>
      </c>
      <c r="AO260" s="18" t="inlineStr">
        <is>
          <t>p2: R$ 581.750,48</t>
        </is>
      </c>
      <c r="AP260" s="18" t="inlineStr">
        <is>
          <t>QUORUM_LIST</t>
        </is>
      </c>
      <c r="AQ260" s="18" t="inlineStr"/>
      <c r="AR260" s="18" t="inlineStr">
        <is>
          <t>OK_NO_TOTALS</t>
        </is>
      </c>
      <c r="AS260" s="18" t="inlineStr">
        <is>
          <t>ROWS:p2r20 UNRECONCILED_SOURCE VALUE_COL:Valor_Após_Analise CASE_NUMBER_CORRECTED</t>
        </is>
      </c>
      <c r="AT260" s="18" t="inlineStr">
        <is>
          <t>cf92cff797d2</t>
        </is>
      </c>
    </row>
    <row r="261">
      <c r="A261" s="9" t="n">
        <v>260</v>
      </c>
      <c r="B261" s="9" t="inlineStr">
        <is>
          <t>NEW</t>
        </is>
      </c>
      <c r="C261" s="9" t="inlineStr"/>
      <c r="D261" s="9" t="n">
        <v>0</v>
      </c>
      <c r="E261" s="9" t="inlineStr"/>
      <c r="F261" s="9" t="inlineStr"/>
      <c r="G261" s="9" t="inlineStr"/>
      <c r="H261" s="9" t="inlineStr"/>
      <c r="I261" t="inlineStr">
        <is>
          <t>VERTICE CONSTRUTORA E INCORPORADORA LTDA</t>
        </is>
      </c>
      <c r="J261" t="inlineStr">
        <is>
          <t>VÉRTICE INCOPORADORA E CONSTRUTORA</t>
        </is>
      </c>
      <c r="K261" t="inlineStr">
        <is>
          <t>07120505</t>
        </is>
      </c>
      <c r="L261" t="inlineStr">
        <is>
          <t>07120505000139</t>
        </is>
      </c>
      <c r="M261" s="10" t="n">
        <v>580000</v>
      </c>
      <c r="N261" t="n">
        <v>1</v>
      </c>
      <c r="O261" s="11" t="inlineStr">
        <is>
          <t>D</t>
        </is>
      </c>
      <c r="P261" s="11" t="inlineStr"/>
      <c r="Q261" s="12" t="inlineStr"/>
      <c r="R261" s="11">
        <f>IF(Q261="","",ROUND((TODAY()-Q261)/365.25,1))</f>
        <v/>
      </c>
      <c r="S261" s="13">
        <f>IFERROR(VLOOKUP(O261,Assumptions!$A$7:$F$11,2,FALSE),0.25)</f>
        <v/>
      </c>
      <c r="T261" s="14">
        <f>IF(O261="A",MAX(1,IFERROR(VLOOKUP(O261,Assumptions!$A$7:$F$11,3,FALSE),3)+IFERROR(VLOOKUP(O261,Assumptions!$A$7:$F$11,4,FALSE),8)/2-MAX(0,IF(R261="",0,R261)-IFERROR(VLOOKUP(O261,Assumptions!$A$7:$F$11,5,FALSE),1.5))),IFERROR(VLOOKUP(O261,Assumptions!$A$7:$F$11,5,FALSE),2.5)+IFERROR(VLOOKUP(O261,Assumptions!$A$7:$F$11,3,FALSE),3)+IFERROR(VLOOKUP(O261,Assumptions!$A$7:$F$11,4,FALSE),8)/2)</f>
        <v/>
      </c>
      <c r="U261" s="15">
        <f>M261*S261/(1+Assumptions!$B$3)^T261</f>
        <v/>
      </c>
      <c r="V261" s="11">
        <f>IF(M261=0,"",ROUND(U261/M261*100,1))</f>
        <v/>
      </c>
      <c r="W261" s="16">
        <f>U261*Assumptions!$B$4</f>
        <v/>
      </c>
      <c r="X261" s="11">
        <f>IF(M261=0,"",ROUND(W261/M261*100,1))</f>
        <v/>
      </c>
      <c r="Y261" t="inlineStr">
        <is>
          <t>AGIMAX ESQUADRIAS METALICAS LTDA</t>
        </is>
      </c>
      <c r="Z261" t="inlineStr">
        <is>
          <t>5009529-81.2025.8.24.0019</t>
        </is>
      </c>
      <c r="AA261" t="inlineStr"/>
      <c r="AB261" t="inlineStr">
        <is>
          <t>scalzilliaj.com.br</t>
        </is>
      </c>
      <c r="AC261" t="inlineStr">
        <is>
          <t>GIANCARLOS AGNOLETTO</t>
        </is>
      </c>
      <c r="AD261" t="inlineStr">
        <is>
          <t>Sócio-Administrador</t>
        </is>
      </c>
      <c r="AE261" t="inlineStr">
        <is>
          <t>(49) 3322-1111</t>
        </is>
      </c>
      <c r="AF261" t="inlineStr"/>
      <c r="AG261" t="inlineStr"/>
      <c r="AH261" t="inlineStr">
        <is>
          <t>SC</t>
        </is>
      </c>
      <c r="AI261" t="inlineStr">
        <is>
          <t>CHAPECO</t>
        </is>
      </c>
      <c r="AJ261" t="inlineStr">
        <is>
          <t>Incorporação de empreendimentos imobiliários</t>
        </is>
      </c>
      <c r="AK261" t="inlineStr">
        <is>
          <t>DEMAIS</t>
        </is>
      </c>
      <c r="AL261" t="inlineStr">
        <is>
          <t>ATIVA</t>
        </is>
      </c>
      <c r="AM261" s="17" t="inlineStr">
        <is>
          <t>https://scalzilliaj.com.br/sgc/download.php?file=files/processo_documento/processo_documento15180810062026_1_.pdf&amp;nome=10 - Relação de credores do art. 7º, §2º, da Lei 11.101/2005</t>
        </is>
      </c>
      <c r="AN261" s="18" t="inlineStr">
        <is>
          <t>p2 r43</t>
        </is>
      </c>
      <c r="AO261" s="18" t="inlineStr">
        <is>
          <t>p2: R$ 580.000,00</t>
        </is>
      </c>
      <c r="AP261" s="18" t="inlineStr">
        <is>
          <t>AJ_LIST</t>
        </is>
      </c>
      <c r="AQ261" s="18" t="inlineStr"/>
      <c r="AR261" s="18" t="inlineStr">
        <is>
          <t>OK_NO_TOTALS</t>
        </is>
      </c>
      <c r="AS261" s="18" t="inlineStr">
        <is>
          <t>ROWS:p2r43 UNRECONCILED_SOURCE</t>
        </is>
      </c>
      <c r="AT261" s="18" t="inlineStr">
        <is>
          <t>2e4641168857</t>
        </is>
      </c>
    </row>
    <row r="262">
      <c r="A262" s="9" t="n">
        <v>261</v>
      </c>
      <c r="B262" s="9" t="inlineStr">
        <is>
          <t>NEW</t>
        </is>
      </c>
      <c r="C262" s="9" t="inlineStr"/>
      <c r="D262" s="9" t="n">
        <v>0</v>
      </c>
      <c r="E262" s="9" t="inlineStr"/>
      <c r="F262" s="9" t="inlineStr"/>
      <c r="G262" s="9" t="inlineStr"/>
      <c r="H262" s="9" t="inlineStr"/>
      <c r="I262" t="inlineStr">
        <is>
          <t>BIOBASE INDUSTRIA E COMERCIO LTDA</t>
        </is>
      </c>
      <c r="J262" t="inlineStr">
        <is>
          <t>BIOBASE INDUSTRIA E COMERCIO LTDA</t>
        </is>
      </c>
      <c r="K262" t="inlineStr">
        <is>
          <t>05216859</t>
        </is>
      </c>
      <c r="L262" t="inlineStr">
        <is>
          <t>05216859000156</t>
        </is>
      </c>
      <c r="M262" s="10" t="n">
        <v>569654.02</v>
      </c>
      <c r="N262" t="n">
        <v>1</v>
      </c>
      <c r="O262" s="11" t="inlineStr">
        <is>
          <t>U</t>
        </is>
      </c>
      <c r="P262" s="11" t="inlineStr"/>
      <c r="Q262" s="12" t="inlineStr"/>
      <c r="R262" s="11">
        <f>IF(Q262="","",ROUND((TODAY()-Q262)/365.25,1))</f>
        <v/>
      </c>
      <c r="S262" s="13">
        <f>IFERROR(VLOOKUP(O262,Assumptions!$A$7:$F$11,2,FALSE),0.25)</f>
        <v/>
      </c>
      <c r="T262" s="14">
        <f>IF(O262="A",MAX(1,IFERROR(VLOOKUP(O262,Assumptions!$A$7:$F$11,3,FALSE),3)+IFERROR(VLOOKUP(O262,Assumptions!$A$7:$F$11,4,FALSE),8)/2-MAX(0,IF(R262="",0,R262)-IFERROR(VLOOKUP(O262,Assumptions!$A$7:$F$11,5,FALSE),1.5))),IFERROR(VLOOKUP(O262,Assumptions!$A$7:$F$11,5,FALSE),2.5)+IFERROR(VLOOKUP(O262,Assumptions!$A$7:$F$11,3,FALSE),3)+IFERROR(VLOOKUP(O262,Assumptions!$A$7:$F$11,4,FALSE),8)/2)</f>
        <v/>
      </c>
      <c r="U262" s="15">
        <f>M262*S262/(1+Assumptions!$B$3)^T262</f>
        <v/>
      </c>
      <c r="V262" s="11">
        <f>IF(M262=0,"",ROUND(U262/M262*100,1))</f>
        <v/>
      </c>
      <c r="W262" s="16">
        <f>U262*Assumptions!$B$4</f>
        <v/>
      </c>
      <c r="X262" s="11">
        <f>IF(M262=0,"",ROUND(W262/M262*100,1))</f>
        <v/>
      </c>
      <c r="Y262" t="inlineStr"/>
      <c r="Z262" t="inlineStr">
        <is>
          <t>(not found in document)</t>
        </is>
      </c>
      <c r="AA262" t="inlineStr"/>
      <c r="AB262" t="inlineStr">
        <is>
          <t>bernardobicalho.com.br</t>
        </is>
      </c>
      <c r="AC262" t="inlineStr">
        <is>
          <t>RICHARD REIS FARIAS</t>
        </is>
      </c>
      <c r="AD262" t="inlineStr">
        <is>
          <t>Sócio-Administrador</t>
        </is>
      </c>
      <c r="AE262" t="inlineStr">
        <is>
          <t>(35) 3427-7000</t>
        </is>
      </c>
      <c r="AF262" t="inlineStr">
        <is>
          <t>(35) 3427-7012</t>
        </is>
      </c>
      <c r="AG262" t="inlineStr"/>
      <c r="AH262" t="inlineStr">
        <is>
          <t>MG</t>
        </is>
      </c>
      <c r="AI262" t="inlineStr">
        <is>
          <t>POUSO ALEGRE</t>
        </is>
      </c>
      <c r="AJ262" t="inlineStr">
        <is>
          <t>Fabricação de materiais para medicina e odontologia</t>
        </is>
      </c>
      <c r="AK262" t="inlineStr">
        <is>
          <t>DEMAIS</t>
        </is>
      </c>
      <c r="AL262" t="inlineStr">
        <is>
          <t>ATIVA</t>
        </is>
      </c>
      <c r="AM262" s="17" t="inlineStr">
        <is>
          <t>http://bernardobicalho.com.br/login/app/documents/Rela%C3%A7%C3%A3o%20de%20Credores/6.%20RVC-%20Nutricium%20-%20simplificada.pdf</t>
        </is>
      </c>
      <c r="AN262" s="18" t="inlineStr">
        <is>
          <t>p3 r7</t>
        </is>
      </c>
      <c r="AO262" s="18" t="inlineStr">
        <is>
          <t>p3: R$ 569.654,02</t>
        </is>
      </c>
      <c r="AP262" s="18" t="inlineStr">
        <is>
          <t>AJ_LIST</t>
        </is>
      </c>
      <c r="AQ262" s="18" t="inlineStr"/>
      <c r="AR262" s="18" t="inlineStr">
        <is>
          <t>OK</t>
        </is>
      </c>
      <c r="AS262" s="18" t="inlineStr">
        <is>
          <t>CASE_NUMBER_MISSING ROWS:p3r7</t>
        </is>
      </c>
      <c r="AT262" s="18" t="inlineStr">
        <is>
          <t>6a92d74da333</t>
        </is>
      </c>
    </row>
    <row r="263">
      <c r="A263" s="9" t="n">
        <v>262</v>
      </c>
      <c r="B263" s="9" t="inlineStr">
        <is>
          <t>NEW</t>
        </is>
      </c>
      <c r="C263" s="9" t="inlineStr"/>
      <c r="D263" s="9" t="n">
        <v>0</v>
      </c>
      <c r="E263" s="9" t="inlineStr"/>
      <c r="F263" s="9" t="inlineStr"/>
      <c r="G263" s="9" t="inlineStr"/>
      <c r="H263" s="9" t="inlineStr"/>
      <c r="I263" t="inlineStr">
        <is>
          <t>BRANDILI TEXTIL LTDA</t>
        </is>
      </c>
      <c r="J263" t="inlineStr">
        <is>
          <t>BRANDILI TEXTIL LTDA</t>
        </is>
      </c>
      <c r="K263" t="inlineStr">
        <is>
          <t>84229889</t>
        </is>
      </c>
      <c r="L263" t="inlineStr">
        <is>
          <t>84229889000173</t>
        </is>
      </c>
      <c r="M263" s="10" t="n">
        <v>567952.01</v>
      </c>
      <c r="N263" t="n">
        <v>3</v>
      </c>
      <c r="O263" s="11" t="inlineStr">
        <is>
          <t>C</t>
        </is>
      </c>
      <c r="P263" s="11" t="inlineStr">
        <is>
          <t>ACTIVE</t>
        </is>
      </c>
      <c r="Q263" s="12" t="n">
        <v>44571</v>
      </c>
      <c r="R263" s="11">
        <f>IF(Q263="","",ROUND((TODAY()-Q263)/365.25,1))</f>
        <v/>
      </c>
      <c r="S263" s="13">
        <f>IFERROR(VLOOKUP(O263,Assumptions!$A$7:$F$11,2,FALSE),0.25)</f>
        <v/>
      </c>
      <c r="T263" s="14">
        <f>IF(O263="A",MAX(1,IFERROR(VLOOKUP(O263,Assumptions!$A$7:$F$11,3,FALSE),3)+IFERROR(VLOOKUP(O263,Assumptions!$A$7:$F$11,4,FALSE),8)/2-MAX(0,IF(R263="",0,R263)-IFERROR(VLOOKUP(O263,Assumptions!$A$7:$F$11,5,FALSE),1.5))),IFERROR(VLOOKUP(O263,Assumptions!$A$7:$F$11,5,FALSE),2.5)+IFERROR(VLOOKUP(O263,Assumptions!$A$7:$F$11,3,FALSE),3)+IFERROR(VLOOKUP(O263,Assumptions!$A$7:$F$11,4,FALSE),8)/2)</f>
        <v/>
      </c>
      <c r="U263" s="15">
        <f>M263*S263/(1+Assumptions!$B$3)^T263</f>
        <v/>
      </c>
      <c r="V263" s="11">
        <f>IF(M263=0,"",ROUND(U263/M263*100,1))</f>
        <v/>
      </c>
      <c r="W263" s="16">
        <f>U263*Assumptions!$B$4</f>
        <v/>
      </c>
      <c r="X263" s="11">
        <f>IF(M263=0,"",ROUND(W263/M263*100,1))</f>
        <v/>
      </c>
      <c r="Y263" t="inlineStr">
        <is>
          <t>GRUPO CATTAN</t>
        </is>
      </c>
      <c r="Z263" t="inlineStr">
        <is>
          <t>0002484-82.2022.8.17.2001</t>
        </is>
      </c>
      <c r="AA263" t="inlineStr">
        <is>
          <t>TJPE</t>
        </is>
      </c>
      <c r="AB263" t="inlineStr">
        <is>
          <t>lrflideres.com.br</t>
        </is>
      </c>
      <c r="AC263" t="inlineStr">
        <is>
          <t>CARLOS NORBERTO BRANDES</t>
        </is>
      </c>
      <c r="AD263" t="inlineStr">
        <is>
          <t>Sócio-Administrador</t>
        </is>
      </c>
      <c r="AE263" t="inlineStr">
        <is>
          <t>(47) 3144-6000</t>
        </is>
      </c>
      <c r="AF263" t="inlineStr">
        <is>
          <t>(47) 3353-2401</t>
        </is>
      </c>
      <c r="AG263" t="inlineStr"/>
      <c r="AH263" t="inlineStr">
        <is>
          <t>SC</t>
        </is>
      </c>
      <c r="AI263" t="inlineStr">
        <is>
          <t>APIUNA</t>
        </is>
      </c>
      <c r="AJ263" t="inlineStr">
        <is>
          <t>Confecção de peças de vestuário, exceto roupas íntimas e as confeccionadas sob medida</t>
        </is>
      </c>
      <c r="AK263" t="inlineStr">
        <is>
          <t>DEMAIS</t>
        </is>
      </c>
      <c r="AL263" t="inlineStr">
        <is>
          <t>ATIVA</t>
        </is>
      </c>
      <c r="AM263" s="17" t="inlineStr">
        <is>
          <t>https://lrflideres.com.br/wp-content/plugins/download-attachments/includes/download.php?id=4023</t>
        </is>
      </c>
      <c r="AN263" s="18" t="inlineStr">
        <is>
          <t>p4 r58; p7 r81; p9 r60</t>
        </is>
      </c>
      <c r="AO263" s="18" t="inlineStr">
        <is>
          <t>p4: R$ 165.914,50; p7: R$ 324.485,33; p9: R$ 77.552,18</t>
        </is>
      </c>
      <c r="AP263" s="18" t="inlineStr">
        <is>
          <t>DEBTOR_LIST</t>
        </is>
      </c>
      <c r="AQ263" s="18" t="inlineStr"/>
      <c r="AR263" s="18" t="inlineStr">
        <is>
          <t>QUARANTINED</t>
        </is>
      </c>
      <c r="AS263" s="18" t="inlineStr">
        <is>
          <t>PARTIAL_DOC_CLASS_III_RECONCILED ROWS:p4r58,p7r81,p9r60</t>
        </is>
      </c>
      <c r="AT263" s="18" t="inlineStr">
        <is>
          <t>f3b6182e3aa2</t>
        </is>
      </c>
    </row>
    <row r="264">
      <c r="A264" s="9" t="n">
        <v>263</v>
      </c>
      <c r="B264" s="9" t="inlineStr">
        <is>
          <t>NEW</t>
        </is>
      </c>
      <c r="C264" s="9" t="inlineStr"/>
      <c r="D264" s="9" t="n">
        <v>0</v>
      </c>
      <c r="E264" s="9" t="inlineStr"/>
      <c r="F264" s="9" t="inlineStr"/>
      <c r="G264" s="9" t="inlineStr"/>
      <c r="H264" s="9" t="inlineStr"/>
      <c r="I264" t="inlineStr">
        <is>
          <t>SANTIN - EQUIPAMENTOS, TRANSPORTES, IMPORTACAO E EXPORTACAO LTDA</t>
        </is>
      </c>
      <c r="J264" t="inlineStr">
        <is>
          <t>Santin Equipamentos, Transportes, Importação e Exportação LTDA</t>
        </is>
      </c>
      <c r="K264" t="inlineStr">
        <is>
          <t>05134355</t>
        </is>
      </c>
      <c r="L264" t="inlineStr">
        <is>
          <t>05134355000197</t>
        </is>
      </c>
      <c r="M264" s="10" t="n">
        <v>565326.29</v>
      </c>
      <c r="N264" t="n">
        <v>1</v>
      </c>
      <c r="O264" s="11" t="inlineStr">
        <is>
          <t>B</t>
        </is>
      </c>
      <c r="P264" s="11" t="inlineStr"/>
      <c r="Q264" s="12" t="n">
        <v>45756</v>
      </c>
      <c r="R264" s="11">
        <f>IF(Q264="","",ROUND((TODAY()-Q264)/365.25,1))</f>
        <v/>
      </c>
      <c r="S264" s="13">
        <f>IFERROR(VLOOKUP(O264,Assumptions!$A$7:$F$11,2,FALSE),0.25)</f>
        <v/>
      </c>
      <c r="T264" s="14">
        <f>IF(O264="A",MAX(1,IFERROR(VLOOKUP(O264,Assumptions!$A$7:$F$11,3,FALSE),3)+IFERROR(VLOOKUP(O264,Assumptions!$A$7:$F$11,4,FALSE),8)/2-MAX(0,IF(R264="",0,R264)-IFERROR(VLOOKUP(O264,Assumptions!$A$7:$F$11,5,FALSE),1.5))),IFERROR(VLOOKUP(O264,Assumptions!$A$7:$F$11,5,FALSE),2.5)+IFERROR(VLOOKUP(O264,Assumptions!$A$7:$F$11,3,FALSE),3)+IFERROR(VLOOKUP(O264,Assumptions!$A$7:$F$11,4,FALSE),8)/2)</f>
        <v/>
      </c>
      <c r="U264" s="15">
        <f>M264*S264/(1+Assumptions!$B$3)^T264</f>
        <v/>
      </c>
      <c r="V264" s="11">
        <f>IF(M264=0,"",ROUND(U264/M264*100,1))</f>
        <v/>
      </c>
      <c r="W264" s="16">
        <f>U264*Assumptions!$B$4</f>
        <v/>
      </c>
      <c r="X264" s="11">
        <f>IF(M264=0,"",ROUND(W264/M264*100,1))</f>
        <v/>
      </c>
      <c r="Y264" t="inlineStr">
        <is>
          <t>GRUPO EGESA (EGESA ENG S.A, EGESUR PART E EMP S.A, MATRIX INFRA LTDA, BEMVIVER ENG AMBIENTAL E SERV LTDA, DKF CONST E EMP LTDA, EGEPEL LTDA, ETR ASSESSORIA EMP E PART LTDA, MVT ENG E SERV LTDA, PARQUES DO VALE LTDA, ELMO RIBEIRO E ANA RIBEIRO)</t>
        </is>
      </c>
      <c r="Z264" t="inlineStr">
        <is>
          <t>5088952-81.2025.8.13.0024</t>
        </is>
      </c>
      <c r="AA264" t="inlineStr">
        <is>
          <t>TJMG</t>
        </is>
      </c>
      <c r="AB264" t="inlineStr">
        <is>
          <t>scalzilliaj.com.br</t>
        </is>
      </c>
      <c r="AC264" t="inlineStr">
        <is>
          <t>ALEXANDRE BARBIERI SANTIN</t>
        </is>
      </c>
      <c r="AD264" t="inlineStr">
        <is>
          <t>Sócio-Administrador</t>
        </is>
      </c>
      <c r="AE264" t="inlineStr">
        <is>
          <t>(16) 3393-9999</t>
        </is>
      </c>
      <c r="AF264" t="inlineStr"/>
      <c r="AG264" t="inlineStr"/>
      <c r="AH264" t="inlineStr">
        <is>
          <t>SP</t>
        </is>
      </c>
      <c r="AI264" t="inlineStr">
        <is>
          <t>AMERICO BRASILIENSE</t>
        </is>
      </c>
      <c r="AJ264" t="inlineStr">
        <is>
          <t>Transporte rodoviário de carga, exceto produtos perigosos e mudanças, intermunicipal, interestadual e internacional</t>
        </is>
      </c>
      <c r="AK264" t="inlineStr">
        <is>
          <t>DEMAIS</t>
        </is>
      </c>
      <c r="AL264" t="inlineStr">
        <is>
          <t>ATIVA</t>
        </is>
      </c>
      <c r="AM264" s="17" t="inlineStr">
        <is>
          <t>https://scalzilliaj.com.br/sgc/download.php?file=files/processo_documento/processo_documento09514021082025_1_.pdf&amp;nome=04 - Relação de credores das Recuperandas</t>
        </is>
      </c>
      <c r="AN264" s="18" t="inlineStr">
        <is>
          <t>p72 r16</t>
        </is>
      </c>
      <c r="AO264" s="18" t="inlineStr">
        <is>
          <t>p72: R$ 565.326,29</t>
        </is>
      </c>
      <c r="AP264" s="18" t="inlineStr">
        <is>
          <t>DEBTOR_LIST</t>
        </is>
      </c>
      <c r="AQ264" s="18" t="inlineStr"/>
      <c r="AR264" s="18" t="inlineStr">
        <is>
          <t>OK</t>
        </is>
      </c>
      <c r="AS264" s="18" t="inlineStr">
        <is>
          <t>ROWS:p72r16 VALUE_COL:Valor_Atualizado CASE_NUMBER_CORRECTED CASE_FROM_PORTAL</t>
        </is>
      </c>
      <c r="AT264" s="18" t="inlineStr">
        <is>
          <t>24ed98480a57</t>
        </is>
      </c>
    </row>
    <row r="265">
      <c r="A265" s="9" t="n">
        <v>264</v>
      </c>
      <c r="B265" s="9" t="inlineStr">
        <is>
          <t>NEW</t>
        </is>
      </c>
      <c r="C265" s="9" t="inlineStr"/>
      <c r="D265" s="9" t="n">
        <v>0</v>
      </c>
      <c r="E265" s="9" t="inlineStr"/>
      <c r="F265" s="9" t="inlineStr"/>
      <c r="G265" s="9" t="inlineStr"/>
      <c r="H265" s="9" t="inlineStr"/>
      <c r="I265" t="inlineStr">
        <is>
          <t>MERCK SHARP &amp; DOHME SAUDE ANIMAL LTDA</t>
        </is>
      </c>
      <c r="J265" t="inlineStr">
        <is>
          <t>Msd Saude Animal Ltda</t>
        </is>
      </c>
      <c r="K265" t="inlineStr">
        <is>
          <t>07954091</t>
        </is>
      </c>
      <c r="L265" t="inlineStr">
        <is>
          <t>07954091000496, 07954091001115</t>
        </is>
      </c>
      <c r="M265" s="10" t="n">
        <v>564684.01</v>
      </c>
      <c r="N265" t="n">
        <v>2</v>
      </c>
      <c r="O265" s="11" t="inlineStr">
        <is>
          <t>B</t>
        </is>
      </c>
      <c r="P265" s="11" t="inlineStr">
        <is>
          <t>ACTIVE</t>
        </is>
      </c>
      <c r="Q265" s="12" t="n">
        <v>46130</v>
      </c>
      <c r="R265" s="11">
        <f>IF(Q265="","",ROUND((TODAY()-Q265)/365.25,1))</f>
        <v/>
      </c>
      <c r="S265" s="13">
        <f>IFERROR(VLOOKUP(O265,Assumptions!$A$7:$F$11,2,FALSE),0.25)</f>
        <v/>
      </c>
      <c r="T265" s="14">
        <f>IF(O265="A",MAX(1,IFERROR(VLOOKUP(O265,Assumptions!$A$7:$F$11,3,FALSE),3)+IFERROR(VLOOKUP(O265,Assumptions!$A$7:$F$11,4,FALSE),8)/2-MAX(0,IF(R265="",0,R265)-IFERROR(VLOOKUP(O265,Assumptions!$A$7:$F$11,5,FALSE),1.5))),IFERROR(VLOOKUP(O265,Assumptions!$A$7:$F$11,5,FALSE),2.5)+IFERROR(VLOOKUP(O265,Assumptions!$A$7:$F$11,3,FALSE),3)+IFERROR(VLOOKUP(O265,Assumptions!$A$7:$F$11,4,FALSE),8)/2)</f>
        <v/>
      </c>
      <c r="U265" s="15">
        <f>M265*S265/(1+Assumptions!$B$3)^T265</f>
        <v/>
      </c>
      <c r="V265" s="11">
        <f>IF(M265=0,"",ROUND(U265/M265*100,1))</f>
        <v/>
      </c>
      <c r="W265" s="16">
        <f>U265*Assumptions!$B$4</f>
        <v/>
      </c>
      <c r="X265" s="11">
        <f>IF(M265=0,"",ROUND(W265/M265*100,1))</f>
        <v/>
      </c>
      <c r="Y265" t="inlineStr">
        <is>
          <t>GRUPO 3E</t>
        </is>
      </c>
      <c r="Z265" t="inlineStr">
        <is>
          <t>5341375-33.2026.8.09.0049</t>
        </is>
      </c>
      <c r="AA265" t="inlineStr">
        <is>
          <t>TJGO</t>
        </is>
      </c>
      <c r="AB265" t="inlineStr">
        <is>
          <t>stenius.com.br</t>
        </is>
      </c>
      <c r="AC265" t="inlineStr">
        <is>
          <t>ALEXANDRE DE ANDRADE AFONSO</t>
        </is>
      </c>
      <c r="AD265" t="inlineStr">
        <is>
          <t>Administrador</t>
        </is>
      </c>
      <c r="AE265" t="inlineStr">
        <is>
          <t>(11) 5189-7700</t>
        </is>
      </c>
      <c r="AF265" t="inlineStr"/>
      <c r="AG265" t="inlineStr"/>
      <c r="AH265" t="inlineStr">
        <is>
          <t>SP</t>
        </is>
      </c>
      <c r="AI265" t="inlineStr">
        <is>
          <t>CRUZEIRO</t>
        </is>
      </c>
      <c r="AJ265" t="inlineStr">
        <is>
          <t>Fabricação de medicamentos para uso veterinário</t>
        </is>
      </c>
      <c r="AK265" t="inlineStr">
        <is>
          <t>DEMAIS</t>
        </is>
      </c>
      <c r="AL265" t="inlineStr">
        <is>
          <t>ATIVA</t>
        </is>
      </c>
      <c r="AM265" s="17" t="inlineStr">
        <is>
          <t>https://stenius.com.br/wp-content/uploads/2026/06/EDITAL-GRUPO-3E.pdf</t>
        </is>
      </c>
      <c r="AN265" s="18" t="inlineStr">
        <is>
          <t>p16 r8; p16 r9</t>
        </is>
      </c>
      <c r="AO265" s="18" t="inlineStr">
        <is>
          <t>p16: R$ 52.443,82; p16: R$ 512.240,19</t>
        </is>
      </c>
      <c r="AP265" s="18" t="inlineStr">
        <is>
          <t>DEBTOR_LIST</t>
        </is>
      </c>
      <c r="AQ265" s="18" t="inlineStr">
        <is>
          <t>2026-06-22</t>
        </is>
      </c>
      <c r="AR265" s="18" t="inlineStr">
        <is>
          <t>OK_NO_TOTALS</t>
        </is>
      </c>
      <c r="AS265" s="18" t="inlineStr">
        <is>
          <t>ROWS:p16r8,p16r9 UNRECONCILED_SOURCE</t>
        </is>
      </c>
      <c r="AT265" s="18" t="inlineStr">
        <is>
          <t>8e8832093a15</t>
        </is>
      </c>
    </row>
    <row r="266">
      <c r="A266" s="9" t="n">
        <v>265</v>
      </c>
      <c r="B266" s="9" t="inlineStr">
        <is>
          <t>NEW</t>
        </is>
      </c>
      <c r="C266" s="9" t="inlineStr"/>
      <c r="D266" s="9" t="n">
        <v>0</v>
      </c>
      <c r="E266" s="9" t="inlineStr"/>
      <c r="F266" s="9" t="inlineStr"/>
      <c r="G266" s="9" t="inlineStr"/>
      <c r="H266" s="9" t="inlineStr"/>
      <c r="I266" t="inlineStr">
        <is>
          <t>EQUATORIAL ALAGOAS DISTRIBUIDORA DE ENERGIA S.A.</t>
        </is>
      </c>
      <c r="J266" t="inlineStr">
        <is>
          <t>COMPANHIA ENERGETICA DE ALAGOAS (EQUATORIAL)</t>
        </is>
      </c>
      <c r="K266" t="inlineStr">
        <is>
          <t>12272084</t>
        </is>
      </c>
      <c r="L266" t="inlineStr">
        <is>
          <t>12272084000100</t>
        </is>
      </c>
      <c r="M266" s="10" t="n">
        <v>558539.73</v>
      </c>
      <c r="N266" t="n">
        <v>1</v>
      </c>
      <c r="O266" s="11" t="inlineStr">
        <is>
          <t>C</t>
        </is>
      </c>
      <c r="P266" s="11" t="inlineStr"/>
      <c r="Q266" s="12" t="inlineStr"/>
      <c r="R266" s="11">
        <f>IF(Q266="","",ROUND((TODAY()-Q266)/365.25,1))</f>
        <v/>
      </c>
      <c r="S266" s="13">
        <f>IFERROR(VLOOKUP(O266,Assumptions!$A$7:$F$11,2,FALSE),0.25)</f>
        <v/>
      </c>
      <c r="T266" s="14">
        <f>IF(O266="A",MAX(1,IFERROR(VLOOKUP(O266,Assumptions!$A$7:$F$11,3,FALSE),3)+IFERROR(VLOOKUP(O266,Assumptions!$A$7:$F$11,4,FALSE),8)/2-MAX(0,IF(R266="",0,R266)-IFERROR(VLOOKUP(O266,Assumptions!$A$7:$F$11,5,FALSE),1.5))),IFERROR(VLOOKUP(O266,Assumptions!$A$7:$F$11,5,FALSE),2.5)+IFERROR(VLOOKUP(O266,Assumptions!$A$7:$F$11,3,FALSE),3)+IFERROR(VLOOKUP(O266,Assumptions!$A$7:$F$11,4,FALSE),8)/2)</f>
        <v/>
      </c>
      <c r="U266" s="15">
        <f>M266*S266/(1+Assumptions!$B$3)^T266</f>
        <v/>
      </c>
      <c r="V266" s="11">
        <f>IF(M266=0,"",ROUND(U266/M266*100,1))</f>
        <v/>
      </c>
      <c r="W266" s="16">
        <f>U266*Assumptions!$B$4</f>
        <v/>
      </c>
      <c r="X266" s="11">
        <f>IF(M266=0,"",ROUND(W266/M266*100,1))</f>
        <v/>
      </c>
      <c r="Y266" t="inlineStr">
        <is>
          <t>GRUPO ARNON DE MELLO</t>
        </is>
      </c>
      <c r="Z266" t="inlineStr">
        <is>
          <t>0700256-03.2019.8.02.0066</t>
        </is>
      </c>
      <c r="AA266" t="inlineStr"/>
      <c r="AB266" t="inlineStr">
        <is>
          <t>recuperacaojudicial.squarespace.com</t>
        </is>
      </c>
      <c r="AC266" t="inlineStr">
        <is>
          <t>SERGIO RICARDO DE ANDRADE OLIVEIRA</t>
        </is>
      </c>
      <c r="AD266" t="inlineStr">
        <is>
          <t>Presidente</t>
        </is>
      </c>
      <c r="AE266" t="inlineStr">
        <is>
          <t>000000000000</t>
        </is>
      </c>
      <c r="AF266" t="inlineStr"/>
      <c r="AG266" t="inlineStr"/>
      <c r="AH266" t="inlineStr">
        <is>
          <t>AL</t>
        </is>
      </c>
      <c r="AI266" t="inlineStr">
        <is>
          <t>MACEIO</t>
        </is>
      </c>
      <c r="AJ266" t="inlineStr">
        <is>
          <t>Distribuição de energia elétrica</t>
        </is>
      </c>
      <c r="AK266" t="inlineStr">
        <is>
          <t>DEMAIS</t>
        </is>
      </c>
      <c r="AL266" t="inlineStr">
        <is>
          <t>ATIVA</t>
        </is>
      </c>
      <c r="AM266" s="17" t="inlineStr">
        <is>
          <t>https://recuperacaojudicial.squarespace.com/s/RJ-Grupo-Arnon-de-Melo-Lista-de-Credores-Consolidada-abril-2022.pdf</t>
        </is>
      </c>
      <c r="AN266" s="18" t="inlineStr">
        <is>
          <t>p7 r46</t>
        </is>
      </c>
      <c r="AO266" s="18" t="inlineStr">
        <is>
          <t>p7: R$ 558.539,73</t>
        </is>
      </c>
      <c r="AP266" s="18" t="inlineStr">
        <is>
          <t>AJ_LIST</t>
        </is>
      </c>
      <c r="AQ266" s="18" t="inlineStr"/>
      <c r="AR266" s="18" t="inlineStr">
        <is>
          <t>OK_NO_TOTALS</t>
        </is>
      </c>
      <c r="AS266" s="18" t="inlineStr">
        <is>
          <t>ROWS:p7r46 UNRECONCILED_SOURCE</t>
        </is>
      </c>
      <c r="AT266" s="18" t="inlineStr">
        <is>
          <t>60fd9c017d90</t>
        </is>
      </c>
    </row>
    <row r="267">
      <c r="A267" s="9" t="n">
        <v>266</v>
      </c>
      <c r="B267" s="9" t="inlineStr">
        <is>
          <t>NEW</t>
        </is>
      </c>
      <c r="C267" s="9" t="inlineStr"/>
      <c r="D267" s="9" t="n">
        <v>0</v>
      </c>
      <c r="E267" s="9" t="inlineStr"/>
      <c r="F267" s="9" t="inlineStr"/>
      <c r="G267" s="9" t="inlineStr"/>
      <c r="H267" s="9" t="inlineStr"/>
      <c r="I267" t="inlineStr">
        <is>
          <t>SUL BRASIL IND E COM DE ACESSORIOS PLASTICOS E METALICOS S/A</t>
        </is>
      </c>
      <c r="J267" t="inlineStr">
        <is>
          <t>SUL BRASIL IND E COM DE ACESS PLAST LTDA</t>
        </is>
      </c>
      <c r="K267" t="inlineStr">
        <is>
          <t>83011460</t>
        </is>
      </c>
      <c r="L267" t="inlineStr">
        <is>
          <t>83011460000142</t>
        </is>
      </c>
      <c r="M267" s="10" t="n">
        <v>555381.14</v>
      </c>
      <c r="N267" t="n">
        <v>1</v>
      </c>
      <c r="O267" s="11" t="inlineStr">
        <is>
          <t>D</t>
        </is>
      </c>
      <c r="P267" s="11" t="inlineStr"/>
      <c r="Q267" s="12" t="inlineStr"/>
      <c r="R267" s="11">
        <f>IF(Q267="","",ROUND((TODAY()-Q267)/365.25,1))</f>
        <v/>
      </c>
      <c r="S267" s="13">
        <f>IFERROR(VLOOKUP(O267,Assumptions!$A$7:$F$11,2,FALSE),0.25)</f>
        <v/>
      </c>
      <c r="T267" s="14">
        <f>IF(O267="A",MAX(1,IFERROR(VLOOKUP(O267,Assumptions!$A$7:$F$11,3,FALSE),3)+IFERROR(VLOOKUP(O267,Assumptions!$A$7:$F$11,4,FALSE),8)/2-MAX(0,IF(R267="",0,R267)-IFERROR(VLOOKUP(O267,Assumptions!$A$7:$F$11,5,FALSE),1.5))),IFERROR(VLOOKUP(O267,Assumptions!$A$7:$F$11,5,FALSE),2.5)+IFERROR(VLOOKUP(O267,Assumptions!$A$7:$F$11,3,FALSE),3)+IFERROR(VLOOKUP(O267,Assumptions!$A$7:$F$11,4,FALSE),8)/2)</f>
        <v/>
      </c>
      <c r="U267" s="15">
        <f>M267*S267/(1+Assumptions!$B$3)^T267</f>
        <v/>
      </c>
      <c r="V267" s="11">
        <f>IF(M267=0,"",ROUND(U267/M267*100,1))</f>
        <v/>
      </c>
      <c r="W267" s="16">
        <f>U267*Assumptions!$B$4</f>
        <v/>
      </c>
      <c r="X267" s="11">
        <f>IF(M267=0,"",ROUND(W267/M267*100,1))</f>
        <v/>
      </c>
      <c r="Y267" t="inlineStr">
        <is>
          <t>Mannes</t>
        </is>
      </c>
      <c r="Z267" t="inlineStr">
        <is>
          <t>0005010-50.2013.8.24.0026</t>
        </is>
      </c>
      <c r="AA267" t="inlineStr"/>
      <c r="AB267" t="inlineStr">
        <is>
          <t>administradorajudicialgs.com.br</t>
        </is>
      </c>
      <c r="AC267" t="inlineStr">
        <is>
          <t>JOVELCI DOMINGOS GOMES</t>
        </is>
      </c>
      <c r="AD267" t="inlineStr">
        <is>
          <t>Presidente</t>
        </is>
      </c>
      <c r="AE267" t="inlineStr">
        <is>
          <t>(49) 3561-1500</t>
        </is>
      </c>
      <c r="AF267" t="inlineStr">
        <is>
          <t>(49) 3561-1514</t>
        </is>
      </c>
      <c r="AG267" t="inlineStr"/>
      <c r="AH267" t="inlineStr">
        <is>
          <t>SC</t>
        </is>
      </c>
      <c r="AI267" t="inlineStr">
        <is>
          <t>CACADOR</t>
        </is>
      </c>
      <c r="AJ267" t="inlineStr">
        <is>
          <t>Fabricação de tecidos especiais, inclusive artefatos</t>
        </is>
      </c>
      <c r="AK267" t="inlineStr">
        <is>
          <t>DEMAIS</t>
        </is>
      </c>
      <c r="AL267" t="inlineStr">
        <is>
          <t>ATIVA</t>
        </is>
      </c>
      <c r="AM267" s="17" t="inlineStr">
        <is>
          <t>https://administradorajudicialgs.com.br/wp-content/uploads/2024/12/relacao-de-credores-da-falida.pdf</t>
        </is>
      </c>
      <c r="AN267" s="18" t="inlineStr">
        <is>
          <t>p18 r46</t>
        </is>
      </c>
      <c r="AO267" s="18" t="inlineStr">
        <is>
          <t>p18: R$ 555.381,14</t>
        </is>
      </c>
      <c r="AP267" s="18" t="inlineStr">
        <is>
          <t>OTHER</t>
        </is>
      </c>
      <c r="AQ267" s="18" t="inlineStr">
        <is>
          <t>2025-03-25</t>
        </is>
      </c>
      <c r="AR267" s="18" t="inlineStr">
        <is>
          <t>OK_NO_TOTALS</t>
        </is>
      </c>
      <c r="AS267" s="18" t="inlineStr">
        <is>
          <t>ROWS:p18r46 UNRECONCILED_SOURCE CASE_NUMBER_CORRECTED</t>
        </is>
      </c>
      <c r="AT267" s="18" t="inlineStr">
        <is>
          <t>ea17ba43b261</t>
        </is>
      </c>
    </row>
    <row r="268">
      <c r="A268" s="9" t="n">
        <v>267</v>
      </c>
      <c r="B268" s="9" t="inlineStr">
        <is>
          <t>NEW</t>
        </is>
      </c>
      <c r="C268" s="9" t="inlineStr"/>
      <c r="D268" s="9" t="n">
        <v>0</v>
      </c>
      <c r="E268" s="9" t="inlineStr"/>
      <c r="F268" s="9" t="inlineStr"/>
      <c r="G268" s="9" t="inlineStr"/>
      <c r="H268" s="9" t="inlineStr"/>
      <c r="I268" t="inlineStr">
        <is>
          <t>ROMAR F MANN &amp; CIA. LTDA.</t>
        </is>
      </c>
      <c r="J268" t="inlineStr">
        <is>
          <t>PENDENTE DE REGULARIZAÇÃO</t>
        </is>
      </c>
      <c r="K268" t="inlineStr">
        <is>
          <t>90316407</t>
        </is>
      </c>
      <c r="L268" t="inlineStr">
        <is>
          <t>90316407000204</t>
        </is>
      </c>
      <c r="M268" s="10" t="n">
        <v>549424.8199999999</v>
      </c>
      <c r="N268" t="n">
        <v>1</v>
      </c>
      <c r="O268" s="11" t="inlineStr">
        <is>
          <t>B</t>
        </is>
      </c>
      <c r="P268" s="11" t="inlineStr"/>
      <c r="Q268" s="12" t="inlineStr"/>
      <c r="R268" s="11">
        <f>IF(Q268="","",ROUND((TODAY()-Q268)/365.25,1))</f>
        <v/>
      </c>
      <c r="S268" s="13">
        <f>IFERROR(VLOOKUP(O268,Assumptions!$A$7:$F$11,2,FALSE),0.25)</f>
        <v/>
      </c>
      <c r="T268" s="14">
        <f>IF(O268="A",MAX(1,IFERROR(VLOOKUP(O268,Assumptions!$A$7:$F$11,3,FALSE),3)+IFERROR(VLOOKUP(O268,Assumptions!$A$7:$F$11,4,FALSE),8)/2-MAX(0,IF(R268="",0,R268)-IFERROR(VLOOKUP(O268,Assumptions!$A$7:$F$11,5,FALSE),1.5))),IFERROR(VLOOKUP(O268,Assumptions!$A$7:$F$11,5,FALSE),2.5)+IFERROR(VLOOKUP(O268,Assumptions!$A$7:$F$11,3,FALSE),3)+IFERROR(VLOOKUP(O268,Assumptions!$A$7:$F$11,4,FALSE),8)/2)</f>
        <v/>
      </c>
      <c r="U268" s="15">
        <f>M268*S268/(1+Assumptions!$B$3)^T268</f>
        <v/>
      </c>
      <c r="V268" s="11">
        <f>IF(M268=0,"",ROUND(U268/M268*100,1))</f>
        <v/>
      </c>
      <c r="W268" s="16">
        <f>U268*Assumptions!$B$4</f>
        <v/>
      </c>
      <c r="X268" s="11">
        <f>IF(M268=0,"",ROUND(W268/M268*100,1))</f>
        <v/>
      </c>
      <c r="Y268" t="inlineStr">
        <is>
          <t>Grupo Rech</t>
        </is>
      </c>
      <c r="Z268" t="inlineStr">
        <is>
          <t>5057720-48.2025.8.24.0023</t>
        </is>
      </c>
      <c r="AA268" t="inlineStr"/>
      <c r="AB268" t="inlineStr">
        <is>
          <t>credibilita.com.br</t>
        </is>
      </c>
      <c r="AC268" t="inlineStr">
        <is>
          <t>MARTA MANN BAIOTTO</t>
        </is>
      </c>
      <c r="AD268" t="inlineStr">
        <is>
          <t>Sócio-Administrador</t>
        </is>
      </c>
      <c r="AE268" t="inlineStr">
        <is>
          <t>(55) 3539-4000</t>
        </is>
      </c>
      <c r="AF268" t="inlineStr"/>
      <c r="AG268" t="inlineStr"/>
      <c r="AH268" t="inlineStr">
        <is>
          <t>RS</t>
        </is>
      </c>
      <c r="AI268" t="inlineStr">
        <is>
          <t>INDEPENDENCIA</t>
        </is>
      </c>
      <c r="AJ268" t="inlineStr">
        <is>
          <t>Fabricação de máquinas e equipamentos para a agricultura e pecuária, peças e acessórios, exceto para irrigação</t>
        </is>
      </c>
      <c r="AK268" t="inlineStr">
        <is>
          <t>DEMAIS</t>
        </is>
      </c>
      <c r="AL268" t="inlineStr">
        <is>
          <t>ATIVA</t>
        </is>
      </c>
      <c r="AM268" s="17" t="inlineStr">
        <is>
          <t>https://credibilita.com.br/wp-content/uploads/2025/09/Relacao-Credores-29.04.2026.pdf</t>
        </is>
      </c>
      <c r="AN268" s="18" t="inlineStr">
        <is>
          <t>p2 r14</t>
        </is>
      </c>
      <c r="AO268" s="18" t="inlineStr">
        <is>
          <t>p2: R$ 549.424,82</t>
        </is>
      </c>
      <c r="AP268" s="18" t="inlineStr">
        <is>
          <t>QUORUM_LIST</t>
        </is>
      </c>
      <c r="AQ268" s="18" t="inlineStr"/>
      <c r="AR268" s="18" t="inlineStr">
        <is>
          <t>OK_NO_TOTALS</t>
        </is>
      </c>
      <c r="AS268" s="18" t="inlineStr">
        <is>
          <t>ROWS:p2r14 UNRECONCILED_SOURCE VALUE_COL:Valor_Após_Analise CASE_NUMBER_CORRECTED</t>
        </is>
      </c>
      <c r="AT268" s="18" t="inlineStr">
        <is>
          <t>cf92cff797d2</t>
        </is>
      </c>
    </row>
    <row r="269">
      <c r="A269" s="9" t="n">
        <v>268</v>
      </c>
      <c r="B269" s="9" t="inlineStr">
        <is>
          <t>NEW</t>
        </is>
      </c>
      <c r="C269" s="9" t="inlineStr"/>
      <c r="D269" s="9" t="n">
        <v>0</v>
      </c>
      <c r="E269" s="9" t="inlineStr"/>
      <c r="F269" s="9" t="inlineStr"/>
      <c r="G269" s="9" t="inlineStr"/>
      <c r="H269" s="9" t="inlineStr"/>
      <c r="I269" t="inlineStr">
        <is>
          <t>CONFECCOES TENDENZA LTDA</t>
        </is>
      </c>
      <c r="J269" t="inlineStr">
        <is>
          <t>CONFECCOES TENDENZA LTDA</t>
        </is>
      </c>
      <c r="K269" t="inlineStr">
        <is>
          <t>08953848</t>
        </is>
      </c>
      <c r="L269" t="inlineStr">
        <is>
          <t>08953848000147</t>
        </is>
      </c>
      <c r="M269" s="10" t="n">
        <v>545994.16</v>
      </c>
      <c r="N269" t="n">
        <v>3</v>
      </c>
      <c r="O269" s="11" t="inlineStr">
        <is>
          <t>C</t>
        </is>
      </c>
      <c r="P269" s="11" t="inlineStr">
        <is>
          <t>ACTIVE</t>
        </is>
      </c>
      <c r="Q269" s="12" t="n">
        <v>44571</v>
      </c>
      <c r="R269" s="11">
        <f>IF(Q269="","",ROUND((TODAY()-Q269)/365.25,1))</f>
        <v/>
      </c>
      <c r="S269" s="13">
        <f>IFERROR(VLOOKUP(O269,Assumptions!$A$7:$F$11,2,FALSE),0.25)</f>
        <v/>
      </c>
      <c r="T269" s="14">
        <f>IF(O269="A",MAX(1,IFERROR(VLOOKUP(O269,Assumptions!$A$7:$F$11,3,FALSE),3)+IFERROR(VLOOKUP(O269,Assumptions!$A$7:$F$11,4,FALSE),8)/2-MAX(0,IF(R269="",0,R269)-IFERROR(VLOOKUP(O269,Assumptions!$A$7:$F$11,5,FALSE),1.5))),IFERROR(VLOOKUP(O269,Assumptions!$A$7:$F$11,5,FALSE),2.5)+IFERROR(VLOOKUP(O269,Assumptions!$A$7:$F$11,3,FALSE),3)+IFERROR(VLOOKUP(O269,Assumptions!$A$7:$F$11,4,FALSE),8)/2)</f>
        <v/>
      </c>
      <c r="U269" s="15">
        <f>M269*S269/(1+Assumptions!$B$3)^T269</f>
        <v/>
      </c>
      <c r="V269" s="11">
        <f>IF(M269=0,"",ROUND(U269/M269*100,1))</f>
        <v/>
      </c>
      <c r="W269" s="16">
        <f>U269*Assumptions!$B$4</f>
        <v/>
      </c>
      <c r="X269" s="11">
        <f>IF(M269=0,"",ROUND(W269/M269*100,1))</f>
        <v/>
      </c>
      <c r="Y269" t="inlineStr">
        <is>
          <t>GRUPO CATTAN</t>
        </is>
      </c>
      <c r="Z269" t="inlineStr">
        <is>
          <t>0002484-82.2022.8.17.2001</t>
        </is>
      </c>
      <c r="AA269" t="inlineStr">
        <is>
          <t>TJPE</t>
        </is>
      </c>
      <c r="AB269" t="inlineStr">
        <is>
          <t>lrflideres.com.br</t>
        </is>
      </c>
      <c r="AC269" t="inlineStr">
        <is>
          <t>JULIANO ALVES FRANCO DE SOUZA</t>
        </is>
      </c>
      <c r="AD269" t="inlineStr">
        <is>
          <t>Sócio-Administrador</t>
        </is>
      </c>
      <c r="AE269" t="inlineStr">
        <is>
          <t>(19) 3898-9266</t>
        </is>
      </c>
      <c r="AF269" t="inlineStr"/>
      <c r="AG269" t="inlineStr"/>
      <c r="AH269" t="inlineStr">
        <is>
          <t>SP</t>
        </is>
      </c>
      <c r="AI269" t="inlineStr">
        <is>
          <t>LINDOIA</t>
        </is>
      </c>
      <c r="AJ269" t="inlineStr">
        <is>
          <t>Confecção de peças de vestuário, exceto roupas íntimas e as confeccionadas sob medida</t>
        </is>
      </c>
      <c r="AK269" t="inlineStr">
        <is>
          <t>DEMAIS</t>
        </is>
      </c>
      <c r="AL269" t="inlineStr">
        <is>
          <t>ATIVA</t>
        </is>
      </c>
      <c r="AM269" s="17" t="inlineStr">
        <is>
          <t>https://lrflideres.com.br/wp-content/plugins/download-attachments/includes/download.php?id=4023</t>
        </is>
      </c>
      <c r="AN269" s="18" t="inlineStr">
        <is>
          <t>p4 r65; p7 r88; p9 r66</t>
        </is>
      </c>
      <c r="AO269" s="18" t="inlineStr">
        <is>
          <t>p4: R$ 28.110,21; p7: R$ 435.997,21; p9: R$ 81.886,74</t>
        </is>
      </c>
      <c r="AP269" s="18" t="inlineStr">
        <is>
          <t>DEBTOR_LIST</t>
        </is>
      </c>
      <c r="AQ269" s="18" t="inlineStr"/>
      <c r="AR269" s="18" t="inlineStr">
        <is>
          <t>QUARANTINED</t>
        </is>
      </c>
      <c r="AS269" s="18" t="inlineStr">
        <is>
          <t>PARTIAL_DOC_CLASS_III_RECONCILED ROWS:p4r65,p7r88,p9r66</t>
        </is>
      </c>
      <c r="AT269" s="18" t="inlineStr">
        <is>
          <t>f3b6182e3aa2</t>
        </is>
      </c>
    </row>
    <row r="270">
      <c r="A270" s="9" t="n">
        <v>269</v>
      </c>
      <c r="B270" s="9" t="inlineStr">
        <is>
          <t>NEW</t>
        </is>
      </c>
      <c r="C270" s="9" t="inlineStr"/>
      <c r="D270" s="9" t="n">
        <v>0</v>
      </c>
      <c r="E270" s="9" t="inlineStr"/>
      <c r="F270" s="9" t="inlineStr"/>
      <c r="G270" s="9" t="inlineStr"/>
      <c r="H270" s="9" t="inlineStr"/>
      <c r="I270" t="inlineStr">
        <is>
          <t>IFOOD BENEFICIOS E SERVICOS LTDA.</t>
        </is>
      </c>
      <c r="J270" t="inlineStr">
        <is>
          <t>IFOOD BENEFICIOS E SERVIÇOS LTDA</t>
        </is>
      </c>
      <c r="K270" t="inlineStr">
        <is>
          <t>33157312</t>
        </is>
      </c>
      <c r="L270" t="inlineStr">
        <is>
          <t>33157312000162</t>
        </is>
      </c>
      <c r="M270" s="10" t="n">
        <v>545456.1</v>
      </c>
      <c r="N270" t="n">
        <v>1</v>
      </c>
      <c r="O270" s="11" t="inlineStr">
        <is>
          <t>B</t>
        </is>
      </c>
      <c r="P270" s="11" t="inlineStr">
        <is>
          <t>ACTIVE</t>
        </is>
      </c>
      <c r="Q270" s="12" t="n">
        <v>45877</v>
      </c>
      <c r="R270" s="11">
        <f>IF(Q270="","",ROUND((TODAY()-Q270)/365.25,1))</f>
        <v/>
      </c>
      <c r="S270" s="13">
        <f>IFERROR(VLOOKUP(O270,Assumptions!$A$7:$F$11,2,FALSE),0.25)</f>
        <v/>
      </c>
      <c r="T270" s="14">
        <f>IF(O270="A",MAX(1,IFERROR(VLOOKUP(O270,Assumptions!$A$7:$F$11,3,FALSE),3)+IFERROR(VLOOKUP(O270,Assumptions!$A$7:$F$11,4,FALSE),8)/2-MAX(0,IF(R270="",0,R270)-IFERROR(VLOOKUP(O270,Assumptions!$A$7:$F$11,5,FALSE),1.5))),IFERROR(VLOOKUP(O270,Assumptions!$A$7:$F$11,5,FALSE),2.5)+IFERROR(VLOOKUP(O270,Assumptions!$A$7:$F$11,3,FALSE),3)+IFERROR(VLOOKUP(O270,Assumptions!$A$7:$F$11,4,FALSE),8)/2)</f>
        <v/>
      </c>
      <c r="U270" s="15">
        <f>M270*S270/(1+Assumptions!$B$3)^T270</f>
        <v/>
      </c>
      <c r="V270" s="11">
        <f>IF(M270=0,"",ROUND(U270/M270*100,1))</f>
        <v/>
      </c>
      <c r="W270" s="16">
        <f>U270*Assumptions!$B$4</f>
        <v/>
      </c>
      <c r="X270" s="11">
        <f>IF(M270=0,"",ROUND(W270/M270*100,1))</f>
        <v/>
      </c>
      <c r="Y270" t="inlineStr">
        <is>
          <t>VENEZA SERVIÇOS ADMINISTRATIVOS LTDA.</t>
        </is>
      </c>
      <c r="Z270" t="inlineStr">
        <is>
          <t>3000117-40.2025.8.06.0512</t>
        </is>
      </c>
      <c r="AA270" t="inlineStr">
        <is>
          <t>TJCE</t>
        </is>
      </c>
      <c r="AB270" t="inlineStr">
        <is>
          <t>bugarimecoelho.com.br</t>
        </is>
      </c>
      <c r="AC270" t="inlineStr">
        <is>
          <t>DIEGO CARNEIRO BARRETO</t>
        </is>
      </c>
      <c r="AD270" t="inlineStr">
        <is>
          <t>Administrador</t>
        </is>
      </c>
      <c r="AE270" t="inlineStr">
        <is>
          <t>(11) 3634-3360</t>
        </is>
      </c>
      <c r="AF270" t="inlineStr"/>
      <c r="AG270" t="inlineStr"/>
      <c r="AH270" t="inlineStr">
        <is>
          <t>SP</t>
        </is>
      </c>
      <c r="AI270" t="inlineStr">
        <is>
          <t>OSASCO</t>
        </is>
      </c>
      <c r="AJ270" t="inlineStr">
        <is>
          <t>Emissão de vales-alimentação, vales-transporte e similares</t>
        </is>
      </c>
      <c r="AK270" t="inlineStr">
        <is>
          <t>DEMAIS</t>
        </is>
      </c>
      <c r="AL270" t="inlineStr">
        <is>
          <t>ATIVA</t>
        </is>
      </c>
      <c r="AM270" s="17" t="inlineStr">
        <is>
          <t>https://bugarimecoelho.com.br/ws/media-library/b6b7ea42b9fa2afe30bc728fe00cd5c6/07---edital-do-processamento-da-recuperacao-judicial.pdf</t>
        </is>
      </c>
      <c r="AN270" s="18" t="inlineStr">
        <is>
          <t>p16 r9</t>
        </is>
      </c>
      <c r="AO270" s="18" t="inlineStr">
        <is>
          <t>p16: R$ 545.456,10</t>
        </is>
      </c>
      <c r="AP270" s="18" t="inlineStr">
        <is>
          <t>UNKNOWN</t>
        </is>
      </c>
      <c r="AQ270" s="18" t="inlineStr">
        <is>
          <t>2026-07-09</t>
        </is>
      </c>
      <c r="AR270" s="18" t="inlineStr">
        <is>
          <t>OK</t>
        </is>
      </c>
      <c r="AS270" s="18" t="inlineStr">
        <is>
          <t>ROWS:p16r9</t>
        </is>
      </c>
      <c r="AT270" s="18" t="inlineStr">
        <is>
          <t>73b45cbf1779</t>
        </is>
      </c>
    </row>
    <row r="271">
      <c r="A271" s="9" t="n">
        <v>270</v>
      </c>
      <c r="B271" s="9" t="inlineStr">
        <is>
          <t>NEW</t>
        </is>
      </c>
      <c r="C271" s="9" t="inlineStr"/>
      <c r="D271" s="9" t="n">
        <v>0</v>
      </c>
      <c r="E271" s="9" t="inlineStr"/>
      <c r="F271" s="9" t="inlineStr"/>
      <c r="G271" s="9" t="inlineStr"/>
      <c r="H271" s="9" t="inlineStr"/>
      <c r="I271" t="inlineStr">
        <is>
          <t>CIA DO JEANS INDUSTRIA, COMERCIO E IMPORTACAO S/A</t>
        </is>
      </c>
      <c r="J271" t="inlineStr">
        <is>
          <t>CIA DO JEANS INDUSTRIA, COMERCIO E IMPORTACAO LTDA</t>
        </is>
      </c>
      <c r="K271" t="inlineStr">
        <is>
          <t>12927088</t>
        </is>
      </c>
      <c r="L271" t="inlineStr">
        <is>
          <t>12927088000170</t>
        </is>
      </c>
      <c r="M271" s="10" t="n">
        <v>541970</v>
      </c>
      <c r="N271" t="n">
        <v>1</v>
      </c>
      <c r="O271" s="11" t="inlineStr">
        <is>
          <t>C</t>
        </is>
      </c>
      <c r="P271" s="11" t="inlineStr">
        <is>
          <t>ACTIVE</t>
        </is>
      </c>
      <c r="Q271" s="12" t="n">
        <v>44571</v>
      </c>
      <c r="R271" s="11">
        <f>IF(Q271="","",ROUND((TODAY()-Q271)/365.25,1))</f>
        <v/>
      </c>
      <c r="S271" s="13">
        <f>IFERROR(VLOOKUP(O271,Assumptions!$A$7:$F$11,2,FALSE),0.25)</f>
        <v/>
      </c>
      <c r="T271" s="14">
        <f>IF(O271="A",MAX(1,IFERROR(VLOOKUP(O271,Assumptions!$A$7:$F$11,3,FALSE),3)+IFERROR(VLOOKUP(O271,Assumptions!$A$7:$F$11,4,FALSE),8)/2-MAX(0,IF(R271="",0,R271)-IFERROR(VLOOKUP(O271,Assumptions!$A$7:$F$11,5,FALSE),1.5))),IFERROR(VLOOKUP(O271,Assumptions!$A$7:$F$11,5,FALSE),2.5)+IFERROR(VLOOKUP(O271,Assumptions!$A$7:$F$11,3,FALSE),3)+IFERROR(VLOOKUP(O271,Assumptions!$A$7:$F$11,4,FALSE),8)/2)</f>
        <v/>
      </c>
      <c r="U271" s="15">
        <f>M271*S271/(1+Assumptions!$B$3)^T271</f>
        <v/>
      </c>
      <c r="V271" s="11">
        <f>IF(M271=0,"",ROUND(U271/M271*100,1))</f>
        <v/>
      </c>
      <c r="W271" s="16">
        <f>U271*Assumptions!$B$4</f>
        <v/>
      </c>
      <c r="X271" s="11">
        <f>IF(M271=0,"",ROUND(W271/M271*100,1))</f>
        <v/>
      </c>
      <c r="Y271" t="inlineStr">
        <is>
          <t>GRUPO CATTAN</t>
        </is>
      </c>
      <c r="Z271" t="inlineStr">
        <is>
          <t>0002484-82.2022.8.17.2001</t>
        </is>
      </c>
      <c r="AA271" t="inlineStr">
        <is>
          <t>TJPE</t>
        </is>
      </c>
      <c r="AB271" t="inlineStr">
        <is>
          <t>lrflideres.com.br</t>
        </is>
      </c>
      <c r="AC271" t="inlineStr">
        <is>
          <t>FERNANDO ABRAS</t>
        </is>
      </c>
      <c r="AD271" t="inlineStr">
        <is>
          <t>Presidente</t>
        </is>
      </c>
      <c r="AE271" t="inlineStr">
        <is>
          <t>(31) 3412-5001</t>
        </is>
      </c>
      <c r="AF271" t="inlineStr"/>
      <c r="AG271" t="inlineStr"/>
      <c r="AH271" t="inlineStr">
        <is>
          <t>ES</t>
        </is>
      </c>
      <c r="AI271" t="inlineStr">
        <is>
          <t>COLATINA</t>
        </is>
      </c>
      <c r="AJ271" t="inlineStr">
        <is>
          <t>Confecção de peças de vestuário, exceto roupas íntimas e as confeccionadas sob medida</t>
        </is>
      </c>
      <c r="AK271" t="inlineStr">
        <is>
          <t>DEMAIS</t>
        </is>
      </c>
      <c r="AL271" t="inlineStr">
        <is>
          <t>ATIVA</t>
        </is>
      </c>
      <c r="AM271" s="17" t="inlineStr">
        <is>
          <t>https://lrflideres.com.br/wp-content/plugins/download-attachments/includes/download.php?id=4023</t>
        </is>
      </c>
      <c r="AN271" s="18" t="inlineStr">
        <is>
          <t>p4 r63</t>
        </is>
      </c>
      <c r="AO271" s="18" t="inlineStr">
        <is>
          <t>p4: R$ 541.970,00</t>
        </is>
      </c>
      <c r="AP271" s="18" t="inlineStr">
        <is>
          <t>DEBTOR_LIST</t>
        </is>
      </c>
      <c r="AQ271" s="18" t="inlineStr"/>
      <c r="AR271" s="18" t="inlineStr">
        <is>
          <t>QUARANTINED</t>
        </is>
      </c>
      <c r="AS271" s="18" t="inlineStr">
        <is>
          <t>PARTIAL_DOC_CLASS_III_RECONCILED ROWS:p4r63</t>
        </is>
      </c>
      <c r="AT271" s="18" t="inlineStr">
        <is>
          <t>f3b6182e3aa2</t>
        </is>
      </c>
    </row>
    <row r="272">
      <c r="A272" s="9" t="n">
        <v>271</v>
      </c>
      <c r="B272" s="9" t="inlineStr">
        <is>
          <t>NEW</t>
        </is>
      </c>
      <c r="C272" s="9" t="inlineStr"/>
      <c r="D272" s="9" t="n">
        <v>0</v>
      </c>
      <c r="E272" s="9" t="inlineStr"/>
      <c r="F272" s="9" t="inlineStr"/>
      <c r="G272" s="9" t="inlineStr"/>
      <c r="H272" s="9" t="inlineStr"/>
      <c r="I272" t="inlineStr">
        <is>
          <t>SUPERFINE STEEL ACOS INOXIDAVEIS LTDA</t>
        </is>
      </c>
      <c r="J272" t="inlineStr">
        <is>
          <t>Superfine Steel</t>
        </is>
      </c>
      <c r="K272" t="inlineStr">
        <is>
          <t>00749526</t>
        </is>
      </c>
      <c r="L272" t="inlineStr">
        <is>
          <t>00749526000179</t>
        </is>
      </c>
      <c r="M272" s="10" t="n">
        <v>540317.62</v>
      </c>
      <c r="N272" t="n">
        <v>1</v>
      </c>
      <c r="O272" s="11" t="inlineStr">
        <is>
          <t>B</t>
        </is>
      </c>
      <c r="P272" s="11" t="inlineStr">
        <is>
          <t>ACTIVE</t>
        </is>
      </c>
      <c r="Q272" s="12" t="n">
        <v>46130</v>
      </c>
      <c r="R272" s="11">
        <f>IF(Q272="","",ROUND((TODAY()-Q272)/365.25,1))</f>
        <v/>
      </c>
      <c r="S272" s="13">
        <f>IFERROR(VLOOKUP(O272,Assumptions!$A$7:$F$11,2,FALSE),0.25)</f>
        <v/>
      </c>
      <c r="T272" s="14">
        <f>IF(O272="A",MAX(1,IFERROR(VLOOKUP(O272,Assumptions!$A$7:$F$11,3,FALSE),3)+IFERROR(VLOOKUP(O272,Assumptions!$A$7:$F$11,4,FALSE),8)/2-MAX(0,IF(R272="",0,R272)-IFERROR(VLOOKUP(O272,Assumptions!$A$7:$F$11,5,FALSE),1.5))),IFERROR(VLOOKUP(O272,Assumptions!$A$7:$F$11,5,FALSE),2.5)+IFERROR(VLOOKUP(O272,Assumptions!$A$7:$F$11,3,FALSE),3)+IFERROR(VLOOKUP(O272,Assumptions!$A$7:$F$11,4,FALSE),8)/2)</f>
        <v/>
      </c>
      <c r="U272" s="15">
        <f>M272*S272/(1+Assumptions!$B$3)^T272</f>
        <v/>
      </c>
      <c r="V272" s="11">
        <f>IF(M272=0,"",ROUND(U272/M272*100,1))</f>
        <v/>
      </c>
      <c r="W272" s="16">
        <f>U272*Assumptions!$B$4</f>
        <v/>
      </c>
      <c r="X272" s="11">
        <f>IF(M272=0,"",ROUND(W272/M272*100,1))</f>
        <v/>
      </c>
      <c r="Y272" t="inlineStr">
        <is>
          <t>GRUPO 3E</t>
        </is>
      </c>
      <c r="Z272" t="inlineStr">
        <is>
          <t>5341375-33.2026.8.09.0049</t>
        </is>
      </c>
      <c r="AA272" t="inlineStr">
        <is>
          <t>TJGO</t>
        </is>
      </c>
      <c r="AB272" t="inlineStr">
        <is>
          <t>stenius.com.br</t>
        </is>
      </c>
      <c r="AC272" t="inlineStr">
        <is>
          <t>JOAO PASSARELLA</t>
        </is>
      </c>
      <c r="AD272" t="inlineStr">
        <is>
          <t>Administrador</t>
        </is>
      </c>
      <c r="AE272" t="inlineStr">
        <is>
          <t>(11) 3129-8590</t>
        </is>
      </c>
      <c r="AF272" t="inlineStr"/>
      <c r="AG272" t="inlineStr"/>
      <c r="AH272" t="inlineStr">
        <is>
          <t>SP</t>
        </is>
      </c>
      <c r="AI272" t="inlineStr">
        <is>
          <t>SANTA BARBARA D'OESTE</t>
        </is>
      </c>
      <c r="AJ272" t="inlineStr">
        <is>
          <t>Produção de arames de aço</t>
        </is>
      </c>
      <c r="AK272" t="inlineStr">
        <is>
          <t>DEMAIS</t>
        </is>
      </c>
      <c r="AL272" t="inlineStr">
        <is>
          <t>ATIVA</t>
        </is>
      </c>
      <c r="AM272" s="17" t="inlineStr">
        <is>
          <t>https://stenius.com.br/wp-content/uploads/2026/06/EDITAL-GRUPO-3E.pdf</t>
        </is>
      </c>
      <c r="AN272" s="18" t="inlineStr">
        <is>
          <t>p18 r17</t>
        </is>
      </c>
      <c r="AO272" s="18" t="inlineStr">
        <is>
          <t>p18: R$ 540.317,62</t>
        </is>
      </c>
      <c r="AP272" s="18" t="inlineStr">
        <is>
          <t>DEBTOR_LIST</t>
        </is>
      </c>
      <c r="AQ272" s="18" t="inlineStr">
        <is>
          <t>2026-06-22</t>
        </is>
      </c>
      <c r="AR272" s="18" t="inlineStr">
        <is>
          <t>OK_NO_TOTALS</t>
        </is>
      </c>
      <c r="AS272" s="18" t="inlineStr">
        <is>
          <t>ROWS:p18r17 UNRECONCILED_SOURCE</t>
        </is>
      </c>
      <c r="AT272" s="18" t="inlineStr">
        <is>
          <t>8e8832093a15</t>
        </is>
      </c>
    </row>
    <row r="273">
      <c r="A273" s="9" t="n">
        <v>272</v>
      </c>
      <c r="B273" s="9" t="inlineStr">
        <is>
          <t>NEW</t>
        </is>
      </c>
      <c r="C273" s="9" t="inlineStr"/>
      <c r="D273" s="9" t="n">
        <v>0</v>
      </c>
      <c r="E273" s="9" t="inlineStr"/>
      <c r="F273" s="9" t="inlineStr"/>
      <c r="G273" s="9" t="inlineStr"/>
      <c r="H273" s="9" t="inlineStr"/>
      <c r="I273" t="inlineStr">
        <is>
          <t>PORTOLOG TRANSPORTES LTDA</t>
        </is>
      </c>
      <c r="J273" t="inlineStr">
        <is>
          <t>SIM</t>
        </is>
      </c>
      <c r="K273" t="inlineStr">
        <is>
          <t>07746756</t>
        </is>
      </c>
      <c r="L273" t="inlineStr">
        <is>
          <t>07746756000123</t>
        </is>
      </c>
      <c r="M273" s="10" t="n">
        <v>540028.76</v>
      </c>
      <c r="N273" t="n">
        <v>1</v>
      </c>
      <c r="O273" s="11" t="inlineStr">
        <is>
          <t>B</t>
        </is>
      </c>
      <c r="P273" s="11" t="inlineStr"/>
      <c r="Q273" s="12" t="inlineStr"/>
      <c r="R273" s="11">
        <f>IF(Q273="","",ROUND((TODAY()-Q273)/365.25,1))</f>
        <v/>
      </c>
      <c r="S273" s="13">
        <f>IFERROR(VLOOKUP(O273,Assumptions!$A$7:$F$11,2,FALSE),0.25)</f>
        <v/>
      </c>
      <c r="T273" s="14">
        <f>IF(O273="A",MAX(1,IFERROR(VLOOKUP(O273,Assumptions!$A$7:$F$11,3,FALSE),3)+IFERROR(VLOOKUP(O273,Assumptions!$A$7:$F$11,4,FALSE),8)/2-MAX(0,IF(R273="",0,R273)-IFERROR(VLOOKUP(O273,Assumptions!$A$7:$F$11,5,FALSE),1.5))),IFERROR(VLOOKUP(O273,Assumptions!$A$7:$F$11,5,FALSE),2.5)+IFERROR(VLOOKUP(O273,Assumptions!$A$7:$F$11,3,FALSE),3)+IFERROR(VLOOKUP(O273,Assumptions!$A$7:$F$11,4,FALSE),8)/2)</f>
        <v/>
      </c>
      <c r="U273" s="15">
        <f>M273*S273/(1+Assumptions!$B$3)^T273</f>
        <v/>
      </c>
      <c r="V273" s="11">
        <f>IF(M273=0,"",ROUND(U273/M273*100,1))</f>
        <v/>
      </c>
      <c r="W273" s="16">
        <f>U273*Assumptions!$B$4</f>
        <v/>
      </c>
      <c r="X273" s="11">
        <f>IF(M273=0,"",ROUND(W273/M273*100,1))</f>
        <v/>
      </c>
      <c r="Y273" t="inlineStr">
        <is>
          <t>Grupo Rech</t>
        </is>
      </c>
      <c r="Z273" t="inlineStr">
        <is>
          <t>5057720-48.2025.8.24.0023</t>
        </is>
      </c>
      <c r="AA273" t="inlineStr"/>
      <c r="AB273" t="inlineStr">
        <is>
          <t>credibilita.com.br</t>
        </is>
      </c>
      <c r="AC273" t="inlineStr">
        <is>
          <t>JOSE LUIZ COSTA</t>
        </is>
      </c>
      <c r="AD273" t="inlineStr">
        <is>
          <t>Sócio-Administrador</t>
        </is>
      </c>
      <c r="AE273" t="inlineStr">
        <is>
          <t>(47) 3344-0990</t>
        </is>
      </c>
      <c r="AF273" t="inlineStr"/>
      <c r="AG273" t="inlineStr"/>
      <c r="AH273" t="inlineStr">
        <is>
          <t>SC</t>
        </is>
      </c>
      <c r="AI273" t="inlineStr">
        <is>
          <t>ITAJAI</t>
        </is>
      </c>
      <c r="AJ273" t="inlineStr">
        <is>
          <t>Transporte rodoviário de carga, exceto produtos perigosos e mudanças, municipal.</t>
        </is>
      </c>
      <c r="AK273" t="inlineStr">
        <is>
          <t>DEMAIS</t>
        </is>
      </c>
      <c r="AL273" t="inlineStr">
        <is>
          <t>ATIVA</t>
        </is>
      </c>
      <c r="AM273" s="17" t="inlineStr">
        <is>
          <t>https://credibilita.com.br/wp-content/uploads/2025/09/Relacao-Credores-29.04.2026.pdf</t>
        </is>
      </c>
      <c r="AN273" s="18" t="inlineStr">
        <is>
          <t>p2 r8</t>
        </is>
      </c>
      <c r="AO273" s="18" t="inlineStr">
        <is>
          <t>p2: R$ 540.028,76</t>
        </is>
      </c>
      <c r="AP273" s="18" t="inlineStr">
        <is>
          <t>QUORUM_LIST</t>
        </is>
      </c>
      <c r="AQ273" s="18" t="inlineStr"/>
      <c r="AR273" s="18" t="inlineStr">
        <is>
          <t>OK_NO_TOTALS</t>
        </is>
      </c>
      <c r="AS273" s="18" t="inlineStr">
        <is>
          <t>ROWS:p2r8 UNRECONCILED_SOURCE VALUE_COL:Valor_Após_Analise CASE_NUMBER_CORRECTED</t>
        </is>
      </c>
      <c r="AT273" s="18" t="inlineStr">
        <is>
          <t>cf92cff797d2</t>
        </is>
      </c>
    </row>
    <row r="274">
      <c r="A274" s="9" t="n">
        <v>273</v>
      </c>
      <c r="B274" s="9" t="inlineStr">
        <is>
          <t>NEW</t>
        </is>
      </c>
      <c r="C274" s="9" t="inlineStr"/>
      <c r="D274" s="9" t="n">
        <v>0</v>
      </c>
      <c r="E274" s="9" t="inlineStr"/>
      <c r="F274" s="9" t="inlineStr"/>
      <c r="G274" s="9" t="inlineStr"/>
      <c r="H274" s="9" t="inlineStr"/>
      <c r="I274" t="inlineStr">
        <is>
          <t>AGROINDUSTRIAL IRMAOS DALLA COSTA S.A</t>
        </is>
      </c>
      <c r="J274" t="inlineStr">
        <is>
          <t>Agroindustrial Irmaos Dalla Costa Ltda</t>
        </is>
      </c>
      <c r="K274" t="inlineStr">
        <is>
          <t>07851247</t>
        </is>
      </c>
      <c r="L274" t="inlineStr">
        <is>
          <t>07851247000160, 07851247000675</t>
        </is>
      </c>
      <c r="M274" s="10" t="n">
        <v>535652</v>
      </c>
      <c r="N274" t="n">
        <v>2</v>
      </c>
      <c r="O274" s="11" t="inlineStr">
        <is>
          <t>C</t>
        </is>
      </c>
      <c r="P274" s="11" t="inlineStr">
        <is>
          <t>ACTIVE</t>
        </is>
      </c>
      <c r="Q274" s="12" t="n">
        <v>45275</v>
      </c>
      <c r="R274" s="11">
        <f>IF(Q274="","",ROUND((TODAY()-Q274)/365.25,1))</f>
        <v/>
      </c>
      <c r="S274" s="13">
        <f>IFERROR(VLOOKUP(O274,Assumptions!$A$7:$F$11,2,FALSE),0.25)</f>
        <v/>
      </c>
      <c r="T274" s="14">
        <f>IF(O274="A",MAX(1,IFERROR(VLOOKUP(O274,Assumptions!$A$7:$F$11,3,FALSE),3)+IFERROR(VLOOKUP(O274,Assumptions!$A$7:$F$11,4,FALSE),8)/2-MAX(0,IF(R274="",0,R274)-IFERROR(VLOOKUP(O274,Assumptions!$A$7:$F$11,5,FALSE),1.5))),IFERROR(VLOOKUP(O274,Assumptions!$A$7:$F$11,5,FALSE),2.5)+IFERROR(VLOOKUP(O274,Assumptions!$A$7:$F$11,3,FALSE),3)+IFERROR(VLOOKUP(O274,Assumptions!$A$7:$F$11,4,FALSE),8)/2)</f>
        <v/>
      </c>
      <c r="U274" s="15">
        <f>M274*S274/(1+Assumptions!$B$3)^T274</f>
        <v/>
      </c>
      <c r="V274" s="11">
        <f>IF(M274=0,"",ROUND(U274/M274*100,1))</f>
        <v/>
      </c>
      <c r="W274" s="16">
        <f>U274*Assumptions!$B$4</f>
        <v/>
      </c>
      <c r="X274" s="11">
        <f>IF(M274=0,"",ROUND(W274/M274*100,1))</f>
        <v/>
      </c>
      <c r="Y274" t="inlineStr">
        <is>
          <t>Grupo Agromeal</t>
        </is>
      </c>
      <c r="Z274" t="inlineStr">
        <is>
          <t>0003971-03.2023.8.16.0119</t>
        </is>
      </c>
      <c r="AA274" t="inlineStr">
        <is>
          <t>TJPR</t>
        </is>
      </c>
      <c r="AB274" t="inlineStr">
        <is>
          <t>marquesadmjudicial.com.br</t>
        </is>
      </c>
      <c r="AC274" t="inlineStr">
        <is>
          <t>IVO ANTONIO DALLA COSTA</t>
        </is>
      </c>
      <c r="AD274" t="inlineStr">
        <is>
          <t>Diretor</t>
        </is>
      </c>
      <c r="AE274" t="inlineStr">
        <is>
          <t>(18) 3265-6500</t>
        </is>
      </c>
      <c r="AF274" t="inlineStr">
        <is>
          <t>(18) 3265-9393</t>
        </is>
      </c>
      <c r="AG274" t="inlineStr"/>
      <c r="AH274" t="inlineStr">
        <is>
          <t>SP</t>
        </is>
      </c>
      <c r="AI274" t="inlineStr">
        <is>
          <t>RANCHARIA</t>
        </is>
      </c>
      <c r="AJ274" t="inlineStr">
        <is>
          <t>Abate de aves</t>
        </is>
      </c>
      <c r="AK274" t="inlineStr">
        <is>
          <t>DEMAIS</t>
        </is>
      </c>
      <c r="AL274" t="inlineStr">
        <is>
          <t>ATIVA</t>
        </is>
      </c>
      <c r="AM274" s="17" t="inlineStr">
        <is>
          <t>https://marquesadmjudicial.com.br/sgc/download.php?file=files/processo_documento/processo_documento17040729052024_1_.pdf&amp;nome=Relação Nominal de Credores AJ-Sintética</t>
        </is>
      </c>
      <c r="AN274" s="18" t="inlineStr">
        <is>
          <t>p9 r4; p9 r5</t>
        </is>
      </c>
      <c r="AO274" s="18" t="inlineStr">
        <is>
          <t>p9: R$ 433.316,00; p9: R$ 102.336,00</t>
        </is>
      </c>
      <c r="AP274" s="18" t="inlineStr">
        <is>
          <t>AJ_LIST</t>
        </is>
      </c>
      <c r="AQ274" s="18" t="inlineStr">
        <is>
          <t>2024-05-27</t>
        </is>
      </c>
      <c r="AR274" s="18" t="inlineStr">
        <is>
          <t>QUARANTINED</t>
        </is>
      </c>
      <c r="AS274" s="18" t="inlineStr">
        <is>
          <t>PARTIAL_DOC_CLASS_III_RECONCILED ROWS:p9r4,p9r5</t>
        </is>
      </c>
      <c r="AT274" s="18" t="inlineStr">
        <is>
          <t>1209dafe77b7</t>
        </is>
      </c>
    </row>
    <row r="275">
      <c r="A275" s="9" t="n">
        <v>274</v>
      </c>
      <c r="B275" s="9" t="inlineStr">
        <is>
          <t>NEW</t>
        </is>
      </c>
      <c r="C275" s="9" t="inlineStr"/>
      <c r="D275" s="9" t="n">
        <v>0</v>
      </c>
      <c r="E275" s="9" t="inlineStr"/>
      <c r="F275" s="9" t="inlineStr"/>
      <c r="G275" s="9" t="inlineStr"/>
      <c r="H275" s="9" t="inlineStr"/>
      <c r="I275" t="inlineStr">
        <is>
          <t>TRUST - IMPORTACAO E EXPORTACAO LTDA</t>
        </is>
      </c>
      <c r="J275" t="inlineStr">
        <is>
          <t>TRUST IMPORTAÇÃO E EXPORTAÇÃO LTDA</t>
        </is>
      </c>
      <c r="K275" t="inlineStr">
        <is>
          <t>07426908</t>
        </is>
      </c>
      <c r="L275" t="inlineStr">
        <is>
          <t>07426908000453</t>
        </is>
      </c>
      <c r="M275" s="10" t="n">
        <v>533171.8100000001</v>
      </c>
      <c r="N275" t="n">
        <v>1</v>
      </c>
      <c r="O275" s="11" t="inlineStr">
        <is>
          <t>B</t>
        </is>
      </c>
      <c r="P275" s="11" t="inlineStr">
        <is>
          <t>ACTIVE</t>
        </is>
      </c>
      <c r="Q275" s="12" t="n">
        <v>45987</v>
      </c>
      <c r="R275" s="11">
        <f>IF(Q275="","",ROUND((TODAY()-Q275)/365.25,1))</f>
        <v/>
      </c>
      <c r="S275" s="13">
        <f>IFERROR(VLOOKUP(O275,Assumptions!$A$7:$F$11,2,FALSE),0.25)</f>
        <v/>
      </c>
      <c r="T275" s="14">
        <f>IF(O275="A",MAX(1,IFERROR(VLOOKUP(O275,Assumptions!$A$7:$F$11,3,FALSE),3)+IFERROR(VLOOKUP(O275,Assumptions!$A$7:$F$11,4,FALSE),8)/2-MAX(0,IF(R275="",0,R275)-IFERROR(VLOOKUP(O275,Assumptions!$A$7:$F$11,5,FALSE),1.5))),IFERROR(VLOOKUP(O275,Assumptions!$A$7:$F$11,5,FALSE),2.5)+IFERROR(VLOOKUP(O275,Assumptions!$A$7:$F$11,3,FALSE),3)+IFERROR(VLOOKUP(O275,Assumptions!$A$7:$F$11,4,FALSE),8)/2)</f>
        <v/>
      </c>
      <c r="U275" s="15">
        <f>M275*S275/(1+Assumptions!$B$3)^T275</f>
        <v/>
      </c>
      <c r="V275" s="11">
        <f>IF(M275=0,"",ROUND(U275/M275*100,1))</f>
        <v/>
      </c>
      <c r="W275" s="16">
        <f>U275*Assumptions!$B$4</f>
        <v/>
      </c>
      <c r="X275" s="11">
        <f>IF(M275=0,"",ROUND(W275/M275*100,1))</f>
        <v/>
      </c>
      <c r="Y275" t="inlineStr">
        <is>
          <t>Cerealista Safrasul Ltda</t>
        </is>
      </c>
      <c r="Z275" t="inlineStr">
        <is>
          <t>4000167-23.2025.8.26.0373</t>
        </is>
      </c>
      <c r="AA275" t="inlineStr">
        <is>
          <t>TJSP</t>
        </is>
      </c>
      <c r="AB275" t="inlineStr">
        <is>
          <t>ajruiz.com.br</t>
        </is>
      </c>
      <c r="AC275" t="inlineStr">
        <is>
          <t>JULIANO D ALMEIDA VICTORINO</t>
        </is>
      </c>
      <c r="AD275" t="inlineStr">
        <is>
          <t>Administrador</t>
        </is>
      </c>
      <c r="AE275" t="inlineStr">
        <is>
          <t>(47) 3405-8300</t>
        </is>
      </c>
      <c r="AF275" t="inlineStr"/>
      <c r="AG275" t="inlineStr"/>
      <c r="AH275" t="inlineStr">
        <is>
          <t>SC</t>
        </is>
      </c>
      <c r="AI275" t="inlineStr">
        <is>
          <t>ITAJAI</t>
        </is>
      </c>
      <c r="AJ275" t="inlineStr">
        <is>
          <t>Comércio atacadista de mercadorias em geral, sem predominância de alimentos ou de insumos agropecuários</t>
        </is>
      </c>
      <c r="AK275" t="inlineStr">
        <is>
          <t>DEMAIS</t>
        </is>
      </c>
      <c r="AL275" t="inlineStr">
        <is>
          <t>ATIVA</t>
        </is>
      </c>
      <c r="AM275" s="17" t="inlineStr">
        <is>
          <t>https://ajruiz.com.br/sites/default/files/public/arquivos-processos/2026-01/safrasul_relacao_de_credores_recuperanda.pdf</t>
        </is>
      </c>
      <c r="AN275" s="18" t="inlineStr">
        <is>
          <t>p8 r36</t>
        </is>
      </c>
      <c r="AO275" s="18" t="inlineStr">
        <is>
          <t>p8: R$ 533.171,81</t>
        </is>
      </c>
      <c r="AP275" s="18" t="inlineStr">
        <is>
          <t>AJ_LIST</t>
        </is>
      </c>
      <c r="AQ275" s="18" t="inlineStr">
        <is>
          <t>2026-01-14</t>
        </is>
      </c>
      <c r="AR275" s="18" t="inlineStr">
        <is>
          <t>OK_NO_TOTALS</t>
        </is>
      </c>
      <c r="AS275" s="18" t="inlineStr">
        <is>
          <t>ROWS:p8r36 UNRECONCILED_SOURCE</t>
        </is>
      </c>
      <c r="AT275" s="18" t="inlineStr">
        <is>
          <t>18975be46188</t>
        </is>
      </c>
    </row>
    <row r="276">
      <c r="A276" s="9" t="n">
        <v>275</v>
      </c>
      <c r="B276" s="9" t="inlineStr">
        <is>
          <t>NEW</t>
        </is>
      </c>
      <c r="C276" s="9" t="inlineStr"/>
      <c r="D276" s="9" t="n">
        <v>0</v>
      </c>
      <c r="E276" s="9" t="inlineStr"/>
      <c r="F276" s="9" t="inlineStr"/>
      <c r="G276" s="9" t="inlineStr"/>
      <c r="H276" s="9" t="inlineStr"/>
      <c r="I276" t="inlineStr">
        <is>
          <t>ASFALTOS NORDESTE LTDA</t>
        </is>
      </c>
      <c r="J276" t="inlineStr">
        <is>
          <t>Asfaltos Nordeste Ltda</t>
        </is>
      </c>
      <c r="K276" t="inlineStr">
        <is>
          <t>01791741</t>
        </is>
      </c>
      <c r="L276" t="inlineStr">
        <is>
          <t>01791741000109</t>
        </is>
      </c>
      <c r="M276" s="10" t="n">
        <v>531958.59</v>
      </c>
      <c r="N276" t="n">
        <v>1</v>
      </c>
      <c r="O276" s="11" t="inlineStr">
        <is>
          <t>B</t>
        </is>
      </c>
      <c r="P276" s="11" t="inlineStr"/>
      <c r="Q276" s="12" t="n">
        <v>45756</v>
      </c>
      <c r="R276" s="11">
        <f>IF(Q276="","",ROUND((TODAY()-Q276)/365.25,1))</f>
        <v/>
      </c>
      <c r="S276" s="13">
        <f>IFERROR(VLOOKUP(O276,Assumptions!$A$7:$F$11,2,FALSE),0.25)</f>
        <v/>
      </c>
      <c r="T276" s="14">
        <f>IF(O276="A",MAX(1,IFERROR(VLOOKUP(O276,Assumptions!$A$7:$F$11,3,FALSE),3)+IFERROR(VLOOKUP(O276,Assumptions!$A$7:$F$11,4,FALSE),8)/2-MAX(0,IF(R276="",0,R276)-IFERROR(VLOOKUP(O276,Assumptions!$A$7:$F$11,5,FALSE),1.5))),IFERROR(VLOOKUP(O276,Assumptions!$A$7:$F$11,5,FALSE),2.5)+IFERROR(VLOOKUP(O276,Assumptions!$A$7:$F$11,3,FALSE),3)+IFERROR(VLOOKUP(O276,Assumptions!$A$7:$F$11,4,FALSE),8)/2)</f>
        <v/>
      </c>
      <c r="U276" s="15">
        <f>M276*S276/(1+Assumptions!$B$3)^T276</f>
        <v/>
      </c>
      <c r="V276" s="11">
        <f>IF(M276=0,"",ROUND(U276/M276*100,1))</f>
        <v/>
      </c>
      <c r="W276" s="16">
        <f>U276*Assumptions!$B$4</f>
        <v/>
      </c>
      <c r="X276" s="11">
        <f>IF(M276=0,"",ROUND(W276/M276*100,1))</f>
        <v/>
      </c>
      <c r="Y276" t="inlineStr">
        <is>
          <t>GRUPO EGESA (EGESA ENG S.A, EGESUR PART E EMP S.A, MATRIX INFRA LTDA, BEMVIVER ENG AMBIENTAL E SERV LTDA, DKF CONST E EMP LTDA, EGEPEL LTDA, ETR ASSESSORIA EMP E PART LTDA, MVT ENG E SERV LTDA, PARQUES DO VALE LTDA, ELMO RIBEIRO E ANA RIBEIRO)</t>
        </is>
      </c>
      <c r="Z276" t="inlineStr">
        <is>
          <t>5088952-81.2025.8.13.0024</t>
        </is>
      </c>
      <c r="AA276" t="inlineStr">
        <is>
          <t>TJMG</t>
        </is>
      </c>
      <c r="AB276" t="inlineStr">
        <is>
          <t>scalzilliaj.com.br</t>
        </is>
      </c>
      <c r="AC276" t="inlineStr">
        <is>
          <t>ANDRE SILVA BARBOSA</t>
        </is>
      </c>
      <c r="AD276" t="inlineStr">
        <is>
          <t>Sócio-Administrador</t>
        </is>
      </c>
      <c r="AE276" t="inlineStr">
        <is>
          <t>(85) 3311-2811</t>
        </is>
      </c>
      <c r="AF276" t="inlineStr">
        <is>
          <t>(85) 3311-2844</t>
        </is>
      </c>
      <c r="AG276" t="inlineStr"/>
      <c r="AH276" t="inlineStr">
        <is>
          <t>CE</t>
        </is>
      </c>
      <c r="AI276" t="inlineStr">
        <is>
          <t>MARACANAU</t>
        </is>
      </c>
      <c r="AJ276" t="inlineStr">
        <is>
          <t>Fabricação de impermeabilizantes, solventes e produtos afins</t>
        </is>
      </c>
      <c r="AK276" t="inlineStr">
        <is>
          <t>DEMAIS</t>
        </is>
      </c>
      <c r="AL276" t="inlineStr">
        <is>
          <t>ATIVA</t>
        </is>
      </c>
      <c r="AM276" s="17" t="inlineStr">
        <is>
          <t>https://scalzilliaj.com.br/sgc/download.php?file=files/processo_documento/processo_documento09514021082025_1_.pdf&amp;nome=04 - Relação de credores das Recuperandas</t>
        </is>
      </c>
      <c r="AN276" s="18" t="inlineStr">
        <is>
          <t>p62 r11</t>
        </is>
      </c>
      <c r="AO276" s="18" t="inlineStr">
        <is>
          <t>p62: R$ 531.958,59</t>
        </is>
      </c>
      <c r="AP276" s="18" t="inlineStr">
        <is>
          <t>DEBTOR_LIST</t>
        </is>
      </c>
      <c r="AQ276" s="18" t="inlineStr"/>
      <c r="AR276" s="18" t="inlineStr">
        <is>
          <t>OK</t>
        </is>
      </c>
      <c r="AS276" s="18" t="inlineStr">
        <is>
          <t>ROWS:p62r11 VALUE_COL:Valor_Atualizado CASE_NUMBER_CORRECTED CASE_FROM_PORTAL</t>
        </is>
      </c>
      <c r="AT276" s="18" t="inlineStr">
        <is>
          <t>24ed98480a57</t>
        </is>
      </c>
    </row>
    <row r="277">
      <c r="A277" s="9" t="n">
        <v>276</v>
      </c>
      <c r="B277" s="9" t="inlineStr">
        <is>
          <t>NEW</t>
        </is>
      </c>
      <c r="C277" s="9" t="inlineStr"/>
      <c r="D277" s="9" t="n">
        <v>0</v>
      </c>
      <c r="E277" s="9" t="inlineStr"/>
      <c r="F277" s="9" t="inlineStr"/>
      <c r="G277" s="9" t="inlineStr"/>
      <c r="H277" s="9" t="inlineStr"/>
      <c r="I277" t="inlineStr">
        <is>
          <t>GERDAU ACOS LONGOS S.A.</t>
        </is>
      </c>
      <c r="J277" t="inlineStr">
        <is>
          <t>AV.GETULIO VARGAS, 3666, DIST INDL CURADO - 50950-000, RECIFE - PE</t>
        </is>
      </c>
      <c r="K277" t="inlineStr">
        <is>
          <t>07358761</t>
        </is>
      </c>
      <c r="L277" t="inlineStr">
        <is>
          <t>07358761005128</t>
        </is>
      </c>
      <c r="M277" s="10" t="n">
        <v>530847.4399999999</v>
      </c>
      <c r="N277" t="n">
        <v>1</v>
      </c>
      <c r="O277" s="11" t="inlineStr">
        <is>
          <t>C</t>
        </is>
      </c>
      <c r="P277" s="11" t="inlineStr"/>
      <c r="Q277" s="12" t="inlineStr"/>
      <c r="R277" s="11">
        <f>IF(Q277="","",ROUND((TODAY()-Q277)/365.25,1))</f>
        <v/>
      </c>
      <c r="S277" s="13">
        <f>IFERROR(VLOOKUP(O277,Assumptions!$A$7:$F$11,2,FALSE),0.25)</f>
        <v/>
      </c>
      <c r="T277" s="14">
        <f>IF(O277="A",MAX(1,IFERROR(VLOOKUP(O277,Assumptions!$A$7:$F$11,3,FALSE),3)+IFERROR(VLOOKUP(O277,Assumptions!$A$7:$F$11,4,FALSE),8)/2-MAX(0,IF(R277="",0,R277)-IFERROR(VLOOKUP(O277,Assumptions!$A$7:$F$11,5,FALSE),1.5))),IFERROR(VLOOKUP(O277,Assumptions!$A$7:$F$11,5,FALSE),2.5)+IFERROR(VLOOKUP(O277,Assumptions!$A$7:$F$11,3,FALSE),3)+IFERROR(VLOOKUP(O277,Assumptions!$A$7:$F$11,4,FALSE),8)/2)</f>
        <v/>
      </c>
      <c r="U277" s="15">
        <f>M277*S277/(1+Assumptions!$B$3)^T277</f>
        <v/>
      </c>
      <c r="V277" s="11">
        <f>IF(M277=0,"",ROUND(U277/M277*100,1))</f>
        <v/>
      </c>
      <c r="W277" s="16">
        <f>U277*Assumptions!$B$4</f>
        <v/>
      </c>
      <c r="X277" s="11">
        <f>IF(M277=0,"",ROUND(W277/M277*100,1))</f>
        <v/>
      </c>
      <c r="Y277" t="inlineStr">
        <is>
          <t>Roque Materiais para Construção</t>
        </is>
      </c>
      <c r="Z277" t="inlineStr">
        <is>
          <t>0802426-35.2019.8.10.0000</t>
        </is>
      </c>
      <c r="AA277" t="inlineStr"/>
      <c r="AB277" t="inlineStr">
        <is>
          <t>realbrasil.com.br</t>
        </is>
      </c>
      <c r="AC277" t="inlineStr">
        <is>
          <t>GUSTAVO WERNECK DA CUNHA</t>
        </is>
      </c>
      <c r="AD277" t="inlineStr">
        <is>
          <t>Presidente</t>
        </is>
      </c>
      <c r="AE277" t="inlineStr">
        <is>
          <t>(11) 3094-6600</t>
        </is>
      </c>
      <c r="AF277" t="inlineStr"/>
      <c r="AG277" t="inlineStr"/>
      <c r="AH277" t="inlineStr">
        <is>
          <t>RJ</t>
        </is>
      </c>
      <c r="AI277" t="inlineStr">
        <is>
          <t>RIO DE JANEIRO</t>
        </is>
      </c>
      <c r="AJ277" t="inlineStr">
        <is>
          <t>Produção de laminados longos de aço, exceto tubos</t>
        </is>
      </c>
      <c r="AK277" t="inlineStr">
        <is>
          <t>DEMAIS</t>
        </is>
      </c>
      <c r="AL277" t="inlineStr">
        <is>
          <t>ATIVA</t>
        </is>
      </c>
      <c r="AM277" s="17" t="inlineStr">
        <is>
          <t>https://realbrasil.com.br/wp-content/uploads/2018/06/2_LISTA-DE-CREDORES-DA-RECUPERANDA_ROQUE.pdf</t>
        </is>
      </c>
      <c r="AN277" s="18" t="inlineStr">
        <is>
          <t>p2 r6</t>
        </is>
      </c>
      <c r="AO277" s="18" t="inlineStr">
        <is>
          <t>p2: R$ 530.847,44</t>
        </is>
      </c>
      <c r="AP277" s="18" t="inlineStr">
        <is>
          <t>UNKNOWN</t>
        </is>
      </c>
      <c r="AQ277" s="18" t="inlineStr"/>
      <c r="AR277" s="18" t="inlineStr">
        <is>
          <t>OK</t>
        </is>
      </c>
      <c r="AS277" s="18" t="inlineStr">
        <is>
          <t>ROWS:p2r6 VALUE_COL:Saldo_Total</t>
        </is>
      </c>
      <c r="AT277" s="18" t="inlineStr">
        <is>
          <t>d85bdfbfbdc8</t>
        </is>
      </c>
    </row>
    <row r="278">
      <c r="A278" s="9" t="n">
        <v>277</v>
      </c>
      <c r="B278" s="9" t="inlineStr">
        <is>
          <t>NEW</t>
        </is>
      </c>
      <c r="C278" s="9" t="inlineStr"/>
      <c r="D278" s="9" t="n">
        <v>0</v>
      </c>
      <c r="E278" s="9" t="inlineStr"/>
      <c r="F278" s="9" t="inlineStr"/>
      <c r="G278" s="9" t="inlineStr"/>
      <c r="H278" s="9" t="inlineStr"/>
      <c r="I278" t="inlineStr">
        <is>
          <t>ALLIED TECNOLOGIA S.A.</t>
        </is>
      </c>
      <c r="J278" t="inlineStr">
        <is>
          <t>20.247.322/0005-70</t>
        </is>
      </c>
      <c r="K278" t="inlineStr">
        <is>
          <t>20247322</t>
        </is>
      </c>
      <c r="L278" t="inlineStr">
        <is>
          <t>20247322000570</t>
        </is>
      </c>
      <c r="M278" s="10" t="n">
        <v>529483.15</v>
      </c>
      <c r="N278" t="n">
        <v>1</v>
      </c>
      <c r="O278" s="11" t="inlineStr">
        <is>
          <t>C</t>
        </is>
      </c>
      <c r="P278" s="11" t="inlineStr">
        <is>
          <t>ACTIVE</t>
        </is>
      </c>
      <c r="Q278" s="12" t="n">
        <v>43894</v>
      </c>
      <c r="R278" s="11">
        <f>IF(Q278="","",ROUND((TODAY()-Q278)/365.25,1))</f>
        <v/>
      </c>
      <c r="S278" s="13">
        <f>IFERROR(VLOOKUP(O278,Assumptions!$A$7:$F$11,2,FALSE),0.25)</f>
        <v/>
      </c>
      <c r="T278" s="14">
        <f>IF(O278="A",MAX(1,IFERROR(VLOOKUP(O278,Assumptions!$A$7:$F$11,3,FALSE),3)+IFERROR(VLOOKUP(O278,Assumptions!$A$7:$F$11,4,FALSE),8)/2-MAX(0,IF(R278="",0,R278)-IFERROR(VLOOKUP(O278,Assumptions!$A$7:$F$11,5,FALSE),1.5))),IFERROR(VLOOKUP(O278,Assumptions!$A$7:$F$11,5,FALSE),2.5)+IFERROR(VLOOKUP(O278,Assumptions!$A$7:$F$11,3,FALSE),3)+IFERROR(VLOOKUP(O278,Assumptions!$A$7:$F$11,4,FALSE),8)/2)</f>
        <v/>
      </c>
      <c r="U278" s="15">
        <f>M278*S278/(1+Assumptions!$B$3)^T278</f>
        <v/>
      </c>
      <c r="V278" s="11">
        <f>IF(M278=0,"",ROUND(U278/M278*100,1))</f>
        <v/>
      </c>
      <c r="W278" s="16">
        <f>U278*Assumptions!$B$4</f>
        <v/>
      </c>
      <c r="X278" s="11">
        <f>IF(M278=0,"",ROUND(W278/M278*100,1))</f>
        <v/>
      </c>
      <c r="Y278" t="inlineStr">
        <is>
          <t>CREDIMÓVEIS NOVOLAR LTDA.</t>
        </is>
      </c>
      <c r="Z278" t="inlineStr">
        <is>
          <t>0007565-40.2020.8.17.2370</t>
        </is>
      </c>
      <c r="AA278" t="inlineStr">
        <is>
          <t>TJPE</t>
        </is>
      </c>
      <c r="AB278" t="inlineStr">
        <is>
          <t>recuperacaojudicial.squarespace.com</t>
        </is>
      </c>
      <c r="AC278" t="inlineStr">
        <is>
          <t>SILVIO STAGNI</t>
        </is>
      </c>
      <c r="AD278" t="inlineStr">
        <is>
          <t>Presidente</t>
        </is>
      </c>
      <c r="AE278" t="inlineStr">
        <is>
          <t>(11) 5503-9993</t>
        </is>
      </c>
      <c r="AF278" t="inlineStr">
        <is>
          <t>(11) 5503-9999</t>
        </is>
      </c>
      <c r="AG278" t="inlineStr"/>
      <c r="AH278" t="inlineStr">
        <is>
          <t>SP</t>
        </is>
      </c>
      <c r="AI278" t="inlineStr">
        <is>
          <t>JUNDIAI</t>
        </is>
      </c>
      <c r="AJ278" t="inlineStr">
        <is>
          <t>Comércio atacadista de componentes eletrônicos e equipamentos de telefonia e comunicação</t>
        </is>
      </c>
      <c r="AK278" t="inlineStr">
        <is>
          <t>DEMAIS</t>
        </is>
      </c>
      <c r="AL278" t="inlineStr">
        <is>
          <t>ATIVA</t>
        </is>
      </c>
      <c r="AM278" s="17" t="inlineStr">
        <is>
          <t>https://recuperacaojudicial.squarespace.com/s/RJ-Credimoveis-QGC-01082025.pdf</t>
        </is>
      </c>
      <c r="AN278" s="18" t="inlineStr">
        <is>
          <t>p15 r5</t>
        </is>
      </c>
      <c r="AO278" s="18" t="inlineStr">
        <is>
          <t>p15: R$ 529.483,15</t>
        </is>
      </c>
      <c r="AP278" s="18" t="inlineStr">
        <is>
          <t>QGC</t>
        </is>
      </c>
      <c r="AQ278" s="18" t="inlineStr">
        <is>
          <t>2026-01-28</t>
        </is>
      </c>
      <c r="AR278" s="18" t="inlineStr">
        <is>
          <t>OK</t>
        </is>
      </c>
      <c r="AS278" s="18" t="inlineStr">
        <is>
          <t>ROWS:p15r5</t>
        </is>
      </c>
      <c r="AT278" s="18" t="inlineStr">
        <is>
          <t>849d4fe5adce</t>
        </is>
      </c>
    </row>
    <row r="279">
      <c r="A279" s="9" t="n">
        <v>278</v>
      </c>
      <c r="B279" s="9" t="inlineStr">
        <is>
          <t>NEW</t>
        </is>
      </c>
      <c r="C279" s="9" t="inlineStr"/>
      <c r="D279" s="9" t="n">
        <v>0</v>
      </c>
      <c r="E279" s="9" t="inlineStr"/>
      <c r="F279" s="9" t="inlineStr"/>
      <c r="G279" s="9" t="inlineStr"/>
      <c r="H279" s="9" t="inlineStr"/>
      <c r="I279" t="inlineStr">
        <is>
          <t>TUBOARTE INDUSTRIA E COMERCIO LTDA</t>
        </is>
      </c>
      <c r="J279" t="inlineStr">
        <is>
          <t>01.802.541/0001-04</t>
        </is>
      </c>
      <c r="K279" t="inlineStr">
        <is>
          <t>01802541</t>
        </is>
      </c>
      <c r="L279" t="inlineStr">
        <is>
          <t>01802541000104</t>
        </is>
      </c>
      <c r="M279" s="10" t="n">
        <v>527489.5</v>
      </c>
      <c r="N279" t="n">
        <v>1</v>
      </c>
      <c r="O279" s="11" t="inlineStr">
        <is>
          <t>C</t>
        </is>
      </c>
      <c r="P279" s="11" t="inlineStr">
        <is>
          <t>ACTIVE</t>
        </is>
      </c>
      <c r="Q279" s="12" t="n">
        <v>43894</v>
      </c>
      <c r="R279" s="11">
        <f>IF(Q279="","",ROUND((TODAY()-Q279)/365.25,1))</f>
        <v/>
      </c>
      <c r="S279" s="13">
        <f>IFERROR(VLOOKUP(O279,Assumptions!$A$7:$F$11,2,FALSE),0.25)</f>
        <v/>
      </c>
      <c r="T279" s="14">
        <f>IF(O279="A",MAX(1,IFERROR(VLOOKUP(O279,Assumptions!$A$7:$F$11,3,FALSE),3)+IFERROR(VLOOKUP(O279,Assumptions!$A$7:$F$11,4,FALSE),8)/2-MAX(0,IF(R279="",0,R279)-IFERROR(VLOOKUP(O279,Assumptions!$A$7:$F$11,5,FALSE),1.5))),IFERROR(VLOOKUP(O279,Assumptions!$A$7:$F$11,5,FALSE),2.5)+IFERROR(VLOOKUP(O279,Assumptions!$A$7:$F$11,3,FALSE),3)+IFERROR(VLOOKUP(O279,Assumptions!$A$7:$F$11,4,FALSE),8)/2)</f>
        <v/>
      </c>
      <c r="U279" s="15">
        <f>M279*S279/(1+Assumptions!$B$3)^T279</f>
        <v/>
      </c>
      <c r="V279" s="11">
        <f>IF(M279=0,"",ROUND(U279/M279*100,1))</f>
        <v/>
      </c>
      <c r="W279" s="16">
        <f>U279*Assumptions!$B$4</f>
        <v/>
      </c>
      <c r="X279" s="11">
        <f>IF(M279=0,"",ROUND(W279/M279*100,1))</f>
        <v/>
      </c>
      <c r="Y279" t="inlineStr">
        <is>
          <t>CREDIMÓVEIS NOVOLAR LTDA.</t>
        </is>
      </c>
      <c r="Z279" t="inlineStr">
        <is>
          <t>0007565-40.2020.8.17.2370</t>
        </is>
      </c>
      <c r="AA279" t="inlineStr">
        <is>
          <t>TJPE</t>
        </is>
      </c>
      <c r="AB279" t="inlineStr">
        <is>
          <t>recuperacaojudicial.squarespace.com</t>
        </is>
      </c>
      <c r="AC279" t="inlineStr">
        <is>
          <t>JOSE EDSON NOGUEIRA DE FRANCA</t>
        </is>
      </c>
      <c r="AD279" t="inlineStr">
        <is>
          <t>Sócio-Administrador</t>
        </is>
      </c>
      <c r="AE279" t="inlineStr">
        <is>
          <t>(88) 3522-8300</t>
        </is>
      </c>
      <c r="AF279" t="inlineStr"/>
      <c r="AG279" t="inlineStr"/>
      <c r="AH279" t="inlineStr">
        <is>
          <t>CE</t>
        </is>
      </c>
      <c r="AI279" t="inlineStr">
        <is>
          <t>JAGUARIBE</t>
        </is>
      </c>
      <c r="AJ279" t="inlineStr">
        <is>
          <t>Fabricação de móveis com predominância de madeira</t>
        </is>
      </c>
      <c r="AK279" t="inlineStr">
        <is>
          <t>DEMAIS</t>
        </is>
      </c>
      <c r="AL279" t="inlineStr">
        <is>
          <t>ATIVA</t>
        </is>
      </c>
      <c r="AM279" s="17" t="inlineStr">
        <is>
          <t>https://recuperacaojudicial.squarespace.com/s/RJ-Credimoveis-QGC-01082025.pdf</t>
        </is>
      </c>
      <c r="AN279" s="18" t="inlineStr">
        <is>
          <t>p17 r5</t>
        </is>
      </c>
      <c r="AO279" s="18" t="inlineStr">
        <is>
          <t>p17: R$ 527.489,50</t>
        </is>
      </c>
      <c r="AP279" s="18" t="inlineStr">
        <is>
          <t>QGC</t>
        </is>
      </c>
      <c r="AQ279" s="18" t="inlineStr">
        <is>
          <t>2026-01-28</t>
        </is>
      </c>
      <c r="AR279" s="18" t="inlineStr">
        <is>
          <t>OK</t>
        </is>
      </c>
      <c r="AS279" s="18" t="inlineStr">
        <is>
          <t>ROWS:p17r5</t>
        </is>
      </c>
      <c r="AT279" s="18" t="inlineStr">
        <is>
          <t>849d4fe5adce</t>
        </is>
      </c>
    </row>
    <row r="280">
      <c r="A280" s="9" t="n">
        <v>279</v>
      </c>
      <c r="B280" s="9" t="inlineStr">
        <is>
          <t>NEW</t>
        </is>
      </c>
      <c r="C280" s="9" t="inlineStr"/>
      <c r="D280" s="9" t="n">
        <v>0</v>
      </c>
      <c r="E280" s="9" t="inlineStr"/>
      <c r="F280" s="9" t="inlineStr"/>
      <c r="G280" s="9" t="inlineStr"/>
      <c r="H280" s="9" t="inlineStr"/>
      <c r="I280" t="inlineStr">
        <is>
          <t>CALMAP INDUSTRIA DE CALCARIO LTDA</t>
        </is>
      </c>
      <c r="J280" t="inlineStr">
        <is>
          <t>CALMAP INDUSTRIA DE CALCARIO LTDA</t>
        </is>
      </c>
      <c r="K280" t="inlineStr">
        <is>
          <t>10962529</t>
        </is>
      </c>
      <c r="L280" t="inlineStr">
        <is>
          <t>10962529000140</t>
        </is>
      </c>
      <c r="M280" s="10" t="n">
        <v>526042.9300000001</v>
      </c>
      <c r="N280" t="n">
        <v>1</v>
      </c>
      <c r="O280" s="11" t="inlineStr">
        <is>
          <t>B</t>
        </is>
      </c>
      <c r="P280" s="11" t="inlineStr">
        <is>
          <t>ACTIVE</t>
        </is>
      </c>
      <c r="Q280" s="12" t="n">
        <v>45845</v>
      </c>
      <c r="R280" s="11">
        <f>IF(Q280="","",ROUND((TODAY()-Q280)/365.25,1))</f>
        <v/>
      </c>
      <c r="S280" s="13">
        <f>IFERROR(VLOOKUP(O280,Assumptions!$A$7:$F$11,2,FALSE),0.25)</f>
        <v/>
      </c>
      <c r="T280" s="14">
        <f>IF(O280="A",MAX(1,IFERROR(VLOOKUP(O280,Assumptions!$A$7:$F$11,3,FALSE),3)+IFERROR(VLOOKUP(O280,Assumptions!$A$7:$F$11,4,FALSE),8)/2-MAX(0,IF(R280="",0,R280)-IFERROR(VLOOKUP(O280,Assumptions!$A$7:$F$11,5,FALSE),1.5))),IFERROR(VLOOKUP(O280,Assumptions!$A$7:$F$11,5,FALSE),2.5)+IFERROR(VLOOKUP(O280,Assumptions!$A$7:$F$11,3,FALSE),3)+IFERROR(VLOOKUP(O280,Assumptions!$A$7:$F$11,4,FALSE),8)/2)</f>
        <v/>
      </c>
      <c r="U280" s="15">
        <f>M280*S280/(1+Assumptions!$B$3)^T280</f>
        <v/>
      </c>
      <c r="V280" s="11">
        <f>IF(M280=0,"",ROUND(U280/M280*100,1))</f>
        <v/>
      </c>
      <c r="W280" s="16">
        <f>U280*Assumptions!$B$4</f>
        <v/>
      </c>
      <c r="X280" s="11">
        <f>IF(M280=0,"",ROUND(W280/M280*100,1))</f>
        <v/>
      </c>
      <c r="Y280" t="inlineStr">
        <is>
          <t>SOJAL COMERCIAL AGRICOLA LTDA e OUTROS</t>
        </is>
      </c>
      <c r="Z280" t="inlineStr">
        <is>
          <t>0804401-51.2025.8.14.0039</t>
        </is>
      </c>
      <c r="AA280" t="inlineStr">
        <is>
          <t>TJPA</t>
        </is>
      </c>
      <c r="AB280" t="inlineStr">
        <is>
          <t>lrflideres.com.br</t>
        </is>
      </c>
      <c r="AC280" t="inlineStr">
        <is>
          <t>ANTONIO HOLANDA DE OLIVEIRA NETO</t>
        </is>
      </c>
      <c r="AD280" t="inlineStr">
        <is>
          <t>Sócio-Administrador</t>
        </is>
      </c>
      <c r="AE280" t="inlineStr">
        <is>
          <t>(85) 3082-0505</t>
        </is>
      </c>
      <c r="AF280" t="inlineStr"/>
      <c r="AG280" t="inlineStr"/>
      <c r="AH280" t="inlineStr">
        <is>
          <t>PA</t>
        </is>
      </c>
      <c r="AI280" t="inlineStr">
        <is>
          <t>SAO GERALDO DO ARAGUAIA</t>
        </is>
      </c>
      <c r="AJ280" t="inlineStr">
        <is>
          <t>Extração de minerais para fabricação de adubos, fertilizantes e outros produtos químicos</t>
        </is>
      </c>
      <c r="AK280" t="inlineStr">
        <is>
          <t>DEMAIS</t>
        </is>
      </c>
      <c r="AL280" t="inlineStr">
        <is>
          <t>ATIVA</t>
        </is>
      </c>
      <c r="AM280" s="17" t="inlineStr">
        <is>
          <t>https://lrflideres.com.br/wp-content/plugins/download-attachments/includes/download.php?id=6879</t>
        </is>
      </c>
      <c r="AN280" s="18" t="inlineStr">
        <is>
          <t>p1 r8</t>
        </is>
      </c>
      <c r="AO280" s="18" t="inlineStr">
        <is>
          <t>p1: R$ 526.042,93</t>
        </is>
      </c>
      <c r="AP280" s="18" t="inlineStr">
        <is>
          <t>AJ_LIST</t>
        </is>
      </c>
      <c r="AQ280" s="18" t="inlineStr">
        <is>
          <t>2026-01-15</t>
        </is>
      </c>
      <c r="AR280" s="18" t="inlineStr">
        <is>
          <t>OK</t>
        </is>
      </c>
      <c r="AS280" s="18" t="inlineStr">
        <is>
          <t>ROWS:p1r8</t>
        </is>
      </c>
      <c r="AT280" s="18" t="inlineStr">
        <is>
          <t>c56751547323</t>
        </is>
      </c>
    </row>
    <row r="281">
      <c r="A281" s="9" t="n">
        <v>280</v>
      </c>
      <c r="B281" s="9" t="inlineStr">
        <is>
          <t>NEW</t>
        </is>
      </c>
      <c r="C281" s="9" t="inlineStr"/>
      <c r="D281" s="9" t="n">
        <v>0</v>
      </c>
      <c r="E281" s="9" t="inlineStr"/>
      <c r="F281" s="9" t="inlineStr"/>
      <c r="G281" s="9" t="inlineStr"/>
      <c r="H281" s="9" t="inlineStr"/>
      <c r="I281" t="inlineStr">
        <is>
          <t>GSV MONTAGENS INDUSTRIAIS LTDA</t>
        </is>
      </c>
      <c r="J281" t="inlineStr">
        <is>
          <t>Gsv Montagens Industriais Ltda Me</t>
        </is>
      </c>
      <c r="K281" t="inlineStr">
        <is>
          <t>11225183</t>
        </is>
      </c>
      <c r="L281" t="inlineStr">
        <is>
          <t>11225183000160</t>
        </is>
      </c>
      <c r="M281" s="10" t="n">
        <v>525000</v>
      </c>
      <c r="N281" t="n">
        <v>1</v>
      </c>
      <c r="O281" s="11" t="inlineStr">
        <is>
          <t>B</t>
        </is>
      </c>
      <c r="P281" s="11" t="inlineStr">
        <is>
          <t>ACTIVE</t>
        </is>
      </c>
      <c r="Q281" s="12" t="n">
        <v>46130</v>
      </c>
      <c r="R281" s="11">
        <f>IF(Q281="","",ROUND((TODAY()-Q281)/365.25,1))</f>
        <v/>
      </c>
      <c r="S281" s="13">
        <f>IFERROR(VLOOKUP(O281,Assumptions!$A$7:$F$11,2,FALSE),0.25)</f>
        <v/>
      </c>
      <c r="T281" s="14">
        <f>IF(O281="A",MAX(1,IFERROR(VLOOKUP(O281,Assumptions!$A$7:$F$11,3,FALSE),3)+IFERROR(VLOOKUP(O281,Assumptions!$A$7:$F$11,4,FALSE),8)/2-MAX(0,IF(R281="",0,R281)-IFERROR(VLOOKUP(O281,Assumptions!$A$7:$F$11,5,FALSE),1.5))),IFERROR(VLOOKUP(O281,Assumptions!$A$7:$F$11,5,FALSE),2.5)+IFERROR(VLOOKUP(O281,Assumptions!$A$7:$F$11,3,FALSE),3)+IFERROR(VLOOKUP(O281,Assumptions!$A$7:$F$11,4,FALSE),8)/2)</f>
        <v/>
      </c>
      <c r="U281" s="15">
        <f>M281*S281/(1+Assumptions!$B$3)^T281</f>
        <v/>
      </c>
      <c r="V281" s="11">
        <f>IF(M281=0,"",ROUND(U281/M281*100,1))</f>
        <v/>
      </c>
      <c r="W281" s="16">
        <f>U281*Assumptions!$B$4</f>
        <v/>
      </c>
      <c r="X281" s="11">
        <f>IF(M281=0,"",ROUND(W281/M281*100,1))</f>
        <v/>
      </c>
      <c r="Y281" t="inlineStr">
        <is>
          <t>GRUPO 3E</t>
        </is>
      </c>
      <c r="Z281" t="inlineStr">
        <is>
          <t>5341375-33.2026.8.09.0049</t>
        </is>
      </c>
      <c r="AA281" t="inlineStr">
        <is>
          <t>TJGO</t>
        </is>
      </c>
      <c r="AB281" t="inlineStr">
        <is>
          <t>stenius.com.br</t>
        </is>
      </c>
      <c r="AC281" t="inlineStr">
        <is>
          <t>LUIZ CARLOS PEREIRA SANTANA</t>
        </is>
      </c>
      <c r="AD281" t="inlineStr">
        <is>
          <t>Sócio-Administrador</t>
        </is>
      </c>
      <c r="AE281" t="inlineStr">
        <is>
          <t>(62) 3353-6092</t>
        </is>
      </c>
      <c r="AF281" t="inlineStr"/>
      <c r="AG281" t="inlineStr"/>
      <c r="AH281" t="inlineStr">
        <is>
          <t>GO</t>
        </is>
      </c>
      <c r="AI281" t="inlineStr">
        <is>
          <t>GOIANESIA</t>
        </is>
      </c>
      <c r="AJ281" t="inlineStr">
        <is>
          <t>Fabricação de estruturas metálicas</t>
        </is>
      </c>
      <c r="AK281" t="inlineStr">
        <is>
          <t>DEMAIS</t>
        </is>
      </c>
      <c r="AL281" t="inlineStr">
        <is>
          <t>ATIVA</t>
        </is>
      </c>
      <c r="AM281" s="17" t="inlineStr">
        <is>
          <t>https://stenius.com.br/wp-content/uploads/2026/06/EDITAL-GRUPO-3E.pdf</t>
        </is>
      </c>
      <c r="AN281" s="18" t="inlineStr">
        <is>
          <t>p14 r22</t>
        </is>
      </c>
      <c r="AO281" s="18" t="inlineStr">
        <is>
          <t>p14: R$ 525.000,00</t>
        </is>
      </c>
      <c r="AP281" s="18" t="inlineStr">
        <is>
          <t>DEBTOR_LIST</t>
        </is>
      </c>
      <c r="AQ281" s="18" t="inlineStr">
        <is>
          <t>2026-06-22</t>
        </is>
      </c>
      <c r="AR281" s="18" t="inlineStr">
        <is>
          <t>OK_NO_TOTALS</t>
        </is>
      </c>
      <c r="AS281" s="18" t="inlineStr">
        <is>
          <t>ROWS:p14r22 UNRECONCILED_SOURCE</t>
        </is>
      </c>
      <c r="AT281" s="18" t="inlineStr">
        <is>
          <t>8e8832093a15</t>
        </is>
      </c>
    </row>
    <row r="282">
      <c r="A282" s="9" t="n">
        <v>281</v>
      </c>
      <c r="B282" s="9" t="inlineStr">
        <is>
          <t>NEW</t>
        </is>
      </c>
      <c r="C282" s="9" t="inlineStr"/>
      <c r="D282" s="9" t="n">
        <v>0</v>
      </c>
      <c r="E282" s="9" t="inlineStr"/>
      <c r="F282" s="9" t="inlineStr"/>
      <c r="G282" s="9" t="inlineStr"/>
      <c r="H282" s="9" t="inlineStr"/>
      <c r="I282" t="inlineStr">
        <is>
          <t>CEREAIS FORMIGUENSE LTDA</t>
        </is>
      </c>
      <c r="J282" t="inlineStr">
        <is>
          <t>2.13CEREAIS FORMIGUENSE LTDA</t>
        </is>
      </c>
      <c r="K282" t="inlineStr">
        <is>
          <t>10917212</t>
        </is>
      </c>
      <c r="L282" t="inlineStr">
        <is>
          <t>10917212000191</t>
        </is>
      </c>
      <c r="M282" s="10" t="n">
        <v>525000</v>
      </c>
      <c r="N282" t="n">
        <v>1</v>
      </c>
      <c r="O282" s="11" t="inlineStr">
        <is>
          <t>B</t>
        </is>
      </c>
      <c r="P282" s="11" t="inlineStr">
        <is>
          <t>ACTIVE</t>
        </is>
      </c>
      <c r="Q282" s="12" t="n">
        <v>45534</v>
      </c>
      <c r="R282" s="11">
        <f>IF(Q282="","",ROUND((TODAY()-Q282)/365.25,1))</f>
        <v/>
      </c>
      <c r="S282" s="13">
        <f>IFERROR(VLOOKUP(O282,Assumptions!$A$7:$F$11,2,FALSE),0.25)</f>
        <v/>
      </c>
      <c r="T282" s="14">
        <f>IF(O282="A",MAX(1,IFERROR(VLOOKUP(O282,Assumptions!$A$7:$F$11,3,FALSE),3)+IFERROR(VLOOKUP(O282,Assumptions!$A$7:$F$11,4,FALSE),8)/2-MAX(0,IF(R282="",0,R282)-IFERROR(VLOOKUP(O282,Assumptions!$A$7:$F$11,5,FALSE),1.5))),IFERROR(VLOOKUP(O282,Assumptions!$A$7:$F$11,5,FALSE),2.5)+IFERROR(VLOOKUP(O282,Assumptions!$A$7:$F$11,3,FALSE),3)+IFERROR(VLOOKUP(O282,Assumptions!$A$7:$F$11,4,FALSE),8)/2)</f>
        <v/>
      </c>
      <c r="U282" s="15">
        <f>M282*S282/(1+Assumptions!$B$3)^T282</f>
        <v/>
      </c>
      <c r="V282" s="11">
        <f>IF(M282=0,"",ROUND(U282/M282*100,1))</f>
        <v/>
      </c>
      <c r="W282" s="16">
        <f>U282*Assumptions!$B$4</f>
        <v/>
      </c>
      <c r="X282" s="11">
        <f>IF(M282=0,"",ROUND(W282/M282*100,1))</f>
        <v/>
      </c>
      <c r="Y282" t="inlineStr">
        <is>
          <t>SUINOCULTURA KUNZLER</t>
        </is>
      </c>
      <c r="Z282" t="inlineStr">
        <is>
          <t>5009149-92.2024.8.24.0019</t>
        </is>
      </c>
      <c r="AA282" t="inlineStr">
        <is>
          <t>TJSC</t>
        </is>
      </c>
      <c r="AB282" t="inlineStr">
        <is>
          <t>rlg-aj.com.br</t>
        </is>
      </c>
      <c r="AC282" t="inlineStr">
        <is>
          <t>TIAGO DE MARTINI</t>
        </is>
      </c>
      <c r="AD282" t="inlineStr">
        <is>
          <t>Sócio-Administrador</t>
        </is>
      </c>
      <c r="AE282" t="inlineStr">
        <is>
          <t>(54) 3341-2170</t>
        </is>
      </c>
      <c r="AF282" t="inlineStr"/>
      <c r="AG282" t="inlineStr"/>
      <c r="AH282" t="inlineStr">
        <is>
          <t>RS</t>
        </is>
      </c>
      <c r="AI282" t="inlineStr">
        <is>
          <t>GETULIO VARGAS</t>
        </is>
      </c>
      <c r="AJ282" t="inlineStr">
        <is>
          <t>Transporte rodoviário de carga, exceto produtos perigosos e mudanças, intermunicipal, interestadual e internacional</t>
        </is>
      </c>
      <c r="AK282" t="inlineStr">
        <is>
          <t>MICRO EMPRESA</t>
        </is>
      </c>
      <c r="AL282" t="inlineStr">
        <is>
          <t>ATIVA</t>
        </is>
      </c>
      <c r="AM282" s="17" t="inlineStr">
        <is>
          <t>https://rlg-aj.com.br/wp-content/uploads/2024/11/07.-Relação-de-credores.pdf</t>
        </is>
      </c>
      <c r="AN282" s="18" t="inlineStr">
        <is>
          <t>p1 r19</t>
        </is>
      </c>
      <c r="AO282" s="18" t="inlineStr">
        <is>
          <t>p1: R$ 525.000,00</t>
        </is>
      </c>
      <c r="AP282" s="18" t="inlineStr">
        <is>
          <t>UNKNOWN</t>
        </is>
      </c>
      <c r="AQ282" s="18" t="inlineStr"/>
      <c r="AR282" s="18" t="inlineStr">
        <is>
          <t>OK_NO_TOTALS</t>
        </is>
      </c>
      <c r="AS282" s="18" t="inlineStr">
        <is>
          <t>ROWS:p1r19 UNRECONCILED_SOURCE</t>
        </is>
      </c>
      <c r="AT282" s="18" t="inlineStr">
        <is>
          <t>a62ac8ee0458</t>
        </is>
      </c>
    </row>
    <row r="283">
      <c r="A283" s="9" t="n">
        <v>282</v>
      </c>
      <c r="B283" s="9" t="inlineStr">
        <is>
          <t>NEW</t>
        </is>
      </c>
      <c r="C283" s="9" t="inlineStr"/>
      <c r="D283" s="9" t="n">
        <v>0</v>
      </c>
      <c r="E283" s="9" t="inlineStr"/>
      <c r="F283" s="9" t="inlineStr"/>
      <c r="G283" s="9" t="inlineStr"/>
      <c r="H283" s="9" t="inlineStr"/>
      <c r="I283" t="inlineStr">
        <is>
          <t>IPIRANGA PRODUTOS DE PETROLEO S.A.</t>
        </is>
      </c>
      <c r="J283" t="inlineStr">
        <is>
          <t>Ipiranga Produtos de Petróleos S/A</t>
        </is>
      </c>
      <c r="K283" t="inlineStr">
        <is>
          <t>33337122</t>
        </is>
      </c>
      <c r="L283" t="inlineStr">
        <is>
          <t>33337122000127</t>
        </is>
      </c>
      <c r="M283" s="10" t="n">
        <v>521273.61</v>
      </c>
      <c r="N283" t="n">
        <v>3</v>
      </c>
      <c r="O283" s="11" t="inlineStr">
        <is>
          <t>B</t>
        </is>
      </c>
      <c r="P283" s="11" t="inlineStr"/>
      <c r="Q283" s="12" t="n">
        <v>45756</v>
      </c>
      <c r="R283" s="11">
        <f>IF(Q283="","",ROUND((TODAY()-Q283)/365.25,1))</f>
        <v/>
      </c>
      <c r="S283" s="13">
        <f>IFERROR(VLOOKUP(O283,Assumptions!$A$7:$F$11,2,FALSE),0.25)</f>
        <v/>
      </c>
      <c r="T283" s="14">
        <f>IF(O283="A",MAX(1,IFERROR(VLOOKUP(O283,Assumptions!$A$7:$F$11,3,FALSE),3)+IFERROR(VLOOKUP(O283,Assumptions!$A$7:$F$11,4,FALSE),8)/2-MAX(0,IF(R283="",0,R283)-IFERROR(VLOOKUP(O283,Assumptions!$A$7:$F$11,5,FALSE),1.5))),IFERROR(VLOOKUP(O283,Assumptions!$A$7:$F$11,5,FALSE),2.5)+IFERROR(VLOOKUP(O283,Assumptions!$A$7:$F$11,3,FALSE),3)+IFERROR(VLOOKUP(O283,Assumptions!$A$7:$F$11,4,FALSE),8)/2)</f>
        <v/>
      </c>
      <c r="U283" s="15">
        <f>M283*S283/(1+Assumptions!$B$3)^T283</f>
        <v/>
      </c>
      <c r="V283" s="11">
        <f>IF(M283=0,"",ROUND(U283/M283*100,1))</f>
        <v/>
      </c>
      <c r="W283" s="16">
        <f>U283*Assumptions!$B$4</f>
        <v/>
      </c>
      <c r="X283" s="11">
        <f>IF(M283=0,"",ROUND(W283/M283*100,1))</f>
        <v/>
      </c>
      <c r="Y283" t="inlineStr">
        <is>
          <t>GRUPO EGESA (EGESA ENG S.A, EGESUR PART E EMP S.A, MATRIX INFRA LTDA, BEMVIVER ENG AMBIENTAL E SERV LTDA, DKF CONST E EMP LTDA, EGEPEL LTDA, ETR ASSESSORIA EMP E PART LTDA, MVT ENG E SERV LTDA, PARQUES DO VALE LTDA, ELMO RIBEIRO E ANA RIBEIRO)</t>
        </is>
      </c>
      <c r="Z283" t="inlineStr">
        <is>
          <t>5088952-81.2025.8.13.0024</t>
        </is>
      </c>
      <c r="AA283" t="inlineStr">
        <is>
          <t>TJMG</t>
        </is>
      </c>
      <c r="AB283" t="inlineStr">
        <is>
          <t>scalzilliaj.com.br</t>
        </is>
      </c>
      <c r="AC283" t="inlineStr">
        <is>
          <t>CARLOS FREDERICO RESENDE</t>
        </is>
      </c>
      <c r="AD283" t="inlineStr">
        <is>
          <t>Administrador</t>
        </is>
      </c>
      <c r="AE283" t="inlineStr">
        <is>
          <t>(21) 2574-5858</t>
        </is>
      </c>
      <c r="AF283" t="inlineStr"/>
      <c r="AG283" t="inlineStr"/>
      <c r="AH283" t="inlineStr">
        <is>
          <t>RJ</t>
        </is>
      </c>
      <c r="AI283" t="inlineStr">
        <is>
          <t>RIO DE JANEIRO</t>
        </is>
      </c>
      <c r="AJ283" t="inlineStr">
        <is>
          <t>Comércio atacadista de álcool carburante, biodiesel, gasolina e demais derivados de petróleo, exceto lubrificantes, não realizado por transportador re</t>
        </is>
      </c>
      <c r="AK283" t="inlineStr">
        <is>
          <t>DEMAIS</t>
        </is>
      </c>
      <c r="AL283" t="inlineStr">
        <is>
          <t>ATIVA</t>
        </is>
      </c>
      <c r="AM283" s="17" t="inlineStr">
        <is>
          <t>https://scalzilliaj.com.br/sgc/download.php?file=files/processo_documento/processo_documento09514021082025_1_.pdf&amp;nome=04 - Relação de credores das Recuperandas</t>
        </is>
      </c>
      <c r="AN283" s="18" t="inlineStr">
        <is>
          <t>p68 r8; p68 r9; p68 r10</t>
        </is>
      </c>
      <c r="AO283" s="18" t="inlineStr">
        <is>
          <t>p68: R$ 103.415,90; p68: R$ 36.620,21; p68: R$ 381.237,50</t>
        </is>
      </c>
      <c r="AP283" s="18" t="inlineStr">
        <is>
          <t>DEBTOR_LIST</t>
        </is>
      </c>
      <c r="AQ283" s="18" t="inlineStr"/>
      <c r="AR283" s="18" t="inlineStr">
        <is>
          <t>OK</t>
        </is>
      </c>
      <c r="AS283" s="18" t="inlineStr">
        <is>
          <t>ROWS:p68r8,p68r9,p68r10 VALUE_COL:Valor_Atualizado CASE_NUMBER_CORRECTED CASE_FROM_PORTAL</t>
        </is>
      </c>
      <c r="AT283" s="18" t="inlineStr">
        <is>
          <t>24ed98480a57</t>
        </is>
      </c>
    </row>
    <row r="284">
      <c r="A284" s="9" t="n">
        <v>283</v>
      </c>
      <c r="B284" s="9" t="inlineStr">
        <is>
          <t>NEW</t>
        </is>
      </c>
      <c r="C284" s="9" t="inlineStr"/>
      <c r="D284" s="9" t="n">
        <v>0</v>
      </c>
      <c r="E284" s="9" t="inlineStr"/>
      <c r="F284" s="9" t="inlineStr"/>
      <c r="G284" s="9" t="inlineStr"/>
      <c r="H284" s="9" t="inlineStr"/>
      <c r="I284" t="inlineStr">
        <is>
          <t>POLIMIX CONCRETO LTDA</t>
        </is>
      </c>
      <c r="J284" t="inlineStr">
        <is>
          <t>RUA ÁFRICA 284 DISTRITO INDUSTRIAL II LUIZ TRECENTI 18685740</t>
        </is>
      </c>
      <c r="K284" t="inlineStr">
        <is>
          <t>29067113</t>
        </is>
      </c>
      <c r="L284" t="inlineStr">
        <is>
          <t>29067113005236, 29067113014227, 29067113016009, 29067113041895</t>
        </is>
      </c>
      <c r="M284" s="10" t="n">
        <v>518509.3</v>
      </c>
      <c r="N284" t="n">
        <v>4</v>
      </c>
      <c r="O284" s="11" t="inlineStr">
        <is>
          <t>B</t>
        </is>
      </c>
      <c r="P284" s="11" t="inlineStr">
        <is>
          <t>ACTIVE</t>
        </is>
      </c>
      <c r="Q284" s="12" t="n">
        <v>45964</v>
      </c>
      <c r="R284" s="11">
        <f>IF(Q284="","",ROUND((TODAY()-Q284)/365.25,1))</f>
        <v/>
      </c>
      <c r="S284" s="13">
        <f>IFERROR(VLOOKUP(O284,Assumptions!$A$7:$F$11,2,FALSE),0.25)</f>
        <v/>
      </c>
      <c r="T284" s="14">
        <f>IF(O284="A",MAX(1,IFERROR(VLOOKUP(O284,Assumptions!$A$7:$F$11,3,FALSE),3)+IFERROR(VLOOKUP(O284,Assumptions!$A$7:$F$11,4,FALSE),8)/2-MAX(0,IF(R284="",0,R284)-IFERROR(VLOOKUP(O284,Assumptions!$A$7:$F$11,5,FALSE),1.5))),IFERROR(VLOOKUP(O284,Assumptions!$A$7:$F$11,5,FALSE),2.5)+IFERROR(VLOOKUP(O284,Assumptions!$A$7:$F$11,3,FALSE),3)+IFERROR(VLOOKUP(O284,Assumptions!$A$7:$F$11,4,FALSE),8)/2)</f>
        <v/>
      </c>
      <c r="U284" s="15">
        <f>M284*S284/(1+Assumptions!$B$3)^T284</f>
        <v/>
      </c>
      <c r="V284" s="11">
        <f>IF(M284=0,"",ROUND(U284/M284*100,1))</f>
        <v/>
      </c>
      <c r="W284" s="16">
        <f>U284*Assumptions!$B$4</f>
        <v/>
      </c>
      <c r="X284" s="11">
        <f>IF(M284=0,"",ROUND(W284/M284*100,1))</f>
        <v/>
      </c>
      <c r="Y284" t="inlineStr">
        <is>
          <t>CENTURY CONSTRUÇÕES COMÉRCIO E SERVIÇOS LTDA.</t>
        </is>
      </c>
      <c r="Z284" t="inlineStr">
        <is>
          <t>4054599-35.2025.8.26.0100</t>
        </is>
      </c>
      <c r="AA284" t="inlineStr">
        <is>
          <t>TJSP</t>
        </is>
      </c>
      <c r="AB284" t="inlineStr">
        <is>
          <t>ativosajce.com.br</t>
        </is>
      </c>
      <c r="AC284" t="inlineStr">
        <is>
          <t>ALCINDO ANTONIO CHRUSCIELSKI</t>
        </is>
      </c>
      <c r="AD284" t="inlineStr">
        <is>
          <t>Administrador</t>
        </is>
      </c>
      <c r="AE284" t="inlineStr">
        <is>
          <t>(11) 4168-0300</t>
        </is>
      </c>
      <c r="AF284" t="inlineStr"/>
      <c r="AG284" t="inlineStr"/>
      <c r="AH284" t="inlineStr">
        <is>
          <t>SP</t>
        </is>
      </c>
      <c r="AI284" t="inlineStr">
        <is>
          <t>SANTANA DE PARNAIBA</t>
        </is>
      </c>
      <c r="AJ284" t="inlineStr">
        <is>
          <t>Serviços combinados de escritório e apoio administrativo</t>
        </is>
      </c>
      <c r="AK284" t="inlineStr">
        <is>
          <t>DEMAIS</t>
        </is>
      </c>
      <c r="AL284" t="inlineStr">
        <is>
          <t>ATIVA</t>
        </is>
      </c>
      <c r="AM284" s="17" t="inlineStr">
        <is>
          <t>https://ativosajce.com.br/admin/download.php?file=files/processo_documento/processo_documento16022716122025_1_.pdf&amp;nome=Relação de credores - art. 52, §1º da Lei 11.101/05 - 15/12/2025</t>
        </is>
      </c>
      <c r="AN284" s="18" t="inlineStr">
        <is>
          <t>p4 r6; p4 r7; p4 r8; p4 r9</t>
        </is>
      </c>
      <c r="AO284" s="18" t="inlineStr">
        <is>
          <t>p4: R$ 495.329,01; p4: R$ 21.359,40; p4: R$ 1.200,00; p4: R$ 620,89</t>
        </is>
      </c>
      <c r="AP284" s="18" t="inlineStr">
        <is>
          <t>UNKNOWN</t>
        </is>
      </c>
      <c r="AQ284" s="18" t="inlineStr"/>
      <c r="AR284" s="18" t="inlineStr">
        <is>
          <t>OK_NO_TOTALS</t>
        </is>
      </c>
      <c r="AS284" s="18" t="inlineStr">
        <is>
          <t>ROWS:p4r6,p4r7,p4r8,p4r9 UNRECONCILED_SOURCE</t>
        </is>
      </c>
      <c r="AT284" s="18" t="inlineStr">
        <is>
          <t>2fe04bf4466d</t>
        </is>
      </c>
    </row>
    <row r="285">
      <c r="A285" s="9" t="n">
        <v>284</v>
      </c>
      <c r="B285" s="9" t="inlineStr">
        <is>
          <t>NEW</t>
        </is>
      </c>
      <c r="C285" s="9" t="inlineStr"/>
      <c r="D285" s="9" t="n">
        <v>0</v>
      </c>
      <c r="E285" s="9" t="inlineStr"/>
      <c r="F285" s="9" t="inlineStr"/>
      <c r="G285" s="9" t="inlineStr"/>
      <c r="H285" s="9" t="inlineStr"/>
      <c r="I285" t="inlineStr">
        <is>
          <t>EJF COBRANCAS LTDA</t>
        </is>
      </c>
      <c r="J285" t="inlineStr">
        <is>
          <t>NÃO</t>
        </is>
      </c>
      <c r="K285" t="inlineStr">
        <is>
          <t>39362161</t>
        </is>
      </c>
      <c r="L285" t="inlineStr">
        <is>
          <t>39362161000160</t>
        </is>
      </c>
      <c r="M285" s="10" t="n">
        <v>513802.19</v>
      </c>
      <c r="N285" t="n">
        <v>1</v>
      </c>
      <c r="O285" s="11" t="inlineStr">
        <is>
          <t>B</t>
        </is>
      </c>
      <c r="P285" s="11" t="inlineStr"/>
      <c r="Q285" s="12" t="inlineStr"/>
      <c r="R285" s="11">
        <f>IF(Q285="","",ROUND((TODAY()-Q285)/365.25,1))</f>
        <v/>
      </c>
      <c r="S285" s="13">
        <f>IFERROR(VLOOKUP(O285,Assumptions!$A$7:$F$11,2,FALSE),0.25)</f>
        <v/>
      </c>
      <c r="T285" s="14">
        <f>IF(O285="A",MAX(1,IFERROR(VLOOKUP(O285,Assumptions!$A$7:$F$11,3,FALSE),3)+IFERROR(VLOOKUP(O285,Assumptions!$A$7:$F$11,4,FALSE),8)/2-MAX(0,IF(R285="",0,R285)-IFERROR(VLOOKUP(O285,Assumptions!$A$7:$F$11,5,FALSE),1.5))),IFERROR(VLOOKUP(O285,Assumptions!$A$7:$F$11,5,FALSE),2.5)+IFERROR(VLOOKUP(O285,Assumptions!$A$7:$F$11,3,FALSE),3)+IFERROR(VLOOKUP(O285,Assumptions!$A$7:$F$11,4,FALSE),8)/2)</f>
        <v/>
      </c>
      <c r="U285" s="15">
        <f>M285*S285/(1+Assumptions!$B$3)^T285</f>
        <v/>
      </c>
      <c r="V285" s="11">
        <f>IF(M285=0,"",ROUND(U285/M285*100,1))</f>
        <v/>
      </c>
      <c r="W285" s="16">
        <f>U285*Assumptions!$B$4</f>
        <v/>
      </c>
      <c r="X285" s="11">
        <f>IF(M285=0,"",ROUND(W285/M285*100,1))</f>
        <v/>
      </c>
      <c r="Y285" t="inlineStr">
        <is>
          <t>Grupo Rech</t>
        </is>
      </c>
      <c r="Z285" t="inlineStr">
        <is>
          <t>5057720-48.2025.8.24.0023</t>
        </is>
      </c>
      <c r="AA285" t="inlineStr"/>
      <c r="AB285" t="inlineStr">
        <is>
          <t>credibilita.com.br</t>
        </is>
      </c>
      <c r="AC285" t="inlineStr">
        <is>
          <t>EDUARDO JOSE FRANCA</t>
        </is>
      </c>
      <c r="AD285" t="inlineStr">
        <is>
          <t>Sócio-Administrador</t>
        </is>
      </c>
      <c r="AE285" t="inlineStr">
        <is>
          <t>(47) 9152-1952</t>
        </is>
      </c>
      <c r="AF285" t="inlineStr"/>
      <c r="AG285" t="inlineStr"/>
      <c r="AH285" t="inlineStr">
        <is>
          <t>SC</t>
        </is>
      </c>
      <c r="AI285" t="inlineStr">
        <is>
          <t>BLUMENAU</t>
        </is>
      </c>
      <c r="AJ285" t="inlineStr">
        <is>
          <t>Atividades de cobranças e informações cadastrais</t>
        </is>
      </c>
      <c r="AK285" t="inlineStr">
        <is>
          <t>MICRO EMPRESA</t>
        </is>
      </c>
      <c r="AL285" t="inlineStr">
        <is>
          <t>ATIVA</t>
        </is>
      </c>
      <c r="AM285" s="17" t="inlineStr">
        <is>
          <t>https://credibilita.com.br/wp-content/uploads/2025/09/Relacao-Credores-29.04.2026.pdf</t>
        </is>
      </c>
      <c r="AN285" s="18" t="inlineStr">
        <is>
          <t>p1 r21</t>
        </is>
      </c>
      <c r="AO285" s="18" t="inlineStr">
        <is>
          <t>p1: R$ 513.802,19</t>
        </is>
      </c>
      <c r="AP285" s="18" t="inlineStr">
        <is>
          <t>QUORUM_LIST</t>
        </is>
      </c>
      <c r="AQ285" s="18" t="inlineStr"/>
      <c r="AR285" s="18" t="inlineStr">
        <is>
          <t>OK_NO_TOTALS</t>
        </is>
      </c>
      <c r="AS285" s="18" t="inlineStr">
        <is>
          <t>ROWS:p1r21 UNRECONCILED_SOURCE VALUE_COL:Valor_Após_Analise CASE_NUMBER_CORRECTED</t>
        </is>
      </c>
      <c r="AT285" s="18" t="inlineStr">
        <is>
          <t>cf92cff797d2</t>
        </is>
      </c>
    </row>
    <row r="286">
      <c r="A286" s="9" t="n">
        <v>285</v>
      </c>
      <c r="B286" s="9" t="inlineStr">
        <is>
          <t>NEW</t>
        </is>
      </c>
      <c r="C286" s="9" t="inlineStr"/>
      <c r="D286" s="9" t="n">
        <v>0</v>
      </c>
      <c r="E286" s="9" t="inlineStr"/>
      <c r="F286" s="9" t="inlineStr"/>
      <c r="G286" s="9" t="inlineStr"/>
      <c r="H286" s="9" t="inlineStr"/>
      <c r="I286" t="inlineStr">
        <is>
          <t>CONDOMINIO DO ASPEN PARK SHOPPING CENTER II</t>
        </is>
      </c>
      <c r="J286" t="inlineStr">
        <is>
          <t>Condomínio do Aspen Park Shopping Center II</t>
        </is>
      </c>
      <c r="K286" t="inlineStr">
        <is>
          <t>03070981</t>
        </is>
      </c>
      <c r="L286" t="inlineStr">
        <is>
          <t>03070981000131</t>
        </is>
      </c>
      <c r="M286" s="10" t="n">
        <v>511325.79</v>
      </c>
      <c r="N286" t="n">
        <v>1</v>
      </c>
      <c r="O286" s="11" t="inlineStr">
        <is>
          <t>B</t>
        </is>
      </c>
      <c r="P286" s="11" t="inlineStr">
        <is>
          <t>ACTIVE</t>
        </is>
      </c>
      <c r="Q286" s="12" t="n">
        <v>45833</v>
      </c>
      <c r="R286" s="11">
        <f>IF(Q286="","",ROUND((TODAY()-Q286)/365.25,1))</f>
        <v/>
      </c>
      <c r="S286" s="13">
        <f>IFERROR(VLOOKUP(O286,Assumptions!$A$7:$F$11,2,FALSE),0.25)</f>
        <v/>
      </c>
      <c r="T286" s="14">
        <f>IF(O286="A",MAX(1,IFERROR(VLOOKUP(O286,Assumptions!$A$7:$F$11,3,FALSE),3)+IFERROR(VLOOKUP(O286,Assumptions!$A$7:$F$11,4,FALSE),8)/2-MAX(0,IF(R286="",0,R286)-IFERROR(VLOOKUP(O286,Assumptions!$A$7:$F$11,5,FALSE),1.5))),IFERROR(VLOOKUP(O286,Assumptions!$A$7:$F$11,5,FALSE),2.5)+IFERROR(VLOOKUP(O286,Assumptions!$A$7:$F$11,3,FALSE),3)+IFERROR(VLOOKUP(O286,Assumptions!$A$7:$F$11,4,FALSE),8)/2)</f>
        <v/>
      </c>
      <c r="U286" s="15">
        <f>M286*S286/(1+Assumptions!$B$3)^T286</f>
        <v/>
      </c>
      <c r="V286" s="11">
        <f>IF(M286=0,"",ROUND(U286/M286*100,1))</f>
        <v/>
      </c>
      <c r="W286" s="16">
        <f>U286*Assumptions!$B$4</f>
        <v/>
      </c>
      <c r="X286" s="11">
        <f>IF(M286=0,"",ROUND(W286/M286*100,1))</f>
        <v/>
      </c>
      <c r="Y286" t="inlineStr">
        <is>
          <t>GRUPO MARINGÁ PARK</t>
        </is>
      </c>
      <c r="Z286" t="inlineStr">
        <is>
          <t>0016033-22.2025.8.16.0017</t>
        </is>
      </c>
      <c r="AA286" t="inlineStr">
        <is>
          <t>TJPR</t>
        </is>
      </c>
      <c r="AB286" t="inlineStr">
        <is>
          <t>marquesadmjudicial.com.br</t>
        </is>
      </c>
      <c r="AC286" t="inlineStr"/>
      <c r="AD286" t="inlineStr"/>
      <c r="AE286" t="inlineStr">
        <is>
          <t>(44) 3366-2037</t>
        </is>
      </c>
      <c r="AF286" t="inlineStr">
        <is>
          <t>(44) 9963-5729</t>
        </is>
      </c>
      <c r="AG286" t="inlineStr"/>
      <c r="AH286" t="inlineStr">
        <is>
          <t>PR</t>
        </is>
      </c>
      <c r="AI286" t="inlineStr">
        <is>
          <t>MARINGA</t>
        </is>
      </c>
      <c r="AJ286" t="inlineStr">
        <is>
          <t>Condomínios prediais</t>
        </is>
      </c>
      <c r="AK286" t="inlineStr">
        <is>
          <t>DEMAIS</t>
        </is>
      </c>
      <c r="AL286" t="inlineStr">
        <is>
          <t>ATIVA</t>
        </is>
      </c>
      <c r="AM286" s="17" t="inlineStr">
        <is>
          <t>https://marquesadmjudicial.com.br/sgc/download.php?file=files/processo_documento/processo_documento19270817122025_1_.pdf&amp;nome=Relação Nominal de Credores AJ</t>
        </is>
      </c>
      <c r="AN286" s="18" t="inlineStr">
        <is>
          <t>p4 r6</t>
        </is>
      </c>
      <c r="AO286" s="18" t="inlineStr">
        <is>
          <t>p4: R$ 511.325,79</t>
        </is>
      </c>
      <c r="AP286" s="18" t="inlineStr">
        <is>
          <t>AJ_LIST</t>
        </is>
      </c>
      <c r="AQ286" s="18" t="inlineStr">
        <is>
          <t>2025-12-17</t>
        </is>
      </c>
      <c r="AR286" s="18" t="inlineStr">
        <is>
          <t>OK</t>
        </is>
      </c>
      <c r="AS286" s="18" t="inlineStr">
        <is>
          <t>ROWS:p4r6</t>
        </is>
      </c>
      <c r="AT286" s="18" t="inlineStr">
        <is>
          <t>fcb10a251582</t>
        </is>
      </c>
    </row>
    <row r="287">
      <c r="A287" s="9" t="n">
        <v>286</v>
      </c>
      <c r="B287" s="9" t="inlineStr">
        <is>
          <t>NEW</t>
        </is>
      </c>
      <c r="C287" s="9" t="inlineStr"/>
      <c r="D287" s="9" t="n">
        <v>0</v>
      </c>
      <c r="E287" s="9" t="inlineStr"/>
      <c r="F287" s="9" t="inlineStr"/>
      <c r="G287" s="9" t="inlineStr"/>
      <c r="H287" s="9" t="inlineStr"/>
      <c r="I287" t="inlineStr">
        <is>
          <t>CEREAL OURO SEMENTES LTDA</t>
        </is>
      </c>
      <c r="J287" t="inlineStr">
        <is>
          <t>CEREAL OURO SEMENTES LTDA</t>
        </is>
      </c>
      <c r="K287" t="inlineStr">
        <is>
          <t>04712017</t>
        </is>
      </c>
      <c r="L287" t="inlineStr">
        <is>
          <t>04712017000122</t>
        </is>
      </c>
      <c r="M287" s="10" t="n">
        <v>509576.07</v>
      </c>
      <c r="N287" t="n">
        <v>1</v>
      </c>
      <c r="O287" s="11" t="inlineStr">
        <is>
          <t>B</t>
        </is>
      </c>
      <c r="P287" s="11" t="inlineStr">
        <is>
          <t>ACTIVE</t>
        </is>
      </c>
      <c r="Q287" s="12" t="n">
        <v>46030</v>
      </c>
      <c r="R287" s="11">
        <f>IF(Q287="","",ROUND((TODAY()-Q287)/365.25,1))</f>
        <v/>
      </c>
      <c r="S287" s="13">
        <f>IFERROR(VLOOKUP(O287,Assumptions!$A$7:$F$11,2,FALSE),0.25)</f>
        <v/>
      </c>
      <c r="T287" s="14">
        <f>IF(O287="A",MAX(1,IFERROR(VLOOKUP(O287,Assumptions!$A$7:$F$11,3,FALSE),3)+IFERROR(VLOOKUP(O287,Assumptions!$A$7:$F$11,4,FALSE),8)/2-MAX(0,IF(R287="",0,R287)-IFERROR(VLOOKUP(O287,Assumptions!$A$7:$F$11,5,FALSE),1.5))),IFERROR(VLOOKUP(O287,Assumptions!$A$7:$F$11,5,FALSE),2.5)+IFERROR(VLOOKUP(O287,Assumptions!$A$7:$F$11,3,FALSE),3)+IFERROR(VLOOKUP(O287,Assumptions!$A$7:$F$11,4,FALSE),8)/2)</f>
        <v/>
      </c>
      <c r="U287" s="15">
        <f>M287*S287/(1+Assumptions!$B$3)^T287</f>
        <v/>
      </c>
      <c r="V287" s="11">
        <f>IF(M287=0,"",ROUND(U287/M287*100,1))</f>
        <v/>
      </c>
      <c r="W287" s="16">
        <f>U287*Assumptions!$B$4</f>
        <v/>
      </c>
      <c r="X287" s="11">
        <f>IF(M287=0,"",ROUND(W287/M287*100,1))</f>
        <v/>
      </c>
      <c r="Y287" t="inlineStr">
        <is>
          <t>GRUPO FERRARI (ALEX, ALEXANDRE , ANDRIELLE FERRARI MANTELLI, ARCIR LUIS, ERICA SANTOS ASSIS LIMA, FERNANDO MANTELLI, IDELSI, TALITA LEITE SILVA, AGROPECUARIA FERRARI LTDA E FERRARI ARMAZENS GERAIS)</t>
        </is>
      </c>
      <c r="Z287" t="inlineStr">
        <is>
          <t>5011369-81.2026.8.09.0093</t>
        </is>
      </c>
      <c r="AA287" t="inlineStr">
        <is>
          <t>TJGO</t>
        </is>
      </c>
      <c r="AB287" t="inlineStr">
        <is>
          <t>scalzilliaj.com.br</t>
        </is>
      </c>
      <c r="AC287" t="inlineStr">
        <is>
          <t>ANDRE LIBERATO SCHWENING</t>
        </is>
      </c>
      <c r="AD287" t="inlineStr">
        <is>
          <t>Sócio-Administrador</t>
        </is>
      </c>
      <c r="AE287" t="inlineStr">
        <is>
          <t>(64) 2101-6200</t>
        </is>
      </c>
      <c r="AF287" t="inlineStr">
        <is>
          <t>(64) 3612-2009</t>
        </is>
      </c>
      <c r="AG287" t="inlineStr"/>
      <c r="AH287" t="inlineStr">
        <is>
          <t>GO</t>
        </is>
      </c>
      <c r="AI287" t="inlineStr">
        <is>
          <t>RIO VERDE</t>
        </is>
      </c>
      <c r="AJ287" t="inlineStr">
        <is>
          <t>Produção de sementes certificadas, exceto de forrageiras para pasto</t>
        </is>
      </c>
      <c r="AK287" t="inlineStr">
        <is>
          <t>DEMAIS</t>
        </is>
      </c>
      <c r="AL287" t="inlineStr">
        <is>
          <t>ATIVA</t>
        </is>
      </c>
      <c r="AM287" s="17" t="inlineStr">
        <is>
          <t>https://scalzilliaj.com.br/sgc/download.php?file=files/processo_documento/processo_documento11421222052026_1_.pdf&amp;nome=08. Lista de credores do edital do art. 52, §1º da LREF</t>
        </is>
      </c>
      <c r="AN287" s="18" t="inlineStr">
        <is>
          <t>p4 r6</t>
        </is>
      </c>
      <c r="AO287" s="18" t="inlineStr">
        <is>
          <t>p4: R$ 509.576,07</t>
        </is>
      </c>
      <c r="AP287" s="18" t="inlineStr">
        <is>
          <t>UNKNOWN</t>
        </is>
      </c>
      <c r="AQ287" s="18" t="inlineStr"/>
      <c r="AR287" s="18" t="inlineStr">
        <is>
          <t>OK_NO_TOTALS</t>
        </is>
      </c>
      <c r="AS287" s="18" t="inlineStr">
        <is>
          <t>ROWS:p4r6 UNRECONCILED_SOURCE</t>
        </is>
      </c>
      <c r="AT287" s="18" t="inlineStr">
        <is>
          <t>c536a2fa4da3</t>
        </is>
      </c>
    </row>
    <row r="288">
      <c r="A288" s="9" t="n">
        <v>287</v>
      </c>
      <c r="B288" s="9" t="inlineStr">
        <is>
          <t>NEW</t>
        </is>
      </c>
      <c r="C288" s="9" t="inlineStr"/>
      <c r="D288" s="9" t="n">
        <v>0</v>
      </c>
      <c r="E288" s="9" t="inlineStr"/>
      <c r="F288" s="9" t="inlineStr"/>
      <c r="G288" s="9" t="inlineStr"/>
      <c r="H288" s="9" t="inlineStr"/>
      <c r="I288" t="inlineStr">
        <is>
          <t>MEDAL METALURGICA DALLA LANA LTDA</t>
        </is>
      </c>
      <c r="J288" t="inlineStr">
        <is>
          <t>SIM</t>
        </is>
      </c>
      <c r="K288" t="inlineStr">
        <is>
          <t>83610790</t>
        </is>
      </c>
      <c r="L288" t="inlineStr">
        <is>
          <t>83610790000154</t>
        </is>
      </c>
      <c r="M288" s="10" t="n">
        <v>508918.34</v>
      </c>
      <c r="N288" t="n">
        <v>1</v>
      </c>
      <c r="O288" s="11" t="inlineStr">
        <is>
          <t>B</t>
        </is>
      </c>
      <c r="P288" s="11" t="inlineStr"/>
      <c r="Q288" s="12" t="inlineStr"/>
      <c r="R288" s="11">
        <f>IF(Q288="","",ROUND((TODAY()-Q288)/365.25,1))</f>
        <v/>
      </c>
      <c r="S288" s="13">
        <f>IFERROR(VLOOKUP(O288,Assumptions!$A$7:$F$11,2,FALSE),0.25)</f>
        <v/>
      </c>
      <c r="T288" s="14">
        <f>IF(O288="A",MAX(1,IFERROR(VLOOKUP(O288,Assumptions!$A$7:$F$11,3,FALSE),3)+IFERROR(VLOOKUP(O288,Assumptions!$A$7:$F$11,4,FALSE),8)/2-MAX(0,IF(R288="",0,R288)-IFERROR(VLOOKUP(O288,Assumptions!$A$7:$F$11,5,FALSE),1.5))),IFERROR(VLOOKUP(O288,Assumptions!$A$7:$F$11,5,FALSE),2.5)+IFERROR(VLOOKUP(O288,Assumptions!$A$7:$F$11,3,FALSE),3)+IFERROR(VLOOKUP(O288,Assumptions!$A$7:$F$11,4,FALSE),8)/2)</f>
        <v/>
      </c>
      <c r="U288" s="15">
        <f>M288*S288/(1+Assumptions!$B$3)^T288</f>
        <v/>
      </c>
      <c r="V288" s="11">
        <f>IF(M288=0,"",ROUND(U288/M288*100,1))</f>
        <v/>
      </c>
      <c r="W288" s="16">
        <f>U288*Assumptions!$B$4</f>
        <v/>
      </c>
      <c r="X288" s="11">
        <f>IF(M288=0,"",ROUND(W288/M288*100,1))</f>
        <v/>
      </c>
      <c r="Y288" t="inlineStr">
        <is>
          <t>Grupo Rech</t>
        </is>
      </c>
      <c r="Z288" t="inlineStr">
        <is>
          <t>5057720-48.2025.8.24.0023</t>
        </is>
      </c>
      <c r="AA288" t="inlineStr"/>
      <c r="AB288" t="inlineStr">
        <is>
          <t>credibilita.com.br</t>
        </is>
      </c>
      <c r="AC288" t="inlineStr">
        <is>
          <t>ADEMIR LUIZ DALLA LANA</t>
        </is>
      </c>
      <c r="AD288" t="inlineStr">
        <is>
          <t>Administrador</t>
        </is>
      </c>
      <c r="AE288" t="inlineStr">
        <is>
          <t>(49) 3523-4400</t>
        </is>
      </c>
      <c r="AF288" t="inlineStr"/>
      <c r="AG288" t="inlineStr"/>
      <c r="AH288" t="inlineStr">
        <is>
          <t>SC</t>
        </is>
      </c>
      <c r="AI288" t="inlineStr">
        <is>
          <t>LUZERNA</t>
        </is>
      </c>
      <c r="AJ288" t="inlineStr">
        <is>
          <t>Fabricação de equipamentos hidráulicos e pneumáticos, peças e acessórios, exceto válvulas</t>
        </is>
      </c>
      <c r="AK288" t="inlineStr">
        <is>
          <t>DEMAIS</t>
        </is>
      </c>
      <c r="AL288" t="inlineStr">
        <is>
          <t>ATIVA</t>
        </is>
      </c>
      <c r="AM288" s="17" t="inlineStr">
        <is>
          <t>https://credibilita.com.br/wp-content/uploads/2025/09/Relacao-Credores-29.04.2026.pdf</t>
        </is>
      </c>
      <c r="AN288" s="18" t="inlineStr">
        <is>
          <t>p2 r4</t>
        </is>
      </c>
      <c r="AO288" s="18" t="inlineStr">
        <is>
          <t>p2: R$ 508.918,34</t>
        </is>
      </c>
      <c r="AP288" s="18" t="inlineStr">
        <is>
          <t>QUORUM_LIST</t>
        </is>
      </c>
      <c r="AQ288" s="18" t="inlineStr"/>
      <c r="AR288" s="18" t="inlineStr">
        <is>
          <t>OK_NO_TOTALS</t>
        </is>
      </c>
      <c r="AS288" s="18" t="inlineStr">
        <is>
          <t>ROWS:p2r4 UNRECONCILED_SOURCE VALUE_COL:Valor_Após_Analise CASE_NUMBER_CORRECTED</t>
        </is>
      </c>
      <c r="AT288" s="18" t="inlineStr">
        <is>
          <t>cf92cff797d2</t>
        </is>
      </c>
    </row>
    <row r="289">
      <c r="A289" s="9" t="n">
        <v>288</v>
      </c>
      <c r="B289" s="9" t="inlineStr">
        <is>
          <t>NEW</t>
        </is>
      </c>
      <c r="C289" s="9" t="inlineStr"/>
      <c r="D289" s="9" t="n">
        <v>0</v>
      </c>
      <c r="E289" s="9" t="inlineStr"/>
      <c r="F289" s="9" t="inlineStr"/>
      <c r="G289" s="9" t="inlineStr"/>
      <c r="H289" s="9" t="inlineStr"/>
      <c r="I289" t="inlineStr">
        <is>
          <t>ALTA - AMERICA LATINA TECNOLOGIA AGRICOLA LTDA.</t>
        </is>
      </c>
      <c r="J289" t="inlineStr">
        <is>
          <t>ALTA AMERICA LATINA (</t>
        </is>
      </c>
      <c r="K289" t="inlineStr">
        <is>
          <t>10409614</t>
        </is>
      </c>
      <c r="L289" t="inlineStr">
        <is>
          <t>10409614000185</t>
        </is>
      </c>
      <c r="M289" s="10" t="n">
        <v>505000</v>
      </c>
      <c r="N289" t="n">
        <v>1</v>
      </c>
      <c r="O289" s="11" t="inlineStr">
        <is>
          <t>B</t>
        </is>
      </c>
      <c r="P289" s="11" t="inlineStr">
        <is>
          <t>ACTIVE</t>
        </is>
      </c>
      <c r="Q289" s="12" t="n">
        <v>45594</v>
      </c>
      <c r="R289" s="11">
        <f>IF(Q289="","",ROUND((TODAY()-Q289)/365.25,1))</f>
        <v/>
      </c>
      <c r="S289" s="13">
        <f>IFERROR(VLOOKUP(O289,Assumptions!$A$7:$F$11,2,FALSE),0.25)</f>
        <v/>
      </c>
      <c r="T289" s="14">
        <f>IF(O289="A",MAX(1,IFERROR(VLOOKUP(O289,Assumptions!$A$7:$F$11,3,FALSE),3)+IFERROR(VLOOKUP(O289,Assumptions!$A$7:$F$11,4,FALSE),8)/2-MAX(0,IF(R289="",0,R289)-IFERROR(VLOOKUP(O289,Assumptions!$A$7:$F$11,5,FALSE),1.5))),IFERROR(VLOOKUP(O289,Assumptions!$A$7:$F$11,5,FALSE),2.5)+IFERROR(VLOOKUP(O289,Assumptions!$A$7:$F$11,3,FALSE),3)+IFERROR(VLOOKUP(O289,Assumptions!$A$7:$F$11,4,FALSE),8)/2)</f>
        <v/>
      </c>
      <c r="U289" s="15">
        <f>M289*S289/(1+Assumptions!$B$3)^T289</f>
        <v/>
      </c>
      <c r="V289" s="11">
        <f>IF(M289=0,"",ROUND(U289/M289*100,1))</f>
        <v/>
      </c>
      <c r="W289" s="16">
        <f>U289*Assumptions!$B$4</f>
        <v/>
      </c>
      <c r="X289" s="11">
        <f>IF(M289=0,"",ROUND(W289/M289*100,1))</f>
        <v/>
      </c>
      <c r="Y289" t="inlineStr">
        <is>
          <t>ENIVALDO BARELLA TIRONI, MATEUS MANHANI BARELLA, LEILA REGINA MANHANI BARELLA, B&amp;F AGRO COMÉRCIO DE GRÃOS E INSUMOS AGRÍCOLAS LTDA, BARELLA &amp; FILHOS LTDA E M M LOCAÇÃO EIRELI</t>
        </is>
      </c>
      <c r="Z289" t="inlineStr">
        <is>
          <t>0028131-73.2024.8.16.0017</t>
        </is>
      </c>
      <c r="AA289" t="inlineStr">
        <is>
          <t>TJPR</t>
        </is>
      </c>
      <c r="AB289" t="inlineStr">
        <is>
          <t>scalzilliaj.com.br</t>
        </is>
      </c>
      <c r="AC289" t="inlineStr">
        <is>
          <t>CESAR DE MEDEIROS NEVES</t>
        </is>
      </c>
      <c r="AD289" t="inlineStr">
        <is>
          <t>Administrador</t>
        </is>
      </c>
      <c r="AE289" t="inlineStr">
        <is>
          <t>(41) 3071-9000</t>
        </is>
      </c>
      <c r="AF289" t="inlineStr"/>
      <c r="AG289" t="inlineStr"/>
      <c r="AH289" t="inlineStr">
        <is>
          <t>PR</t>
        </is>
      </c>
      <c r="AI289" t="inlineStr">
        <is>
          <t>CURITIBA</t>
        </is>
      </c>
      <c r="AJ289" t="inlineStr">
        <is>
          <t>Comércio atacadista de defensivos agrícolas, adubos, fertilizantes e corretivos do solo</t>
        </is>
      </c>
      <c r="AK289" t="inlineStr">
        <is>
          <t>DEMAIS</t>
        </is>
      </c>
      <c r="AL289" t="inlineStr">
        <is>
          <t>ATIVA</t>
        </is>
      </c>
      <c r="AM289" s="17" t="inlineStr">
        <is>
          <t>https://scalzilliaj.com.br/sgc/download.php?file=files/processo_documento/processo_documento15542620022025_1_.pdf&amp;nome=11 - Relação de credores - art. 7º, §2º, da LREF</t>
        </is>
      </c>
      <c r="AN289" s="18" t="inlineStr">
        <is>
          <t>p1 r16</t>
        </is>
      </c>
      <c r="AO289" s="18" t="inlineStr">
        <is>
          <t>p1: R$ 505.000,00</t>
        </is>
      </c>
      <c r="AP289" s="18" t="inlineStr">
        <is>
          <t>AJ_LIST</t>
        </is>
      </c>
      <c r="AQ289" s="18" t="inlineStr">
        <is>
          <t>2025-02-19</t>
        </is>
      </c>
      <c r="AR289" s="18" t="inlineStr">
        <is>
          <t>OK_NO_TOTALS</t>
        </is>
      </c>
      <c r="AS289" s="18" t="inlineStr">
        <is>
          <t>ROWS:p1r16 UNRECONCILED_SOURCE</t>
        </is>
      </c>
      <c r="AT289" s="18" t="inlineStr">
        <is>
          <t>70eb7014739f</t>
        </is>
      </c>
    </row>
    <row r="290">
      <c r="A290" s="9" t="n">
        <v>289</v>
      </c>
      <c r="B290" s="9" t="inlineStr">
        <is>
          <t>NEW</t>
        </is>
      </c>
      <c r="C290" s="9" t="inlineStr"/>
      <c r="D290" s="9" t="n">
        <v>0</v>
      </c>
      <c r="E290" s="9" t="inlineStr"/>
      <c r="F290" s="9" t="inlineStr"/>
      <c r="G290" s="9" t="inlineStr"/>
      <c r="H290" s="9" t="inlineStr"/>
      <c r="I290" t="inlineStr">
        <is>
          <t>WORLD BLUE INDUSTRIA E COMERCIO DE CONFECCOES LTDA</t>
        </is>
      </c>
      <c r="J290" t="inlineStr">
        <is>
          <t>WORLD BLUE INDUSTRIA E COMERCIO DE CONFECCOES LTDA</t>
        </is>
      </c>
      <c r="K290" t="inlineStr">
        <is>
          <t>01358125</t>
        </is>
      </c>
      <c r="L290" t="inlineStr">
        <is>
          <t>01358125000150</t>
        </is>
      </c>
      <c r="M290" s="10" t="n">
        <v>504580.74</v>
      </c>
      <c r="N290" t="n">
        <v>3</v>
      </c>
      <c r="O290" s="11" t="inlineStr">
        <is>
          <t>C</t>
        </is>
      </c>
      <c r="P290" s="11" t="inlineStr">
        <is>
          <t>ACTIVE</t>
        </is>
      </c>
      <c r="Q290" s="12" t="n">
        <v>44571</v>
      </c>
      <c r="R290" s="11">
        <f>IF(Q290="","",ROUND((TODAY()-Q290)/365.25,1))</f>
        <v/>
      </c>
      <c r="S290" s="13">
        <f>IFERROR(VLOOKUP(O290,Assumptions!$A$7:$F$11,2,FALSE),0.25)</f>
        <v/>
      </c>
      <c r="T290" s="14">
        <f>IF(O290="A",MAX(1,IFERROR(VLOOKUP(O290,Assumptions!$A$7:$F$11,3,FALSE),3)+IFERROR(VLOOKUP(O290,Assumptions!$A$7:$F$11,4,FALSE),8)/2-MAX(0,IF(R290="",0,R290)-IFERROR(VLOOKUP(O290,Assumptions!$A$7:$F$11,5,FALSE),1.5))),IFERROR(VLOOKUP(O290,Assumptions!$A$7:$F$11,5,FALSE),2.5)+IFERROR(VLOOKUP(O290,Assumptions!$A$7:$F$11,3,FALSE),3)+IFERROR(VLOOKUP(O290,Assumptions!$A$7:$F$11,4,FALSE),8)/2)</f>
        <v/>
      </c>
      <c r="U290" s="15">
        <f>M290*S290/(1+Assumptions!$B$3)^T290</f>
        <v/>
      </c>
      <c r="V290" s="11">
        <f>IF(M290=0,"",ROUND(U290/M290*100,1))</f>
        <v/>
      </c>
      <c r="W290" s="16">
        <f>U290*Assumptions!$B$4</f>
        <v/>
      </c>
      <c r="X290" s="11">
        <f>IF(M290=0,"",ROUND(W290/M290*100,1))</f>
        <v/>
      </c>
      <c r="Y290" t="inlineStr">
        <is>
          <t>GRUPO CATTAN</t>
        </is>
      </c>
      <c r="Z290" t="inlineStr">
        <is>
          <t>0002484-82.2022.8.17.2001</t>
        </is>
      </c>
      <c r="AA290" t="inlineStr">
        <is>
          <t>TJPE</t>
        </is>
      </c>
      <c r="AB290" t="inlineStr">
        <is>
          <t>lrflideres.com.br</t>
        </is>
      </c>
      <c r="AC290" t="inlineStr">
        <is>
          <t>DALVAN MIZAEL JUDAH DE OLIVEIRA</t>
        </is>
      </c>
      <c r="AD290" t="inlineStr">
        <is>
          <t>Sócio-Administrador</t>
        </is>
      </c>
      <c r="AE290" t="inlineStr">
        <is>
          <t>000000000000</t>
        </is>
      </c>
      <c r="AF290" t="inlineStr"/>
      <c r="AG290" t="inlineStr"/>
      <c r="AH290" t="inlineStr">
        <is>
          <t>SC</t>
        </is>
      </c>
      <c r="AI290" t="inlineStr">
        <is>
          <t>BRUSQUE</t>
        </is>
      </c>
      <c r="AJ290" t="inlineStr">
        <is>
          <t>Confecção de peças de vestuário, exceto roupas íntimas e as confeccionadas sob medida</t>
        </is>
      </c>
      <c r="AK290" t="inlineStr">
        <is>
          <t>DEMAIS</t>
        </is>
      </c>
      <c r="AL290" t="inlineStr">
        <is>
          <t>ATIVA</t>
        </is>
      </c>
      <c r="AM290" s="17" t="inlineStr">
        <is>
          <t>https://lrflideres.com.br/wp-content/plugins/download-attachments/includes/download.php?id=4023</t>
        </is>
      </c>
      <c r="AN290" s="18" t="inlineStr">
        <is>
          <t>p4 r97; p7 r129; p9 r95</t>
        </is>
      </c>
      <c r="AO290" s="18" t="inlineStr">
        <is>
          <t>p4: R$ 175.901,47; p7: R$ 252.684,23; p9: R$ 75.995,04</t>
        </is>
      </c>
      <c r="AP290" s="18" t="inlineStr">
        <is>
          <t>DEBTOR_LIST</t>
        </is>
      </c>
      <c r="AQ290" s="18" t="inlineStr"/>
      <c r="AR290" s="18" t="inlineStr">
        <is>
          <t>QUARANTINED</t>
        </is>
      </c>
      <c r="AS290" s="18" t="inlineStr">
        <is>
          <t>PARTIAL_DOC_CLASS_III_RECONCILED ROWS:p4r97,p7r129,p9r95</t>
        </is>
      </c>
      <c r="AT290" s="18" t="inlineStr">
        <is>
          <t>f3b6182e3aa2</t>
        </is>
      </c>
    </row>
    <row r="291">
      <c r="A291" s="9" t="n">
        <v>290</v>
      </c>
      <c r="B291" s="9" t="inlineStr">
        <is>
          <t>NEW</t>
        </is>
      </c>
      <c r="C291" s="9" t="inlineStr"/>
      <c r="D291" s="9" t="n">
        <v>0</v>
      </c>
      <c r="E291" s="9" t="inlineStr"/>
      <c r="F291" s="9" t="inlineStr"/>
      <c r="G291" s="9" t="inlineStr"/>
      <c r="H291" s="9" t="inlineStr"/>
      <c r="I291" t="inlineStr">
        <is>
          <t>ROBERT BOSCH LIMITADA</t>
        </is>
      </c>
      <c r="J291" t="inlineStr">
        <is>
          <t>Vialnhaquera, Km 98. Bairro Boa Vista, Campinas, SP CEP:13065-900</t>
        </is>
      </c>
      <c r="K291" t="inlineStr">
        <is>
          <t>45990181</t>
        </is>
      </c>
      <c r="L291" t="inlineStr">
        <is>
          <t>45990181000189</t>
        </is>
      </c>
      <c r="M291" s="10" t="n">
        <v>503949.11</v>
      </c>
      <c r="N291" t="n">
        <v>1</v>
      </c>
      <c r="O291" s="11" t="inlineStr">
        <is>
          <t>C</t>
        </is>
      </c>
      <c r="P291" s="11" t="inlineStr"/>
      <c r="Q291" s="12" t="inlineStr"/>
      <c r="R291" s="11">
        <f>IF(Q291="","",ROUND((TODAY()-Q291)/365.25,1))</f>
        <v/>
      </c>
      <c r="S291" s="13">
        <f>IFERROR(VLOOKUP(O291,Assumptions!$A$7:$F$11,2,FALSE),0.25)</f>
        <v/>
      </c>
      <c r="T291" s="14">
        <f>IF(O291="A",MAX(1,IFERROR(VLOOKUP(O291,Assumptions!$A$7:$F$11,3,FALSE),3)+IFERROR(VLOOKUP(O291,Assumptions!$A$7:$F$11,4,FALSE),8)/2-MAX(0,IF(R291="",0,R291)-IFERROR(VLOOKUP(O291,Assumptions!$A$7:$F$11,5,FALSE),1.5))),IFERROR(VLOOKUP(O291,Assumptions!$A$7:$F$11,5,FALSE),2.5)+IFERROR(VLOOKUP(O291,Assumptions!$A$7:$F$11,3,FALSE),3)+IFERROR(VLOOKUP(O291,Assumptions!$A$7:$F$11,4,FALSE),8)/2)</f>
        <v/>
      </c>
      <c r="U291" s="15">
        <f>M291*S291/(1+Assumptions!$B$3)^T291</f>
        <v/>
      </c>
      <c r="V291" s="11">
        <f>IF(M291=0,"",ROUND(U291/M291*100,1))</f>
        <v/>
      </c>
      <c r="W291" s="16">
        <f>U291*Assumptions!$B$4</f>
        <v/>
      </c>
      <c r="X291" s="11">
        <f>IF(M291=0,"",ROUND(W291/M291*100,1))</f>
        <v/>
      </c>
      <c r="Y291" t="inlineStr">
        <is>
          <t>SERMAP COMÉRCIO E SERVIÇOS LTDA</t>
        </is>
      </c>
      <c r="Z291" t="inlineStr">
        <is>
          <t>0010193-34.2013.8.19.0028</t>
        </is>
      </c>
      <c r="AA291" t="inlineStr"/>
      <c r="AB291" t="inlineStr">
        <is>
          <t>realbrasil.com.br</t>
        </is>
      </c>
      <c r="AC291" t="inlineStr">
        <is>
          <t>ANDRE AUGUSTO GARCEZ BERTOLIN</t>
        </is>
      </c>
      <c r="AD291" t="inlineStr">
        <is>
          <t>Administrador</t>
        </is>
      </c>
      <c r="AE291" t="inlineStr">
        <is>
          <t>(19) 2103-1954</t>
        </is>
      </c>
      <c r="AF291" t="inlineStr"/>
      <c r="AG291" t="inlineStr"/>
      <c r="AH291" t="inlineStr">
        <is>
          <t>SP</t>
        </is>
      </c>
      <c r="AI291" t="inlineStr">
        <is>
          <t>CAMPINAS</t>
        </is>
      </c>
      <c r="AJ291" t="inlineStr">
        <is>
          <t>Fabricação de peças e acessórios para o sistema motor de veículos automotores</t>
        </is>
      </c>
      <c r="AK291" t="inlineStr">
        <is>
          <t>DEMAIS</t>
        </is>
      </c>
      <c r="AL291" t="inlineStr">
        <is>
          <t>ATIVA</t>
        </is>
      </c>
      <c r="AM291" s="17" t="inlineStr">
        <is>
          <t>https://realbrasil.com.br/wp-content/uploads/2019/02/LISTA-DE-CREDORES-DA-RECUPERANDA.pdf</t>
        </is>
      </c>
      <c r="AN291" s="18" t="inlineStr">
        <is>
          <t>p9 r15</t>
        </is>
      </c>
      <c r="AO291" s="18" t="inlineStr">
        <is>
          <t>p9: R$ 503.949,11</t>
        </is>
      </c>
      <c r="AP291" s="18" t="inlineStr">
        <is>
          <t>UNKNOWN</t>
        </is>
      </c>
      <c r="AQ291" s="18" t="inlineStr"/>
      <c r="AR291" s="18" t="inlineStr">
        <is>
          <t>OK_NO_TOTALS</t>
        </is>
      </c>
      <c r="AS291" s="18" t="inlineStr">
        <is>
          <t>ROWS:p9r15 UNRECONCILED_SOURCE</t>
        </is>
      </c>
      <c r="AT291" s="18" t="inlineStr">
        <is>
          <t>c1999368afeb</t>
        </is>
      </c>
    </row>
    <row r="292">
      <c r="A292" s="9" t="n">
        <v>291</v>
      </c>
      <c r="B292" s="9" t="inlineStr">
        <is>
          <t>NEW</t>
        </is>
      </c>
      <c r="C292" s="9" t="inlineStr"/>
      <c r="D292" s="9" t="n">
        <v>0</v>
      </c>
      <c r="E292" s="9" t="inlineStr"/>
      <c r="F292" s="9" t="inlineStr"/>
      <c r="G292" s="9" t="inlineStr"/>
      <c r="H292" s="9" t="inlineStr"/>
      <c r="I292" t="inlineStr">
        <is>
          <t>POLIMIX CONCRETO LTDA</t>
        </is>
      </c>
      <c r="J292" t="inlineStr">
        <is>
          <t>POLIMIX CONCRETO LTDA</t>
        </is>
      </c>
      <c r="K292" t="inlineStr">
        <is>
          <t>29067113</t>
        </is>
      </c>
      <c r="L292" t="inlineStr">
        <is>
          <t>29067113000196, 29067113000609</t>
        </is>
      </c>
      <c r="M292" s="10" t="n">
        <v>502157.63</v>
      </c>
      <c r="N292" t="n">
        <v>2</v>
      </c>
      <c r="O292" s="11" t="inlineStr">
        <is>
          <t>B</t>
        </is>
      </c>
      <c r="P292" s="11" t="inlineStr">
        <is>
          <t>ACTIVE</t>
        </is>
      </c>
      <c r="Q292" s="12" t="n">
        <v>45491</v>
      </c>
      <c r="R292" s="11">
        <f>IF(Q292="","",ROUND((TODAY()-Q292)/365.25,1))</f>
        <v/>
      </c>
      <c r="S292" s="13">
        <f>IFERROR(VLOOKUP(O292,Assumptions!$A$7:$F$11,2,FALSE),0.25)</f>
        <v/>
      </c>
      <c r="T292" s="14">
        <f>IF(O292="A",MAX(1,IFERROR(VLOOKUP(O292,Assumptions!$A$7:$F$11,3,FALSE),3)+IFERROR(VLOOKUP(O292,Assumptions!$A$7:$F$11,4,FALSE),8)/2-MAX(0,IF(R292="",0,R292)-IFERROR(VLOOKUP(O292,Assumptions!$A$7:$F$11,5,FALSE),1.5))),IFERROR(VLOOKUP(O292,Assumptions!$A$7:$F$11,5,FALSE),2.5)+IFERROR(VLOOKUP(O292,Assumptions!$A$7:$F$11,3,FALSE),3)+IFERROR(VLOOKUP(O292,Assumptions!$A$7:$F$11,4,FALSE),8)/2)</f>
        <v/>
      </c>
      <c r="U292" s="15">
        <f>M292*S292/(1+Assumptions!$B$3)^T292</f>
        <v/>
      </c>
      <c r="V292" s="11">
        <f>IF(M292=0,"",ROUND(U292/M292*100,1))</f>
        <v/>
      </c>
      <c r="W292" s="16">
        <f>U292*Assumptions!$B$4</f>
        <v/>
      </c>
      <c r="X292" s="11">
        <f>IF(M292=0,"",ROUND(W292/M292*100,1))</f>
        <v/>
      </c>
      <c r="Y292" t="inlineStr">
        <is>
          <t>GRUPO IMOBI</t>
        </is>
      </c>
      <c r="Z292" t="inlineStr">
        <is>
          <t>0074500-63.2024.8.17.2001</t>
        </is>
      </c>
      <c r="AA292" t="inlineStr">
        <is>
          <t>TJPE</t>
        </is>
      </c>
      <c r="AB292" t="inlineStr">
        <is>
          <t>lrflideres.com.br</t>
        </is>
      </c>
      <c r="AC292" t="inlineStr">
        <is>
          <t>ALCINDO ANTONIO CHRUSCIELSKI</t>
        </is>
      </c>
      <c r="AD292" t="inlineStr">
        <is>
          <t>Administrador</t>
        </is>
      </c>
      <c r="AE292" t="inlineStr">
        <is>
          <t>(11) 4168-0300</t>
        </is>
      </c>
      <c r="AF292" t="inlineStr"/>
      <c r="AG292" t="inlineStr"/>
      <c r="AH292" t="inlineStr">
        <is>
          <t>SP</t>
        </is>
      </c>
      <c r="AI292" t="inlineStr">
        <is>
          <t>SANTANA DE PARNAIBA</t>
        </is>
      </c>
      <c r="AJ292" t="inlineStr">
        <is>
          <t>Serviços combinados de escritório e apoio administrativo</t>
        </is>
      </c>
      <c r="AK292" t="inlineStr">
        <is>
          <t>DEMAIS</t>
        </is>
      </c>
      <c r="AL292" t="inlineStr">
        <is>
          <t>ATIVA</t>
        </is>
      </c>
      <c r="AM292" s="17" t="inlineStr">
        <is>
          <t>https://lrflideres.com.br/wp-content/plugins/download-attachments/includes/download.php?id=6273</t>
        </is>
      </c>
      <c r="AN292" s="18" t="inlineStr">
        <is>
          <t>p6 r17; p6 r18</t>
        </is>
      </c>
      <c r="AO292" s="18" t="inlineStr">
        <is>
          <t>p6: R$ 36.287,92; p6: R$ 465.869,71</t>
        </is>
      </c>
      <c r="AP292" s="18" t="inlineStr">
        <is>
          <t>AJ_LIST</t>
        </is>
      </c>
      <c r="AQ292" s="18" t="inlineStr">
        <is>
          <t>2024-11-14</t>
        </is>
      </c>
      <c r="AR292" s="18" t="inlineStr">
        <is>
          <t>OK</t>
        </is>
      </c>
      <c r="AS292" s="18" t="inlineStr">
        <is>
          <t>ROWS:p6r17,p6r18</t>
        </is>
      </c>
      <c r="AT292" s="18" t="inlineStr">
        <is>
          <t>795d57c3b1a6</t>
        </is>
      </c>
    </row>
    <row r="293">
      <c r="A293" s="9" t="n">
        <v>292</v>
      </c>
      <c r="B293" s="9" t="inlineStr">
        <is>
          <t>NEW</t>
        </is>
      </c>
      <c r="C293" s="9" t="inlineStr"/>
      <c r="D293" s="9" t="n">
        <v>0</v>
      </c>
      <c r="E293" s="9" t="inlineStr"/>
      <c r="F293" s="9" t="inlineStr"/>
      <c r="G293" s="9" t="inlineStr"/>
      <c r="H293" s="9" t="inlineStr"/>
      <c r="I293" t="inlineStr">
        <is>
          <t>PHARLAB INDUSTRIA FARMACEUTICA S.A</t>
        </is>
      </c>
      <c r="J293" t="inlineStr">
        <is>
          <t>Pharlab Industria Farmaceutica S.A.</t>
        </is>
      </c>
      <c r="K293" t="inlineStr">
        <is>
          <t>02501297</t>
        </is>
      </c>
      <c r="L293" t="inlineStr">
        <is>
          <t>02501297000528</t>
        </is>
      </c>
      <c r="M293" s="10" t="n">
        <v>501630.38</v>
      </c>
      <c r="N293" t="n">
        <v>1</v>
      </c>
      <c r="O293" s="11" t="inlineStr">
        <is>
          <t>C</t>
        </is>
      </c>
      <c r="P293" s="11" t="inlineStr">
        <is>
          <t>ACTIVE</t>
        </is>
      </c>
      <c r="Q293" s="12" t="n">
        <v>44987</v>
      </c>
      <c r="R293" s="11">
        <f>IF(Q293="","",ROUND((TODAY()-Q293)/365.25,1))</f>
        <v/>
      </c>
      <c r="S293" s="13">
        <f>IFERROR(VLOOKUP(O293,Assumptions!$A$7:$F$11,2,FALSE),0.25)</f>
        <v/>
      </c>
      <c r="T293" s="14">
        <f>IF(O293="A",MAX(1,IFERROR(VLOOKUP(O293,Assumptions!$A$7:$F$11,3,FALSE),3)+IFERROR(VLOOKUP(O293,Assumptions!$A$7:$F$11,4,FALSE),8)/2-MAX(0,IF(R293="",0,R293)-IFERROR(VLOOKUP(O293,Assumptions!$A$7:$F$11,5,FALSE),1.5))),IFERROR(VLOOKUP(O293,Assumptions!$A$7:$F$11,5,FALSE),2.5)+IFERROR(VLOOKUP(O293,Assumptions!$A$7:$F$11,3,FALSE),3)+IFERROR(VLOOKUP(O293,Assumptions!$A$7:$F$11,4,FALSE),8)/2)</f>
        <v/>
      </c>
      <c r="U293" s="15">
        <f>M293*S293/(1+Assumptions!$B$3)^T293</f>
        <v/>
      </c>
      <c r="V293" s="11">
        <f>IF(M293=0,"",ROUND(U293/M293*100,1))</f>
        <v/>
      </c>
      <c r="W293" s="16">
        <f>U293*Assumptions!$B$4</f>
        <v/>
      </c>
      <c r="X293" s="11">
        <f>IF(M293=0,"",ROUND(W293/M293*100,1))</f>
        <v/>
      </c>
      <c r="Y293" t="inlineStr">
        <is>
          <t>GRUPO DP4</t>
        </is>
      </c>
      <c r="Z293" t="inlineStr">
        <is>
          <t>0005010-98.2023.8.16.0001</t>
        </is>
      </c>
      <c r="AA293" t="inlineStr">
        <is>
          <t>TJPR</t>
        </is>
      </c>
      <c r="AB293" t="inlineStr">
        <is>
          <t>marquesadmjudicial.com.br</t>
        </is>
      </c>
      <c r="AC293" t="inlineStr">
        <is>
          <t>EDUARDO JOSE MARTINS</t>
        </is>
      </c>
      <c r="AD293" t="inlineStr">
        <is>
          <t>Presidente</t>
        </is>
      </c>
      <c r="AE293" t="inlineStr">
        <is>
          <t>(37) 3261-9090</t>
        </is>
      </c>
      <c r="AF293" t="inlineStr"/>
      <c r="AG293" t="inlineStr"/>
      <c r="AH293" t="inlineStr">
        <is>
          <t>MG</t>
        </is>
      </c>
      <c r="AI293" t="inlineStr">
        <is>
          <t>LAGOA DA PRATA</t>
        </is>
      </c>
      <c r="AJ293" t="inlineStr">
        <is>
          <t>Fabricação de medicamentos alopáticos para uso humano</t>
        </is>
      </c>
      <c r="AK293" t="inlineStr">
        <is>
          <t>DEMAIS</t>
        </is>
      </c>
      <c r="AL293" t="inlineStr">
        <is>
          <t>ATIVA</t>
        </is>
      </c>
      <c r="AM293" s="17" t="inlineStr">
        <is>
          <t>https://marquesadmjudicial.com.br/sgc/download.php?file=files/processo_documento/processo_documento15293208032024_1_.pdf&amp;nome=Relação Nominal de Credores da AJ-Sintética</t>
        </is>
      </c>
      <c r="AN293" s="18" t="inlineStr">
        <is>
          <t>p30 r4</t>
        </is>
      </c>
      <c r="AO293" s="18" t="inlineStr">
        <is>
          <t>p30: R$ 501.630,38</t>
        </is>
      </c>
      <c r="AP293" s="18" t="inlineStr">
        <is>
          <t>AJ_LIST</t>
        </is>
      </c>
      <c r="AQ293" s="18" t="inlineStr">
        <is>
          <t>2023-03-02</t>
        </is>
      </c>
      <c r="AR293" s="18" t="inlineStr">
        <is>
          <t>QUARANTINED</t>
        </is>
      </c>
      <c r="AS293" s="18" t="inlineStr">
        <is>
          <t>PARTIAL_DOC_CLASS_III_RECONCILED ROWS:p30r4</t>
        </is>
      </c>
      <c r="AT293" s="18" t="inlineStr">
        <is>
          <t>b465a5d11eec</t>
        </is>
      </c>
    </row>
    <row r="294">
      <c r="A294" s="9" t="n">
        <v>293</v>
      </c>
      <c r="B294" s="9" t="inlineStr">
        <is>
          <t>NEW</t>
        </is>
      </c>
      <c r="C294" s="9" t="inlineStr"/>
      <c r="D294" s="9" t="n">
        <v>0</v>
      </c>
      <c r="E294" s="9" t="inlineStr"/>
      <c r="F294" s="9" t="inlineStr"/>
      <c r="G294" s="9" t="inlineStr"/>
      <c r="H294" s="9" t="inlineStr"/>
      <c r="I294" t="inlineStr">
        <is>
          <t>ANJUU IMPORTACAO, EXPORTACAO E COMERCIO DE CONFECCOES LTDA</t>
        </is>
      </c>
      <c r="J294" t="inlineStr">
        <is>
          <t>ANJUU IMPORTACAO, EXPORTACAO E COMERCIO DE CONFECCOES LTDA</t>
        </is>
      </c>
      <c r="K294" t="inlineStr">
        <is>
          <t>12554601</t>
        </is>
      </c>
      <c r="L294" t="inlineStr">
        <is>
          <t>12554601000125</t>
        </is>
      </c>
      <c r="M294" s="10" t="n">
        <v>500703.44</v>
      </c>
      <c r="N294" t="n">
        <v>2</v>
      </c>
      <c r="O294" s="11" t="inlineStr">
        <is>
          <t>C</t>
        </is>
      </c>
      <c r="P294" s="11" t="inlineStr">
        <is>
          <t>ACTIVE</t>
        </is>
      </c>
      <c r="Q294" s="12" t="n">
        <v>44571</v>
      </c>
      <c r="R294" s="11">
        <f>IF(Q294="","",ROUND((TODAY()-Q294)/365.25,1))</f>
        <v/>
      </c>
      <c r="S294" s="13">
        <f>IFERROR(VLOOKUP(O294,Assumptions!$A$7:$F$11,2,FALSE),0.25)</f>
        <v/>
      </c>
      <c r="T294" s="14">
        <f>IF(O294="A",MAX(1,IFERROR(VLOOKUP(O294,Assumptions!$A$7:$F$11,3,FALSE),3)+IFERROR(VLOOKUP(O294,Assumptions!$A$7:$F$11,4,FALSE),8)/2-MAX(0,IF(R294="",0,R294)-IFERROR(VLOOKUP(O294,Assumptions!$A$7:$F$11,5,FALSE),1.5))),IFERROR(VLOOKUP(O294,Assumptions!$A$7:$F$11,5,FALSE),2.5)+IFERROR(VLOOKUP(O294,Assumptions!$A$7:$F$11,3,FALSE),3)+IFERROR(VLOOKUP(O294,Assumptions!$A$7:$F$11,4,FALSE),8)/2)</f>
        <v/>
      </c>
      <c r="U294" s="15">
        <f>M294*S294/(1+Assumptions!$B$3)^T294</f>
        <v/>
      </c>
      <c r="V294" s="11">
        <f>IF(M294=0,"",ROUND(U294/M294*100,1))</f>
        <v/>
      </c>
      <c r="W294" s="16">
        <f>U294*Assumptions!$B$4</f>
        <v/>
      </c>
      <c r="X294" s="11">
        <f>IF(M294=0,"",ROUND(W294/M294*100,1))</f>
        <v/>
      </c>
      <c r="Y294" t="inlineStr">
        <is>
          <t>GRUPO CATTAN</t>
        </is>
      </c>
      <c r="Z294" t="inlineStr">
        <is>
          <t>0002484-82.2022.8.17.2001</t>
        </is>
      </c>
      <c r="AA294" t="inlineStr">
        <is>
          <t>TJPE</t>
        </is>
      </c>
      <c r="AB294" t="inlineStr">
        <is>
          <t>lrflideres.com.br</t>
        </is>
      </c>
      <c r="AC294" t="inlineStr">
        <is>
          <t>CAROLINA NAHRA CICCONE</t>
        </is>
      </c>
      <c r="AD294" t="inlineStr">
        <is>
          <t>Sócio-Administrador</t>
        </is>
      </c>
      <c r="AE294" t="inlineStr">
        <is>
          <t>(11) 2081-6261</t>
        </is>
      </c>
      <c r="AF294" t="inlineStr"/>
      <c r="AG294" t="inlineStr"/>
      <c r="AH294" t="inlineStr">
        <is>
          <t>SC</t>
        </is>
      </c>
      <c r="AI294" t="inlineStr">
        <is>
          <t>ARAQUARI</t>
        </is>
      </c>
      <c r="AJ294" t="inlineStr">
        <is>
          <t>Comércio atacadista de artigos do vestuário e acessórios, exceto profissionais e de segurança</t>
        </is>
      </c>
      <c r="AK294" t="inlineStr">
        <is>
          <t>DEMAIS</t>
        </is>
      </c>
      <c r="AL294" t="inlineStr">
        <is>
          <t>ATIVA</t>
        </is>
      </c>
      <c r="AM294" s="17" t="inlineStr">
        <is>
          <t>https://lrflideres.com.br/wp-content/plugins/download-attachments/includes/download.php?id=4023</t>
        </is>
      </c>
      <c r="AN294" s="18" t="inlineStr">
        <is>
          <t>p7 r74; p9 r57</t>
        </is>
      </c>
      <c r="AO294" s="18" t="inlineStr">
        <is>
          <t>p7: R$ 435.826,90; p9: R$ 64.876,54</t>
        </is>
      </c>
      <c r="AP294" s="18" t="inlineStr">
        <is>
          <t>DEBTOR_LIST</t>
        </is>
      </c>
      <c r="AQ294" s="18" t="inlineStr"/>
      <c r="AR294" s="18" t="inlineStr">
        <is>
          <t>QUARANTINED</t>
        </is>
      </c>
      <c r="AS294" s="18" t="inlineStr">
        <is>
          <t>PARTIAL_DOC_CLASS_III_RECONCILED ROWS:p7r74,p9r57</t>
        </is>
      </c>
      <c r="AT294" s="18" t="inlineStr">
        <is>
          <t>f3b6182e3aa2</t>
        </is>
      </c>
    </row>
    <row r="295">
      <c r="A295" s="9" t="n">
        <v>294</v>
      </c>
      <c r="B295" s="9" t="inlineStr">
        <is>
          <t>NEW</t>
        </is>
      </c>
      <c r="C295" s="9" t="inlineStr"/>
      <c r="D295" s="9" t="n">
        <v>0</v>
      </c>
      <c r="E295" s="9" t="inlineStr"/>
      <c r="F295" s="9" t="inlineStr"/>
      <c r="G295" s="9" t="inlineStr"/>
      <c r="H295" s="9" t="inlineStr"/>
      <c r="I295" t="inlineStr">
        <is>
          <t>GBF NEGOCIOS IMOBILIARIOS LTDA</t>
        </is>
      </c>
      <c r="J295" t="inlineStr">
        <is>
          <t>Gbf Negócios Imobiliarios Ltda</t>
        </is>
      </c>
      <c r="K295" t="inlineStr">
        <is>
          <t>10431349</t>
        </is>
      </c>
      <c r="L295" t="inlineStr">
        <is>
          <t>10431349000131</t>
        </is>
      </c>
      <c r="M295" s="10" t="n">
        <v>499600</v>
      </c>
      <c r="N295" t="n">
        <v>1</v>
      </c>
      <c r="O295" s="11" t="inlineStr">
        <is>
          <t>B</t>
        </is>
      </c>
      <c r="P295" s="11" t="inlineStr">
        <is>
          <t>ACTIVE</t>
        </is>
      </c>
      <c r="Q295" s="12" t="n">
        <v>46130</v>
      </c>
      <c r="R295" s="11">
        <f>IF(Q295="","",ROUND((TODAY()-Q295)/365.25,1))</f>
        <v/>
      </c>
      <c r="S295" s="13">
        <f>IFERROR(VLOOKUP(O295,Assumptions!$A$7:$F$11,2,FALSE),0.25)</f>
        <v/>
      </c>
      <c r="T295" s="14">
        <f>IF(O295="A",MAX(1,IFERROR(VLOOKUP(O295,Assumptions!$A$7:$F$11,3,FALSE),3)+IFERROR(VLOOKUP(O295,Assumptions!$A$7:$F$11,4,FALSE),8)/2-MAX(0,IF(R295="",0,R295)-IFERROR(VLOOKUP(O295,Assumptions!$A$7:$F$11,5,FALSE),1.5))),IFERROR(VLOOKUP(O295,Assumptions!$A$7:$F$11,5,FALSE),2.5)+IFERROR(VLOOKUP(O295,Assumptions!$A$7:$F$11,3,FALSE),3)+IFERROR(VLOOKUP(O295,Assumptions!$A$7:$F$11,4,FALSE),8)/2)</f>
        <v/>
      </c>
      <c r="U295" s="15">
        <f>M295*S295/(1+Assumptions!$B$3)^T295</f>
        <v/>
      </c>
      <c r="V295" s="11">
        <f>IF(M295=0,"",ROUND(U295/M295*100,1))</f>
        <v/>
      </c>
      <c r="W295" s="16">
        <f>U295*Assumptions!$B$4</f>
        <v/>
      </c>
      <c r="X295" s="11">
        <f>IF(M295=0,"",ROUND(W295/M295*100,1))</f>
        <v/>
      </c>
      <c r="Y295" t="inlineStr">
        <is>
          <t>GRUPO 3E</t>
        </is>
      </c>
      <c r="Z295" t="inlineStr">
        <is>
          <t>5341375-33.2026.8.09.0049</t>
        </is>
      </c>
      <c r="AA295" t="inlineStr">
        <is>
          <t>TJGO</t>
        </is>
      </c>
      <c r="AB295" t="inlineStr">
        <is>
          <t>stenius.com.br</t>
        </is>
      </c>
      <c r="AC295" t="inlineStr">
        <is>
          <t>ANTONIO TRENTO KIHARA SCHEFFER</t>
        </is>
      </c>
      <c r="AD295" t="inlineStr">
        <is>
          <t>Sócio-Administrador</t>
        </is>
      </c>
      <c r="AE295" t="inlineStr">
        <is>
          <t>(65) 3645-8000</t>
        </is>
      </c>
      <c r="AF295" t="inlineStr">
        <is>
          <t>(65) 3645-8000</t>
        </is>
      </c>
      <c r="AG295" t="inlineStr"/>
      <c r="AH295" t="inlineStr">
        <is>
          <t>MT</t>
        </is>
      </c>
      <c r="AI295" t="inlineStr">
        <is>
          <t>CUIABA</t>
        </is>
      </c>
      <c r="AJ295" t="inlineStr">
        <is>
          <t>Compra e venda de imóveis próprios</t>
        </is>
      </c>
      <c r="AK295" t="inlineStr">
        <is>
          <t>DEMAIS</t>
        </is>
      </c>
      <c r="AL295" t="inlineStr">
        <is>
          <t>ATIVA</t>
        </is>
      </c>
      <c r="AM295" s="17" t="inlineStr">
        <is>
          <t>https://stenius.com.br/wp-content/uploads/2026/06/EDITAL-GRUPO-3E.pdf</t>
        </is>
      </c>
      <c r="AN295" s="18" t="inlineStr">
        <is>
          <t>p14 r1</t>
        </is>
      </c>
      <c r="AO295" s="18" t="inlineStr">
        <is>
          <t>p14: R$ 499.600,00</t>
        </is>
      </c>
      <c r="AP295" s="18" t="inlineStr">
        <is>
          <t>DEBTOR_LIST</t>
        </is>
      </c>
      <c r="AQ295" s="18" t="inlineStr">
        <is>
          <t>2026-06-22</t>
        </is>
      </c>
      <c r="AR295" s="18" t="inlineStr">
        <is>
          <t>OK_NO_TOTALS</t>
        </is>
      </c>
      <c r="AS295" s="18" t="inlineStr">
        <is>
          <t>ROWS:p14r1 UNRECONCILED_SOURCE</t>
        </is>
      </c>
      <c r="AT295" s="18" t="inlineStr">
        <is>
          <t>8e8832093a15</t>
        </is>
      </c>
    </row>
    <row r="296">
      <c r="A296" s="9" t="n">
        <v>295</v>
      </c>
      <c r="B296" s="9" t="inlineStr">
        <is>
          <t>NEW</t>
        </is>
      </c>
      <c r="C296" s="9" t="inlineStr"/>
      <c r="D296" s="9" t="n">
        <v>0</v>
      </c>
      <c r="E296" s="9" t="inlineStr"/>
      <c r="F296" s="9" t="inlineStr"/>
      <c r="G296" s="9" t="inlineStr"/>
      <c r="H296" s="9" t="inlineStr"/>
      <c r="I296" t="inlineStr">
        <is>
          <t>GIANNINI S/A EM RECUPERACAO JUDICIAL</t>
        </is>
      </c>
      <c r="J296" t="inlineStr">
        <is>
          <t>Avenida Tranquillo Giannini, nº 700, Distrito Industrial, CEP nº 13.329-900, Salto/SP</t>
        </is>
      </c>
      <c r="K296" t="inlineStr">
        <is>
          <t>61196119</t>
        </is>
      </c>
      <c r="L296" t="inlineStr">
        <is>
          <t>61196119000176</t>
        </is>
      </c>
      <c r="M296" s="10" t="n">
        <v>498422</v>
      </c>
      <c r="N296" t="n">
        <v>1</v>
      </c>
      <c r="O296" s="11" t="inlineStr">
        <is>
          <t>B</t>
        </is>
      </c>
      <c r="P296" s="11" t="inlineStr">
        <is>
          <t>ACTIVE</t>
        </is>
      </c>
      <c r="Q296" s="12" t="n">
        <v>45644</v>
      </c>
      <c r="R296" s="11">
        <f>IF(Q296="","",ROUND((TODAY()-Q296)/365.25,1))</f>
        <v/>
      </c>
      <c r="S296" s="13">
        <f>IFERROR(VLOOKUP(O296,Assumptions!$A$7:$F$11,2,FALSE),0.25)</f>
        <v/>
      </c>
      <c r="T296" s="14">
        <f>IF(O296="A",MAX(1,IFERROR(VLOOKUP(O296,Assumptions!$A$7:$F$11,3,FALSE),3)+IFERROR(VLOOKUP(O296,Assumptions!$A$7:$F$11,4,FALSE),8)/2-MAX(0,IF(R296="",0,R296)-IFERROR(VLOOKUP(O296,Assumptions!$A$7:$F$11,5,FALSE),1.5))),IFERROR(VLOOKUP(O296,Assumptions!$A$7:$F$11,5,FALSE),2.5)+IFERROR(VLOOKUP(O296,Assumptions!$A$7:$F$11,3,FALSE),3)+IFERROR(VLOOKUP(O296,Assumptions!$A$7:$F$11,4,FALSE),8)/2)</f>
        <v/>
      </c>
      <c r="U296" s="15">
        <f>M296*S296/(1+Assumptions!$B$3)^T296</f>
        <v/>
      </c>
      <c r="V296" s="11">
        <f>IF(M296=0,"",ROUND(U296/M296*100,1))</f>
        <v/>
      </c>
      <c r="W296" s="16">
        <f>U296*Assumptions!$B$4</f>
        <v/>
      </c>
      <c r="X296" s="11">
        <f>IF(M296=0,"",ROUND(W296/M296*100,1))</f>
        <v/>
      </c>
      <c r="Y296" t="inlineStr">
        <is>
          <t>GRUPO RIVER MUSIC</t>
        </is>
      </c>
      <c r="Z296" t="inlineStr">
        <is>
          <t>1001174-80.2024.8.26.0359</t>
        </is>
      </c>
      <c r="AA296" t="inlineStr">
        <is>
          <t>TJSP</t>
        </is>
      </c>
      <c r="AB296" t="inlineStr">
        <is>
          <t>ativosajce.com.br</t>
        </is>
      </c>
      <c r="AC296" t="inlineStr">
        <is>
          <t>ROBERTO COEN GIANNINI</t>
        </is>
      </c>
      <c r="AD296" t="inlineStr">
        <is>
          <t>Presidente</t>
        </is>
      </c>
      <c r="AE296" t="inlineStr">
        <is>
          <t>000000000000</t>
        </is>
      </c>
      <c r="AF296" t="inlineStr"/>
      <c r="AG296" t="inlineStr"/>
      <c r="AH296" t="inlineStr">
        <is>
          <t>SP</t>
        </is>
      </c>
      <c r="AI296" t="inlineStr">
        <is>
          <t>SALTO</t>
        </is>
      </c>
      <c r="AJ296" t="inlineStr">
        <is>
          <t>Fabricação de instrumentos musicais, peças e acessórios</t>
        </is>
      </c>
      <c r="AK296" t="inlineStr">
        <is>
          <t>DEMAIS</t>
        </is>
      </c>
      <c r="AL296" t="inlineStr">
        <is>
          <t>ATIVA</t>
        </is>
      </c>
      <c r="AM296" s="17" t="inlineStr">
        <is>
          <t>https://ativosajce.com.br/admin/download.php?file=files/processo_documento/processo_documento18543908052025_1_.pdf&amp;nome=Relação de Credores - art. 52, §1º da Lei 11.101/05 - 27/01/2025</t>
        </is>
      </c>
      <c r="AN296" s="18" t="inlineStr">
        <is>
          <t>p3 r18</t>
        </is>
      </c>
      <c r="AO296" s="18" t="inlineStr">
        <is>
          <t>p3: R$ 498.422,00</t>
        </is>
      </c>
      <c r="AP296" s="18" t="inlineStr">
        <is>
          <t>UNKNOWN</t>
        </is>
      </c>
      <c r="AQ296" s="18" t="inlineStr"/>
      <c r="AR296" s="18" t="inlineStr">
        <is>
          <t>OK_NO_TOTALS</t>
        </is>
      </c>
      <c r="AS296" s="18" t="inlineStr">
        <is>
          <t>ROWS:p3r18 UNRECONCILED_SOURCE VALUE_COL:Valor_Do_Créidto</t>
        </is>
      </c>
      <c r="AT296" s="18" t="inlineStr">
        <is>
          <t>442539f948e0</t>
        </is>
      </c>
    </row>
    <row r="297">
      <c r="A297" s="9" t="n">
        <v>296</v>
      </c>
      <c r="B297" s="9" t="inlineStr">
        <is>
          <t>NEW</t>
        </is>
      </c>
      <c r="C297" s="9" t="inlineStr"/>
      <c r="D297" s="9" t="n">
        <v>0</v>
      </c>
      <c r="E297" s="9" t="inlineStr"/>
      <c r="F297" s="9" t="inlineStr"/>
      <c r="G297" s="9" t="inlineStr"/>
      <c r="H297" s="9" t="inlineStr"/>
      <c r="I297" t="inlineStr">
        <is>
          <t>GUAIANAS - TRANSPORTES, MINERACAO, TRATAMENTO E REFINO DE OLEO LTDA</t>
        </is>
      </c>
      <c r="J297" t="inlineStr">
        <is>
          <t>Guaianas - Transportes, Mineracao, Tratamento E Refino De Oleo Ltda</t>
        </is>
      </c>
      <c r="K297" t="inlineStr">
        <is>
          <t>00327501</t>
        </is>
      </c>
      <c r="L297" t="inlineStr">
        <is>
          <t>00327501000187</t>
        </is>
      </c>
      <c r="M297" s="10" t="n">
        <v>498000</v>
      </c>
      <c r="N297" t="n">
        <v>1</v>
      </c>
      <c r="O297" s="11" t="inlineStr">
        <is>
          <t>C</t>
        </is>
      </c>
      <c r="P297" s="11" t="inlineStr">
        <is>
          <t>ACTIVE</t>
        </is>
      </c>
      <c r="Q297" s="12" t="n">
        <v>45275</v>
      </c>
      <c r="R297" s="11">
        <f>IF(Q297="","",ROUND((TODAY()-Q297)/365.25,1))</f>
        <v/>
      </c>
      <c r="S297" s="13">
        <f>IFERROR(VLOOKUP(O297,Assumptions!$A$7:$F$11,2,FALSE),0.25)</f>
        <v/>
      </c>
      <c r="T297" s="14">
        <f>IF(O297="A",MAX(1,IFERROR(VLOOKUP(O297,Assumptions!$A$7:$F$11,3,FALSE),3)+IFERROR(VLOOKUP(O297,Assumptions!$A$7:$F$11,4,FALSE),8)/2-MAX(0,IF(R297="",0,R297)-IFERROR(VLOOKUP(O297,Assumptions!$A$7:$F$11,5,FALSE),1.5))),IFERROR(VLOOKUP(O297,Assumptions!$A$7:$F$11,5,FALSE),2.5)+IFERROR(VLOOKUP(O297,Assumptions!$A$7:$F$11,3,FALSE),3)+IFERROR(VLOOKUP(O297,Assumptions!$A$7:$F$11,4,FALSE),8)/2)</f>
        <v/>
      </c>
      <c r="U297" s="15">
        <f>M297*S297/(1+Assumptions!$B$3)^T297</f>
        <v/>
      </c>
      <c r="V297" s="11">
        <f>IF(M297=0,"",ROUND(U297/M297*100,1))</f>
        <v/>
      </c>
      <c r="W297" s="16">
        <f>U297*Assumptions!$B$4</f>
        <v/>
      </c>
      <c r="X297" s="11">
        <f>IF(M297=0,"",ROUND(W297/M297*100,1))</f>
        <v/>
      </c>
      <c r="Y297" t="inlineStr">
        <is>
          <t>Grupo Agromeal</t>
        </is>
      </c>
      <c r="Z297" t="inlineStr">
        <is>
          <t>0003971-03.2023.8.16.0119</t>
        </is>
      </c>
      <c r="AA297" t="inlineStr">
        <is>
          <t>TJPR</t>
        </is>
      </c>
      <c r="AB297" t="inlineStr">
        <is>
          <t>marquesadmjudicial.com.br</t>
        </is>
      </c>
      <c r="AC297" t="inlineStr">
        <is>
          <t>MARIA LUCIA BRAMBILLA SAMBINI</t>
        </is>
      </c>
      <c r="AD297" t="inlineStr">
        <is>
          <t>Administrador</t>
        </is>
      </c>
      <c r="AE297" t="inlineStr">
        <is>
          <t>(44) 3252-2688</t>
        </is>
      </c>
      <c r="AF297" t="inlineStr"/>
      <c r="AG297" t="inlineStr"/>
      <c r="AH297" t="inlineStr">
        <is>
          <t>PR</t>
        </is>
      </c>
      <c r="AI297" t="inlineStr">
        <is>
          <t>NOVA ESPERANCA</t>
        </is>
      </c>
      <c r="AJ297" t="inlineStr">
        <is>
          <t>Transporte rodoviário de carga, exceto produtos perigosos e mudanças, intermunicipal, interestadual e internacional</t>
        </is>
      </c>
      <c r="AK297" t="inlineStr">
        <is>
          <t>DEMAIS</t>
        </is>
      </c>
      <c r="AL297" t="inlineStr">
        <is>
          <t>ATIVA</t>
        </is>
      </c>
      <c r="AM297" s="17" t="inlineStr">
        <is>
          <t>https://marquesadmjudicial.com.br/sgc/download.php?file=files/processo_documento/processo_documento17040729052024_1_.pdf&amp;nome=Relação Nominal de Credores AJ-Sintética</t>
        </is>
      </c>
      <c r="AN297" s="18" t="inlineStr">
        <is>
          <t>p11 r15</t>
        </is>
      </c>
      <c r="AO297" s="18" t="inlineStr">
        <is>
          <t>p11: R$ 498.000,00</t>
        </is>
      </c>
      <c r="AP297" s="18" t="inlineStr">
        <is>
          <t>AJ_LIST</t>
        </is>
      </c>
      <c r="AQ297" s="18" t="inlineStr">
        <is>
          <t>2024-05-27</t>
        </is>
      </c>
      <c r="AR297" s="18" t="inlineStr">
        <is>
          <t>QUARANTINED</t>
        </is>
      </c>
      <c r="AS297" s="18" t="inlineStr">
        <is>
          <t>PARTIAL_DOC_CLASS_III_RECONCILED ROWS:p11r15</t>
        </is>
      </c>
      <c r="AT297" s="18" t="inlineStr">
        <is>
          <t>1209dafe77b7</t>
        </is>
      </c>
    </row>
    <row r="298">
      <c r="A298" s="9" t="n">
        <v>297</v>
      </c>
      <c r="B298" s="9" t="inlineStr">
        <is>
          <t>NEW</t>
        </is>
      </c>
      <c r="C298" s="9" t="inlineStr"/>
      <c r="D298" s="9" t="n">
        <v>0</v>
      </c>
      <c r="E298" s="9" t="inlineStr"/>
      <c r="F298" s="9" t="inlineStr"/>
      <c r="G298" s="9" t="inlineStr"/>
      <c r="H298" s="9" t="inlineStr"/>
      <c r="I298" t="inlineStr">
        <is>
          <t>TBM - TEXTIL BEZERRA DE MENEZES S/A</t>
        </is>
      </c>
      <c r="J298" t="inlineStr">
        <is>
          <t>TBM TEXTIL BEZERRA DE MENEZES SA</t>
        </is>
      </c>
      <c r="K298" t="inlineStr">
        <is>
          <t>07671092</t>
        </is>
      </c>
      <c r="L298" t="inlineStr">
        <is>
          <t>07671092001586</t>
        </is>
      </c>
      <c r="M298" s="10" t="n">
        <v>497707.51</v>
      </c>
      <c r="N298" t="n">
        <v>1</v>
      </c>
      <c r="O298" s="11" t="inlineStr">
        <is>
          <t>C</t>
        </is>
      </c>
      <c r="P298" s="11" t="inlineStr"/>
      <c r="Q298" s="12" t="inlineStr"/>
      <c r="R298" s="11">
        <f>IF(Q298="","",ROUND((TODAY()-Q298)/365.25,1))</f>
        <v/>
      </c>
      <c r="S298" s="13">
        <f>IFERROR(VLOOKUP(O298,Assumptions!$A$7:$F$11,2,FALSE),0.25)</f>
        <v/>
      </c>
      <c r="T298" s="14">
        <f>IF(O298="A",MAX(1,IFERROR(VLOOKUP(O298,Assumptions!$A$7:$F$11,3,FALSE),3)+IFERROR(VLOOKUP(O298,Assumptions!$A$7:$F$11,4,FALSE),8)/2-MAX(0,IF(R298="",0,R298)-IFERROR(VLOOKUP(O298,Assumptions!$A$7:$F$11,5,FALSE),1.5))),IFERROR(VLOOKUP(O298,Assumptions!$A$7:$F$11,5,FALSE),2.5)+IFERROR(VLOOKUP(O298,Assumptions!$A$7:$F$11,3,FALSE),3)+IFERROR(VLOOKUP(O298,Assumptions!$A$7:$F$11,4,FALSE),8)/2)</f>
        <v/>
      </c>
      <c r="U298" s="15">
        <f>M298*S298/(1+Assumptions!$B$3)^T298</f>
        <v/>
      </c>
      <c r="V298" s="11">
        <f>IF(M298=0,"",ROUND(U298/M298*100,1))</f>
        <v/>
      </c>
      <c r="W298" s="16">
        <f>U298*Assumptions!$B$4</f>
        <v/>
      </c>
      <c r="X298" s="11">
        <f>IF(M298=0,"",ROUND(W298/M298*100,1))</f>
        <v/>
      </c>
      <c r="Y298" t="inlineStr">
        <is>
          <t>CONFECÇÕES ANDRIMALHAS LTDA</t>
        </is>
      </c>
      <c r="Z298" t="inlineStr">
        <is>
          <t>0302174-63.2015.8.24.0025</t>
        </is>
      </c>
      <c r="AA298" t="inlineStr"/>
      <c r="AB298" t="inlineStr">
        <is>
          <t>administradorajudicialgs.com.br</t>
        </is>
      </c>
      <c r="AC298" t="inlineStr">
        <is>
          <t>IVAN RODRIGUES BEZERRA</t>
        </is>
      </c>
      <c r="AD298" t="inlineStr">
        <is>
          <t>Presidente</t>
        </is>
      </c>
      <c r="AE298" t="inlineStr">
        <is>
          <t>(85) 4012-9140</t>
        </is>
      </c>
      <c r="AF298" t="inlineStr"/>
      <c r="AG298" t="inlineStr"/>
      <c r="AH298" t="inlineStr">
        <is>
          <t>CE</t>
        </is>
      </c>
      <c r="AI298" t="inlineStr">
        <is>
          <t>FORTALEZA</t>
        </is>
      </c>
      <c r="AJ298" t="inlineStr">
        <is>
          <t>Preparação e fiação de fibras de algodão</t>
        </is>
      </c>
      <c r="AK298" t="inlineStr">
        <is>
          <t>DEMAIS</t>
        </is>
      </c>
      <c r="AL298" t="inlineStr">
        <is>
          <t>ATIVA</t>
        </is>
      </c>
      <c r="AM298" s="17" t="inlineStr">
        <is>
          <t>https://administradorajudicialgs.com.br/wp-content/uploads/2023/08/doc-06-relacao-credores-do-administrador-judicial-10-02-2015.pdf</t>
        </is>
      </c>
      <c r="AN298" s="18" t="inlineStr">
        <is>
          <t>p2 r40</t>
        </is>
      </c>
      <c r="AO298" s="18" t="inlineStr">
        <is>
          <t>p2: R$ 497.707,51</t>
        </is>
      </c>
      <c r="AP298" s="18" t="inlineStr">
        <is>
          <t>AJ_LIST</t>
        </is>
      </c>
      <c r="AQ298" s="18" t="inlineStr"/>
      <c r="AR298" s="18" t="inlineStr">
        <is>
          <t>QUARANTINED</t>
        </is>
      </c>
      <c r="AS298" s="18" t="inlineStr">
        <is>
          <t>PARTIAL_DOC_CLASS_III_RECONCILED ROWS:p2r40</t>
        </is>
      </c>
      <c r="AT298" s="18" t="inlineStr">
        <is>
          <t>d403116b357d</t>
        </is>
      </c>
    </row>
    <row r="299">
      <c r="A299" s="9" t="n">
        <v>298</v>
      </c>
      <c r="B299" s="9" t="inlineStr">
        <is>
          <t>NEW</t>
        </is>
      </c>
      <c r="C299" s="9" t="inlineStr"/>
      <c r="D299" s="9" t="n">
        <v>0</v>
      </c>
      <c r="E299" s="9" t="inlineStr"/>
      <c r="F299" s="9" t="inlineStr"/>
      <c r="G299" s="9" t="inlineStr"/>
      <c r="H299" s="9" t="inlineStr"/>
      <c r="I299" t="inlineStr">
        <is>
          <t>COBB-VANTRESS BRASIL LTDA</t>
        </is>
      </c>
      <c r="J299" t="inlineStr">
        <is>
          <t>COBB - VANTRESS BRASIL LTDA</t>
        </is>
      </c>
      <c r="K299" t="inlineStr">
        <is>
          <t>00466591</t>
        </is>
      </c>
      <c r="L299" t="inlineStr">
        <is>
          <t>00466591000197</t>
        </is>
      </c>
      <c r="M299" s="10" t="n">
        <v>497078.85</v>
      </c>
      <c r="N299" t="n">
        <v>1</v>
      </c>
      <c r="O299" s="11" t="inlineStr">
        <is>
          <t>C</t>
        </is>
      </c>
      <c r="P299" s="11" t="inlineStr"/>
      <c r="Q299" s="12" t="inlineStr"/>
      <c r="R299" s="11">
        <f>IF(Q299="","",ROUND((TODAY()-Q299)/365.25,1))</f>
        <v/>
      </c>
      <c r="S299" s="13">
        <f>IFERROR(VLOOKUP(O299,Assumptions!$A$7:$F$11,2,FALSE),0.25)</f>
        <v/>
      </c>
      <c r="T299" s="14">
        <f>IF(O299="A",MAX(1,IFERROR(VLOOKUP(O299,Assumptions!$A$7:$F$11,3,FALSE),3)+IFERROR(VLOOKUP(O299,Assumptions!$A$7:$F$11,4,FALSE),8)/2-MAX(0,IF(R299="",0,R299)-IFERROR(VLOOKUP(O299,Assumptions!$A$7:$F$11,5,FALSE),1.5))),IFERROR(VLOOKUP(O299,Assumptions!$A$7:$F$11,5,FALSE),2.5)+IFERROR(VLOOKUP(O299,Assumptions!$A$7:$F$11,3,FALSE),3)+IFERROR(VLOOKUP(O299,Assumptions!$A$7:$F$11,4,FALSE),8)/2)</f>
        <v/>
      </c>
      <c r="U299" s="15">
        <f>M299*S299/(1+Assumptions!$B$3)^T299</f>
        <v/>
      </c>
      <c r="V299" s="11">
        <f>IF(M299=0,"",ROUND(U299/M299*100,1))</f>
        <v/>
      </c>
      <c r="W299" s="16">
        <f>U299*Assumptions!$B$4</f>
        <v/>
      </c>
      <c r="X299" s="11">
        <f>IF(M299=0,"",ROUND(W299/M299*100,1))</f>
        <v/>
      </c>
      <c r="Y299" t="inlineStr">
        <is>
          <t>AGROPECUÁRIA SERROTE REDONDO</t>
        </is>
      </c>
      <c r="Z299" t="inlineStr">
        <is>
          <t>0000206-69.2013.8.17.1340</t>
        </is>
      </c>
      <c r="AA299" t="inlineStr"/>
      <c r="AB299" t="inlineStr">
        <is>
          <t>lrflideres.com.br</t>
        </is>
      </c>
      <c r="AC299" t="inlineStr">
        <is>
          <t>RODRIGO FERREIRA SIQUEIRA DE MELLO</t>
        </is>
      </c>
      <c r="AD299" t="inlineStr">
        <is>
          <t>Administrador</t>
        </is>
      </c>
      <c r="AE299" t="inlineStr"/>
      <c r="AF299" t="inlineStr"/>
      <c r="AG299" t="inlineStr"/>
      <c r="AH299" t="inlineStr">
        <is>
          <t>SP</t>
        </is>
      </c>
      <c r="AI299" t="inlineStr">
        <is>
          <t>GUAPIACU</t>
        </is>
      </c>
      <c r="AJ299" t="inlineStr">
        <is>
          <t>Produção de pintos de um dia</t>
        </is>
      </c>
      <c r="AK299" t="inlineStr">
        <is>
          <t>DEMAIS</t>
        </is>
      </c>
      <c r="AL299" t="inlineStr">
        <is>
          <t>ATIVA</t>
        </is>
      </c>
      <c r="AM299" s="17" t="inlineStr">
        <is>
          <t>https://lrflideres.com.br/wp-content/plugins/download-attachments/includes/download.php?id=5001</t>
        </is>
      </c>
      <c r="AN299" s="18" t="inlineStr">
        <is>
          <t>p1 r23</t>
        </is>
      </c>
      <c r="AO299" s="18" t="inlineStr">
        <is>
          <t>p1: R$ 497.078,85</t>
        </is>
      </c>
      <c r="AP299" s="18" t="inlineStr">
        <is>
          <t>UNKNOWN</t>
        </is>
      </c>
      <c r="AQ299" s="18" t="inlineStr"/>
      <c r="AR299" s="18" t="inlineStr">
        <is>
          <t>OK</t>
        </is>
      </c>
      <c r="AS299" s="18" t="inlineStr">
        <is>
          <t>ALT_VALUE:497.078,85 ROWS:p1r23 VALUE_COL:Valor_Atualizado</t>
        </is>
      </c>
      <c r="AT299" s="18" t="inlineStr">
        <is>
          <t>7c0ce2830d0d</t>
        </is>
      </c>
    </row>
    <row r="300">
      <c r="A300" s="9" t="n">
        <v>299</v>
      </c>
      <c r="B300" s="9" t="inlineStr">
        <is>
          <t>NEW</t>
        </is>
      </c>
      <c r="C300" s="9" t="inlineStr"/>
      <c r="D300" s="9" t="n">
        <v>0</v>
      </c>
      <c r="E300" s="9" t="inlineStr"/>
      <c r="F300" s="9" t="inlineStr"/>
      <c r="G300" s="9" t="inlineStr"/>
      <c r="H300" s="9" t="inlineStr"/>
      <c r="I300" t="inlineStr">
        <is>
          <t>COLOR VISAO DO BRASIL INDUSTRIA ACRILICA LIMITADA</t>
        </is>
      </c>
      <c r="J300" t="inlineStr">
        <is>
          <t>47.747.969/0003-56</t>
        </is>
      </c>
      <c r="K300" t="inlineStr">
        <is>
          <t>47747969</t>
        </is>
      </c>
      <c r="L300" t="inlineStr">
        <is>
          <t>47747969000356</t>
        </is>
      </c>
      <c r="M300" s="10" t="n">
        <v>491209.57</v>
      </c>
      <c r="N300" t="n">
        <v>1</v>
      </c>
      <c r="O300" s="11" t="inlineStr">
        <is>
          <t>C</t>
        </is>
      </c>
      <c r="P300" s="11" t="inlineStr">
        <is>
          <t>ACTIVE</t>
        </is>
      </c>
      <c r="Q300" s="12" t="n">
        <v>43894</v>
      </c>
      <c r="R300" s="11">
        <f>IF(Q300="","",ROUND((TODAY()-Q300)/365.25,1))</f>
        <v/>
      </c>
      <c r="S300" s="13">
        <f>IFERROR(VLOOKUP(O300,Assumptions!$A$7:$F$11,2,FALSE),0.25)</f>
        <v/>
      </c>
      <c r="T300" s="14">
        <f>IF(O300="A",MAX(1,IFERROR(VLOOKUP(O300,Assumptions!$A$7:$F$11,3,FALSE),3)+IFERROR(VLOOKUP(O300,Assumptions!$A$7:$F$11,4,FALSE),8)/2-MAX(0,IF(R300="",0,R300)-IFERROR(VLOOKUP(O300,Assumptions!$A$7:$F$11,5,FALSE),1.5))),IFERROR(VLOOKUP(O300,Assumptions!$A$7:$F$11,5,FALSE),2.5)+IFERROR(VLOOKUP(O300,Assumptions!$A$7:$F$11,3,FALSE),3)+IFERROR(VLOOKUP(O300,Assumptions!$A$7:$F$11,4,FALSE),8)/2)</f>
        <v/>
      </c>
      <c r="U300" s="15">
        <f>M300*S300/(1+Assumptions!$B$3)^T300</f>
        <v/>
      </c>
      <c r="V300" s="11">
        <f>IF(M300=0,"",ROUND(U300/M300*100,1))</f>
        <v/>
      </c>
      <c r="W300" s="16">
        <f>U300*Assumptions!$B$4</f>
        <v/>
      </c>
      <c r="X300" s="11">
        <f>IF(M300=0,"",ROUND(W300/M300*100,1))</f>
        <v/>
      </c>
      <c r="Y300" t="inlineStr">
        <is>
          <t>CREDIMÓVEIS NOVOLAR LTDA.</t>
        </is>
      </c>
      <c r="Z300" t="inlineStr">
        <is>
          <t>0007565-40.2020.8.17.2370</t>
        </is>
      </c>
      <c r="AA300" t="inlineStr">
        <is>
          <t>TJPE</t>
        </is>
      </c>
      <c r="AB300" t="inlineStr">
        <is>
          <t>recuperacaojudicial.squarespace.com</t>
        </is>
      </c>
      <c r="AC300" t="inlineStr">
        <is>
          <t>CARLOS ALBERTO RIBEIRO DA SILVA</t>
        </is>
      </c>
      <c r="AD300" t="inlineStr">
        <is>
          <t>Sócio-Administrador</t>
        </is>
      </c>
      <c r="AE300" t="inlineStr">
        <is>
          <t>(18) 3631-8500</t>
        </is>
      </c>
      <c r="AF300" t="inlineStr"/>
      <c r="AG300" t="inlineStr"/>
      <c r="AH300" t="inlineStr">
        <is>
          <t>SP</t>
        </is>
      </c>
      <c r="AI300" t="inlineStr">
        <is>
          <t>ARACATUBA</t>
        </is>
      </c>
      <c r="AJ300" t="inlineStr">
        <is>
          <t>Fabricação de fogões, refrigeradores e máquinas de lavar e secar para uso doméstico, peças e acessórios</t>
        </is>
      </c>
      <c r="AK300" t="inlineStr">
        <is>
          <t>DEMAIS</t>
        </is>
      </c>
      <c r="AL300" t="inlineStr">
        <is>
          <t>ATIVA</t>
        </is>
      </c>
      <c r="AM300" s="17" t="inlineStr">
        <is>
          <t>https://recuperacaojudicial.squarespace.com/s/RJ-Credimoveis-QGC-01082025.pdf</t>
        </is>
      </c>
      <c r="AN300" s="18" t="inlineStr">
        <is>
          <t>p15 r35</t>
        </is>
      </c>
      <c r="AO300" s="18" t="inlineStr">
        <is>
          <t>p15: R$ 491.209,57</t>
        </is>
      </c>
      <c r="AP300" s="18" t="inlineStr">
        <is>
          <t>QGC</t>
        </is>
      </c>
      <c r="AQ300" s="18" t="inlineStr">
        <is>
          <t>2026-01-28</t>
        </is>
      </c>
      <c r="AR300" s="18" t="inlineStr">
        <is>
          <t>OK</t>
        </is>
      </c>
      <c r="AS300" s="18" t="inlineStr">
        <is>
          <t>ROWS:p15r35</t>
        </is>
      </c>
      <c r="AT300" s="18" t="inlineStr">
        <is>
          <t>849d4fe5adce</t>
        </is>
      </c>
    </row>
    <row r="301">
      <c r="A301" s="9" t="n">
        <v>300</v>
      </c>
      <c r="B301" s="9" t="inlineStr">
        <is>
          <t>NEW</t>
        </is>
      </c>
      <c r="C301" s="9" t="inlineStr"/>
      <c r="D301" s="9" t="n">
        <v>0</v>
      </c>
      <c r="E301" s="9" t="inlineStr"/>
      <c r="F301" s="9" t="inlineStr"/>
      <c r="G301" s="9" t="inlineStr"/>
      <c r="H301" s="9" t="inlineStr"/>
      <c r="I301" t="inlineStr">
        <is>
          <t>CAEL ATACADO LTDA</t>
        </is>
      </c>
      <c r="J301" t="inlineStr">
        <is>
          <t>08.439.087/0003-71</t>
        </is>
      </c>
      <c r="K301" t="inlineStr">
        <is>
          <t>08439087</t>
        </is>
      </c>
      <c r="L301" t="inlineStr">
        <is>
          <t>08439087000371</t>
        </is>
      </c>
      <c r="M301" s="10" t="n">
        <v>489038.37</v>
      </c>
      <c r="N301" t="n">
        <v>1</v>
      </c>
      <c r="O301" s="11" t="inlineStr">
        <is>
          <t>C</t>
        </is>
      </c>
      <c r="P301" s="11" t="inlineStr">
        <is>
          <t>ACTIVE</t>
        </is>
      </c>
      <c r="Q301" s="12" t="n">
        <v>43894</v>
      </c>
      <c r="R301" s="11">
        <f>IF(Q301="","",ROUND((TODAY()-Q301)/365.25,1))</f>
        <v/>
      </c>
      <c r="S301" s="13">
        <f>IFERROR(VLOOKUP(O301,Assumptions!$A$7:$F$11,2,FALSE),0.25)</f>
        <v/>
      </c>
      <c r="T301" s="14">
        <f>IF(O301="A",MAX(1,IFERROR(VLOOKUP(O301,Assumptions!$A$7:$F$11,3,FALSE),3)+IFERROR(VLOOKUP(O301,Assumptions!$A$7:$F$11,4,FALSE),8)/2-MAX(0,IF(R301="",0,R301)-IFERROR(VLOOKUP(O301,Assumptions!$A$7:$F$11,5,FALSE),1.5))),IFERROR(VLOOKUP(O301,Assumptions!$A$7:$F$11,5,FALSE),2.5)+IFERROR(VLOOKUP(O301,Assumptions!$A$7:$F$11,3,FALSE),3)+IFERROR(VLOOKUP(O301,Assumptions!$A$7:$F$11,4,FALSE),8)/2)</f>
        <v/>
      </c>
      <c r="U301" s="15">
        <f>M301*S301/(1+Assumptions!$B$3)^T301</f>
        <v/>
      </c>
      <c r="V301" s="11">
        <f>IF(M301=0,"",ROUND(U301/M301*100,1))</f>
        <v/>
      </c>
      <c r="W301" s="16">
        <f>U301*Assumptions!$B$4</f>
        <v/>
      </c>
      <c r="X301" s="11">
        <f>IF(M301=0,"",ROUND(W301/M301*100,1))</f>
        <v/>
      </c>
      <c r="Y301" t="inlineStr">
        <is>
          <t>CREDIMÓVEIS NOVOLAR LTDA.</t>
        </is>
      </c>
      <c r="Z301" t="inlineStr">
        <is>
          <t>0007565-40.2020.8.17.2370</t>
        </is>
      </c>
      <c r="AA301" t="inlineStr">
        <is>
          <t>TJPE</t>
        </is>
      </c>
      <c r="AB301" t="inlineStr">
        <is>
          <t>recuperacaojudicial.squarespace.com</t>
        </is>
      </c>
      <c r="AC301" t="inlineStr">
        <is>
          <t>ALEXANDRE BARBOSA LEAL</t>
        </is>
      </c>
      <c r="AD301" t="inlineStr">
        <is>
          <t>Sócio-Administrador</t>
        </is>
      </c>
      <c r="AE301" t="inlineStr">
        <is>
          <t>(81) 3722-5599</t>
        </is>
      </c>
      <c r="AF301" t="inlineStr"/>
      <c r="AG301" t="inlineStr"/>
      <c r="AH301" t="inlineStr">
        <is>
          <t>PE</t>
        </is>
      </c>
      <c r="AI301" t="inlineStr">
        <is>
          <t>CARUARU</t>
        </is>
      </c>
      <c r="AJ301" t="inlineStr">
        <is>
          <t>Comércio atacadista de outros equipamentos e artigos de uso pessoal e doméstico não especificados anteriormente</t>
        </is>
      </c>
      <c r="AK301" t="inlineStr">
        <is>
          <t>DEMAIS</t>
        </is>
      </c>
      <c r="AL301" t="inlineStr">
        <is>
          <t>ATIVA</t>
        </is>
      </c>
      <c r="AM301" s="17" t="inlineStr">
        <is>
          <t>https://recuperacaojudicial.squarespace.com/s/RJ-Credimoveis-QGC-01082025.pdf</t>
        </is>
      </c>
      <c r="AN301" s="18" t="inlineStr">
        <is>
          <t>p15 r25</t>
        </is>
      </c>
      <c r="AO301" s="18" t="inlineStr">
        <is>
          <t>p15: R$ 489.038,37</t>
        </is>
      </c>
      <c r="AP301" s="18" t="inlineStr">
        <is>
          <t>QGC</t>
        </is>
      </c>
      <c r="AQ301" s="18" t="inlineStr">
        <is>
          <t>2026-01-28</t>
        </is>
      </c>
      <c r="AR301" s="18" t="inlineStr">
        <is>
          <t>OK</t>
        </is>
      </c>
      <c r="AS301" s="18" t="inlineStr">
        <is>
          <t>ROWS:p15r25</t>
        </is>
      </c>
      <c r="AT301" s="18" t="inlineStr">
        <is>
          <t>849d4fe5adce</t>
        </is>
      </c>
    </row>
    <row r="302">
      <c r="A302" s="9" t="n">
        <v>301</v>
      </c>
      <c r="B302" s="9" t="inlineStr">
        <is>
          <t>NEW</t>
        </is>
      </c>
      <c r="C302" s="9" t="inlineStr"/>
      <c r="D302" s="9" t="n">
        <v>0</v>
      </c>
      <c r="E302" s="9" t="inlineStr"/>
      <c r="F302" s="9" t="inlineStr"/>
      <c r="G302" s="9" t="inlineStr"/>
      <c r="H302" s="9" t="inlineStr"/>
      <c r="I302" t="inlineStr">
        <is>
          <t>GREEN PLACE COMERCIO E DISTRIBUICAO LTDA</t>
        </is>
      </c>
      <c r="J302" t="inlineStr">
        <is>
          <t>GREEN PLACE COMÉRCIO E DISTRIBUIÇÃO LTDA</t>
        </is>
      </c>
      <c r="K302" t="inlineStr">
        <is>
          <t>26401815</t>
        </is>
      </c>
      <c r="L302" t="inlineStr">
        <is>
          <t>26401815000508</t>
        </is>
      </c>
      <c r="M302" s="10" t="n">
        <v>488225</v>
      </c>
      <c r="N302" t="n">
        <v>1</v>
      </c>
      <c r="O302" s="11" t="inlineStr">
        <is>
          <t>B</t>
        </is>
      </c>
      <c r="P302" s="11" t="inlineStr">
        <is>
          <t>ACTIVE</t>
        </is>
      </c>
      <c r="Q302" s="12" t="n">
        <v>46030</v>
      </c>
      <c r="R302" s="11">
        <f>IF(Q302="","",ROUND((TODAY()-Q302)/365.25,1))</f>
        <v/>
      </c>
      <c r="S302" s="13">
        <f>IFERROR(VLOOKUP(O302,Assumptions!$A$7:$F$11,2,FALSE),0.25)</f>
        <v/>
      </c>
      <c r="T302" s="14">
        <f>IF(O302="A",MAX(1,IFERROR(VLOOKUP(O302,Assumptions!$A$7:$F$11,3,FALSE),3)+IFERROR(VLOOKUP(O302,Assumptions!$A$7:$F$11,4,FALSE),8)/2-MAX(0,IF(R302="",0,R302)-IFERROR(VLOOKUP(O302,Assumptions!$A$7:$F$11,5,FALSE),1.5))),IFERROR(VLOOKUP(O302,Assumptions!$A$7:$F$11,5,FALSE),2.5)+IFERROR(VLOOKUP(O302,Assumptions!$A$7:$F$11,3,FALSE),3)+IFERROR(VLOOKUP(O302,Assumptions!$A$7:$F$11,4,FALSE),8)/2)</f>
        <v/>
      </c>
      <c r="U302" s="15">
        <f>M302*S302/(1+Assumptions!$B$3)^T302</f>
        <v/>
      </c>
      <c r="V302" s="11">
        <f>IF(M302=0,"",ROUND(U302/M302*100,1))</f>
        <v/>
      </c>
      <c r="W302" s="16">
        <f>U302*Assumptions!$B$4</f>
        <v/>
      </c>
      <c r="X302" s="11">
        <f>IF(M302=0,"",ROUND(W302/M302*100,1))</f>
        <v/>
      </c>
      <c r="Y302" t="inlineStr">
        <is>
          <t>GRUPO FERRARI (ALEX, ALEXANDRE , ANDRIELLE FERRARI MANTELLI, ARCIR LUIS, ERICA SANTOS ASSIS LIMA, FERNANDO MANTELLI, IDELSI, TALITA LEITE SILVA, AGROPECUARIA FERRARI LTDA E FERRARI ARMAZENS GERAIS)</t>
        </is>
      </c>
      <c r="Z302" t="inlineStr">
        <is>
          <t>5011369-81.2026.8.09.0093</t>
        </is>
      </c>
      <c r="AA302" t="inlineStr">
        <is>
          <t>TJGO</t>
        </is>
      </c>
      <c r="AB302" t="inlineStr">
        <is>
          <t>scalzilliaj.com.br</t>
        </is>
      </c>
      <c r="AC302" t="inlineStr">
        <is>
          <t>MARCELO PERES</t>
        </is>
      </c>
      <c r="AD302" t="inlineStr">
        <is>
          <t>Administrador</t>
        </is>
      </c>
      <c r="AE302" t="inlineStr">
        <is>
          <t>(11) 2372-2376</t>
        </is>
      </c>
      <c r="AF302" t="inlineStr"/>
      <c r="AG302" t="inlineStr"/>
      <c r="AH302" t="inlineStr">
        <is>
          <t>SP</t>
        </is>
      </c>
      <c r="AI302" t="inlineStr">
        <is>
          <t>SAO PAULO</t>
        </is>
      </c>
      <c r="AJ302" t="inlineStr">
        <is>
          <t>Comércio atacadista de defensivos agrícolas, adubos, fertilizantes e corretivos do solo</t>
        </is>
      </c>
      <c r="AK302" t="inlineStr">
        <is>
          <t>DEMAIS</t>
        </is>
      </c>
      <c r="AL302" t="inlineStr">
        <is>
          <t>ATIVA</t>
        </is>
      </c>
      <c r="AM302" s="17" t="inlineStr">
        <is>
          <t>https://scalzilliaj.com.br/sgc/download.php?file=files/processo_documento/processo_documento11421222052026_1_.pdf&amp;nome=08. Lista de credores do edital do art. 52, §1º da LREF</t>
        </is>
      </c>
      <c r="AN302" s="18" t="inlineStr">
        <is>
          <t>p4 r7</t>
        </is>
      </c>
      <c r="AO302" s="18" t="inlineStr">
        <is>
          <t>p4: R$ 488.225,00</t>
        </is>
      </c>
      <c r="AP302" s="18" t="inlineStr">
        <is>
          <t>UNKNOWN</t>
        </is>
      </c>
      <c r="AQ302" s="18" t="inlineStr"/>
      <c r="AR302" s="18" t="inlineStr">
        <is>
          <t>OK_NO_TOTALS</t>
        </is>
      </c>
      <c r="AS302" s="18" t="inlineStr">
        <is>
          <t>ROWS:p4r7 UNRECONCILED_SOURCE</t>
        </is>
      </c>
      <c r="AT302" s="18" t="inlineStr">
        <is>
          <t>c536a2fa4da3</t>
        </is>
      </c>
    </row>
    <row r="303">
      <c r="A303" s="9" t="n">
        <v>302</v>
      </c>
      <c r="B303" s="9" t="inlineStr">
        <is>
          <t>NEW</t>
        </is>
      </c>
      <c r="C303" s="9" t="inlineStr"/>
      <c r="D303" s="9" t="n">
        <v>0</v>
      </c>
      <c r="E303" s="9" t="inlineStr"/>
      <c r="F303" s="9" t="inlineStr"/>
      <c r="G303" s="9" t="inlineStr"/>
      <c r="H303" s="9" t="inlineStr"/>
      <c r="I303" t="inlineStr">
        <is>
          <t>FRANGOS PIONEIRO INDUSTRIA E COMERCIO DE ALIMENTOS LTDA</t>
        </is>
      </c>
      <c r="J303" t="inlineStr">
        <is>
          <t>Frangos Pioneiro Industria E Comercio De Alimentos Ltda</t>
        </is>
      </c>
      <c r="K303" t="inlineStr">
        <is>
          <t>00974731</t>
        </is>
      </c>
      <c r="L303" t="inlineStr">
        <is>
          <t>00974731000642</t>
        </is>
      </c>
      <c r="M303" s="10" t="n">
        <v>484066.19</v>
      </c>
      <c r="N303" t="n">
        <v>1</v>
      </c>
      <c r="O303" s="11" t="inlineStr">
        <is>
          <t>C</t>
        </is>
      </c>
      <c r="P303" s="11" t="inlineStr">
        <is>
          <t>ACTIVE</t>
        </is>
      </c>
      <c r="Q303" s="12" t="n">
        <v>45275</v>
      </c>
      <c r="R303" s="11">
        <f>IF(Q303="","",ROUND((TODAY()-Q303)/365.25,1))</f>
        <v/>
      </c>
      <c r="S303" s="13">
        <f>IFERROR(VLOOKUP(O303,Assumptions!$A$7:$F$11,2,FALSE),0.25)</f>
        <v/>
      </c>
      <c r="T303" s="14">
        <f>IF(O303="A",MAX(1,IFERROR(VLOOKUP(O303,Assumptions!$A$7:$F$11,3,FALSE),3)+IFERROR(VLOOKUP(O303,Assumptions!$A$7:$F$11,4,FALSE),8)/2-MAX(0,IF(R303="",0,R303)-IFERROR(VLOOKUP(O303,Assumptions!$A$7:$F$11,5,FALSE),1.5))),IFERROR(VLOOKUP(O303,Assumptions!$A$7:$F$11,5,FALSE),2.5)+IFERROR(VLOOKUP(O303,Assumptions!$A$7:$F$11,3,FALSE),3)+IFERROR(VLOOKUP(O303,Assumptions!$A$7:$F$11,4,FALSE),8)/2)</f>
        <v/>
      </c>
      <c r="U303" s="15">
        <f>M303*S303/(1+Assumptions!$B$3)^T303</f>
        <v/>
      </c>
      <c r="V303" s="11">
        <f>IF(M303=0,"",ROUND(U303/M303*100,1))</f>
        <v/>
      </c>
      <c r="W303" s="16">
        <f>U303*Assumptions!$B$4</f>
        <v/>
      </c>
      <c r="X303" s="11">
        <f>IF(M303=0,"",ROUND(W303/M303*100,1))</f>
        <v/>
      </c>
      <c r="Y303" t="inlineStr">
        <is>
          <t>Grupo Agromeal</t>
        </is>
      </c>
      <c r="Z303" t="inlineStr">
        <is>
          <t>0003971-03.2023.8.16.0119</t>
        </is>
      </c>
      <c r="AA303" t="inlineStr">
        <is>
          <t>TJPR</t>
        </is>
      </c>
      <c r="AB303" t="inlineStr">
        <is>
          <t>marquesadmjudicial.com.br</t>
        </is>
      </c>
      <c r="AC303" t="inlineStr">
        <is>
          <t>TARCIZO MESSIAS DOS SANTOS</t>
        </is>
      </c>
      <c r="AD303" t="inlineStr">
        <is>
          <t>Sócio-Administrador</t>
        </is>
      </c>
      <c r="AE303" t="inlineStr">
        <is>
          <t>(43) 3559-8000</t>
        </is>
      </c>
      <c r="AF303" t="inlineStr"/>
      <c r="AG303" t="inlineStr"/>
      <c r="AH303" t="inlineStr">
        <is>
          <t>PR</t>
        </is>
      </c>
      <c r="AI303" t="inlineStr">
        <is>
          <t>JOAQUIM TAVORA</t>
        </is>
      </c>
      <c r="AJ303" t="inlineStr">
        <is>
          <t>Fabricação de produtos de carne</t>
        </is>
      </c>
      <c r="AK303" t="inlineStr">
        <is>
          <t>DEMAIS</t>
        </is>
      </c>
      <c r="AL303" t="inlineStr">
        <is>
          <t>ATIVA</t>
        </is>
      </c>
      <c r="AM303" s="17" t="inlineStr">
        <is>
          <t>https://marquesadmjudicial.com.br/sgc/download.php?file=files/processo_documento/processo_documento17040729052024_1_.pdf&amp;nome=Relação Nominal de Credores AJ-Sintética</t>
        </is>
      </c>
      <c r="AN303" s="18" t="inlineStr">
        <is>
          <t>p11 r6</t>
        </is>
      </c>
      <c r="AO303" s="18" t="inlineStr">
        <is>
          <t>p11: R$ 484.066,19</t>
        </is>
      </c>
      <c r="AP303" s="18" t="inlineStr">
        <is>
          <t>AJ_LIST</t>
        </is>
      </c>
      <c r="AQ303" s="18" t="inlineStr">
        <is>
          <t>2024-05-27</t>
        </is>
      </c>
      <c r="AR303" s="18" t="inlineStr">
        <is>
          <t>QUARANTINED</t>
        </is>
      </c>
      <c r="AS303" s="18" t="inlineStr">
        <is>
          <t>PARTIAL_DOC_CLASS_III_RECONCILED ROWS:p11r6</t>
        </is>
      </c>
      <c r="AT303" s="18" t="inlineStr">
        <is>
          <t>1209dafe77b7</t>
        </is>
      </c>
    </row>
    <row r="304">
      <c r="A304" s="9" t="n">
        <v>303</v>
      </c>
      <c r="B304" s="9" t="inlineStr">
        <is>
          <t>NEW</t>
        </is>
      </c>
      <c r="C304" s="9" t="inlineStr"/>
      <c r="D304" s="9" t="n">
        <v>0</v>
      </c>
      <c r="E304" s="9" t="inlineStr"/>
      <c r="F304" s="9" t="inlineStr"/>
      <c r="G304" s="9" t="inlineStr"/>
      <c r="H304" s="9" t="inlineStr"/>
      <c r="I304" t="inlineStr">
        <is>
          <t>MEGA PACK PLASTICOS S.A</t>
        </is>
      </c>
      <c r="J304" t="inlineStr">
        <is>
          <t>MEGA PACK PLASTICOS S.A EM RECUPERACAO JUDICIAL</t>
        </is>
      </c>
      <c r="K304" t="inlineStr">
        <is>
          <t>19631376</t>
        </is>
      </c>
      <c r="L304" t="inlineStr">
        <is>
          <t>19631376000203</t>
        </is>
      </c>
      <c r="M304" s="10" t="n">
        <v>484000</v>
      </c>
      <c r="N304" t="n">
        <v>1</v>
      </c>
      <c r="O304" s="11" t="inlineStr">
        <is>
          <t>C</t>
        </is>
      </c>
      <c r="P304" s="11" t="inlineStr">
        <is>
          <t>ACTIVE</t>
        </is>
      </c>
      <c r="Q304" s="12" t="n">
        <v>45016</v>
      </c>
      <c r="R304" s="11">
        <f>IF(Q304="","",ROUND((TODAY()-Q304)/365.25,1))</f>
        <v/>
      </c>
      <c r="S304" s="13">
        <f>IFERROR(VLOOKUP(O304,Assumptions!$A$7:$F$11,2,FALSE),0.25)</f>
        <v/>
      </c>
      <c r="T304" s="14">
        <f>IF(O304="A",MAX(1,IFERROR(VLOOKUP(O304,Assumptions!$A$7:$F$11,3,FALSE),3)+IFERROR(VLOOKUP(O304,Assumptions!$A$7:$F$11,4,FALSE),8)/2-MAX(0,IF(R304="",0,R304)-IFERROR(VLOOKUP(O304,Assumptions!$A$7:$F$11,5,FALSE),1.5))),IFERROR(VLOOKUP(O304,Assumptions!$A$7:$F$11,5,FALSE),2.5)+IFERROR(VLOOKUP(O304,Assumptions!$A$7:$F$11,3,FALSE),3)+IFERROR(VLOOKUP(O304,Assumptions!$A$7:$F$11,4,FALSE),8)/2)</f>
        <v/>
      </c>
      <c r="U304" s="15">
        <f>M304*S304/(1+Assumptions!$B$3)^T304</f>
        <v/>
      </c>
      <c r="V304" s="11">
        <f>IF(M304=0,"",ROUND(U304/M304*100,1))</f>
        <v/>
      </c>
      <c r="W304" s="16">
        <f>U304*Assumptions!$B$4</f>
        <v/>
      </c>
      <c r="X304" s="11">
        <f>IF(M304=0,"",ROUND(W304/M304*100,1))</f>
        <v/>
      </c>
      <c r="Y304" t="inlineStr">
        <is>
          <t>GRUPO IMPLASVERDE</t>
        </is>
      </c>
      <c r="Z304" t="inlineStr">
        <is>
          <t>0800778-16.2023.8.20.5104</t>
        </is>
      </c>
      <c r="AA304" t="inlineStr">
        <is>
          <t>TJRN</t>
        </is>
      </c>
      <c r="AB304" t="inlineStr">
        <is>
          <t>recuperacaojudicial.squarespace.com</t>
        </is>
      </c>
      <c r="AC304" t="inlineStr">
        <is>
          <t>KLEBER AVILA VIEIRA</t>
        </is>
      </c>
      <c r="AD304" t="inlineStr">
        <is>
          <t>Presidente</t>
        </is>
      </c>
      <c r="AE304" t="inlineStr">
        <is>
          <t>(92) 3301-9001</t>
        </is>
      </c>
      <c r="AF304" t="inlineStr">
        <is>
          <t>(19) 8107-5841</t>
        </is>
      </c>
      <c r="AG304" t="inlineStr"/>
      <c r="AH304" t="inlineStr">
        <is>
          <t>AM</t>
        </is>
      </c>
      <c r="AI304" t="inlineStr">
        <is>
          <t>MANAUS</t>
        </is>
      </c>
      <c r="AJ304" t="inlineStr">
        <is>
          <t>Fabricação de laminados planos e tubulares de material plástico</t>
        </is>
      </c>
      <c r="AK304" t="inlineStr">
        <is>
          <t>DEMAIS</t>
        </is>
      </c>
      <c r="AL304" t="inlineStr">
        <is>
          <t>ATIVA</t>
        </is>
      </c>
      <c r="AM304" s="17" t="inlineStr">
        <is>
          <t>http://recuperacaojudicial.squarespace.com/s/LISTA-DE-CREDORES-CONSOLIDADA-ATE-04102024.pdf</t>
        </is>
      </c>
      <c r="AN304" s="18" t="inlineStr">
        <is>
          <t>p6 r14</t>
        </is>
      </c>
      <c r="AO304" s="18" t="inlineStr">
        <is>
          <t>p6: R$ 484.000,00</t>
        </is>
      </c>
      <c r="AP304" s="18" t="inlineStr">
        <is>
          <t>AJ_LIST</t>
        </is>
      </c>
      <c r="AQ304" s="18" t="inlineStr">
        <is>
          <t>2024-10-04</t>
        </is>
      </c>
      <c r="AR304" s="18" t="inlineStr">
        <is>
          <t>OK</t>
        </is>
      </c>
      <c r="AS304" s="18" t="inlineStr">
        <is>
          <t>ROWS:p6r14 VALUE_COL:Valor_Do_Crédito</t>
        </is>
      </c>
      <c r="AT304" s="18" t="inlineStr">
        <is>
          <t>7501ec99fc8e</t>
        </is>
      </c>
    </row>
    <row r="305">
      <c r="A305" s="9" t="n">
        <v>304</v>
      </c>
      <c r="B305" s="9" t="inlineStr">
        <is>
          <t>NEW</t>
        </is>
      </c>
      <c r="C305" s="9" t="inlineStr"/>
      <c r="D305" s="9" t="n">
        <v>0</v>
      </c>
      <c r="E305" s="9" t="inlineStr"/>
      <c r="F305" s="9" t="inlineStr"/>
      <c r="G305" s="9" t="inlineStr"/>
      <c r="H305" s="9" t="inlineStr"/>
      <c r="I305" t="inlineStr">
        <is>
          <t>HUESKER LTDA</t>
        </is>
      </c>
      <c r="J305" t="inlineStr">
        <is>
          <t>Huesker Ltda</t>
        </is>
      </c>
      <c r="K305" t="inlineStr">
        <is>
          <t>02565876</t>
        </is>
      </c>
      <c r="L305" t="inlineStr">
        <is>
          <t>02565876000100</t>
        </is>
      </c>
      <c r="M305" s="10" t="n">
        <v>483478.41</v>
      </c>
      <c r="N305" t="n">
        <v>1</v>
      </c>
      <c r="O305" s="11" t="inlineStr">
        <is>
          <t>B</t>
        </is>
      </c>
      <c r="P305" s="11" t="inlineStr"/>
      <c r="Q305" s="12" t="n">
        <v>45756</v>
      </c>
      <c r="R305" s="11">
        <f>IF(Q305="","",ROUND((TODAY()-Q305)/365.25,1))</f>
        <v/>
      </c>
      <c r="S305" s="13">
        <f>IFERROR(VLOOKUP(O305,Assumptions!$A$7:$F$11,2,FALSE),0.25)</f>
        <v/>
      </c>
      <c r="T305" s="14">
        <f>IF(O305="A",MAX(1,IFERROR(VLOOKUP(O305,Assumptions!$A$7:$F$11,3,FALSE),3)+IFERROR(VLOOKUP(O305,Assumptions!$A$7:$F$11,4,FALSE),8)/2-MAX(0,IF(R305="",0,R305)-IFERROR(VLOOKUP(O305,Assumptions!$A$7:$F$11,5,FALSE),1.5))),IFERROR(VLOOKUP(O305,Assumptions!$A$7:$F$11,5,FALSE),2.5)+IFERROR(VLOOKUP(O305,Assumptions!$A$7:$F$11,3,FALSE),3)+IFERROR(VLOOKUP(O305,Assumptions!$A$7:$F$11,4,FALSE),8)/2)</f>
        <v/>
      </c>
      <c r="U305" s="15">
        <f>M305*S305/(1+Assumptions!$B$3)^T305</f>
        <v/>
      </c>
      <c r="V305" s="11">
        <f>IF(M305=0,"",ROUND(U305/M305*100,1))</f>
        <v/>
      </c>
      <c r="W305" s="16">
        <f>U305*Assumptions!$B$4</f>
        <v/>
      </c>
      <c r="X305" s="11">
        <f>IF(M305=0,"",ROUND(W305/M305*100,1))</f>
        <v/>
      </c>
      <c r="Y305" t="inlineStr">
        <is>
          <t>GRUPO EGESA (EGESA ENG S.A, EGESUR PART E EMP S.A, MATRIX INFRA LTDA, BEMVIVER ENG AMBIENTAL E SERV LTDA, DKF CONST E EMP LTDA, EGEPEL LTDA, ETR ASSESSORIA EMP E PART LTDA, MVT ENG E SERV LTDA, PARQUES DO VALE LTDA, ELMO RIBEIRO E ANA RIBEIRO)</t>
        </is>
      </c>
      <c r="Z305" t="inlineStr">
        <is>
          <t>5088952-81.2025.8.13.0024</t>
        </is>
      </c>
      <c r="AA305" t="inlineStr">
        <is>
          <t>TJMG</t>
        </is>
      </c>
      <c r="AB305" t="inlineStr">
        <is>
          <t>scalzilliaj.com.br</t>
        </is>
      </c>
      <c r="AC305" t="inlineStr">
        <is>
          <t>ANDRE ESTEVAO FERREIRA DA SILVA</t>
        </is>
      </c>
      <c r="AD305" t="inlineStr">
        <is>
          <t>Administrador</t>
        </is>
      </c>
      <c r="AE305" t="inlineStr">
        <is>
          <t>(12) 3903-9300</t>
        </is>
      </c>
      <c r="AF305" t="inlineStr">
        <is>
          <t>(12) 2138-8200</t>
        </is>
      </c>
      <c r="AG305" t="inlineStr"/>
      <c r="AH305" t="inlineStr">
        <is>
          <t>SP</t>
        </is>
      </c>
      <c r="AI305" t="inlineStr">
        <is>
          <t>SAO JOSE DOS CAMPOS</t>
        </is>
      </c>
      <c r="AJ305" t="inlineStr">
        <is>
          <t>Comércio atacadista especializado de materiais de construção não especificados anteriormente</t>
        </is>
      </c>
      <c r="AK305" t="inlineStr">
        <is>
          <t>DEMAIS</t>
        </is>
      </c>
      <c r="AL305" t="inlineStr">
        <is>
          <t>ATIVA</t>
        </is>
      </c>
      <c r="AM305" s="17" t="inlineStr">
        <is>
          <t>https://scalzilliaj.com.br/sgc/download.php?file=files/processo_documento/processo_documento09514021082025_1_.pdf&amp;nome=04 - Relação de credores das Recuperandas</t>
        </is>
      </c>
      <c r="AN305" s="18" t="inlineStr">
        <is>
          <t>p68 r2</t>
        </is>
      </c>
      <c r="AO305" s="18" t="inlineStr">
        <is>
          <t>p68: R$ 483.478,41</t>
        </is>
      </c>
      <c r="AP305" s="18" t="inlineStr">
        <is>
          <t>DEBTOR_LIST</t>
        </is>
      </c>
      <c r="AQ305" s="18" t="inlineStr"/>
      <c r="AR305" s="18" t="inlineStr">
        <is>
          <t>OK</t>
        </is>
      </c>
      <c r="AS305" s="18" t="inlineStr">
        <is>
          <t>ROWS:p68r2 VALUE_COL:Valor_Atualizado CASE_NUMBER_CORRECTED CASE_FROM_PORTAL</t>
        </is>
      </c>
      <c r="AT305" s="18" t="inlineStr">
        <is>
          <t>24ed98480a57</t>
        </is>
      </c>
    </row>
    <row r="306">
      <c r="A306" s="9" t="n">
        <v>305</v>
      </c>
      <c r="B306" s="9" t="inlineStr">
        <is>
          <t>NEW</t>
        </is>
      </c>
      <c r="C306" s="9" t="inlineStr"/>
      <c r="D306" s="9" t="n">
        <v>0</v>
      </c>
      <c r="E306" s="9" t="inlineStr"/>
      <c r="F306" s="9" t="inlineStr"/>
      <c r="G306" s="9" t="inlineStr"/>
      <c r="H306" s="9" t="inlineStr"/>
      <c r="I306" t="inlineStr">
        <is>
          <t>SAO SALVADOR ALIMENTOS S/A</t>
        </is>
      </c>
      <c r="J306" t="inlineStr">
        <is>
          <t>Super Frango</t>
        </is>
      </c>
      <c r="K306" t="inlineStr">
        <is>
          <t>03387396</t>
        </is>
      </c>
      <c r="L306" t="inlineStr">
        <is>
          <t>03387396000160, 03387396002022</t>
        </is>
      </c>
      <c r="M306" s="10" t="n">
        <v>483031.1</v>
      </c>
      <c r="N306" t="n">
        <v>2</v>
      </c>
      <c r="O306" s="11" t="inlineStr">
        <is>
          <t>B</t>
        </is>
      </c>
      <c r="P306" s="11" t="inlineStr">
        <is>
          <t>ACTIVE</t>
        </is>
      </c>
      <c r="Q306" s="12" t="n">
        <v>46130</v>
      </c>
      <c r="R306" s="11">
        <f>IF(Q306="","",ROUND((TODAY()-Q306)/365.25,1))</f>
        <v/>
      </c>
      <c r="S306" s="13">
        <f>IFERROR(VLOOKUP(O306,Assumptions!$A$7:$F$11,2,FALSE),0.25)</f>
        <v/>
      </c>
      <c r="T306" s="14">
        <f>IF(O306="A",MAX(1,IFERROR(VLOOKUP(O306,Assumptions!$A$7:$F$11,3,FALSE),3)+IFERROR(VLOOKUP(O306,Assumptions!$A$7:$F$11,4,FALSE),8)/2-MAX(0,IF(R306="",0,R306)-IFERROR(VLOOKUP(O306,Assumptions!$A$7:$F$11,5,FALSE),1.5))),IFERROR(VLOOKUP(O306,Assumptions!$A$7:$F$11,5,FALSE),2.5)+IFERROR(VLOOKUP(O306,Assumptions!$A$7:$F$11,3,FALSE),3)+IFERROR(VLOOKUP(O306,Assumptions!$A$7:$F$11,4,FALSE),8)/2)</f>
        <v/>
      </c>
      <c r="U306" s="15">
        <f>M306*S306/(1+Assumptions!$B$3)^T306</f>
        <v/>
      </c>
      <c r="V306" s="11">
        <f>IF(M306=0,"",ROUND(U306/M306*100,1))</f>
        <v/>
      </c>
      <c r="W306" s="16">
        <f>U306*Assumptions!$B$4</f>
        <v/>
      </c>
      <c r="X306" s="11">
        <f>IF(M306=0,"",ROUND(W306/M306*100,1))</f>
        <v/>
      </c>
      <c r="Y306" t="inlineStr">
        <is>
          <t>GRUPO 3E</t>
        </is>
      </c>
      <c r="Z306" t="inlineStr">
        <is>
          <t>5341375-33.2026.8.09.0049</t>
        </is>
      </c>
      <c r="AA306" t="inlineStr">
        <is>
          <t>TJGO</t>
        </is>
      </c>
      <c r="AB306" t="inlineStr">
        <is>
          <t>stenius.com.br</t>
        </is>
      </c>
      <c r="AC306" t="inlineStr">
        <is>
          <t>HUGO PERILLO VIEIRA E SOUZA</t>
        </is>
      </c>
      <c r="AD306" t="inlineStr">
        <is>
          <t>Presidente</t>
        </is>
      </c>
      <c r="AE306" t="inlineStr">
        <is>
          <t>(62) 3375-7000</t>
        </is>
      </c>
      <c r="AF306" t="inlineStr"/>
      <c r="AG306" t="inlineStr"/>
      <c r="AH306" t="inlineStr">
        <is>
          <t>GO</t>
        </is>
      </c>
      <c r="AI306" t="inlineStr">
        <is>
          <t>ITABERAI</t>
        </is>
      </c>
      <c r="AJ306" t="inlineStr">
        <is>
          <t>Abate de aves</t>
        </is>
      </c>
      <c r="AK306" t="inlineStr">
        <is>
          <t>DEMAIS</t>
        </is>
      </c>
      <c r="AL306" t="inlineStr">
        <is>
          <t>ATIVA</t>
        </is>
      </c>
      <c r="AM306" s="17" t="inlineStr">
        <is>
          <t>https://stenius.com.br/wp-content/uploads/2026/06/EDITAL-GRUPO-3E.pdf</t>
        </is>
      </c>
      <c r="AN306" s="18" t="inlineStr">
        <is>
          <t>p18 r14; p18 r15</t>
        </is>
      </c>
      <c r="AO306" s="18" t="inlineStr">
        <is>
          <t>p18: R$ 289.071,49; p18: R$ 193.959,61</t>
        </is>
      </c>
      <c r="AP306" s="18" t="inlineStr">
        <is>
          <t>DEBTOR_LIST</t>
        </is>
      </c>
      <c r="AQ306" s="18" t="inlineStr">
        <is>
          <t>2026-06-22</t>
        </is>
      </c>
      <c r="AR306" s="18" t="inlineStr">
        <is>
          <t>OK_NO_TOTALS</t>
        </is>
      </c>
      <c r="AS306" s="18" t="inlineStr">
        <is>
          <t>ROWS:p18r14,p18r15 UNRECONCILED_SOURCE</t>
        </is>
      </c>
      <c r="AT306" s="18" t="inlineStr">
        <is>
          <t>8e8832093a15</t>
        </is>
      </c>
    </row>
    <row r="307">
      <c r="A307" s="9" t="n">
        <v>306</v>
      </c>
      <c r="B307" s="9" t="inlineStr">
        <is>
          <t>NEW</t>
        </is>
      </c>
      <c r="C307" s="9" t="inlineStr"/>
      <c r="D307" s="9" t="n">
        <v>0</v>
      </c>
      <c r="E307" s="9" t="inlineStr"/>
      <c r="F307" s="9" t="inlineStr"/>
      <c r="G307" s="9" t="inlineStr"/>
      <c r="H307" s="9" t="inlineStr"/>
      <c r="I307" t="inlineStr">
        <is>
          <t>A3AGRO COMERCIAL AGRICOLA LTDA</t>
        </is>
      </c>
      <c r="J307" t="inlineStr">
        <is>
          <t>A3AGRO DE MARINGÁ/PR. NATUREZA: RECUPERAÇÃO DE EMPRESA. PROCESSO COMERCIAL AGRICOLA LTDA (</t>
        </is>
      </c>
      <c r="K307" t="inlineStr">
        <is>
          <t>30494410</t>
        </is>
      </c>
      <c r="L307" t="inlineStr">
        <is>
          <t>30494410000288</t>
        </is>
      </c>
      <c r="M307" s="10" t="n">
        <v>480000</v>
      </c>
      <c r="N307" t="n">
        <v>1</v>
      </c>
      <c r="O307" s="11" t="inlineStr">
        <is>
          <t>B</t>
        </is>
      </c>
      <c r="P307" s="11" t="inlineStr">
        <is>
          <t>ACTIVE</t>
        </is>
      </c>
      <c r="Q307" s="12" t="n">
        <v>45594</v>
      </c>
      <c r="R307" s="11">
        <f>IF(Q307="","",ROUND((TODAY()-Q307)/365.25,1))</f>
        <v/>
      </c>
      <c r="S307" s="13">
        <f>IFERROR(VLOOKUP(O307,Assumptions!$A$7:$F$11,2,FALSE),0.25)</f>
        <v/>
      </c>
      <c r="T307" s="14">
        <f>IF(O307="A",MAX(1,IFERROR(VLOOKUP(O307,Assumptions!$A$7:$F$11,3,FALSE),3)+IFERROR(VLOOKUP(O307,Assumptions!$A$7:$F$11,4,FALSE),8)/2-MAX(0,IF(R307="",0,R307)-IFERROR(VLOOKUP(O307,Assumptions!$A$7:$F$11,5,FALSE),1.5))),IFERROR(VLOOKUP(O307,Assumptions!$A$7:$F$11,5,FALSE),2.5)+IFERROR(VLOOKUP(O307,Assumptions!$A$7:$F$11,3,FALSE),3)+IFERROR(VLOOKUP(O307,Assumptions!$A$7:$F$11,4,FALSE),8)/2)</f>
        <v/>
      </c>
      <c r="U307" s="15">
        <f>M307*S307/(1+Assumptions!$B$3)^T307</f>
        <v/>
      </c>
      <c r="V307" s="11">
        <f>IF(M307=0,"",ROUND(U307/M307*100,1))</f>
        <v/>
      </c>
      <c r="W307" s="16">
        <f>U307*Assumptions!$B$4</f>
        <v/>
      </c>
      <c r="X307" s="11">
        <f>IF(M307=0,"",ROUND(W307/M307*100,1))</f>
        <v/>
      </c>
      <c r="Y307" t="inlineStr">
        <is>
          <t>ENIVALDO BARELLA TIRONI, MATEUS MANHANI BARELLA, LEILA REGINA MANHANI BARELLA, B&amp;F AGRO COMÉRCIO DE GRÃOS E INSUMOS AGRÍCOLAS LTDA, BARELLA &amp; FILHOS LTDA E M M LOCAÇÃO EIRELI</t>
        </is>
      </c>
      <c r="Z307" t="inlineStr">
        <is>
          <t>0028131-73.2024.8.16.0017</t>
        </is>
      </c>
      <c r="AA307" t="inlineStr">
        <is>
          <t>TJPR</t>
        </is>
      </c>
      <c r="AB307" t="inlineStr">
        <is>
          <t>scalzilliaj.com.br</t>
        </is>
      </c>
      <c r="AC307" t="inlineStr">
        <is>
          <t>JUREMA PAPINI SANTOS PEDRA COELHO</t>
        </is>
      </c>
      <c r="AD307" t="inlineStr">
        <is>
          <t>Sócio-Administrador</t>
        </is>
      </c>
      <c r="AE307" t="inlineStr">
        <is>
          <t>(99) 9642-0648</t>
        </is>
      </c>
      <c r="AF307" t="inlineStr"/>
      <c r="AG307" t="inlineStr"/>
      <c r="AH307" t="inlineStr">
        <is>
          <t>BA</t>
        </is>
      </c>
      <c r="AI307" t="inlineStr">
        <is>
          <t>LUIS EDUARDO MAGALHAES</t>
        </is>
      </c>
      <c r="AJ307" t="inlineStr">
        <is>
          <t>Comércio atacadista de máquinas, aparelhos e equipamentos para uso agropecuário; partes e peças</t>
        </is>
      </c>
      <c r="AK307" t="inlineStr">
        <is>
          <t>DEMAIS</t>
        </is>
      </c>
      <c r="AL307" t="inlineStr">
        <is>
          <t>ATIVA</t>
        </is>
      </c>
      <c r="AM307" s="17" t="inlineStr">
        <is>
          <t>https://scalzilliaj.com.br/sgc/download.php?file=files/processo_documento/processo_documento15542620022025_1_.pdf&amp;nome=11 - Relação de credores - art. 7º, §2º, da LREF</t>
        </is>
      </c>
      <c r="AN307" s="18" t="inlineStr">
        <is>
          <t>p1 r6</t>
        </is>
      </c>
      <c r="AO307" s="18" t="inlineStr">
        <is>
          <t>p1: R$ 480.000,00</t>
        </is>
      </c>
      <c r="AP307" s="18" t="inlineStr">
        <is>
          <t>AJ_LIST</t>
        </is>
      </c>
      <c r="AQ307" s="18" t="inlineStr">
        <is>
          <t>2025-02-19</t>
        </is>
      </c>
      <c r="AR307" s="18" t="inlineStr">
        <is>
          <t>OK_NO_TOTALS</t>
        </is>
      </c>
      <c r="AS307" s="18" t="inlineStr">
        <is>
          <t>ROWS:p1r6 UNRECONCILED_SOURCE</t>
        </is>
      </c>
      <c r="AT307" s="18" t="inlineStr">
        <is>
          <t>70eb7014739f</t>
        </is>
      </c>
    </row>
    <row r="308">
      <c r="A308" s="9" t="n">
        <v>307</v>
      </c>
      <c r="B308" s="9" t="inlineStr">
        <is>
          <t>NEW</t>
        </is>
      </c>
      <c r="C308" s="9" t="inlineStr"/>
      <c r="D308" s="9" t="n">
        <v>0</v>
      </c>
      <c r="E308" s="9" t="inlineStr"/>
      <c r="F308" s="9" t="inlineStr"/>
      <c r="G308" s="9" t="inlineStr"/>
      <c r="H308" s="9" t="inlineStr"/>
      <c r="I308" t="inlineStr">
        <is>
          <t>QUAKER TEXTIL DO BRASIL LTDA.</t>
        </is>
      </c>
      <c r="J308" t="inlineStr">
        <is>
          <t>QUAKER TEXTIL DO BRASIL LTDA.</t>
        </is>
      </c>
      <c r="K308" t="inlineStr">
        <is>
          <t>03784035</t>
        </is>
      </c>
      <c r="L308" t="inlineStr">
        <is>
          <t>03784035000157</t>
        </is>
      </c>
      <c r="M308" s="10" t="n">
        <v>479105.31</v>
      </c>
      <c r="N308" t="n">
        <v>1</v>
      </c>
      <c r="O308" s="11" t="inlineStr">
        <is>
          <t>D</t>
        </is>
      </c>
      <c r="P308" s="11" t="inlineStr"/>
      <c r="Q308" s="12" t="inlineStr"/>
      <c r="R308" s="11">
        <f>IF(Q308="","",ROUND((TODAY()-Q308)/365.25,1))</f>
        <v/>
      </c>
      <c r="S308" s="13">
        <f>IFERROR(VLOOKUP(O308,Assumptions!$A$7:$F$11,2,FALSE),0.25)</f>
        <v/>
      </c>
      <c r="T308" s="14">
        <f>IF(O308="A",MAX(1,IFERROR(VLOOKUP(O308,Assumptions!$A$7:$F$11,3,FALSE),3)+IFERROR(VLOOKUP(O308,Assumptions!$A$7:$F$11,4,FALSE),8)/2-MAX(0,IF(R308="",0,R308)-IFERROR(VLOOKUP(O308,Assumptions!$A$7:$F$11,5,FALSE),1.5))),IFERROR(VLOOKUP(O308,Assumptions!$A$7:$F$11,5,FALSE),2.5)+IFERROR(VLOOKUP(O308,Assumptions!$A$7:$F$11,3,FALSE),3)+IFERROR(VLOOKUP(O308,Assumptions!$A$7:$F$11,4,FALSE),8)/2)</f>
        <v/>
      </c>
      <c r="U308" s="15">
        <f>M308*S308/(1+Assumptions!$B$3)^T308</f>
        <v/>
      </c>
      <c r="V308" s="11">
        <f>IF(M308=0,"",ROUND(U308/M308*100,1))</f>
        <v/>
      </c>
      <c r="W308" s="16">
        <f>U308*Assumptions!$B$4</f>
        <v/>
      </c>
      <c r="X308" s="11">
        <f>IF(M308=0,"",ROUND(W308/M308*100,1))</f>
        <v/>
      </c>
      <c r="Y308" t="inlineStr">
        <is>
          <t>Mannes</t>
        </is>
      </c>
      <c r="Z308" t="inlineStr">
        <is>
          <t>0005010-50.2013.8.24.0026</t>
        </is>
      </c>
      <c r="AA308" t="inlineStr"/>
      <c r="AB308" t="inlineStr">
        <is>
          <t>administradorajudicialgs.com.br</t>
        </is>
      </c>
      <c r="AC308" t="inlineStr">
        <is>
          <t>RODRIGO PRIETO PEREZ</t>
        </is>
      </c>
      <c r="AD308" t="inlineStr">
        <is>
          <t>Sócio-Administrador</t>
        </is>
      </c>
      <c r="AE308" t="inlineStr">
        <is>
          <t>(11) 3284-3355</t>
        </is>
      </c>
      <c r="AF308" t="inlineStr">
        <is>
          <t>(11) 3284-3355</t>
        </is>
      </c>
      <c r="AG308" t="inlineStr"/>
      <c r="AH308" t="inlineStr">
        <is>
          <t>SP</t>
        </is>
      </c>
      <c r="AI308" t="inlineStr">
        <is>
          <t>SAO PAULO</t>
        </is>
      </c>
      <c r="AJ308" t="inlineStr">
        <is>
          <t>Comércio atacadista especializado em outros produtos intermediários não especificados anteriormente</t>
        </is>
      </c>
      <c r="AK308" t="inlineStr">
        <is>
          <t>DEMAIS</t>
        </is>
      </c>
      <c r="AL308" t="inlineStr">
        <is>
          <t>ATIVA</t>
        </is>
      </c>
      <c r="AM308" s="17" t="inlineStr">
        <is>
          <t>https://administradorajudicialgs.com.br/wp-content/uploads/2024/12/relacao-de-credores-da-falida.pdf</t>
        </is>
      </c>
      <c r="AN308" s="18" t="inlineStr">
        <is>
          <t>p17 r46</t>
        </is>
      </c>
      <c r="AO308" s="18" t="inlineStr">
        <is>
          <t>p17: R$ 479.105,31</t>
        </is>
      </c>
      <c r="AP308" s="18" t="inlineStr">
        <is>
          <t>OTHER</t>
        </is>
      </c>
      <c r="AQ308" s="18" t="inlineStr">
        <is>
          <t>2025-03-25</t>
        </is>
      </c>
      <c r="AR308" s="18" t="inlineStr">
        <is>
          <t>OK_NO_TOTALS</t>
        </is>
      </c>
      <c r="AS308" s="18" t="inlineStr">
        <is>
          <t>ROWS:p17r46 UNRECONCILED_SOURCE CASE_NUMBER_CORRECTED</t>
        </is>
      </c>
      <c r="AT308" s="18" t="inlineStr">
        <is>
          <t>ea17ba43b261</t>
        </is>
      </c>
    </row>
    <row r="309">
      <c r="A309" s="9" t="n">
        <v>308</v>
      </c>
      <c r="B309" s="9" t="inlineStr">
        <is>
          <t>NEW</t>
        </is>
      </c>
      <c r="C309" s="9" t="inlineStr"/>
      <c r="D309" s="9" t="n">
        <v>0</v>
      </c>
      <c r="E309" s="9" t="inlineStr"/>
      <c r="F309" s="9" t="inlineStr"/>
      <c r="G309" s="9" t="inlineStr"/>
      <c r="H309" s="9" t="inlineStr"/>
      <c r="I309" t="inlineStr">
        <is>
          <t>PALUDETTO &amp; CIA LTDA</t>
        </is>
      </c>
      <c r="J309" t="inlineStr">
        <is>
          <t>77.991.552/0001-33</t>
        </is>
      </c>
      <c r="K309" t="inlineStr">
        <is>
          <t>77991552</t>
        </is>
      </c>
      <c r="L309" t="inlineStr">
        <is>
          <t>77991552000133</t>
        </is>
      </c>
      <c r="M309" s="10" t="n">
        <v>475452</v>
      </c>
      <c r="N309" t="n">
        <v>1</v>
      </c>
      <c r="O309" s="11" t="inlineStr">
        <is>
          <t>C</t>
        </is>
      </c>
      <c r="P309" s="11" t="inlineStr">
        <is>
          <t>ACTIVE</t>
        </is>
      </c>
      <c r="Q309" s="12" t="n">
        <v>43894</v>
      </c>
      <c r="R309" s="11">
        <f>IF(Q309="","",ROUND((TODAY()-Q309)/365.25,1))</f>
        <v/>
      </c>
      <c r="S309" s="13">
        <f>IFERROR(VLOOKUP(O309,Assumptions!$A$7:$F$11,2,FALSE),0.25)</f>
        <v/>
      </c>
      <c r="T309" s="14">
        <f>IF(O309="A",MAX(1,IFERROR(VLOOKUP(O309,Assumptions!$A$7:$F$11,3,FALSE),3)+IFERROR(VLOOKUP(O309,Assumptions!$A$7:$F$11,4,FALSE),8)/2-MAX(0,IF(R309="",0,R309)-IFERROR(VLOOKUP(O309,Assumptions!$A$7:$F$11,5,FALSE),1.5))),IFERROR(VLOOKUP(O309,Assumptions!$A$7:$F$11,5,FALSE),2.5)+IFERROR(VLOOKUP(O309,Assumptions!$A$7:$F$11,3,FALSE),3)+IFERROR(VLOOKUP(O309,Assumptions!$A$7:$F$11,4,FALSE),8)/2)</f>
        <v/>
      </c>
      <c r="U309" s="15">
        <f>M309*S309/(1+Assumptions!$B$3)^T309</f>
        <v/>
      </c>
      <c r="V309" s="11">
        <f>IF(M309=0,"",ROUND(U309/M309*100,1))</f>
        <v/>
      </c>
      <c r="W309" s="16">
        <f>U309*Assumptions!$B$4</f>
        <v/>
      </c>
      <c r="X309" s="11">
        <f>IF(M309=0,"",ROUND(W309/M309*100,1))</f>
        <v/>
      </c>
      <c r="Y309" t="inlineStr">
        <is>
          <t>CREDIMÓVEIS NOVOLAR LTDA.</t>
        </is>
      </c>
      <c r="Z309" t="inlineStr">
        <is>
          <t>0007565-40.2020.8.17.2370</t>
        </is>
      </c>
      <c r="AA309" t="inlineStr">
        <is>
          <t>TJPE</t>
        </is>
      </c>
      <c r="AB309" t="inlineStr">
        <is>
          <t>recuperacaojudicial.squarespace.com</t>
        </is>
      </c>
      <c r="AC309" t="inlineStr">
        <is>
          <t>ANDREY WILDER PALUDETTO</t>
        </is>
      </c>
      <c r="AD309" t="inlineStr">
        <is>
          <t>Sócio-Administrador</t>
        </is>
      </c>
      <c r="AE309" t="inlineStr">
        <is>
          <t>(43) 3172-1600</t>
        </is>
      </c>
      <c r="AF309" t="inlineStr">
        <is>
          <t>(43) 3172-1646</t>
        </is>
      </c>
      <c r="AG309" t="inlineStr"/>
      <c r="AH309" t="inlineStr">
        <is>
          <t>PR</t>
        </is>
      </c>
      <c r="AI309" t="inlineStr">
        <is>
          <t>ARAPONGAS</t>
        </is>
      </c>
      <c r="AJ309" t="inlineStr">
        <is>
          <t>Fabricação de móveis com predominância de madeira</t>
        </is>
      </c>
      <c r="AK309" t="inlineStr">
        <is>
          <t>DEMAIS</t>
        </is>
      </c>
      <c r="AL309" t="inlineStr">
        <is>
          <t>ATIVA</t>
        </is>
      </c>
      <c r="AM309" s="17" t="inlineStr">
        <is>
          <t>https://recuperacaojudicial.squarespace.com/s/RJ-Credimoveis-QGC-01082025.pdf</t>
        </is>
      </c>
      <c r="AN309" s="18" t="inlineStr">
        <is>
          <t>p16 r37</t>
        </is>
      </c>
      <c r="AO309" s="18" t="inlineStr">
        <is>
          <t>p16: R$ 475.452,00</t>
        </is>
      </c>
      <c r="AP309" s="18" t="inlineStr">
        <is>
          <t>QGC</t>
        </is>
      </c>
      <c r="AQ309" s="18" t="inlineStr">
        <is>
          <t>2026-01-28</t>
        </is>
      </c>
      <c r="AR309" s="18" t="inlineStr">
        <is>
          <t>OK</t>
        </is>
      </c>
      <c r="AS309" s="18" t="inlineStr">
        <is>
          <t>ROWS:p16r37</t>
        </is>
      </c>
      <c r="AT309" s="18" t="inlineStr">
        <is>
          <t>849d4fe5adce</t>
        </is>
      </c>
    </row>
    <row r="310">
      <c r="A310" s="9" t="n">
        <v>309</v>
      </c>
      <c r="B310" s="9" t="inlineStr">
        <is>
          <t>NEW</t>
        </is>
      </c>
      <c r="C310" s="9" t="inlineStr"/>
      <c r="D310" s="9" t="n">
        <v>0</v>
      </c>
      <c r="E310" s="9" t="inlineStr"/>
      <c r="F310" s="9" t="inlineStr"/>
      <c r="G310" s="9" t="inlineStr"/>
      <c r="H310" s="9" t="inlineStr"/>
      <c r="I310" t="inlineStr">
        <is>
          <t>MICROVET-MICROBIOLOGIA VETERINARIA ESPECIAL LTDA</t>
        </is>
      </c>
      <c r="J310" t="inlineStr">
        <is>
          <t>2.23MICROVET-MICROBIOLOGIA VETERINÁRIA ESPECIAL. LTDA.</t>
        </is>
      </c>
      <c r="K310" t="inlineStr">
        <is>
          <t>26233064</t>
        </is>
      </c>
      <c r="L310" t="inlineStr">
        <is>
          <t>26233064000126</t>
        </is>
      </c>
      <c r="M310" s="10" t="n">
        <v>475385.92</v>
      </c>
      <c r="N310" t="n">
        <v>1</v>
      </c>
      <c r="O310" s="11" t="inlineStr">
        <is>
          <t>B</t>
        </is>
      </c>
      <c r="P310" s="11" t="inlineStr">
        <is>
          <t>ACTIVE</t>
        </is>
      </c>
      <c r="Q310" s="12" t="n">
        <v>45534</v>
      </c>
      <c r="R310" s="11">
        <f>IF(Q310="","",ROUND((TODAY()-Q310)/365.25,1))</f>
        <v/>
      </c>
      <c r="S310" s="13">
        <f>IFERROR(VLOOKUP(O310,Assumptions!$A$7:$F$11,2,FALSE),0.25)</f>
        <v/>
      </c>
      <c r="T310" s="14">
        <f>IF(O310="A",MAX(1,IFERROR(VLOOKUP(O310,Assumptions!$A$7:$F$11,3,FALSE),3)+IFERROR(VLOOKUP(O310,Assumptions!$A$7:$F$11,4,FALSE),8)/2-MAX(0,IF(R310="",0,R310)-IFERROR(VLOOKUP(O310,Assumptions!$A$7:$F$11,5,FALSE),1.5))),IFERROR(VLOOKUP(O310,Assumptions!$A$7:$F$11,5,FALSE),2.5)+IFERROR(VLOOKUP(O310,Assumptions!$A$7:$F$11,3,FALSE),3)+IFERROR(VLOOKUP(O310,Assumptions!$A$7:$F$11,4,FALSE),8)/2)</f>
        <v/>
      </c>
      <c r="U310" s="15">
        <f>M310*S310/(1+Assumptions!$B$3)^T310</f>
        <v/>
      </c>
      <c r="V310" s="11">
        <f>IF(M310=0,"",ROUND(U310/M310*100,1))</f>
        <v/>
      </c>
      <c r="W310" s="16">
        <f>U310*Assumptions!$B$4</f>
        <v/>
      </c>
      <c r="X310" s="11">
        <f>IF(M310=0,"",ROUND(W310/M310*100,1))</f>
        <v/>
      </c>
      <c r="Y310" t="inlineStr">
        <is>
          <t>SUINOCULTURA KUNZLER</t>
        </is>
      </c>
      <c r="Z310" t="inlineStr">
        <is>
          <t>5009149-92.2024.8.24.0019</t>
        </is>
      </c>
      <c r="AA310" t="inlineStr">
        <is>
          <t>TJSC</t>
        </is>
      </c>
      <c r="AB310" t="inlineStr">
        <is>
          <t>rlg-aj.com.br</t>
        </is>
      </c>
      <c r="AC310" t="inlineStr">
        <is>
          <t>JOSE LUCIO DOS SANTOS</t>
        </is>
      </c>
      <c r="AD310" t="inlineStr">
        <is>
          <t>Administrador</t>
        </is>
      </c>
      <c r="AE310" t="inlineStr">
        <is>
          <t>(31) 3891-2551</t>
        </is>
      </c>
      <c r="AF310" t="inlineStr"/>
      <c r="AG310" t="inlineStr"/>
      <c r="AH310" t="inlineStr">
        <is>
          <t>MG</t>
        </is>
      </c>
      <c r="AI310" t="inlineStr">
        <is>
          <t>VICOSA</t>
        </is>
      </c>
      <c r="AJ310" t="inlineStr">
        <is>
          <t>Fabricação de medicamentos para uso veterinário</t>
        </is>
      </c>
      <c r="AK310" t="inlineStr">
        <is>
          <t>DEMAIS</t>
        </is>
      </c>
      <c r="AL310" t="inlineStr">
        <is>
          <t>ATIVA</t>
        </is>
      </c>
      <c r="AM310" s="17" t="inlineStr">
        <is>
          <t>https://rlg-aj.com.br/wp-content/uploads/2024/11/07.-Relação-de-credores.pdf</t>
        </is>
      </c>
      <c r="AN310" s="18" t="inlineStr">
        <is>
          <t>p1 r29</t>
        </is>
      </c>
      <c r="AO310" s="18" t="inlineStr">
        <is>
          <t>p1: R$ 475.385,92</t>
        </is>
      </c>
      <c r="AP310" s="18" t="inlineStr">
        <is>
          <t>UNKNOWN</t>
        </is>
      </c>
      <c r="AQ310" s="18" t="inlineStr"/>
      <c r="AR310" s="18" t="inlineStr">
        <is>
          <t>OK_NO_TOTALS</t>
        </is>
      </c>
      <c r="AS310" s="18" t="inlineStr">
        <is>
          <t>ROWS:p1r29 UNRECONCILED_SOURCE</t>
        </is>
      </c>
      <c r="AT310" s="18" t="inlineStr">
        <is>
          <t>a62ac8ee0458</t>
        </is>
      </c>
    </row>
    <row r="311">
      <c r="A311" s="9" t="n">
        <v>310</v>
      </c>
      <c r="B311" s="9" t="inlineStr">
        <is>
          <t>NEW</t>
        </is>
      </c>
      <c r="C311" s="9" t="inlineStr"/>
      <c r="D311" s="9" t="n">
        <v>0</v>
      </c>
      <c r="E311" s="9" t="inlineStr"/>
      <c r="F311" s="9" t="inlineStr"/>
      <c r="G311" s="9" t="inlineStr"/>
      <c r="H311" s="9" t="inlineStr"/>
      <c r="I311" t="inlineStr">
        <is>
          <t>SUPERMIX CONCRETO S/A</t>
        </is>
      </c>
      <c r="J311" t="inlineStr">
        <is>
          <t>Supermix S/A</t>
        </is>
      </c>
      <c r="K311" t="inlineStr">
        <is>
          <t>34230979</t>
        </is>
      </c>
      <c r="L311" t="inlineStr">
        <is>
          <t>34230979000106</t>
        </is>
      </c>
      <c r="M311" s="10" t="n">
        <v>470287.72</v>
      </c>
      <c r="N311" t="n">
        <v>2</v>
      </c>
      <c r="O311" s="11" t="inlineStr">
        <is>
          <t>B</t>
        </is>
      </c>
      <c r="P311" s="11" t="inlineStr"/>
      <c r="Q311" s="12" t="n">
        <v>45756</v>
      </c>
      <c r="R311" s="11">
        <f>IF(Q311="","",ROUND((TODAY()-Q311)/365.25,1))</f>
        <v/>
      </c>
      <c r="S311" s="13">
        <f>IFERROR(VLOOKUP(O311,Assumptions!$A$7:$F$11,2,FALSE),0.25)</f>
        <v/>
      </c>
      <c r="T311" s="14">
        <f>IF(O311="A",MAX(1,IFERROR(VLOOKUP(O311,Assumptions!$A$7:$F$11,3,FALSE),3)+IFERROR(VLOOKUP(O311,Assumptions!$A$7:$F$11,4,FALSE),8)/2-MAX(0,IF(R311="",0,R311)-IFERROR(VLOOKUP(O311,Assumptions!$A$7:$F$11,5,FALSE),1.5))),IFERROR(VLOOKUP(O311,Assumptions!$A$7:$F$11,5,FALSE),2.5)+IFERROR(VLOOKUP(O311,Assumptions!$A$7:$F$11,3,FALSE),3)+IFERROR(VLOOKUP(O311,Assumptions!$A$7:$F$11,4,FALSE),8)/2)</f>
        <v/>
      </c>
      <c r="U311" s="15">
        <f>M311*S311/(1+Assumptions!$B$3)^T311</f>
        <v/>
      </c>
      <c r="V311" s="11">
        <f>IF(M311=0,"",ROUND(U311/M311*100,1))</f>
        <v/>
      </c>
      <c r="W311" s="16">
        <f>U311*Assumptions!$B$4</f>
        <v/>
      </c>
      <c r="X311" s="11">
        <f>IF(M311=0,"",ROUND(W311/M311*100,1))</f>
        <v/>
      </c>
      <c r="Y311" t="inlineStr">
        <is>
          <t>GRUPO EGESA (EGESA ENG S.A, EGESUR PART E EMP S.A, MATRIX INFRA LTDA, BEMVIVER ENG AMBIENTAL E SERV LTDA, DKF CONST E EMP LTDA, EGEPEL LTDA, ETR ASSESSORIA EMP E PART LTDA, MVT ENG E SERV LTDA, PARQUES DO VALE LTDA, ELMO RIBEIRO E ANA RIBEIRO)</t>
        </is>
      </c>
      <c r="Z311" t="inlineStr">
        <is>
          <t>5088952-81.2025.8.13.0024</t>
        </is>
      </c>
      <c r="AA311" t="inlineStr">
        <is>
          <t>TJMG</t>
        </is>
      </c>
      <c r="AB311" t="inlineStr">
        <is>
          <t>scalzilliaj.com.br</t>
        </is>
      </c>
      <c r="AC311" t="inlineStr">
        <is>
          <t>ALESSANDRO VERISSIMO SOUZA</t>
        </is>
      </c>
      <c r="AD311" t="inlineStr">
        <is>
          <t>Diretor</t>
        </is>
      </c>
      <c r="AE311" t="inlineStr"/>
      <c r="AF311" t="inlineStr"/>
      <c r="AG311" t="inlineStr"/>
      <c r="AH311" t="inlineStr">
        <is>
          <t>MG</t>
        </is>
      </c>
      <c r="AI311" t="inlineStr">
        <is>
          <t>BELO HORIZONTE</t>
        </is>
      </c>
      <c r="AJ311" t="inlineStr">
        <is>
          <t>Outras obras de engenharia civil não especificadas anteriormente</t>
        </is>
      </c>
      <c r="AK311" t="inlineStr">
        <is>
          <t>DEMAIS</t>
        </is>
      </c>
      <c r="AL311" t="inlineStr">
        <is>
          <t>ATIVA</t>
        </is>
      </c>
      <c r="AM311" s="17" t="inlineStr">
        <is>
          <t>https://scalzilliaj.com.br/sgc/download.php?file=files/processo_documento/processo_documento09514021082025_1_.pdf&amp;nome=04 - Relação de credores das Recuperandas</t>
        </is>
      </c>
      <c r="AN311" s="18" t="inlineStr">
        <is>
          <t>p73 r14; p73 r15</t>
        </is>
      </c>
      <c r="AO311" s="18" t="inlineStr">
        <is>
          <t>p73: R$ 381.839,83; p73: R$ 88.447,89</t>
        </is>
      </c>
      <c r="AP311" s="18" t="inlineStr">
        <is>
          <t>DEBTOR_LIST</t>
        </is>
      </c>
      <c r="AQ311" s="18" t="inlineStr"/>
      <c r="AR311" s="18" t="inlineStr">
        <is>
          <t>OK</t>
        </is>
      </c>
      <c r="AS311" s="18" t="inlineStr">
        <is>
          <t>ROWS:p73r14,p73r15 VALUE_COL:Valor_Atualizado CASE_NUMBER_CORRECTED CASE_FROM_PORTAL</t>
        </is>
      </c>
      <c r="AT311" s="18" t="inlineStr">
        <is>
          <t>24ed98480a57</t>
        </is>
      </c>
    </row>
    <row r="312">
      <c r="A312" s="9" t="n">
        <v>311</v>
      </c>
      <c r="B312" s="9" t="inlineStr">
        <is>
          <t>NEW</t>
        </is>
      </c>
      <c r="C312" s="9" t="inlineStr"/>
      <c r="D312" s="9" t="n">
        <v>0</v>
      </c>
      <c r="E312" s="9" t="inlineStr"/>
      <c r="F312" s="9" t="inlineStr"/>
      <c r="G312" s="9" t="inlineStr"/>
      <c r="H312" s="9" t="inlineStr"/>
      <c r="I312" t="inlineStr">
        <is>
          <t>LIBER EMPREENDIMENTOS IMOBILIARIOS LTDA</t>
        </is>
      </c>
      <c r="J312" t="inlineStr">
        <is>
          <t>LIBER CONSERVAÇÃO EM SERVIÇOS LTDA, CPF/CNPJ/OAB nº</t>
        </is>
      </c>
      <c r="K312" t="inlineStr">
        <is>
          <t>11841434</t>
        </is>
      </c>
      <c r="L312" t="inlineStr">
        <is>
          <t>11841434000130</t>
        </is>
      </c>
      <c r="M312" s="10" t="n">
        <v>470000</v>
      </c>
      <c r="N312" t="n">
        <v>1</v>
      </c>
      <c r="O312" s="11" t="inlineStr">
        <is>
          <t>B</t>
        </is>
      </c>
      <c r="P312" s="11" t="inlineStr">
        <is>
          <t>ACTIVE</t>
        </is>
      </c>
      <c r="Q312" s="12" t="n">
        <v>45349</v>
      </c>
      <c r="R312" s="11">
        <f>IF(Q312="","",ROUND((TODAY()-Q312)/365.25,1))</f>
        <v/>
      </c>
      <c r="S312" s="13">
        <f>IFERROR(VLOOKUP(O312,Assumptions!$A$7:$F$11,2,FALSE),0.25)</f>
        <v/>
      </c>
      <c r="T312" s="14">
        <f>IF(O312="A",MAX(1,IFERROR(VLOOKUP(O312,Assumptions!$A$7:$F$11,3,FALSE),3)+IFERROR(VLOOKUP(O312,Assumptions!$A$7:$F$11,4,FALSE),8)/2-MAX(0,IF(R312="",0,R312)-IFERROR(VLOOKUP(O312,Assumptions!$A$7:$F$11,5,FALSE),1.5))),IFERROR(VLOOKUP(O312,Assumptions!$A$7:$F$11,5,FALSE),2.5)+IFERROR(VLOOKUP(O312,Assumptions!$A$7:$F$11,3,FALSE),3)+IFERROR(VLOOKUP(O312,Assumptions!$A$7:$F$11,4,FALSE),8)/2)</f>
        <v/>
      </c>
      <c r="U312" s="15">
        <f>M312*S312/(1+Assumptions!$B$3)^T312</f>
        <v/>
      </c>
      <c r="V312" s="11">
        <f>IF(M312=0,"",ROUND(U312/M312*100,1))</f>
        <v/>
      </c>
      <c r="W312" s="16">
        <f>U312*Assumptions!$B$4</f>
        <v/>
      </c>
      <c r="X312" s="11">
        <f>IF(M312=0,"",ROUND(W312/M312*100,1))</f>
        <v/>
      </c>
      <c r="Y312" t="inlineStr">
        <is>
          <t>GRUPO ADLIM</t>
        </is>
      </c>
      <c r="Z312" t="inlineStr">
        <is>
          <t>0019761-43.2024.8.17.2001</t>
        </is>
      </c>
      <c r="AA312" t="inlineStr">
        <is>
          <t>TJPE</t>
        </is>
      </c>
      <c r="AB312" t="inlineStr">
        <is>
          <t>lrflideres.com.br</t>
        </is>
      </c>
      <c r="AC312" t="inlineStr">
        <is>
          <t>NILZA DINIZ SOUSA</t>
        </is>
      </c>
      <c r="AD312" t="inlineStr">
        <is>
          <t>Sócio-Administrador</t>
        </is>
      </c>
      <c r="AE312" t="inlineStr">
        <is>
          <t>(81) 3252-6115</t>
        </is>
      </c>
      <c r="AF312" t="inlineStr"/>
      <c r="AG312" t="inlineStr"/>
      <c r="AH312" t="inlineStr">
        <is>
          <t>PE</t>
        </is>
      </c>
      <c r="AI312" t="inlineStr">
        <is>
          <t>RECIFE</t>
        </is>
      </c>
      <c r="AJ312" t="inlineStr">
        <is>
          <t>Compra e venda de imóveis próprios</t>
        </is>
      </c>
      <c r="AK312" t="inlineStr">
        <is>
          <t>DEMAIS</t>
        </is>
      </c>
      <c r="AL312" t="inlineStr">
        <is>
          <t>ATIVA</t>
        </is>
      </c>
      <c r="AM312" s="17" t="inlineStr">
        <is>
          <t>https://lrflideres.com.br/wp-content/plugins/download-attachments/includes/download.php?id=6051</t>
        </is>
      </c>
      <c r="AN312" s="18" t="inlineStr">
        <is>
          <t>p67 r22</t>
        </is>
      </c>
      <c r="AO312" s="18" t="inlineStr">
        <is>
          <t>p67: R$ 470000,00</t>
        </is>
      </c>
      <c r="AP312" s="18" t="inlineStr">
        <is>
          <t>AJ_LIST</t>
        </is>
      </c>
      <c r="AQ312" s="18" t="inlineStr">
        <is>
          <t>2024-08-12</t>
        </is>
      </c>
      <c r="AR312" s="18" t="inlineStr">
        <is>
          <t>QUARANTINED</t>
        </is>
      </c>
      <c r="AS312" s="18" t="inlineStr">
        <is>
          <t>PARTIAL_DOC_CLASS_III_RECONCILED ROWS:p67r22</t>
        </is>
      </c>
      <c r="AT312" s="18" t="inlineStr">
        <is>
          <t>a32497797bac</t>
        </is>
      </c>
    </row>
    <row r="313">
      <c r="A313" s="9" t="n">
        <v>312</v>
      </c>
      <c r="B313" s="9" t="inlineStr">
        <is>
          <t>NEW</t>
        </is>
      </c>
      <c r="C313" s="9" t="inlineStr"/>
      <c r="D313" s="9" t="n">
        <v>0</v>
      </c>
      <c r="E313" s="9" t="inlineStr"/>
      <c r="F313" s="9" t="inlineStr"/>
      <c r="G313" s="9" t="inlineStr"/>
      <c r="H313" s="9" t="inlineStr"/>
      <c r="I313" t="inlineStr">
        <is>
          <t>AGROFOODS BRASIL ALIMENTO S/A</t>
        </is>
      </c>
      <c r="J313" t="inlineStr">
        <is>
          <t>AGROFOODS BRASIL ALIMENTO S/A</t>
        </is>
      </c>
      <c r="K313" t="inlineStr">
        <is>
          <t>38081947</t>
        </is>
      </c>
      <c r="L313" t="inlineStr">
        <is>
          <t>38081947000147</t>
        </is>
      </c>
      <c r="M313" s="10" t="n">
        <v>469262.66</v>
      </c>
      <c r="N313" t="n">
        <v>3</v>
      </c>
      <c r="O313" s="11" t="inlineStr">
        <is>
          <t>B</t>
        </is>
      </c>
      <c r="P313" s="11" t="inlineStr"/>
      <c r="Q313" s="12" t="inlineStr"/>
      <c r="R313" s="11">
        <f>IF(Q313="","",ROUND((TODAY()-Q313)/365.25,1))</f>
        <v/>
      </c>
      <c r="S313" s="13">
        <f>IFERROR(VLOOKUP(O313,Assumptions!$A$7:$F$11,2,FALSE),0.25)</f>
        <v/>
      </c>
      <c r="T313" s="14">
        <f>IF(O313="A",MAX(1,IFERROR(VLOOKUP(O313,Assumptions!$A$7:$F$11,3,FALSE),3)+IFERROR(VLOOKUP(O313,Assumptions!$A$7:$F$11,4,FALSE),8)/2-MAX(0,IF(R313="",0,R313)-IFERROR(VLOOKUP(O313,Assumptions!$A$7:$F$11,5,FALSE),1.5))),IFERROR(VLOOKUP(O313,Assumptions!$A$7:$F$11,5,FALSE),2.5)+IFERROR(VLOOKUP(O313,Assumptions!$A$7:$F$11,3,FALSE),3)+IFERROR(VLOOKUP(O313,Assumptions!$A$7:$F$11,4,FALSE),8)/2)</f>
        <v/>
      </c>
      <c r="U313" s="15">
        <f>M313*S313/(1+Assumptions!$B$3)^T313</f>
        <v/>
      </c>
      <c r="V313" s="11">
        <f>IF(M313=0,"",ROUND(U313/M313*100,1))</f>
        <v/>
      </c>
      <c r="W313" s="16">
        <f>U313*Assumptions!$B$4</f>
        <v/>
      </c>
      <c r="X313" s="11">
        <f>IF(M313=0,"",ROUND(W313/M313*100,1))</f>
        <v/>
      </c>
      <c r="Y313" t="inlineStr">
        <is>
          <t>Base</t>
        </is>
      </c>
      <c r="Z313" t="inlineStr">
        <is>
          <t>1022634-27.2024.8.26.0100</t>
        </is>
      </c>
      <c r="AA313" t="inlineStr"/>
      <c r="AB313" t="inlineStr">
        <is>
          <t>ajruiz.com.br</t>
        </is>
      </c>
      <c r="AC313" t="inlineStr">
        <is>
          <t>SIMON NEMER FERREIRA ABDUL MASSIH</t>
        </is>
      </c>
      <c r="AD313" t="inlineStr">
        <is>
          <t>Presidente</t>
        </is>
      </c>
      <c r="AE313" t="inlineStr">
        <is>
          <t>(16) 3820-9004</t>
        </is>
      </c>
      <c r="AF313" t="inlineStr"/>
      <c r="AG313" t="inlineStr"/>
      <c r="AH313" t="inlineStr">
        <is>
          <t>SP</t>
        </is>
      </c>
      <c r="AI313" t="inlineStr">
        <is>
          <t>ORLANDIA</t>
        </is>
      </c>
      <c r="AJ313" t="inlineStr">
        <is>
          <t>Fabricação de óleos vegetais em bruto, exceto óleo de milho</t>
        </is>
      </c>
      <c r="AK313" t="inlineStr">
        <is>
          <t>DEMAIS</t>
        </is>
      </c>
      <c r="AL313" t="inlineStr">
        <is>
          <t>ATIVA</t>
        </is>
      </c>
      <c r="AM313" s="17" t="inlineStr">
        <is>
          <t>https://ajruiz.com.br/sites/default/files/public/arquivos-processos/2024-04/relacao_de_credores_recuperanda_1.pdf</t>
        </is>
      </c>
      <c r="AN313" s="18" t="inlineStr">
        <is>
          <t>p2 r4; p2 r5; p2 r6</t>
        </is>
      </c>
      <c r="AO313" s="18" t="inlineStr">
        <is>
          <t>p2: R$ 231.398,66; p2: R$ 117.480,00; p2: R$ 120.384,00</t>
        </is>
      </c>
      <c r="AP313" s="18" t="inlineStr">
        <is>
          <t>QGC</t>
        </is>
      </c>
      <c r="AQ313" s="18" t="inlineStr">
        <is>
          <t>2024-01-31</t>
        </is>
      </c>
      <c r="AR313" s="18" t="inlineStr">
        <is>
          <t>OK</t>
        </is>
      </c>
      <c r="AS313" s="18" t="inlineStr">
        <is>
          <t>ROWS:p2r4,p2r5,p2r6 VALUE_COL:Valor_Atualizado_Do_Débito CASE_NUMBER_CORRECTED</t>
        </is>
      </c>
      <c r="AT313" s="18" t="inlineStr">
        <is>
          <t>380922480f80</t>
        </is>
      </c>
    </row>
    <row r="314">
      <c r="A314" s="9" t="n">
        <v>313</v>
      </c>
      <c r="B314" s="9" t="inlineStr">
        <is>
          <t>NEW</t>
        </is>
      </c>
      <c r="C314" s="9" t="inlineStr"/>
      <c r="D314" s="9" t="n">
        <v>0</v>
      </c>
      <c r="E314" s="9" t="inlineStr"/>
      <c r="F314" s="9" t="inlineStr"/>
      <c r="G314" s="9" t="inlineStr"/>
      <c r="H314" s="9" t="inlineStr"/>
      <c r="I314" t="inlineStr">
        <is>
          <t>CROPFERT INDUSTRIA DE FERTILIZANTES E AGROQUIMICOS LTDA</t>
        </is>
      </c>
      <c r="J314" t="inlineStr">
        <is>
          <t>CROPFERT INDUSTRIA DE FERTILIZANTES E AG</t>
        </is>
      </c>
      <c r="K314" t="inlineStr">
        <is>
          <t>18373437</t>
        </is>
      </c>
      <c r="L314" t="inlineStr">
        <is>
          <t>18373437000136</t>
        </is>
      </c>
      <c r="M314" s="10" t="n">
        <v>467392</v>
      </c>
      <c r="N314" t="n">
        <v>1</v>
      </c>
      <c r="O314" s="11" t="inlineStr">
        <is>
          <t>B</t>
        </is>
      </c>
      <c r="P314" s="11" t="inlineStr">
        <is>
          <t>ACTIVE</t>
        </is>
      </c>
      <c r="Q314" s="12" t="n">
        <v>45845</v>
      </c>
      <c r="R314" s="11">
        <f>IF(Q314="","",ROUND((TODAY()-Q314)/365.25,1))</f>
        <v/>
      </c>
      <c r="S314" s="13">
        <f>IFERROR(VLOOKUP(O314,Assumptions!$A$7:$F$11,2,FALSE),0.25)</f>
        <v/>
      </c>
      <c r="T314" s="14">
        <f>IF(O314="A",MAX(1,IFERROR(VLOOKUP(O314,Assumptions!$A$7:$F$11,3,FALSE),3)+IFERROR(VLOOKUP(O314,Assumptions!$A$7:$F$11,4,FALSE),8)/2-MAX(0,IF(R314="",0,R314)-IFERROR(VLOOKUP(O314,Assumptions!$A$7:$F$11,5,FALSE),1.5))),IFERROR(VLOOKUP(O314,Assumptions!$A$7:$F$11,5,FALSE),2.5)+IFERROR(VLOOKUP(O314,Assumptions!$A$7:$F$11,3,FALSE),3)+IFERROR(VLOOKUP(O314,Assumptions!$A$7:$F$11,4,FALSE),8)/2)</f>
        <v/>
      </c>
      <c r="U314" s="15">
        <f>M314*S314/(1+Assumptions!$B$3)^T314</f>
        <v/>
      </c>
      <c r="V314" s="11">
        <f>IF(M314=0,"",ROUND(U314/M314*100,1))</f>
        <v/>
      </c>
      <c r="W314" s="16">
        <f>U314*Assumptions!$B$4</f>
        <v/>
      </c>
      <c r="X314" s="11">
        <f>IF(M314=0,"",ROUND(W314/M314*100,1))</f>
        <v/>
      </c>
      <c r="Y314" t="inlineStr">
        <is>
          <t>SOJAL COMERCIAL AGRICOLA LTDA e OUTROS</t>
        </is>
      </c>
      <c r="Z314" t="inlineStr">
        <is>
          <t>0804401-51.2025.8.14.0039</t>
        </is>
      </c>
      <c r="AA314" t="inlineStr">
        <is>
          <t>TJPA</t>
        </is>
      </c>
      <c r="AB314" t="inlineStr">
        <is>
          <t>lrflideres.com.br</t>
        </is>
      </c>
      <c r="AC314" t="inlineStr">
        <is>
          <t>ANDERSON JOSE FAUSTINO</t>
        </is>
      </c>
      <c r="AD314" t="inlineStr">
        <is>
          <t>Administrador</t>
        </is>
      </c>
      <c r="AE314" t="inlineStr">
        <is>
          <t>(43) 3162-2700</t>
        </is>
      </c>
      <c r="AF314" t="inlineStr"/>
      <c r="AG314" t="inlineStr"/>
      <c r="AH314" t="inlineStr">
        <is>
          <t>PR</t>
        </is>
      </c>
      <c r="AI314" t="inlineStr">
        <is>
          <t>JANDAIA DO SUL</t>
        </is>
      </c>
      <c r="AJ314" t="inlineStr">
        <is>
          <t>Fabricação de defensivos agrícolas</t>
        </is>
      </c>
      <c r="AK314" t="inlineStr">
        <is>
          <t>DEMAIS</t>
        </is>
      </c>
      <c r="AL314" t="inlineStr">
        <is>
          <t>ATIVA</t>
        </is>
      </c>
      <c r="AM314" s="17" t="inlineStr">
        <is>
          <t>https://lrflideres.com.br/wp-content/plugins/download-attachments/includes/download.php?id=6879</t>
        </is>
      </c>
      <c r="AN314" s="18" t="inlineStr">
        <is>
          <t>p1 r12</t>
        </is>
      </c>
      <c r="AO314" s="18" t="inlineStr">
        <is>
          <t>p1: R$ 467.392,00</t>
        </is>
      </c>
      <c r="AP314" s="18" t="inlineStr">
        <is>
          <t>AJ_LIST</t>
        </is>
      </c>
      <c r="AQ314" s="18" t="inlineStr">
        <is>
          <t>2026-01-15</t>
        </is>
      </c>
      <c r="AR314" s="18" t="inlineStr">
        <is>
          <t>OK</t>
        </is>
      </c>
      <c r="AS314" s="18" t="inlineStr">
        <is>
          <t>ROWS:p1r12</t>
        </is>
      </c>
      <c r="AT314" s="18" t="inlineStr">
        <is>
          <t>c56751547323</t>
        </is>
      </c>
    </row>
    <row r="315">
      <c r="A315" s="9" t="n">
        <v>314</v>
      </c>
      <c r="B315" s="9" t="inlineStr">
        <is>
          <t>NEW</t>
        </is>
      </c>
      <c r="C315" s="9" t="inlineStr"/>
      <c r="D315" s="9" t="n">
        <v>0</v>
      </c>
      <c r="E315" s="9" t="inlineStr"/>
      <c r="F315" s="9" t="inlineStr"/>
      <c r="G315" s="9" t="inlineStr"/>
      <c r="H315" s="9" t="inlineStr"/>
      <c r="I315" t="inlineStr">
        <is>
          <t>TOP50 LOCADORA DE EQUIPAMENTOS LTDA</t>
        </is>
      </c>
      <c r="J315" t="inlineStr">
        <is>
          <t>Doka Brasil Formas Para Concreto Ltda</t>
        </is>
      </c>
      <c r="K315" t="inlineStr">
        <is>
          <t>29958527</t>
        </is>
      </c>
      <c r="L315" t="inlineStr">
        <is>
          <t>29958527000105</t>
        </is>
      </c>
      <c r="M315" s="10" t="n">
        <v>462152.49</v>
      </c>
      <c r="N315" t="n">
        <v>1</v>
      </c>
      <c r="O315" s="11" t="inlineStr">
        <is>
          <t>B</t>
        </is>
      </c>
      <c r="P315" s="11" t="inlineStr"/>
      <c r="Q315" s="12" t="n">
        <v>45756</v>
      </c>
      <c r="R315" s="11">
        <f>IF(Q315="","",ROUND((TODAY()-Q315)/365.25,1))</f>
        <v/>
      </c>
      <c r="S315" s="13">
        <f>IFERROR(VLOOKUP(O315,Assumptions!$A$7:$F$11,2,FALSE),0.25)</f>
        <v/>
      </c>
      <c r="T315" s="14">
        <f>IF(O315="A",MAX(1,IFERROR(VLOOKUP(O315,Assumptions!$A$7:$F$11,3,FALSE),3)+IFERROR(VLOOKUP(O315,Assumptions!$A$7:$F$11,4,FALSE),8)/2-MAX(0,IF(R315="",0,R315)-IFERROR(VLOOKUP(O315,Assumptions!$A$7:$F$11,5,FALSE),1.5))),IFERROR(VLOOKUP(O315,Assumptions!$A$7:$F$11,5,FALSE),2.5)+IFERROR(VLOOKUP(O315,Assumptions!$A$7:$F$11,3,FALSE),3)+IFERROR(VLOOKUP(O315,Assumptions!$A$7:$F$11,4,FALSE),8)/2)</f>
        <v/>
      </c>
      <c r="U315" s="15">
        <f>M315*S315/(1+Assumptions!$B$3)^T315</f>
        <v/>
      </c>
      <c r="V315" s="11">
        <f>IF(M315=0,"",ROUND(U315/M315*100,1))</f>
        <v/>
      </c>
      <c r="W315" s="16">
        <f>U315*Assumptions!$B$4</f>
        <v/>
      </c>
      <c r="X315" s="11">
        <f>IF(M315=0,"",ROUND(W315/M315*100,1))</f>
        <v/>
      </c>
      <c r="Y315" t="inlineStr">
        <is>
          <t>GRUPO EGESA (EGESA ENG S.A, EGESUR PART E EMP S.A, MATRIX INFRA LTDA, BEMVIVER ENG AMBIENTAL E SERV LTDA, DKF CONST E EMP LTDA, EGEPEL LTDA, ETR ASSESSORIA EMP E PART LTDA, MVT ENG E SERV LTDA, PARQUES DO VALE LTDA, ELMO RIBEIRO E ANA RIBEIRO)</t>
        </is>
      </c>
      <c r="Z315" t="inlineStr">
        <is>
          <t>5088952-81.2025.8.13.0024</t>
        </is>
      </c>
      <c r="AA315" t="inlineStr">
        <is>
          <t>TJMG</t>
        </is>
      </c>
      <c r="AB315" t="inlineStr">
        <is>
          <t>scalzilliaj.com.br</t>
        </is>
      </c>
      <c r="AC315" t="inlineStr">
        <is>
          <t>FERNANDO GODOY BUZOLIN</t>
        </is>
      </c>
      <c r="AD315" t="inlineStr">
        <is>
          <t>Administrador</t>
        </is>
      </c>
      <c r="AE315" t="inlineStr">
        <is>
          <t>(11) 3116-5050</t>
        </is>
      </c>
      <c r="AF315" t="inlineStr"/>
      <c r="AG315" t="inlineStr"/>
      <c r="AH315" t="inlineStr">
        <is>
          <t>SP</t>
        </is>
      </c>
      <c r="AI315" t="inlineStr">
        <is>
          <t>GUARULHOS</t>
        </is>
      </c>
      <c r="AJ315" t="inlineStr">
        <is>
          <t>Aluguel de máquinas e equipamentos para construção sem operador, exceto andaimes</t>
        </is>
      </c>
      <c r="AK315" t="inlineStr">
        <is>
          <t>DEMAIS</t>
        </is>
      </c>
      <c r="AL315" t="inlineStr">
        <is>
          <t>ATIVA</t>
        </is>
      </c>
      <c r="AM315" s="17" t="inlineStr">
        <is>
          <t>https://scalzilliaj.com.br/sgc/download.php?file=files/processo_documento/processo_documento09514021082025_1_.pdf&amp;nome=04 - Relação de credores das Recuperandas</t>
        </is>
      </c>
      <c r="AN315" s="18" t="inlineStr">
        <is>
          <t>p65 r7</t>
        </is>
      </c>
      <c r="AO315" s="18" t="inlineStr">
        <is>
          <t>p65: R$ 462.152,49</t>
        </is>
      </c>
      <c r="AP315" s="18" t="inlineStr">
        <is>
          <t>DEBTOR_LIST</t>
        </is>
      </c>
      <c r="AQ315" s="18" t="inlineStr"/>
      <c r="AR315" s="18" t="inlineStr">
        <is>
          <t>OK</t>
        </is>
      </c>
      <c r="AS315" s="18" t="inlineStr">
        <is>
          <t>ROWS:p65r7 VALUE_COL:Valor_Atualizado CASE_NUMBER_CORRECTED CASE_FROM_PORTAL</t>
        </is>
      </c>
      <c r="AT315" s="18" t="inlineStr">
        <is>
          <t>24ed98480a57</t>
        </is>
      </c>
    </row>
    <row r="316">
      <c r="A316" s="9" t="n">
        <v>315</v>
      </c>
      <c r="B316" s="9" t="inlineStr">
        <is>
          <t>NEW</t>
        </is>
      </c>
      <c r="C316" s="9" t="inlineStr"/>
      <c r="D316" s="9" t="n">
        <v>0</v>
      </c>
      <c r="E316" s="9" t="inlineStr"/>
      <c r="F316" s="9" t="inlineStr"/>
      <c r="G316" s="9" t="inlineStr"/>
      <c r="H316" s="9" t="inlineStr"/>
      <c r="I316" t="inlineStr">
        <is>
          <t>ALTOMAX COMERCIO DE MEIAS E COBERTORES, IMPORTACAO E EXPORTACAO LTDA</t>
        </is>
      </c>
      <c r="J316" t="inlineStr">
        <is>
          <t>ALTOMAX COMERCIO DE MEIAS E COBERTORES, IMPORTACAO E EXPORTACAO EIRELI</t>
        </is>
      </c>
      <c r="K316" t="inlineStr">
        <is>
          <t>08307549</t>
        </is>
      </c>
      <c r="L316" t="inlineStr">
        <is>
          <t>08307549000135</t>
        </is>
      </c>
      <c r="M316" s="10" t="n">
        <v>460120.8</v>
      </c>
      <c r="N316" t="n">
        <v>3</v>
      </c>
      <c r="O316" s="11" t="inlineStr">
        <is>
          <t>C</t>
        </is>
      </c>
      <c r="P316" s="11" t="inlineStr">
        <is>
          <t>ACTIVE</t>
        </is>
      </c>
      <c r="Q316" s="12" t="n">
        <v>44571</v>
      </c>
      <c r="R316" s="11">
        <f>IF(Q316="","",ROUND((TODAY()-Q316)/365.25,1))</f>
        <v/>
      </c>
      <c r="S316" s="13">
        <f>IFERROR(VLOOKUP(O316,Assumptions!$A$7:$F$11,2,FALSE),0.25)</f>
        <v/>
      </c>
      <c r="T316" s="14">
        <f>IF(O316="A",MAX(1,IFERROR(VLOOKUP(O316,Assumptions!$A$7:$F$11,3,FALSE),3)+IFERROR(VLOOKUP(O316,Assumptions!$A$7:$F$11,4,FALSE),8)/2-MAX(0,IF(R316="",0,R316)-IFERROR(VLOOKUP(O316,Assumptions!$A$7:$F$11,5,FALSE),1.5))),IFERROR(VLOOKUP(O316,Assumptions!$A$7:$F$11,5,FALSE),2.5)+IFERROR(VLOOKUP(O316,Assumptions!$A$7:$F$11,3,FALSE),3)+IFERROR(VLOOKUP(O316,Assumptions!$A$7:$F$11,4,FALSE),8)/2)</f>
        <v/>
      </c>
      <c r="U316" s="15">
        <f>M316*S316/(1+Assumptions!$B$3)^T316</f>
        <v/>
      </c>
      <c r="V316" s="11">
        <f>IF(M316=0,"",ROUND(U316/M316*100,1))</f>
        <v/>
      </c>
      <c r="W316" s="16">
        <f>U316*Assumptions!$B$4</f>
        <v/>
      </c>
      <c r="X316" s="11">
        <f>IF(M316=0,"",ROUND(W316/M316*100,1))</f>
        <v/>
      </c>
      <c r="Y316" t="inlineStr">
        <is>
          <t>GRUPO CATTAN</t>
        </is>
      </c>
      <c r="Z316" t="inlineStr">
        <is>
          <t>0002484-82.2022.8.17.2001</t>
        </is>
      </c>
      <c r="AA316" t="inlineStr">
        <is>
          <t>TJPE</t>
        </is>
      </c>
      <c r="AB316" t="inlineStr">
        <is>
          <t>lrflideres.com.br</t>
        </is>
      </c>
      <c r="AC316" t="inlineStr">
        <is>
          <t>ANDRE EGIDIO FARIAS PARIZE</t>
        </is>
      </c>
      <c r="AD316" t="inlineStr">
        <is>
          <t>Administrador</t>
        </is>
      </c>
      <c r="AE316" t="inlineStr">
        <is>
          <t>(45) 3574-5322</t>
        </is>
      </c>
      <c r="AF316" t="inlineStr"/>
      <c r="AG316" t="inlineStr"/>
      <c r="AH316" t="inlineStr">
        <is>
          <t>PR</t>
        </is>
      </c>
      <c r="AI316" t="inlineStr">
        <is>
          <t>FOZ DO IGUACU</t>
        </is>
      </c>
      <c r="AJ316" t="inlineStr">
        <is>
          <t>Comércio atacadista de artigos de cama, mesa e banho</t>
        </is>
      </c>
      <c r="AK316" t="inlineStr">
        <is>
          <t>DEMAIS</t>
        </is>
      </c>
      <c r="AL316" t="inlineStr">
        <is>
          <t>ATIVA</t>
        </is>
      </c>
      <c r="AM316" s="17" t="inlineStr">
        <is>
          <t>https://lrflideres.com.br/wp-content/plugins/download-attachments/includes/download.php?id=4023</t>
        </is>
      </c>
      <c r="AN316" s="18" t="inlineStr">
        <is>
          <t>p4 r53; p7 r73; p9 r56</t>
        </is>
      </c>
      <c r="AO316" s="18" t="inlineStr">
        <is>
          <t>p4: R$ 35.372,00; p7: R$ 344.791,28; p9: R$ 79.957,52</t>
        </is>
      </c>
      <c r="AP316" s="18" t="inlineStr">
        <is>
          <t>DEBTOR_LIST</t>
        </is>
      </c>
      <c r="AQ316" s="18" t="inlineStr"/>
      <c r="AR316" s="18" t="inlineStr">
        <is>
          <t>QUARANTINED</t>
        </is>
      </c>
      <c r="AS316" s="18" t="inlineStr">
        <is>
          <t>PARTIAL_DOC_CLASS_III_RECONCILED ROWS:p4r53,p7r73,p9r56</t>
        </is>
      </c>
      <c r="AT316" s="18" t="inlineStr">
        <is>
          <t>f3b6182e3aa2</t>
        </is>
      </c>
    </row>
    <row r="317">
      <c r="A317" s="9" t="n">
        <v>316</v>
      </c>
      <c r="B317" s="9" t="inlineStr">
        <is>
          <t>NEW</t>
        </is>
      </c>
      <c r="C317" s="9" t="inlineStr"/>
      <c r="D317" s="9" t="n">
        <v>0</v>
      </c>
      <c r="E317" s="9" t="inlineStr"/>
      <c r="F317" s="9" t="inlineStr"/>
      <c r="G317" s="9" t="inlineStr"/>
      <c r="H317" s="9" t="inlineStr"/>
      <c r="I317" t="inlineStr">
        <is>
          <t>LIFECOR COMERCIO DE PRODUTOS HOSPITALARES LTDA</t>
        </is>
      </c>
      <c r="J317" t="inlineStr">
        <is>
          <t>LIFECOR COMERCIO DE PRODUTOS HOSPITALARES LTDA (</t>
        </is>
      </c>
      <c r="K317" t="inlineStr">
        <is>
          <t>07108742</t>
        </is>
      </c>
      <c r="L317" t="inlineStr">
        <is>
          <t>07108742000184</t>
        </is>
      </c>
      <c r="M317" s="10" t="n">
        <v>459688.97</v>
      </c>
      <c r="N317" t="n">
        <v>1</v>
      </c>
      <c r="O317" s="11" t="inlineStr">
        <is>
          <t>C</t>
        </is>
      </c>
      <c r="P317" s="11" t="inlineStr">
        <is>
          <t>ACTIVE</t>
        </is>
      </c>
      <c r="Q317" s="12" t="n">
        <v>44735</v>
      </c>
      <c r="R317" s="11">
        <f>IF(Q317="","",ROUND((TODAY()-Q317)/365.25,1))</f>
        <v/>
      </c>
      <c r="S317" s="13">
        <f>IFERROR(VLOOKUP(O317,Assumptions!$A$7:$F$11,2,FALSE),0.25)</f>
        <v/>
      </c>
      <c r="T317" s="14">
        <f>IF(O317="A",MAX(1,IFERROR(VLOOKUP(O317,Assumptions!$A$7:$F$11,3,FALSE),3)+IFERROR(VLOOKUP(O317,Assumptions!$A$7:$F$11,4,FALSE),8)/2-MAX(0,IF(R317="",0,R317)-IFERROR(VLOOKUP(O317,Assumptions!$A$7:$F$11,5,FALSE),1.5))),IFERROR(VLOOKUP(O317,Assumptions!$A$7:$F$11,5,FALSE),2.5)+IFERROR(VLOOKUP(O317,Assumptions!$A$7:$F$11,3,FALSE),3)+IFERROR(VLOOKUP(O317,Assumptions!$A$7:$F$11,4,FALSE),8)/2)</f>
        <v/>
      </c>
      <c r="U317" s="15">
        <f>M317*S317/(1+Assumptions!$B$3)^T317</f>
        <v/>
      </c>
      <c r="V317" s="11">
        <f>IF(M317=0,"",ROUND(U317/M317*100,1))</f>
        <v/>
      </c>
      <c r="W317" s="16">
        <f>U317*Assumptions!$B$4</f>
        <v/>
      </c>
      <c r="X317" s="11">
        <f>IF(M317=0,"",ROUND(W317/M317*100,1))</f>
        <v/>
      </c>
      <c r="Y317" t="inlineStr">
        <is>
          <t>ASSOCIAÇÃO DE CARIDADE SANTA CASA DO RIO GRANDE</t>
        </is>
      </c>
      <c r="Z317" t="inlineStr">
        <is>
          <t>5012306-16.2022.8.21.0023</t>
        </is>
      </c>
      <c r="AA317" t="inlineStr">
        <is>
          <t>TJRS</t>
        </is>
      </c>
      <c r="AB317" t="inlineStr">
        <is>
          <t>scalzilliaj.com.br</t>
        </is>
      </c>
      <c r="AC317" t="inlineStr">
        <is>
          <t>ELEONARDA TEREZINHA DOS SANTOS SAMPAIO</t>
        </is>
      </c>
      <c r="AD317" t="inlineStr">
        <is>
          <t>Sócio-Administrador</t>
        </is>
      </c>
      <c r="AE317" t="inlineStr">
        <is>
          <t>(51) 3219-4026</t>
        </is>
      </c>
      <c r="AF317" t="inlineStr"/>
      <c r="AG317" t="inlineStr"/>
      <c r="AH317" t="inlineStr">
        <is>
          <t>RS</t>
        </is>
      </c>
      <c r="AI317" t="inlineStr">
        <is>
          <t>PORTO ALEGRE</t>
        </is>
      </c>
      <c r="AJ317" t="inlineStr">
        <is>
          <t>Comércio atacadista de instrumentos e materiais para uso médico, cirúrgico, hospitalar e de laboratórios</t>
        </is>
      </c>
      <c r="AK317" t="inlineStr">
        <is>
          <t>DEMAIS</t>
        </is>
      </c>
      <c r="AL317" t="inlineStr">
        <is>
          <t>ATIVA</t>
        </is>
      </c>
      <c r="AM317" s="17" t="inlineStr">
        <is>
          <t>https://scalzilliaj.com.br/sgc/download.php?file=files/processo_documento/processo_documento09120721032023_1_.pdf&amp;nome=15 - Edital do art. 7º, §2º e 53 da Lei 11.101/2005 (segunda lista de credores e recebimento do plano))</t>
        </is>
      </c>
      <c r="AN317" s="18" t="inlineStr">
        <is>
          <t>p28 r29</t>
        </is>
      </c>
      <c r="AO317" s="18" t="inlineStr">
        <is>
          <t>p28: R$ 459.688,97</t>
        </is>
      </c>
      <c r="AP317" s="18" t="inlineStr">
        <is>
          <t>AJ_LIST</t>
        </is>
      </c>
      <c r="AQ317" s="18" t="inlineStr">
        <is>
          <t>2023-03-21</t>
        </is>
      </c>
      <c r="AR317" s="18" t="inlineStr">
        <is>
          <t>OK_NO_TOTALS</t>
        </is>
      </c>
      <c r="AS317" s="18" t="inlineStr">
        <is>
          <t>ROWS:p28r29 UNRECONCILED_SOURCE</t>
        </is>
      </c>
      <c r="AT317" s="18" t="inlineStr">
        <is>
          <t>ebfb999b457c</t>
        </is>
      </c>
    </row>
    <row r="318">
      <c r="A318" s="9" t="n">
        <v>317</v>
      </c>
      <c r="B318" s="9" t="inlineStr">
        <is>
          <t>NEW</t>
        </is>
      </c>
      <c r="C318" s="9" t="inlineStr"/>
      <c r="D318" s="9" t="n">
        <v>0</v>
      </c>
      <c r="E318" s="9" t="inlineStr"/>
      <c r="F318" s="9" t="inlineStr"/>
      <c r="G318" s="9" t="inlineStr"/>
      <c r="H318" s="9" t="inlineStr"/>
      <c r="I318" t="inlineStr">
        <is>
          <t>LOTEX TEXTIL LTDA</t>
        </is>
      </c>
      <c r="J318" t="inlineStr">
        <is>
          <t>LOTEX ELASTICOS LTDA.</t>
        </is>
      </c>
      <c r="K318" t="inlineStr">
        <is>
          <t>09454490</t>
        </is>
      </c>
      <c r="L318" t="inlineStr">
        <is>
          <t>09454490000170</t>
        </is>
      </c>
      <c r="M318" s="10" t="n">
        <v>459317.41</v>
      </c>
      <c r="N318" t="n">
        <v>1</v>
      </c>
      <c r="O318" s="11" t="inlineStr">
        <is>
          <t>D</t>
        </is>
      </c>
      <c r="P318" s="11" t="inlineStr"/>
      <c r="Q318" s="12" t="inlineStr"/>
      <c r="R318" s="11">
        <f>IF(Q318="","",ROUND((TODAY()-Q318)/365.25,1))</f>
        <v/>
      </c>
      <c r="S318" s="13">
        <f>IFERROR(VLOOKUP(O318,Assumptions!$A$7:$F$11,2,FALSE),0.25)</f>
        <v/>
      </c>
      <c r="T318" s="14">
        <f>IF(O318="A",MAX(1,IFERROR(VLOOKUP(O318,Assumptions!$A$7:$F$11,3,FALSE),3)+IFERROR(VLOOKUP(O318,Assumptions!$A$7:$F$11,4,FALSE),8)/2-MAX(0,IF(R318="",0,R318)-IFERROR(VLOOKUP(O318,Assumptions!$A$7:$F$11,5,FALSE),1.5))),IFERROR(VLOOKUP(O318,Assumptions!$A$7:$F$11,5,FALSE),2.5)+IFERROR(VLOOKUP(O318,Assumptions!$A$7:$F$11,3,FALSE),3)+IFERROR(VLOOKUP(O318,Assumptions!$A$7:$F$11,4,FALSE),8)/2)</f>
        <v/>
      </c>
      <c r="U318" s="15">
        <f>M318*S318/(1+Assumptions!$B$3)^T318</f>
        <v/>
      </c>
      <c r="V318" s="11">
        <f>IF(M318=0,"",ROUND(U318/M318*100,1))</f>
        <v/>
      </c>
      <c r="W318" s="16">
        <f>U318*Assumptions!$B$4</f>
        <v/>
      </c>
      <c r="X318" s="11">
        <f>IF(M318=0,"",ROUND(W318/M318*100,1))</f>
        <v/>
      </c>
      <c r="Y318" t="inlineStr">
        <is>
          <t>Mannes</t>
        </is>
      </c>
      <c r="Z318" t="inlineStr">
        <is>
          <t>0005010-50.2013.8.24.0026</t>
        </is>
      </c>
      <c r="AA318" t="inlineStr"/>
      <c r="AB318" t="inlineStr">
        <is>
          <t>administradorajudicialgs.com.br</t>
        </is>
      </c>
      <c r="AC318" t="inlineStr">
        <is>
          <t>ELEMAR LOTH</t>
        </is>
      </c>
      <c r="AD318" t="inlineStr">
        <is>
          <t>Sócio-Administrador</t>
        </is>
      </c>
      <c r="AE318" t="inlineStr">
        <is>
          <t>(47) 3055-0027</t>
        </is>
      </c>
      <c r="AF318" t="inlineStr">
        <is>
          <t>(47) 3055-0817</t>
        </is>
      </c>
      <c r="AG318" t="inlineStr"/>
      <c r="AH318" t="inlineStr">
        <is>
          <t>SC</t>
        </is>
      </c>
      <c r="AI318" t="inlineStr">
        <is>
          <t>JARAGUA DO SUL</t>
        </is>
      </c>
      <c r="AJ318" t="inlineStr">
        <is>
          <t>Fabricação de outros produtos têxteis não especificados anteriormente</t>
        </is>
      </c>
      <c r="AK318" t="inlineStr">
        <is>
          <t>MICRO EMPRESA</t>
        </is>
      </c>
      <c r="AL318" t="inlineStr">
        <is>
          <t>ATIVA</t>
        </is>
      </c>
      <c r="AM318" s="17" t="inlineStr">
        <is>
          <t>https://administradorajudicialgs.com.br/wp-content/uploads/2024/12/relacao-de-credores-da-falida.pdf</t>
        </is>
      </c>
      <c r="AN318" s="18" t="inlineStr">
        <is>
          <t>p16 r17</t>
        </is>
      </c>
      <c r="AO318" s="18" t="inlineStr">
        <is>
          <t>p16: R$ 459.317,41</t>
        </is>
      </c>
      <c r="AP318" s="18" t="inlineStr">
        <is>
          <t>OTHER</t>
        </is>
      </c>
      <c r="AQ318" s="18" t="inlineStr">
        <is>
          <t>2025-03-25</t>
        </is>
      </c>
      <c r="AR318" s="18" t="inlineStr">
        <is>
          <t>OK_NO_TOTALS</t>
        </is>
      </c>
      <c r="AS318" s="18" t="inlineStr">
        <is>
          <t>ROWS:p16r17 UNRECONCILED_SOURCE CASE_NUMBER_CORRECTED</t>
        </is>
      </c>
      <c r="AT318" s="18" t="inlineStr">
        <is>
          <t>ea17ba43b261</t>
        </is>
      </c>
    </row>
    <row r="319">
      <c r="A319" s="9" t="n">
        <v>318</v>
      </c>
      <c r="B319" s="9" t="inlineStr">
        <is>
          <t>NEW</t>
        </is>
      </c>
      <c r="C319" s="9" t="inlineStr"/>
      <c r="D319" s="9" t="n">
        <v>0</v>
      </c>
      <c r="E319" s="9" t="inlineStr"/>
      <c r="F319" s="9" t="inlineStr"/>
      <c r="G319" s="9" t="inlineStr"/>
      <c r="H319" s="9" t="inlineStr"/>
      <c r="I319" t="inlineStr">
        <is>
          <t>JOAO DE DEUS TRANSPORTES E COMERCIO LTDA</t>
        </is>
      </c>
      <c r="J319" t="inlineStr">
        <is>
          <t>João de Deus Transportes Comércio Eireli</t>
        </is>
      </c>
      <c r="K319" t="inlineStr">
        <is>
          <t>09236766</t>
        </is>
      </c>
      <c r="L319" t="inlineStr">
        <is>
          <t>09236766000144</t>
        </is>
      </c>
      <c r="M319" s="10" t="n">
        <v>458601.25</v>
      </c>
      <c r="N319" t="n">
        <v>1</v>
      </c>
      <c r="O319" s="11" t="inlineStr">
        <is>
          <t>B</t>
        </is>
      </c>
      <c r="P319" s="11" t="inlineStr"/>
      <c r="Q319" s="12" t="n">
        <v>45756</v>
      </c>
      <c r="R319" s="11">
        <f>IF(Q319="","",ROUND((TODAY()-Q319)/365.25,1))</f>
        <v/>
      </c>
      <c r="S319" s="13">
        <f>IFERROR(VLOOKUP(O319,Assumptions!$A$7:$F$11,2,FALSE),0.25)</f>
        <v/>
      </c>
      <c r="T319" s="14">
        <f>IF(O319="A",MAX(1,IFERROR(VLOOKUP(O319,Assumptions!$A$7:$F$11,3,FALSE),3)+IFERROR(VLOOKUP(O319,Assumptions!$A$7:$F$11,4,FALSE),8)/2-MAX(0,IF(R319="",0,R319)-IFERROR(VLOOKUP(O319,Assumptions!$A$7:$F$11,5,FALSE),1.5))),IFERROR(VLOOKUP(O319,Assumptions!$A$7:$F$11,5,FALSE),2.5)+IFERROR(VLOOKUP(O319,Assumptions!$A$7:$F$11,3,FALSE),3)+IFERROR(VLOOKUP(O319,Assumptions!$A$7:$F$11,4,FALSE),8)/2)</f>
        <v/>
      </c>
      <c r="U319" s="15">
        <f>M319*S319/(1+Assumptions!$B$3)^T319</f>
        <v/>
      </c>
      <c r="V319" s="11">
        <f>IF(M319=0,"",ROUND(U319/M319*100,1))</f>
        <v/>
      </c>
      <c r="W319" s="16">
        <f>U319*Assumptions!$B$4</f>
        <v/>
      </c>
      <c r="X319" s="11">
        <f>IF(M319=0,"",ROUND(W319/M319*100,1))</f>
        <v/>
      </c>
      <c r="Y319" t="inlineStr">
        <is>
          <t>GRUPO EGESA (EGESA ENG S.A, EGESUR PART E EMP S.A, MATRIX INFRA LTDA, BEMVIVER ENG AMBIENTAL E SERV LTDA, DKF CONST E EMP LTDA, EGEPEL LTDA, ETR ASSESSORIA EMP E PART LTDA, MVT ENG E SERV LTDA, PARQUES DO VALE LTDA, ELMO RIBEIRO E ANA RIBEIRO)</t>
        </is>
      </c>
      <c r="Z319" t="inlineStr">
        <is>
          <t>5088952-81.2025.8.13.0024</t>
        </is>
      </c>
      <c r="AA319" t="inlineStr">
        <is>
          <t>TJMG</t>
        </is>
      </c>
      <c r="AB319" t="inlineStr">
        <is>
          <t>scalzilliaj.com.br</t>
        </is>
      </c>
      <c r="AC319" t="inlineStr">
        <is>
          <t>JOAO DE DEUS BARBOSA ALVES</t>
        </is>
      </c>
      <c r="AD319" t="inlineStr">
        <is>
          <t>Sócio-Administrador</t>
        </is>
      </c>
      <c r="AE319" t="inlineStr">
        <is>
          <t>(31) 3417-3964</t>
        </is>
      </c>
      <c r="AF319" t="inlineStr">
        <is>
          <t>(31) 9972-3745</t>
        </is>
      </c>
      <c r="AG319" t="inlineStr"/>
      <c r="AH319" t="inlineStr">
        <is>
          <t>MG</t>
        </is>
      </c>
      <c r="AI319" t="inlineStr">
        <is>
          <t>BELO HORIZONTE</t>
        </is>
      </c>
      <c r="AJ319" t="inlineStr">
        <is>
          <t>Transporte rodoviário de carga, exceto produtos perigosos e mudanças, municipal.</t>
        </is>
      </c>
      <c r="AK319" t="inlineStr">
        <is>
          <t>MICRO EMPRESA</t>
        </is>
      </c>
      <c r="AL319" t="inlineStr">
        <is>
          <t>ATIVA</t>
        </is>
      </c>
      <c r="AM319" s="17" t="inlineStr">
        <is>
          <t>https://scalzilliaj.com.br/sgc/download.php?file=files/processo_documento/processo_documento09514021082025_1_.pdf&amp;nome=04 - Relação de credores das Recuperandas</t>
        </is>
      </c>
      <c r="AN319" s="18" t="inlineStr">
        <is>
          <t>p68 r14</t>
        </is>
      </c>
      <c r="AO319" s="18" t="inlineStr">
        <is>
          <t>p68: R$ 458.601,25</t>
        </is>
      </c>
      <c r="AP319" s="18" t="inlineStr">
        <is>
          <t>DEBTOR_LIST</t>
        </is>
      </c>
      <c r="AQ319" s="18" t="inlineStr"/>
      <c r="AR319" s="18" t="inlineStr">
        <is>
          <t>OK</t>
        </is>
      </c>
      <c r="AS319" s="18" t="inlineStr">
        <is>
          <t>ROWS:p68r14 VALUE_COL:Valor_Atualizado CASE_NUMBER_CORRECTED CASE_FROM_PORTAL</t>
        </is>
      </c>
      <c r="AT319" s="18" t="inlineStr">
        <is>
          <t>24ed98480a57</t>
        </is>
      </c>
    </row>
    <row r="320">
      <c r="A320" s="9" t="n">
        <v>319</v>
      </c>
      <c r="B320" s="9" t="inlineStr">
        <is>
          <t>NEW</t>
        </is>
      </c>
      <c r="C320" s="9" t="inlineStr"/>
      <c r="D320" s="9" t="n">
        <v>0</v>
      </c>
      <c r="E320" s="9" t="inlineStr"/>
      <c r="F320" s="9" t="inlineStr"/>
      <c r="G320" s="9" t="inlineStr"/>
      <c r="H320" s="9" t="inlineStr"/>
      <c r="I320" t="inlineStr">
        <is>
          <t>ITABOX INDUSTRIA E COMERCIO DE MOVEIS DE MADEIRA LTDA</t>
        </is>
      </c>
      <c r="J320" t="inlineStr">
        <is>
          <t>ITABOX IND E COM DE MOVEIS DE MAD LTDA</t>
        </is>
      </c>
      <c r="K320" t="inlineStr">
        <is>
          <t>11679253</t>
        </is>
      </c>
      <c r="L320" t="inlineStr">
        <is>
          <t>11679253000150</t>
        </is>
      </c>
      <c r="M320" s="10" t="n">
        <v>456074.41</v>
      </c>
      <c r="N320" t="n">
        <v>1</v>
      </c>
      <c r="O320" s="11" t="inlineStr">
        <is>
          <t>D</t>
        </is>
      </c>
      <c r="P320" s="11" t="inlineStr"/>
      <c r="Q320" s="12" t="inlineStr"/>
      <c r="R320" s="11">
        <f>IF(Q320="","",ROUND((TODAY()-Q320)/365.25,1))</f>
        <v/>
      </c>
      <c r="S320" s="13">
        <f>IFERROR(VLOOKUP(O320,Assumptions!$A$7:$F$11,2,FALSE),0.25)</f>
        <v/>
      </c>
      <c r="T320" s="14">
        <f>IF(O320="A",MAX(1,IFERROR(VLOOKUP(O320,Assumptions!$A$7:$F$11,3,FALSE),3)+IFERROR(VLOOKUP(O320,Assumptions!$A$7:$F$11,4,FALSE),8)/2-MAX(0,IF(R320="",0,R320)-IFERROR(VLOOKUP(O320,Assumptions!$A$7:$F$11,5,FALSE),1.5))),IFERROR(VLOOKUP(O320,Assumptions!$A$7:$F$11,5,FALSE),2.5)+IFERROR(VLOOKUP(O320,Assumptions!$A$7:$F$11,3,FALSE),3)+IFERROR(VLOOKUP(O320,Assumptions!$A$7:$F$11,4,FALSE),8)/2)</f>
        <v/>
      </c>
      <c r="U320" s="15">
        <f>M320*S320/(1+Assumptions!$B$3)^T320</f>
        <v/>
      </c>
      <c r="V320" s="11">
        <f>IF(M320=0,"",ROUND(U320/M320*100,1))</f>
        <v/>
      </c>
      <c r="W320" s="16">
        <f>U320*Assumptions!$B$4</f>
        <v/>
      </c>
      <c r="X320" s="11">
        <f>IF(M320=0,"",ROUND(W320/M320*100,1))</f>
        <v/>
      </c>
      <c r="Y320" t="inlineStr">
        <is>
          <t>Mannes</t>
        </is>
      </c>
      <c r="Z320" t="inlineStr">
        <is>
          <t>0005010-50.2013.8.24.0026</t>
        </is>
      </c>
      <c r="AA320" t="inlineStr"/>
      <c r="AB320" t="inlineStr">
        <is>
          <t>administradorajudicialgs.com.br</t>
        </is>
      </c>
      <c r="AC320" t="inlineStr">
        <is>
          <t>RODOLFO ROHR</t>
        </is>
      </c>
      <c r="AD320" t="inlineStr">
        <is>
          <t>Sócio-Administrador</t>
        </is>
      </c>
      <c r="AE320" t="inlineStr">
        <is>
          <t>(14) 3711-2222</t>
        </is>
      </c>
      <c r="AF320" t="inlineStr"/>
      <c r="AG320" t="inlineStr"/>
      <c r="AH320" t="inlineStr">
        <is>
          <t>SP</t>
        </is>
      </c>
      <c r="AI320" t="inlineStr">
        <is>
          <t>ITAPETININGA</t>
        </is>
      </c>
      <c r="AJ320" t="inlineStr">
        <is>
          <t>Fabricação de móveis com predominância de madeira</t>
        </is>
      </c>
      <c r="AK320" t="inlineStr">
        <is>
          <t>DEMAIS</t>
        </is>
      </c>
      <c r="AL320" t="inlineStr">
        <is>
          <t>ATIVA</t>
        </is>
      </c>
      <c r="AM320" s="17" t="inlineStr">
        <is>
          <t>https://administradorajudicialgs.com.br/wp-content/uploads/2024/12/relacao-de-credores-da-falida.pdf</t>
        </is>
      </c>
      <c r="AN320" s="18" t="inlineStr">
        <is>
          <t>p15 r38</t>
        </is>
      </c>
      <c r="AO320" s="18" t="inlineStr">
        <is>
          <t>p15: R$ 456.074,41</t>
        </is>
      </c>
      <c r="AP320" s="18" t="inlineStr">
        <is>
          <t>OTHER</t>
        </is>
      </c>
      <c r="AQ320" s="18" t="inlineStr">
        <is>
          <t>2025-03-25</t>
        </is>
      </c>
      <c r="AR320" s="18" t="inlineStr">
        <is>
          <t>OK_NO_TOTALS</t>
        </is>
      </c>
      <c r="AS320" s="18" t="inlineStr">
        <is>
          <t>ROWS:p15r38 UNRECONCILED_SOURCE CASE_NUMBER_CORRECTED</t>
        </is>
      </c>
      <c r="AT320" s="18" t="inlineStr">
        <is>
          <t>ea17ba43b261</t>
        </is>
      </c>
    </row>
    <row r="321">
      <c r="A321" s="9" t="n">
        <v>320</v>
      </c>
      <c r="B321" s="9" t="inlineStr">
        <is>
          <t>NEW</t>
        </is>
      </c>
      <c r="C321" s="9" t="inlineStr"/>
      <c r="D321" s="9" t="n">
        <v>0</v>
      </c>
      <c r="E321" s="9" t="inlineStr"/>
      <c r="F321" s="9" t="inlineStr"/>
      <c r="G321" s="9" t="inlineStr"/>
      <c r="H321" s="9" t="inlineStr"/>
      <c r="I321" t="inlineStr">
        <is>
          <t>BASF SA</t>
        </is>
      </c>
      <c r="J321" t="inlineStr">
        <is>
          <t>BASF SA</t>
        </is>
      </c>
      <c r="K321" t="inlineStr">
        <is>
          <t>48539407</t>
        </is>
      </c>
      <c r="L321" t="inlineStr">
        <is>
          <t>48539407000207</t>
        </is>
      </c>
      <c r="M321" s="10" t="n">
        <v>455966.74</v>
      </c>
      <c r="N321" t="n">
        <v>1</v>
      </c>
      <c r="O321" s="11" t="inlineStr">
        <is>
          <t>D</t>
        </is>
      </c>
      <c r="P321" s="11" t="inlineStr"/>
      <c r="Q321" s="12" t="inlineStr"/>
      <c r="R321" s="11">
        <f>IF(Q321="","",ROUND((TODAY()-Q321)/365.25,1))</f>
        <v/>
      </c>
      <c r="S321" s="13">
        <f>IFERROR(VLOOKUP(O321,Assumptions!$A$7:$F$11,2,FALSE),0.25)</f>
        <v/>
      </c>
      <c r="T321" s="14">
        <f>IF(O321="A",MAX(1,IFERROR(VLOOKUP(O321,Assumptions!$A$7:$F$11,3,FALSE),3)+IFERROR(VLOOKUP(O321,Assumptions!$A$7:$F$11,4,FALSE),8)/2-MAX(0,IF(R321="",0,R321)-IFERROR(VLOOKUP(O321,Assumptions!$A$7:$F$11,5,FALSE),1.5))),IFERROR(VLOOKUP(O321,Assumptions!$A$7:$F$11,5,FALSE),2.5)+IFERROR(VLOOKUP(O321,Assumptions!$A$7:$F$11,3,FALSE),3)+IFERROR(VLOOKUP(O321,Assumptions!$A$7:$F$11,4,FALSE),8)/2)</f>
        <v/>
      </c>
      <c r="U321" s="15">
        <f>M321*S321/(1+Assumptions!$B$3)^T321</f>
        <v/>
      </c>
      <c r="V321" s="11">
        <f>IF(M321=0,"",ROUND(U321/M321*100,1))</f>
        <v/>
      </c>
      <c r="W321" s="16">
        <f>U321*Assumptions!$B$4</f>
        <v/>
      </c>
      <c r="X321" s="11">
        <f>IF(M321=0,"",ROUND(W321/M321*100,1))</f>
        <v/>
      </c>
      <c r="Y321" t="inlineStr">
        <is>
          <t>Mannes</t>
        </is>
      </c>
      <c r="Z321" t="inlineStr">
        <is>
          <t>0005010-50.2013.8.24.0026</t>
        </is>
      </c>
      <c r="AA321" t="inlineStr"/>
      <c r="AB321" t="inlineStr">
        <is>
          <t>administradorajudicialgs.com.br</t>
        </is>
      </c>
      <c r="AC321" t="inlineStr">
        <is>
          <t>PRISCILA CAMARA LEAL CARVALHO DE SOUZA</t>
        </is>
      </c>
      <c r="AD321" t="inlineStr">
        <is>
          <t>Presidente</t>
        </is>
      </c>
      <c r="AE321" t="inlineStr">
        <is>
          <t>(11) 2039-2273</t>
        </is>
      </c>
      <c r="AF321" t="inlineStr"/>
      <c r="AG321" t="inlineStr"/>
      <c r="AH321" t="inlineStr">
        <is>
          <t>SP</t>
        </is>
      </c>
      <c r="AI321" t="inlineStr">
        <is>
          <t>SAO PAULO</t>
        </is>
      </c>
      <c r="AJ321" t="inlineStr">
        <is>
          <t>Serviços combinados de escritório e apoio administrativo</t>
        </is>
      </c>
      <c r="AK321" t="inlineStr">
        <is>
          <t>DEMAIS</t>
        </is>
      </c>
      <c r="AL321" t="inlineStr">
        <is>
          <t>ATIVA</t>
        </is>
      </c>
      <c r="AM321" s="17" t="inlineStr">
        <is>
          <t>https://administradorajudicialgs.com.br/wp-content/uploads/2024/12/relacao-de-credores-da-falida.pdf</t>
        </is>
      </c>
      <c r="AN321" s="18" t="inlineStr">
        <is>
          <t>p13 r14</t>
        </is>
      </c>
      <c r="AO321" s="18" t="inlineStr">
        <is>
          <t>p13: R$ 455.966,74</t>
        </is>
      </c>
      <c r="AP321" s="18" t="inlineStr">
        <is>
          <t>OTHER</t>
        </is>
      </c>
      <c r="AQ321" s="18" t="inlineStr">
        <is>
          <t>2025-03-25</t>
        </is>
      </c>
      <c r="AR321" s="18" t="inlineStr">
        <is>
          <t>OK_NO_TOTALS</t>
        </is>
      </c>
      <c r="AS321" s="18" t="inlineStr">
        <is>
          <t>ROWS:p13r14 UNRECONCILED_SOURCE CASE_NUMBER_CORRECTED</t>
        </is>
      </c>
      <c r="AT321" s="18" t="inlineStr">
        <is>
          <t>ea17ba43b261</t>
        </is>
      </c>
    </row>
    <row r="322">
      <c r="A322" s="9" t="n">
        <v>321</v>
      </c>
      <c r="B322" s="9" t="inlineStr">
        <is>
          <t>NEW</t>
        </is>
      </c>
      <c r="C322" s="9" t="inlineStr"/>
      <c r="D322" s="9" t="n">
        <v>0</v>
      </c>
      <c r="E322" s="9" t="inlineStr"/>
      <c r="F322" s="9" t="inlineStr"/>
      <c r="G322" s="9" t="inlineStr"/>
      <c r="H322" s="9" t="inlineStr"/>
      <c r="I322" t="inlineStr">
        <is>
          <t>SARAIVA EQUIPAMENTOS LTDA</t>
        </is>
      </c>
      <c r="J322" t="inlineStr">
        <is>
          <t>Saraiva Equipamentos Ltda</t>
        </is>
      </c>
      <c r="K322" t="inlineStr">
        <is>
          <t>41024712</t>
        </is>
      </c>
      <c r="L322" t="inlineStr">
        <is>
          <t>41024712000128</t>
        </is>
      </c>
      <c r="M322" s="10" t="n">
        <v>455807.91</v>
      </c>
      <c r="N322" t="n">
        <v>5</v>
      </c>
      <c r="O322" s="11" t="inlineStr">
        <is>
          <t>B</t>
        </is>
      </c>
      <c r="P322" s="11" t="inlineStr"/>
      <c r="Q322" s="12" t="n">
        <v>45756</v>
      </c>
      <c r="R322" s="11">
        <f>IF(Q322="","",ROUND((TODAY()-Q322)/365.25,1))</f>
        <v/>
      </c>
      <c r="S322" s="13">
        <f>IFERROR(VLOOKUP(O322,Assumptions!$A$7:$F$11,2,FALSE),0.25)</f>
        <v/>
      </c>
      <c r="T322" s="14">
        <f>IF(O322="A",MAX(1,IFERROR(VLOOKUP(O322,Assumptions!$A$7:$F$11,3,FALSE),3)+IFERROR(VLOOKUP(O322,Assumptions!$A$7:$F$11,4,FALSE),8)/2-MAX(0,IF(R322="",0,R322)-IFERROR(VLOOKUP(O322,Assumptions!$A$7:$F$11,5,FALSE),1.5))),IFERROR(VLOOKUP(O322,Assumptions!$A$7:$F$11,5,FALSE),2.5)+IFERROR(VLOOKUP(O322,Assumptions!$A$7:$F$11,3,FALSE),3)+IFERROR(VLOOKUP(O322,Assumptions!$A$7:$F$11,4,FALSE),8)/2)</f>
        <v/>
      </c>
      <c r="U322" s="15">
        <f>M322*S322/(1+Assumptions!$B$3)^T322</f>
        <v/>
      </c>
      <c r="V322" s="11">
        <f>IF(M322=0,"",ROUND(U322/M322*100,1))</f>
        <v/>
      </c>
      <c r="W322" s="16">
        <f>U322*Assumptions!$B$4</f>
        <v/>
      </c>
      <c r="X322" s="11">
        <f>IF(M322=0,"",ROUND(W322/M322*100,1))</f>
        <v/>
      </c>
      <c r="Y322" t="inlineStr">
        <is>
          <t>GRUPO EGESA (EGESA ENG S.A, EGESUR PART E EMP S.A, MATRIX INFRA LTDA, BEMVIVER ENG AMBIENTAL E SERV LTDA, DKF CONST E EMP LTDA, EGEPEL LTDA, ETR ASSESSORIA EMP E PART LTDA, MVT ENG E SERV LTDA, PARQUES DO VALE LTDA, ELMO RIBEIRO E ANA RIBEIRO)</t>
        </is>
      </c>
      <c r="Z322" t="inlineStr">
        <is>
          <t>5088952-81.2025.8.13.0024</t>
        </is>
      </c>
      <c r="AA322" t="inlineStr">
        <is>
          <t>TJMG</t>
        </is>
      </c>
      <c r="AB322" t="inlineStr">
        <is>
          <t>scalzilliaj.com.br</t>
        </is>
      </c>
      <c r="AC322" t="inlineStr">
        <is>
          <t>ALEXANDRE SARAIVA DE MORAES</t>
        </is>
      </c>
      <c r="AD322" t="inlineStr">
        <is>
          <t>Sócio-Administrador</t>
        </is>
      </c>
      <c r="AE322" t="inlineStr"/>
      <c r="AF322" t="inlineStr"/>
      <c r="AG322" t="inlineStr"/>
      <c r="AH322" t="inlineStr">
        <is>
          <t>PE</t>
        </is>
      </c>
      <c r="AI322" t="inlineStr">
        <is>
          <t>RECIFE</t>
        </is>
      </c>
      <c r="AJ322" t="inlineStr">
        <is>
          <t>Carga e descarga</t>
        </is>
      </c>
      <c r="AK322" t="inlineStr">
        <is>
          <t>DEMAIS</t>
        </is>
      </c>
      <c r="AL322" t="inlineStr">
        <is>
          <t>ATIVA</t>
        </is>
      </c>
      <c r="AM322" s="17" t="inlineStr">
        <is>
          <t>https://scalzilliaj.com.br/sgc/download.php?file=files/processo_documento/processo_documento09514021082025_1_.pdf&amp;nome=04 - Relação de credores das Recuperandas</t>
        </is>
      </c>
      <c r="AN322" s="18" t="inlineStr">
        <is>
          <t>p72 r17; p73 r1; p73 r2; p73 r3; p73 r4</t>
        </is>
      </c>
      <c r="AO322" s="18" t="inlineStr">
        <is>
          <t>p72: R$ 181.478,29; p73: R$ 169.249,60; p73: R$ 86.086,47; p73: R$ 14.323,56; p73: R$ 4.669,99</t>
        </is>
      </c>
      <c r="AP322" s="18" t="inlineStr">
        <is>
          <t>DEBTOR_LIST</t>
        </is>
      </c>
      <c r="AQ322" s="18" t="inlineStr"/>
      <c r="AR322" s="18" t="inlineStr">
        <is>
          <t>OK</t>
        </is>
      </c>
      <c r="AS322" s="18" t="inlineStr">
        <is>
          <t>ROWS:p72r17,p73r1,p73r2,p73r3,p73r4 VALUE_COL:Valor_Atualizado CASE_NUMBER_CORRECTED CASE_FROM_PORTAL</t>
        </is>
      </c>
      <c r="AT322" s="18" t="inlineStr">
        <is>
          <t>24ed98480a57</t>
        </is>
      </c>
    </row>
    <row r="323">
      <c r="A323" s="9" t="n">
        <v>322</v>
      </c>
      <c r="B323" s="9" t="inlineStr">
        <is>
          <t>NEW</t>
        </is>
      </c>
      <c r="C323" s="9" t="inlineStr"/>
      <c r="D323" s="9" t="n">
        <v>0</v>
      </c>
      <c r="E323" s="9" t="inlineStr"/>
      <c r="F323" s="9" t="inlineStr"/>
      <c r="G323" s="9" t="inlineStr"/>
      <c r="H323" s="9" t="inlineStr"/>
      <c r="I323" t="inlineStr">
        <is>
          <t>CROMEX S/A</t>
        </is>
      </c>
      <c r="J323" t="inlineStr">
        <is>
          <t>Cromex S.A</t>
        </is>
      </c>
      <c r="K323" t="inlineStr">
        <is>
          <t>02271463</t>
        </is>
      </c>
      <c r="L323" t="inlineStr">
        <is>
          <t>02271463000202, 02271463000466</t>
        </is>
      </c>
      <c r="M323" s="10" t="n">
        <v>453843</v>
      </c>
      <c r="N323" t="n">
        <v>4</v>
      </c>
      <c r="O323" s="11" t="inlineStr">
        <is>
          <t>B</t>
        </is>
      </c>
      <c r="P323" s="11" t="inlineStr"/>
      <c r="Q323" s="12" t="inlineStr"/>
      <c r="R323" s="11">
        <f>IF(Q323="","",ROUND((TODAY()-Q323)/365.25,1))</f>
        <v/>
      </c>
      <c r="S323" s="13">
        <f>IFERROR(VLOOKUP(O323,Assumptions!$A$7:$F$11,2,FALSE),0.25)</f>
        <v/>
      </c>
      <c r="T323" s="14">
        <f>IF(O323="A",MAX(1,IFERROR(VLOOKUP(O323,Assumptions!$A$7:$F$11,3,FALSE),3)+IFERROR(VLOOKUP(O323,Assumptions!$A$7:$F$11,4,FALSE),8)/2-MAX(0,IF(R323="",0,R323)-IFERROR(VLOOKUP(O323,Assumptions!$A$7:$F$11,5,FALSE),1.5))),IFERROR(VLOOKUP(O323,Assumptions!$A$7:$F$11,5,FALSE),2.5)+IFERROR(VLOOKUP(O323,Assumptions!$A$7:$F$11,3,FALSE),3)+IFERROR(VLOOKUP(O323,Assumptions!$A$7:$F$11,4,FALSE),8)/2)</f>
        <v/>
      </c>
      <c r="U323" s="15">
        <f>M323*S323/(1+Assumptions!$B$3)^T323</f>
        <v/>
      </c>
      <c r="V323" s="11">
        <f>IF(M323=0,"",ROUND(U323/M323*100,1))</f>
        <v/>
      </c>
      <c r="W323" s="16">
        <f>U323*Assumptions!$B$4</f>
        <v/>
      </c>
      <c r="X323" s="11">
        <f>IF(M323=0,"",ROUND(W323/M323*100,1))</f>
        <v/>
      </c>
      <c r="Y323" t="inlineStr">
        <is>
          <t>Base</t>
        </is>
      </c>
      <c r="Z323" t="inlineStr">
        <is>
          <t>1022634-27.2024.8.26.0100</t>
        </is>
      </c>
      <c r="AA323" t="inlineStr"/>
      <c r="AB323" t="inlineStr">
        <is>
          <t>ajruiz.com.br</t>
        </is>
      </c>
      <c r="AC323" t="inlineStr">
        <is>
          <t>SERGIO WAJSBROT</t>
        </is>
      </c>
      <c r="AD323" t="inlineStr">
        <is>
          <t>Presidente</t>
        </is>
      </c>
      <c r="AE323" t="inlineStr">
        <is>
          <t>(11) 2131-5408</t>
        </is>
      </c>
      <c r="AF323" t="inlineStr"/>
      <c r="AG323" t="inlineStr"/>
      <c r="AH323" t="inlineStr">
        <is>
          <t>SP</t>
        </is>
      </c>
      <c r="AI323" t="inlineStr">
        <is>
          <t>SAO PAULO</t>
        </is>
      </c>
      <c r="AJ323" t="inlineStr">
        <is>
          <t>Fabricação de artefatos de material plástico para usos industriais</t>
        </is>
      </c>
      <c r="AK323" t="inlineStr">
        <is>
          <t>DEMAIS</t>
        </is>
      </c>
      <c r="AL323" t="inlineStr">
        <is>
          <t>ATIVA</t>
        </is>
      </c>
      <c r="AM323" s="17" t="inlineStr">
        <is>
          <t>https://ajruiz.com.br/sites/default/files/public/arquivos-processos/2024-04/relacao_de_credores_recuperanda_1.pdf</t>
        </is>
      </c>
      <c r="AN323" s="18" t="inlineStr">
        <is>
          <t>p5 r11; p5 r12; p6 r1; p6 r2</t>
        </is>
      </c>
      <c r="AO323" s="18" t="inlineStr">
        <is>
          <t>p5: R$ 20.448,00; p5: R$ 29.215,00; p6: R$ 176.260,00; p6: R$ 227.920,00</t>
        </is>
      </c>
      <c r="AP323" s="18" t="inlineStr">
        <is>
          <t>QGC</t>
        </is>
      </c>
      <c r="AQ323" s="18" t="inlineStr">
        <is>
          <t>2024-01-31</t>
        </is>
      </c>
      <c r="AR323" s="18" t="inlineStr">
        <is>
          <t>OK</t>
        </is>
      </c>
      <c r="AS323" s="18" t="inlineStr">
        <is>
          <t>ROWS:p5r11,p5r12,p6r1,p6r2 CASE_NUMBER_CORRECTED</t>
        </is>
      </c>
      <c r="AT323" s="18" t="inlineStr">
        <is>
          <t>380922480f80</t>
        </is>
      </c>
    </row>
    <row r="324">
      <c r="A324" s="9" t="n">
        <v>323</v>
      </c>
      <c r="B324" s="9" t="inlineStr">
        <is>
          <t>NEW</t>
        </is>
      </c>
      <c r="C324" s="9" t="inlineStr"/>
      <c r="D324" s="9" t="n">
        <v>0</v>
      </c>
      <c r="E324" s="9" t="inlineStr"/>
      <c r="F324" s="9" t="inlineStr"/>
      <c r="G324" s="9" t="inlineStr"/>
      <c r="H324" s="9" t="inlineStr"/>
      <c r="I324" t="inlineStr">
        <is>
          <t>ESCRITORIO CENTRAL DE ARRECADACAO E DISTRIBUICAO ECAD</t>
        </is>
      </c>
      <c r="J324" t="inlineStr">
        <is>
          <t>ESCRITORIO CENTRAL DE ARREC. DIST. DIR. AUTORAL</t>
        </is>
      </c>
      <c r="K324" t="inlineStr">
        <is>
          <t>00474973</t>
        </is>
      </c>
      <c r="L324" t="inlineStr">
        <is>
          <t>00474973000162</t>
        </is>
      </c>
      <c r="M324" s="10" t="n">
        <v>453771.76</v>
      </c>
      <c r="N324" t="n">
        <v>1</v>
      </c>
      <c r="O324" s="11" t="inlineStr">
        <is>
          <t>C</t>
        </is>
      </c>
      <c r="P324" s="11" t="inlineStr"/>
      <c r="Q324" s="12" t="inlineStr"/>
      <c r="R324" s="11">
        <f>IF(Q324="","",ROUND((TODAY()-Q324)/365.25,1))</f>
        <v/>
      </c>
      <c r="S324" s="13">
        <f>IFERROR(VLOOKUP(O324,Assumptions!$A$7:$F$11,2,FALSE),0.25)</f>
        <v/>
      </c>
      <c r="T324" s="14">
        <f>IF(O324="A",MAX(1,IFERROR(VLOOKUP(O324,Assumptions!$A$7:$F$11,3,FALSE),3)+IFERROR(VLOOKUP(O324,Assumptions!$A$7:$F$11,4,FALSE),8)/2-MAX(0,IF(R324="",0,R324)-IFERROR(VLOOKUP(O324,Assumptions!$A$7:$F$11,5,FALSE),1.5))),IFERROR(VLOOKUP(O324,Assumptions!$A$7:$F$11,5,FALSE),2.5)+IFERROR(VLOOKUP(O324,Assumptions!$A$7:$F$11,3,FALSE),3)+IFERROR(VLOOKUP(O324,Assumptions!$A$7:$F$11,4,FALSE),8)/2)</f>
        <v/>
      </c>
      <c r="U324" s="15">
        <f>M324*S324/(1+Assumptions!$B$3)^T324</f>
        <v/>
      </c>
      <c r="V324" s="11">
        <f>IF(M324=0,"",ROUND(U324/M324*100,1))</f>
        <v/>
      </c>
      <c r="W324" s="16">
        <f>U324*Assumptions!$B$4</f>
        <v/>
      </c>
      <c r="X324" s="11">
        <f>IF(M324=0,"",ROUND(W324/M324*100,1))</f>
        <v/>
      </c>
      <c r="Y324" t="inlineStr">
        <is>
          <t>GRUPO ARNON DE MELLO</t>
        </is>
      </c>
      <c r="Z324" t="inlineStr">
        <is>
          <t>0700256-03.2019.8.02.0066</t>
        </is>
      </c>
      <c r="AA324" t="inlineStr"/>
      <c r="AB324" t="inlineStr">
        <is>
          <t>recuperacaojudicial.squarespace.com</t>
        </is>
      </c>
      <c r="AC324" t="inlineStr">
        <is>
          <t>ISABEL AMORIM SICHERLE</t>
        </is>
      </c>
      <c r="AD324" t="inlineStr">
        <is>
          <t>Presidente</t>
        </is>
      </c>
      <c r="AE324" t="inlineStr">
        <is>
          <t>(21) 3505-8500</t>
        </is>
      </c>
      <c r="AF324" t="inlineStr"/>
      <c r="AG324" t="inlineStr"/>
      <c r="AH324" t="inlineStr">
        <is>
          <t>RJ</t>
        </is>
      </c>
      <c r="AI324" t="inlineStr">
        <is>
          <t>RIO DE JANEIRO</t>
        </is>
      </c>
      <c r="AJ324" t="inlineStr">
        <is>
          <t>Atividades de organizações associativas ligadas à cultura e à arte</t>
        </is>
      </c>
      <c r="AK324" t="inlineStr">
        <is>
          <t>DEMAIS</t>
        </is>
      </c>
      <c r="AL324" t="inlineStr">
        <is>
          <t>ATIVA</t>
        </is>
      </c>
      <c r="AM324" s="17" t="inlineStr">
        <is>
          <t>https://recuperacaojudicial.squarespace.com/s/RJ-Grupo-Arnon-de-Melo-Lista-de-Credores-Consolidada-abril-2022.pdf</t>
        </is>
      </c>
      <c r="AN324" s="18" t="inlineStr">
        <is>
          <t>p8 r4</t>
        </is>
      </c>
      <c r="AO324" s="18" t="inlineStr">
        <is>
          <t>p8: R$ 453.771,76</t>
        </is>
      </c>
      <c r="AP324" s="18" t="inlineStr">
        <is>
          <t>AJ_LIST</t>
        </is>
      </c>
      <c r="AQ324" s="18" t="inlineStr"/>
      <c r="AR324" s="18" t="inlineStr">
        <is>
          <t>OK_NO_TOTALS</t>
        </is>
      </c>
      <c r="AS324" s="18" t="inlineStr">
        <is>
          <t>ROWS:p8r4 UNRECONCILED_SOURCE</t>
        </is>
      </c>
      <c r="AT324" s="18" t="inlineStr">
        <is>
          <t>60fd9c017d90</t>
        </is>
      </c>
    </row>
    <row r="325">
      <c r="A325" s="9" t="n">
        <v>324</v>
      </c>
      <c r="B325" s="9" t="inlineStr">
        <is>
          <t>NEW</t>
        </is>
      </c>
      <c r="C325" s="9" t="inlineStr"/>
      <c r="D325" s="9" t="n">
        <v>0</v>
      </c>
      <c r="E325" s="9" t="inlineStr"/>
      <c r="F325" s="9" t="inlineStr"/>
      <c r="G325" s="9" t="inlineStr"/>
      <c r="H325" s="9" t="inlineStr"/>
      <c r="I325" t="inlineStr">
        <is>
          <t>TRANSNETO TRANSPORTE LTDA</t>
        </is>
      </c>
      <c r="J325" t="inlineStr">
        <is>
          <t>Transneto Transporte Ltda</t>
        </is>
      </c>
      <c r="K325" t="inlineStr">
        <is>
          <t>18548852</t>
        </is>
      </c>
      <c r="L325" t="inlineStr">
        <is>
          <t>18548852000183</t>
        </is>
      </c>
      <c r="M325" s="10" t="n">
        <v>452000.03</v>
      </c>
      <c r="N325" t="n">
        <v>1</v>
      </c>
      <c r="O325" s="11" t="inlineStr">
        <is>
          <t>C</t>
        </is>
      </c>
      <c r="P325" s="11" t="inlineStr">
        <is>
          <t>ACTIVE</t>
        </is>
      </c>
      <c r="Q325" s="12" t="n">
        <v>45275</v>
      </c>
      <c r="R325" s="11">
        <f>IF(Q325="","",ROUND((TODAY()-Q325)/365.25,1))</f>
        <v/>
      </c>
      <c r="S325" s="13">
        <f>IFERROR(VLOOKUP(O325,Assumptions!$A$7:$F$11,2,FALSE),0.25)</f>
        <v/>
      </c>
      <c r="T325" s="14">
        <f>IF(O325="A",MAX(1,IFERROR(VLOOKUP(O325,Assumptions!$A$7:$F$11,3,FALSE),3)+IFERROR(VLOOKUP(O325,Assumptions!$A$7:$F$11,4,FALSE),8)/2-MAX(0,IF(R325="",0,R325)-IFERROR(VLOOKUP(O325,Assumptions!$A$7:$F$11,5,FALSE),1.5))),IFERROR(VLOOKUP(O325,Assumptions!$A$7:$F$11,5,FALSE),2.5)+IFERROR(VLOOKUP(O325,Assumptions!$A$7:$F$11,3,FALSE),3)+IFERROR(VLOOKUP(O325,Assumptions!$A$7:$F$11,4,FALSE),8)/2)</f>
        <v/>
      </c>
      <c r="U325" s="15">
        <f>M325*S325/(1+Assumptions!$B$3)^T325</f>
        <v/>
      </c>
      <c r="V325" s="11">
        <f>IF(M325=0,"",ROUND(U325/M325*100,1))</f>
        <v/>
      </c>
      <c r="W325" s="16">
        <f>U325*Assumptions!$B$4</f>
        <v/>
      </c>
      <c r="X325" s="11">
        <f>IF(M325=0,"",ROUND(W325/M325*100,1))</f>
        <v/>
      </c>
      <c r="Y325" t="inlineStr">
        <is>
          <t>Grupo Agromeal</t>
        </is>
      </c>
      <c r="Z325" t="inlineStr">
        <is>
          <t>0003971-03.2023.8.16.0119</t>
        </is>
      </c>
      <c r="AA325" t="inlineStr">
        <is>
          <t>TJPR</t>
        </is>
      </c>
      <c r="AB325" t="inlineStr">
        <is>
          <t>marquesadmjudicial.com.br</t>
        </is>
      </c>
      <c r="AC325" t="inlineStr">
        <is>
          <t>DELVINO SAMBINI NETO</t>
        </is>
      </c>
      <c r="AD325" t="inlineStr">
        <is>
          <t>Administrador</t>
        </is>
      </c>
      <c r="AE325" t="inlineStr">
        <is>
          <t>(44) 9141-6545</t>
        </is>
      </c>
      <c r="AF325" t="inlineStr"/>
      <c r="AG325" t="inlineStr"/>
      <c r="AH325" t="inlineStr">
        <is>
          <t>PR</t>
        </is>
      </c>
      <c r="AI325" t="inlineStr">
        <is>
          <t>MARINGA</t>
        </is>
      </c>
      <c r="AJ325" t="inlineStr">
        <is>
          <t>Transporte rodoviário de carga, exceto produtos perigosos e mudanças, intermunicipal, interestadual e internacional</t>
        </is>
      </c>
      <c r="AK325" t="inlineStr">
        <is>
          <t>DEMAIS</t>
        </is>
      </c>
      <c r="AL325" t="inlineStr">
        <is>
          <t>ATIVA</t>
        </is>
      </c>
      <c r="AM325" s="17" t="inlineStr">
        <is>
          <t>https://marquesadmjudicial.com.br/sgc/download.php?file=files/processo_documento/processo_documento17040729052024_1_.pdf&amp;nome=Relação Nominal de Credores AJ-Sintética</t>
        </is>
      </c>
      <c r="AN325" s="18" t="inlineStr">
        <is>
          <t>p13 r9</t>
        </is>
      </c>
      <c r="AO325" s="18" t="inlineStr">
        <is>
          <t>p13: R$ 452.000,03</t>
        </is>
      </c>
      <c r="AP325" s="18" t="inlineStr">
        <is>
          <t>AJ_LIST</t>
        </is>
      </c>
      <c r="AQ325" s="18" t="inlineStr">
        <is>
          <t>2024-05-27</t>
        </is>
      </c>
      <c r="AR325" s="18" t="inlineStr">
        <is>
          <t>QUARANTINED</t>
        </is>
      </c>
      <c r="AS325" s="18" t="inlineStr">
        <is>
          <t>PARTIAL_DOC_CLASS_III_RECONCILED ROWS:p13r9</t>
        </is>
      </c>
      <c r="AT325" s="18" t="inlineStr">
        <is>
          <t>1209dafe77b7</t>
        </is>
      </c>
    </row>
    <row r="326">
      <c r="A326" s="9" t="n">
        <v>325</v>
      </c>
      <c r="B326" s="9" t="inlineStr">
        <is>
          <t>NEW</t>
        </is>
      </c>
      <c r="C326" s="9" t="inlineStr"/>
      <c r="D326" s="9" t="n">
        <v>0</v>
      </c>
      <c r="E326" s="9" t="inlineStr"/>
      <c r="F326" s="9" t="inlineStr"/>
      <c r="G326" s="9" t="inlineStr"/>
      <c r="H326" s="9" t="inlineStr"/>
      <c r="I326" t="inlineStr">
        <is>
          <t>MK BR S.A</t>
        </is>
      </c>
      <c r="J326" t="inlineStr">
        <is>
          <t>07.666.567/0001-40</t>
        </is>
      </c>
      <c r="K326" t="inlineStr">
        <is>
          <t>07666567</t>
        </is>
      </c>
      <c r="L326" t="inlineStr">
        <is>
          <t>07666567000140</t>
        </is>
      </c>
      <c r="M326" s="10" t="n">
        <v>450760.99</v>
      </c>
      <c r="N326" t="n">
        <v>1</v>
      </c>
      <c r="O326" s="11" t="inlineStr">
        <is>
          <t>C</t>
        </is>
      </c>
      <c r="P326" s="11" t="inlineStr">
        <is>
          <t>ACTIVE</t>
        </is>
      </c>
      <c r="Q326" s="12" t="n">
        <v>43894</v>
      </c>
      <c r="R326" s="11">
        <f>IF(Q326="","",ROUND((TODAY()-Q326)/365.25,1))</f>
        <v/>
      </c>
      <c r="S326" s="13">
        <f>IFERROR(VLOOKUP(O326,Assumptions!$A$7:$F$11,2,FALSE),0.25)</f>
        <v/>
      </c>
      <c r="T326" s="14">
        <f>IF(O326="A",MAX(1,IFERROR(VLOOKUP(O326,Assumptions!$A$7:$F$11,3,FALSE),3)+IFERROR(VLOOKUP(O326,Assumptions!$A$7:$F$11,4,FALSE),8)/2-MAX(0,IF(R326="",0,R326)-IFERROR(VLOOKUP(O326,Assumptions!$A$7:$F$11,5,FALSE),1.5))),IFERROR(VLOOKUP(O326,Assumptions!$A$7:$F$11,5,FALSE),2.5)+IFERROR(VLOOKUP(O326,Assumptions!$A$7:$F$11,3,FALSE),3)+IFERROR(VLOOKUP(O326,Assumptions!$A$7:$F$11,4,FALSE),8)/2)</f>
        <v/>
      </c>
      <c r="U326" s="15">
        <f>M326*S326/(1+Assumptions!$B$3)^T326</f>
        <v/>
      </c>
      <c r="V326" s="11">
        <f>IF(M326=0,"",ROUND(U326/M326*100,1))</f>
        <v/>
      </c>
      <c r="W326" s="16">
        <f>U326*Assumptions!$B$4</f>
        <v/>
      </c>
      <c r="X326" s="11">
        <f>IF(M326=0,"",ROUND(W326/M326*100,1))</f>
        <v/>
      </c>
      <c r="Y326" t="inlineStr">
        <is>
          <t>CREDIMÓVEIS NOVOLAR LTDA.</t>
        </is>
      </c>
      <c r="Z326" t="inlineStr">
        <is>
          <t>0007565-40.2020.8.17.2370</t>
        </is>
      </c>
      <c r="AA326" t="inlineStr">
        <is>
          <t>TJPE</t>
        </is>
      </c>
      <c r="AB326" t="inlineStr">
        <is>
          <t>recuperacaojudicial.squarespace.com</t>
        </is>
      </c>
      <c r="AC326" t="inlineStr">
        <is>
          <t>ALBERTO BAGGIANI</t>
        </is>
      </c>
      <c r="AD326" t="inlineStr">
        <is>
          <t>Diretor</t>
        </is>
      </c>
      <c r="AE326" t="inlineStr">
        <is>
          <t>(11) 3581-4125</t>
        </is>
      </c>
      <c r="AF326" t="inlineStr"/>
      <c r="AG326" t="inlineStr"/>
      <c r="AH326" t="inlineStr">
        <is>
          <t>BA</t>
        </is>
      </c>
      <c r="AI326" t="inlineStr">
        <is>
          <t>CONCEICAO DO JACUIPE</t>
        </is>
      </c>
      <c r="AJ326" t="inlineStr">
        <is>
          <t>Fabricação de outros aparelhos eletrodomésticos não especificados anteriormente, peças e acessórios</t>
        </is>
      </c>
      <c r="AK326" t="inlineStr">
        <is>
          <t>DEMAIS</t>
        </is>
      </c>
      <c r="AL326" t="inlineStr">
        <is>
          <t>ATIVA</t>
        </is>
      </c>
      <c r="AM326" s="17" t="inlineStr">
        <is>
          <t>https://recuperacaojudicial.squarespace.com/s/RJ-Credimoveis-QGC-01082025.pdf</t>
        </is>
      </c>
      <c r="AN326" s="18" t="inlineStr">
        <is>
          <t>p16 r20</t>
        </is>
      </c>
      <c r="AO326" s="18" t="inlineStr">
        <is>
          <t>p16: R$ 450.760,99</t>
        </is>
      </c>
      <c r="AP326" s="18" t="inlineStr">
        <is>
          <t>QGC</t>
        </is>
      </c>
      <c r="AQ326" s="18" t="inlineStr">
        <is>
          <t>2026-01-28</t>
        </is>
      </c>
      <c r="AR326" s="18" t="inlineStr">
        <is>
          <t>OK</t>
        </is>
      </c>
      <c r="AS326" s="18" t="inlineStr">
        <is>
          <t>ROWS:p16r20</t>
        </is>
      </c>
      <c r="AT326" s="18" t="inlineStr">
        <is>
          <t>849d4fe5adce</t>
        </is>
      </c>
    </row>
    <row r="327">
      <c r="A327" s="9" t="n">
        <v>326</v>
      </c>
      <c r="B327" s="9" t="inlineStr">
        <is>
          <t>NEW</t>
        </is>
      </c>
      <c r="C327" s="9" t="inlineStr"/>
      <c r="D327" s="9" t="n">
        <v>0</v>
      </c>
      <c r="E327" s="9" t="inlineStr"/>
      <c r="F327" s="9" t="inlineStr"/>
      <c r="G327" s="9" t="inlineStr"/>
      <c r="H327" s="9" t="inlineStr"/>
      <c r="I327" t="inlineStr">
        <is>
          <t>GRUPO K1 S.A.</t>
        </is>
      </c>
      <c r="J327" t="inlineStr">
        <is>
          <t>00.912.882/0001-61</t>
        </is>
      </c>
      <c r="K327" t="inlineStr">
        <is>
          <t>00912882</t>
        </is>
      </c>
      <c r="L327" t="inlineStr">
        <is>
          <t>00912882000161</t>
        </is>
      </c>
      <c r="M327" s="10" t="n">
        <v>449678.5</v>
      </c>
      <c r="N327" t="n">
        <v>1</v>
      </c>
      <c r="O327" s="11" t="inlineStr">
        <is>
          <t>C</t>
        </is>
      </c>
      <c r="P327" s="11" t="inlineStr">
        <is>
          <t>ACTIVE</t>
        </is>
      </c>
      <c r="Q327" s="12" t="n">
        <v>43894</v>
      </c>
      <c r="R327" s="11">
        <f>IF(Q327="","",ROUND((TODAY()-Q327)/365.25,1))</f>
        <v/>
      </c>
      <c r="S327" s="13">
        <f>IFERROR(VLOOKUP(O327,Assumptions!$A$7:$F$11,2,FALSE),0.25)</f>
        <v/>
      </c>
      <c r="T327" s="14">
        <f>IF(O327="A",MAX(1,IFERROR(VLOOKUP(O327,Assumptions!$A$7:$F$11,3,FALSE),3)+IFERROR(VLOOKUP(O327,Assumptions!$A$7:$F$11,4,FALSE),8)/2-MAX(0,IF(R327="",0,R327)-IFERROR(VLOOKUP(O327,Assumptions!$A$7:$F$11,5,FALSE),1.5))),IFERROR(VLOOKUP(O327,Assumptions!$A$7:$F$11,5,FALSE),2.5)+IFERROR(VLOOKUP(O327,Assumptions!$A$7:$F$11,3,FALSE),3)+IFERROR(VLOOKUP(O327,Assumptions!$A$7:$F$11,4,FALSE),8)/2)</f>
        <v/>
      </c>
      <c r="U327" s="15">
        <f>M327*S327/(1+Assumptions!$B$3)^T327</f>
        <v/>
      </c>
      <c r="V327" s="11">
        <f>IF(M327=0,"",ROUND(U327/M327*100,1))</f>
        <v/>
      </c>
      <c r="W327" s="16">
        <f>U327*Assumptions!$B$4</f>
        <v/>
      </c>
      <c r="X327" s="11">
        <f>IF(M327=0,"",ROUND(W327/M327*100,1))</f>
        <v/>
      </c>
      <c r="Y327" t="inlineStr">
        <is>
          <t>CREDIMÓVEIS NOVOLAR LTDA.</t>
        </is>
      </c>
      <c r="Z327" t="inlineStr">
        <is>
          <t>0007565-40.2020.8.17.2370</t>
        </is>
      </c>
      <c r="AA327" t="inlineStr">
        <is>
          <t>TJPE</t>
        </is>
      </c>
      <c r="AB327" t="inlineStr">
        <is>
          <t>recuperacaojudicial.squarespace.com</t>
        </is>
      </c>
      <c r="AC327" t="inlineStr">
        <is>
          <t>CARLOS LUIZ SOST</t>
        </is>
      </c>
      <c r="AD327" t="inlineStr">
        <is>
          <t>Presidente</t>
        </is>
      </c>
      <c r="AE327" t="inlineStr">
        <is>
          <t>(51) 3635-8800</t>
        </is>
      </c>
      <c r="AF327" t="inlineStr">
        <is>
          <t>(51) 3635-8819</t>
        </is>
      </c>
      <c r="AG327" t="inlineStr"/>
      <c r="AH327" t="inlineStr">
        <is>
          <t>RS</t>
        </is>
      </c>
      <c r="AI327" t="inlineStr">
        <is>
          <t>TUPANDI</t>
        </is>
      </c>
      <c r="AJ327" t="inlineStr">
        <is>
          <t>Fabricação de móveis com predominância de madeira</t>
        </is>
      </c>
      <c r="AK327" t="inlineStr">
        <is>
          <t>DEMAIS</t>
        </is>
      </c>
      <c r="AL327" t="inlineStr">
        <is>
          <t>ATIVA</t>
        </is>
      </c>
      <c r="AM327" s="17" t="inlineStr">
        <is>
          <t>https://recuperacaojudicial.squarespace.com/s/RJ-Credimoveis-QGC-01082025.pdf</t>
        </is>
      </c>
      <c r="AN327" s="18" t="inlineStr">
        <is>
          <t>p16 r23</t>
        </is>
      </c>
      <c r="AO327" s="18" t="inlineStr">
        <is>
          <t>p16: R$ 449.678,50</t>
        </is>
      </c>
      <c r="AP327" s="18" t="inlineStr">
        <is>
          <t>QGC</t>
        </is>
      </c>
      <c r="AQ327" s="18" t="inlineStr">
        <is>
          <t>2026-01-28</t>
        </is>
      </c>
      <c r="AR327" s="18" t="inlineStr">
        <is>
          <t>OK</t>
        </is>
      </c>
      <c r="AS327" s="18" t="inlineStr">
        <is>
          <t>ROWS:p16r23</t>
        </is>
      </c>
      <c r="AT327" s="18" t="inlineStr">
        <is>
          <t>849d4fe5adce</t>
        </is>
      </c>
    </row>
    <row r="328">
      <c r="A328" s="9" t="n">
        <v>327</v>
      </c>
      <c r="B328" s="9" t="inlineStr">
        <is>
          <t>NEW</t>
        </is>
      </c>
      <c r="C328" s="9" t="inlineStr"/>
      <c r="D328" s="9" t="n">
        <v>0</v>
      </c>
      <c r="E328" s="9" t="inlineStr"/>
      <c r="F328" s="9" t="inlineStr"/>
      <c r="G328" s="9" t="inlineStr"/>
      <c r="H328" s="9" t="inlineStr"/>
      <c r="I328" t="inlineStr">
        <is>
          <t>PRIORI SEMENTES E DEFENSIVOS AGRICOLAS LTDA</t>
        </is>
      </c>
      <c r="J328" t="inlineStr">
        <is>
          <t>PRIORI SEMENTES E DEFENSIVOS AGRÍCOLAS LTDA</t>
        </is>
      </c>
      <c r="K328" t="inlineStr">
        <is>
          <t>12067326</t>
        </is>
      </c>
      <c r="L328" t="inlineStr">
        <is>
          <t>12067326000204</t>
        </is>
      </c>
      <c r="M328" s="10" t="n">
        <v>449000</v>
      </c>
      <c r="N328" t="n">
        <v>1</v>
      </c>
      <c r="O328" s="11" t="inlineStr">
        <is>
          <t>B</t>
        </is>
      </c>
      <c r="P328" s="11" t="inlineStr">
        <is>
          <t>ACTIVE</t>
        </is>
      </c>
      <c r="Q328" s="12" t="n">
        <v>46030</v>
      </c>
      <c r="R328" s="11">
        <f>IF(Q328="","",ROUND((TODAY()-Q328)/365.25,1))</f>
        <v/>
      </c>
      <c r="S328" s="13">
        <f>IFERROR(VLOOKUP(O328,Assumptions!$A$7:$F$11,2,FALSE),0.25)</f>
        <v/>
      </c>
      <c r="T328" s="14">
        <f>IF(O328="A",MAX(1,IFERROR(VLOOKUP(O328,Assumptions!$A$7:$F$11,3,FALSE),3)+IFERROR(VLOOKUP(O328,Assumptions!$A$7:$F$11,4,FALSE),8)/2-MAX(0,IF(R328="",0,R328)-IFERROR(VLOOKUP(O328,Assumptions!$A$7:$F$11,5,FALSE),1.5))),IFERROR(VLOOKUP(O328,Assumptions!$A$7:$F$11,5,FALSE),2.5)+IFERROR(VLOOKUP(O328,Assumptions!$A$7:$F$11,3,FALSE),3)+IFERROR(VLOOKUP(O328,Assumptions!$A$7:$F$11,4,FALSE),8)/2)</f>
        <v/>
      </c>
      <c r="U328" s="15">
        <f>M328*S328/(1+Assumptions!$B$3)^T328</f>
        <v/>
      </c>
      <c r="V328" s="11">
        <f>IF(M328=0,"",ROUND(U328/M328*100,1))</f>
        <v/>
      </c>
      <c r="W328" s="16">
        <f>U328*Assumptions!$B$4</f>
        <v/>
      </c>
      <c r="X328" s="11">
        <f>IF(M328=0,"",ROUND(W328/M328*100,1))</f>
        <v/>
      </c>
      <c r="Y328" t="inlineStr">
        <is>
          <t>GRUPO FERRARI (ALEX, ALEXANDRE , ANDRIELLE FERRARI MANTELLI, ARCIR LUIS, ERICA SANTOS ASSIS LIMA, FERNANDO MANTELLI, IDELSI, TALITA LEITE SILVA, AGROPECUARIA FERRARI LTDA E FERRARI ARMAZENS GERAIS)</t>
        </is>
      </c>
      <c r="Z328" t="inlineStr">
        <is>
          <t>5011369-81.2026.8.09.0093</t>
        </is>
      </c>
      <c r="AA328" t="inlineStr">
        <is>
          <t>TJGO</t>
        </is>
      </c>
      <c r="AB328" t="inlineStr">
        <is>
          <t>scalzilliaj.com.br</t>
        </is>
      </c>
      <c r="AC328" t="inlineStr">
        <is>
          <t>JULIO CESAR PRIORI</t>
        </is>
      </c>
      <c r="AD328" t="inlineStr">
        <is>
          <t>Sócio-Administrador</t>
        </is>
      </c>
      <c r="AE328" t="inlineStr">
        <is>
          <t>(64) 3636-2641</t>
        </is>
      </c>
      <c r="AF328" t="inlineStr">
        <is>
          <t>(64) 3636-2638</t>
        </is>
      </c>
      <c r="AG328" t="inlineStr"/>
      <c r="AH328" t="inlineStr">
        <is>
          <t>GO</t>
        </is>
      </c>
      <c r="AI328" t="inlineStr">
        <is>
          <t>JATAI</t>
        </is>
      </c>
      <c r="AJ328" t="inlineStr">
        <is>
          <t>Armazéns gerais - emissão de warrant</t>
        </is>
      </c>
      <c r="AK328" t="inlineStr">
        <is>
          <t>DEMAIS</t>
        </is>
      </c>
      <c r="AL328" t="inlineStr">
        <is>
          <t>ATIVA</t>
        </is>
      </c>
      <c r="AM328" s="17" t="inlineStr">
        <is>
          <t>https://scalzilliaj.com.br/sgc/download.php?file=files/processo_documento/processo_documento11421222052026_1_.pdf&amp;nome=08. Lista de credores do edital do art. 52, §1º da LREF</t>
        </is>
      </c>
      <c r="AN328" s="18" t="inlineStr">
        <is>
          <t>p2 r3</t>
        </is>
      </c>
      <c r="AO328" s="18" t="inlineStr">
        <is>
          <t>p2: R$ 449.000,00</t>
        </is>
      </c>
      <c r="AP328" s="18" t="inlineStr">
        <is>
          <t>UNKNOWN</t>
        </is>
      </c>
      <c r="AQ328" s="18" t="inlineStr"/>
      <c r="AR328" s="18" t="inlineStr">
        <is>
          <t>OK_NO_TOTALS</t>
        </is>
      </c>
      <c r="AS328" s="18" t="inlineStr">
        <is>
          <t>ROWS:p2r3 UNRECONCILED_SOURCE</t>
        </is>
      </c>
      <c r="AT328" s="18" t="inlineStr">
        <is>
          <t>c536a2fa4da3</t>
        </is>
      </c>
    </row>
    <row r="329">
      <c r="A329" s="9" t="n">
        <v>328</v>
      </c>
      <c r="B329" s="9" t="inlineStr">
        <is>
          <t>NEW</t>
        </is>
      </c>
      <c r="C329" s="9" t="inlineStr"/>
      <c r="D329" s="9" t="n">
        <v>0</v>
      </c>
      <c r="E329" s="9" t="inlineStr"/>
      <c r="F329" s="9" t="inlineStr"/>
      <c r="G329" s="9" t="inlineStr"/>
      <c r="H329" s="9" t="inlineStr"/>
      <c r="I329" t="inlineStr">
        <is>
          <t>UNICAP RENOVADORA DE PNEUS LTDA</t>
        </is>
      </c>
      <c r="J329" t="inlineStr">
        <is>
          <t>ROD ANHANGUERA, S/N KM 116 CH REUN ANHANGUERA - NOVA ODESSA-SP - CEP 13388-220</t>
        </is>
      </c>
      <c r="K329" t="inlineStr">
        <is>
          <t>67943738</t>
        </is>
      </c>
      <c r="L329" t="inlineStr">
        <is>
          <t>67943738000163</t>
        </is>
      </c>
      <c r="M329" s="10" t="n">
        <v>448731</v>
      </c>
      <c r="N329" t="n">
        <v>1</v>
      </c>
      <c r="O329" s="11" t="inlineStr">
        <is>
          <t>U</t>
        </is>
      </c>
      <c r="P329" s="11" t="inlineStr"/>
      <c r="Q329" s="12" t="inlineStr"/>
      <c r="R329" s="11">
        <f>IF(Q329="","",ROUND((TODAY()-Q329)/365.25,1))</f>
        <v/>
      </c>
      <c r="S329" s="13">
        <f>IFERROR(VLOOKUP(O329,Assumptions!$A$7:$F$11,2,FALSE),0.25)</f>
        <v/>
      </c>
      <c r="T329" s="14">
        <f>IF(O329="A",MAX(1,IFERROR(VLOOKUP(O329,Assumptions!$A$7:$F$11,3,FALSE),3)+IFERROR(VLOOKUP(O329,Assumptions!$A$7:$F$11,4,FALSE),8)/2-MAX(0,IF(R329="",0,R329)-IFERROR(VLOOKUP(O329,Assumptions!$A$7:$F$11,5,FALSE),1.5))),IFERROR(VLOOKUP(O329,Assumptions!$A$7:$F$11,5,FALSE),2.5)+IFERROR(VLOOKUP(O329,Assumptions!$A$7:$F$11,3,FALSE),3)+IFERROR(VLOOKUP(O329,Assumptions!$A$7:$F$11,4,FALSE),8)/2)</f>
        <v/>
      </c>
      <c r="U329" s="15">
        <f>M329*S329/(1+Assumptions!$B$3)^T329</f>
        <v/>
      </c>
      <c r="V329" s="11">
        <f>IF(M329=0,"",ROUND(U329/M329*100,1))</f>
        <v/>
      </c>
      <c r="W329" s="16">
        <f>U329*Assumptions!$B$4</f>
        <v/>
      </c>
      <c r="X329" s="11">
        <f>IF(M329=0,"",ROUND(W329/M329*100,1))</f>
        <v/>
      </c>
      <c r="Y329" t="inlineStr">
        <is>
          <t>Base</t>
        </is>
      </c>
      <c r="Z329" t="inlineStr">
        <is>
          <t>(not found in document)</t>
        </is>
      </c>
      <c r="AA329" t="inlineStr"/>
      <c r="AB329" t="inlineStr">
        <is>
          <t>ajruiz.com.br</t>
        </is>
      </c>
      <c r="AC329" t="inlineStr">
        <is>
          <t>DIRCEU VALENTIM FORMAGGIO</t>
        </is>
      </c>
      <c r="AD329" t="inlineStr">
        <is>
          <t>Sócio-Administrador</t>
        </is>
      </c>
      <c r="AE329" t="inlineStr">
        <is>
          <t>(19) 3341-3700</t>
        </is>
      </c>
      <c r="AF329" t="inlineStr"/>
      <c r="AG329" t="inlineStr"/>
      <c r="AH329" t="inlineStr">
        <is>
          <t>SP</t>
        </is>
      </c>
      <c r="AI329" t="inlineStr">
        <is>
          <t>NOVA ODESSA</t>
        </is>
      </c>
      <c r="AJ329" t="inlineStr">
        <is>
          <t>Reforma de pneumáticos usados</t>
        </is>
      </c>
      <c r="AK329" t="inlineStr">
        <is>
          <t>DEMAIS</t>
        </is>
      </c>
      <c r="AL329" t="inlineStr">
        <is>
          <t>ATIVA</t>
        </is>
      </c>
      <c r="AM329" s="17" t="inlineStr">
        <is>
          <t>https://ajruiz.com.br/sites/default/files/public/arquivos-processos/2023-11/4_relacao_de_credores_analitica_art._51_iii_da_lre.pdf</t>
        </is>
      </c>
      <c r="AN329" s="18" t="inlineStr">
        <is>
          <t>p4 r20</t>
        </is>
      </c>
      <c r="AO329" s="18" t="inlineStr">
        <is>
          <t>p4: R$ 448.731,00</t>
        </is>
      </c>
      <c r="AP329" s="18" t="inlineStr">
        <is>
          <t>UNKNOWN</t>
        </is>
      </c>
      <c r="AQ329" s="18" t="inlineStr"/>
      <c r="AR329" s="18" t="inlineStr">
        <is>
          <t>OK</t>
        </is>
      </c>
      <c r="AS329" s="18" t="inlineStr">
        <is>
          <t>ROWS:p4r20 CASE_NUMBER_CORRECTED</t>
        </is>
      </c>
      <c r="AT329" s="18" t="inlineStr">
        <is>
          <t>2407a56c3502</t>
        </is>
      </c>
    </row>
    <row r="330">
      <c r="A330" s="9" t="n">
        <v>329</v>
      </c>
      <c r="B330" s="9" t="inlineStr">
        <is>
          <t>NEW</t>
        </is>
      </c>
      <c r="C330" s="9" t="inlineStr"/>
      <c r="D330" s="9" t="n">
        <v>0</v>
      </c>
      <c r="E330" s="9" t="inlineStr"/>
      <c r="F330" s="9" t="inlineStr"/>
      <c r="G330" s="9" t="inlineStr"/>
      <c r="H330" s="9" t="inlineStr"/>
      <c r="I330" t="inlineStr">
        <is>
          <t>TRISOFT MANTAS DE POLIESTER LTDA.</t>
        </is>
      </c>
      <c r="J330" t="inlineStr">
        <is>
          <t>TRISOFT MANTAS DE POLIESTER LTDA.</t>
        </is>
      </c>
      <c r="K330" t="inlineStr">
        <is>
          <t>11198594</t>
        </is>
      </c>
      <c r="L330" t="inlineStr">
        <is>
          <t>11198594000103, 11198594000294</t>
        </is>
      </c>
      <c r="M330" s="10" t="n">
        <v>445884.94</v>
      </c>
      <c r="N330" t="n">
        <v>2</v>
      </c>
      <c r="O330" s="11" t="inlineStr">
        <is>
          <t>D</t>
        </is>
      </c>
      <c r="P330" s="11" t="inlineStr"/>
      <c r="Q330" s="12" t="inlineStr"/>
      <c r="R330" s="11">
        <f>IF(Q330="","",ROUND((TODAY()-Q330)/365.25,1))</f>
        <v/>
      </c>
      <c r="S330" s="13">
        <f>IFERROR(VLOOKUP(O330,Assumptions!$A$7:$F$11,2,FALSE),0.25)</f>
        <v/>
      </c>
      <c r="T330" s="14">
        <f>IF(O330="A",MAX(1,IFERROR(VLOOKUP(O330,Assumptions!$A$7:$F$11,3,FALSE),3)+IFERROR(VLOOKUP(O330,Assumptions!$A$7:$F$11,4,FALSE),8)/2-MAX(0,IF(R330="",0,R330)-IFERROR(VLOOKUP(O330,Assumptions!$A$7:$F$11,5,FALSE),1.5))),IFERROR(VLOOKUP(O330,Assumptions!$A$7:$F$11,5,FALSE),2.5)+IFERROR(VLOOKUP(O330,Assumptions!$A$7:$F$11,3,FALSE),3)+IFERROR(VLOOKUP(O330,Assumptions!$A$7:$F$11,4,FALSE),8)/2)</f>
        <v/>
      </c>
      <c r="U330" s="15">
        <f>M330*S330/(1+Assumptions!$B$3)^T330</f>
        <v/>
      </c>
      <c r="V330" s="11">
        <f>IF(M330=0,"",ROUND(U330/M330*100,1))</f>
        <v/>
      </c>
      <c r="W330" s="16">
        <f>U330*Assumptions!$B$4</f>
        <v/>
      </c>
      <c r="X330" s="11">
        <f>IF(M330=0,"",ROUND(W330/M330*100,1))</f>
        <v/>
      </c>
      <c r="Y330" t="inlineStr">
        <is>
          <t>Mannes</t>
        </is>
      </c>
      <c r="Z330" t="inlineStr">
        <is>
          <t>0005010-50.2013.8.24.0026</t>
        </is>
      </c>
      <c r="AA330" t="inlineStr"/>
      <c r="AB330" t="inlineStr">
        <is>
          <t>administradorajudicialgs.com.br</t>
        </is>
      </c>
      <c r="AC330" t="inlineStr">
        <is>
          <t>JACQUES SAFRA</t>
        </is>
      </c>
      <c r="AD330" t="inlineStr">
        <is>
          <t>Sócio-Administrador</t>
        </is>
      </c>
      <c r="AE330" t="inlineStr">
        <is>
          <t>(11) 4143-7900</t>
        </is>
      </c>
      <c r="AF330" t="inlineStr"/>
      <c r="AG330" t="inlineStr"/>
      <c r="AH330" t="inlineStr">
        <is>
          <t>SP</t>
        </is>
      </c>
      <c r="AI330" t="inlineStr">
        <is>
          <t>ITAPEVI</t>
        </is>
      </c>
      <c r="AJ330" t="inlineStr">
        <is>
          <t>Fabricação de artefatos têxteis para uso doméstico</t>
        </is>
      </c>
      <c r="AK330" t="inlineStr">
        <is>
          <t>DEMAIS</t>
        </is>
      </c>
      <c r="AL330" t="inlineStr">
        <is>
          <t>ATIVA</t>
        </is>
      </c>
      <c r="AM330" s="17" t="inlineStr">
        <is>
          <t>https://administradorajudicialgs.com.br/wp-content/uploads/2024/12/relacao-de-credores-da-falida.pdf</t>
        </is>
      </c>
      <c r="AN330" s="18" t="inlineStr">
        <is>
          <t>p19 r30; p19 r31</t>
        </is>
      </c>
      <c r="AO330" s="18" t="inlineStr">
        <is>
          <t>p19: R$ 15.995,79; p19: R$ 429.889,15</t>
        </is>
      </c>
      <c r="AP330" s="18" t="inlineStr">
        <is>
          <t>OTHER</t>
        </is>
      </c>
      <c r="AQ330" s="18" t="inlineStr">
        <is>
          <t>2025-03-25</t>
        </is>
      </c>
      <c r="AR330" s="18" t="inlineStr">
        <is>
          <t>OK_NO_TOTALS</t>
        </is>
      </c>
      <c r="AS330" s="18" t="inlineStr">
        <is>
          <t>ROWS:p19r30,p19r31 UNRECONCILED_SOURCE CASE_NUMBER_CORRECTED</t>
        </is>
      </c>
      <c r="AT330" s="18" t="inlineStr">
        <is>
          <t>ea17ba43b261</t>
        </is>
      </c>
    </row>
    <row r="331">
      <c r="A331" s="9" t="n">
        <v>330</v>
      </c>
      <c r="B331" s="9" t="inlineStr">
        <is>
          <t>NEW</t>
        </is>
      </c>
      <c r="C331" s="9" t="inlineStr"/>
      <c r="D331" s="9" t="n">
        <v>0</v>
      </c>
      <c r="E331" s="9" t="inlineStr"/>
      <c r="F331" s="9" t="inlineStr"/>
      <c r="G331" s="9" t="inlineStr"/>
      <c r="H331" s="9" t="inlineStr"/>
      <c r="I331" t="inlineStr">
        <is>
          <t>ALTENBURG TEXTIL S.A.</t>
        </is>
      </c>
      <c r="J331" t="inlineStr">
        <is>
          <t>ALTENBURG INDUSTRIA TEXTIL LTDA</t>
        </is>
      </c>
      <c r="K331" t="inlineStr">
        <is>
          <t>75293662</t>
        </is>
      </c>
      <c r="L331" t="inlineStr">
        <is>
          <t>75293662000104</t>
        </is>
      </c>
      <c r="M331" s="10" t="n">
        <v>439839.22</v>
      </c>
      <c r="N331" t="n">
        <v>1</v>
      </c>
      <c r="O331" s="11" t="inlineStr">
        <is>
          <t>D</t>
        </is>
      </c>
      <c r="P331" s="11" t="inlineStr"/>
      <c r="Q331" s="12" t="inlineStr"/>
      <c r="R331" s="11">
        <f>IF(Q331="","",ROUND((TODAY()-Q331)/365.25,1))</f>
        <v/>
      </c>
      <c r="S331" s="13">
        <f>IFERROR(VLOOKUP(O331,Assumptions!$A$7:$F$11,2,FALSE),0.25)</f>
        <v/>
      </c>
      <c r="T331" s="14">
        <f>IF(O331="A",MAX(1,IFERROR(VLOOKUP(O331,Assumptions!$A$7:$F$11,3,FALSE),3)+IFERROR(VLOOKUP(O331,Assumptions!$A$7:$F$11,4,FALSE),8)/2-MAX(0,IF(R331="",0,R331)-IFERROR(VLOOKUP(O331,Assumptions!$A$7:$F$11,5,FALSE),1.5))),IFERROR(VLOOKUP(O331,Assumptions!$A$7:$F$11,5,FALSE),2.5)+IFERROR(VLOOKUP(O331,Assumptions!$A$7:$F$11,3,FALSE),3)+IFERROR(VLOOKUP(O331,Assumptions!$A$7:$F$11,4,FALSE),8)/2)</f>
        <v/>
      </c>
      <c r="U331" s="15">
        <f>M331*S331/(1+Assumptions!$B$3)^T331</f>
        <v/>
      </c>
      <c r="V331" s="11">
        <f>IF(M331=0,"",ROUND(U331/M331*100,1))</f>
        <v/>
      </c>
      <c r="W331" s="16">
        <f>U331*Assumptions!$B$4</f>
        <v/>
      </c>
      <c r="X331" s="11">
        <f>IF(M331=0,"",ROUND(W331/M331*100,1))</f>
        <v/>
      </c>
      <c r="Y331" t="inlineStr">
        <is>
          <t>Mannes</t>
        </is>
      </c>
      <c r="Z331" t="inlineStr">
        <is>
          <t>0005010-50.2013.8.24.0026</t>
        </is>
      </c>
      <c r="AA331" t="inlineStr"/>
      <c r="AB331" t="inlineStr">
        <is>
          <t>administradorajudicialgs.com.br</t>
        </is>
      </c>
      <c r="AC331" t="inlineStr">
        <is>
          <t>TIAGO ALTENBURG</t>
        </is>
      </c>
      <c r="AD331" t="inlineStr">
        <is>
          <t>Presidente</t>
        </is>
      </c>
      <c r="AE331" t="inlineStr">
        <is>
          <t>(47) 3331-1500</t>
        </is>
      </c>
      <c r="AF331" t="inlineStr"/>
      <c r="AG331" t="inlineStr"/>
      <c r="AH331" t="inlineStr">
        <is>
          <t>SC</t>
        </is>
      </c>
      <c r="AI331" t="inlineStr">
        <is>
          <t>BLUMENAU</t>
        </is>
      </c>
      <c r="AJ331" t="inlineStr">
        <is>
          <t>Fabricação de artefatos têxteis para uso doméstico</t>
        </is>
      </c>
      <c r="AK331" t="inlineStr">
        <is>
          <t>DEMAIS</t>
        </is>
      </c>
      <c r="AL331" t="inlineStr">
        <is>
          <t>ATIVA</t>
        </is>
      </c>
      <c r="AM331" s="17" t="inlineStr">
        <is>
          <t>https://administradorajudicialgs.com.br/wp-content/uploads/2024/12/relacao-de-credores-da-falida.pdf</t>
        </is>
      </c>
      <c r="AN331" s="18" t="inlineStr">
        <is>
          <t>p12 r43</t>
        </is>
      </c>
      <c r="AO331" s="18" t="inlineStr">
        <is>
          <t>p12: R$ 439.839,22</t>
        </is>
      </c>
      <c r="AP331" s="18" t="inlineStr">
        <is>
          <t>OTHER</t>
        </is>
      </c>
      <c r="AQ331" s="18" t="inlineStr">
        <is>
          <t>2025-03-25</t>
        </is>
      </c>
      <c r="AR331" s="18" t="inlineStr">
        <is>
          <t>OK_NO_TOTALS</t>
        </is>
      </c>
      <c r="AS331" s="18" t="inlineStr">
        <is>
          <t>ROWS:p12r43 UNRECONCILED_SOURCE CASE_NUMBER_CORRECTED</t>
        </is>
      </c>
      <c r="AT331" s="18" t="inlineStr">
        <is>
          <t>ea17ba43b261</t>
        </is>
      </c>
    </row>
    <row r="332">
      <c r="A332" s="9" t="n">
        <v>331</v>
      </c>
      <c r="B332" s="9" t="inlineStr">
        <is>
          <t>NEW</t>
        </is>
      </c>
      <c r="C332" s="9" t="inlineStr"/>
      <c r="D332" s="9" t="n">
        <v>0</v>
      </c>
      <c r="E332" s="9" t="inlineStr"/>
      <c r="F332" s="9" t="inlineStr"/>
      <c r="G332" s="9" t="inlineStr"/>
      <c r="H332" s="9" t="inlineStr"/>
      <c r="I332" t="inlineStr">
        <is>
          <t>FCC CIENCIA DOS MATERIAIS LTDA.</t>
        </is>
      </c>
      <c r="J332" t="inlineStr">
        <is>
          <t>FCC FORNECEDORA COMP. QUÍMICOS E COUROS LT.</t>
        </is>
      </c>
      <c r="K332" t="inlineStr">
        <is>
          <t>88065321</t>
        </is>
      </c>
      <c r="L332" t="inlineStr">
        <is>
          <t>88065321000115</t>
        </is>
      </c>
      <c r="M332" s="10" t="n">
        <v>439222.79</v>
      </c>
      <c r="N332" t="n">
        <v>1</v>
      </c>
      <c r="O332" s="11" t="inlineStr">
        <is>
          <t>D</t>
        </is>
      </c>
      <c r="P332" s="11" t="inlineStr"/>
      <c r="Q332" s="12" t="inlineStr"/>
      <c r="R332" s="11">
        <f>IF(Q332="","",ROUND((TODAY()-Q332)/365.25,1))</f>
        <v/>
      </c>
      <c r="S332" s="13">
        <f>IFERROR(VLOOKUP(O332,Assumptions!$A$7:$F$11,2,FALSE),0.25)</f>
        <v/>
      </c>
      <c r="T332" s="14">
        <f>IF(O332="A",MAX(1,IFERROR(VLOOKUP(O332,Assumptions!$A$7:$F$11,3,FALSE),3)+IFERROR(VLOOKUP(O332,Assumptions!$A$7:$F$11,4,FALSE),8)/2-MAX(0,IF(R332="",0,R332)-IFERROR(VLOOKUP(O332,Assumptions!$A$7:$F$11,5,FALSE),1.5))),IFERROR(VLOOKUP(O332,Assumptions!$A$7:$F$11,5,FALSE),2.5)+IFERROR(VLOOKUP(O332,Assumptions!$A$7:$F$11,3,FALSE),3)+IFERROR(VLOOKUP(O332,Assumptions!$A$7:$F$11,4,FALSE),8)/2)</f>
        <v/>
      </c>
      <c r="U332" s="15">
        <f>M332*S332/(1+Assumptions!$B$3)^T332</f>
        <v/>
      </c>
      <c r="V332" s="11">
        <f>IF(M332=0,"",ROUND(U332/M332*100,1))</f>
        <v/>
      </c>
      <c r="W332" s="16">
        <f>U332*Assumptions!$B$4</f>
        <v/>
      </c>
      <c r="X332" s="11">
        <f>IF(M332=0,"",ROUND(W332/M332*100,1))</f>
        <v/>
      </c>
      <c r="Y332" t="inlineStr">
        <is>
          <t>Mannes</t>
        </is>
      </c>
      <c r="Z332" t="inlineStr">
        <is>
          <t>0005010-50.2013.8.24.0026</t>
        </is>
      </c>
      <c r="AA332" t="inlineStr"/>
      <c r="AB332" t="inlineStr">
        <is>
          <t>administradorajudicialgs.com.br</t>
        </is>
      </c>
      <c r="AC332" t="inlineStr">
        <is>
          <t>MARCELO ANDRE REICHERT</t>
        </is>
      </c>
      <c r="AD332" t="inlineStr">
        <is>
          <t>Sócio-Administrador</t>
        </is>
      </c>
      <c r="AE332" t="inlineStr">
        <is>
          <t>(51) 2129-2200</t>
        </is>
      </c>
      <c r="AF332" t="inlineStr"/>
      <c r="AG332" t="inlineStr"/>
      <c r="AH332" t="inlineStr">
        <is>
          <t>RS</t>
        </is>
      </c>
      <c r="AI332" t="inlineStr">
        <is>
          <t>CAMPO BOM</t>
        </is>
      </c>
      <c r="AJ332" t="inlineStr">
        <is>
          <t>Fabricação de resinas termoplásticas</t>
        </is>
      </c>
      <c r="AK332" t="inlineStr">
        <is>
          <t>DEMAIS</t>
        </is>
      </c>
      <c r="AL332" t="inlineStr">
        <is>
          <t>ATIVA</t>
        </is>
      </c>
      <c r="AM332" s="17" t="inlineStr">
        <is>
          <t>https://administradorajudicialgs.com.br/wp-content/uploads/2024/12/relacao-de-credores-da-falida.pdf</t>
        </is>
      </c>
      <c r="AN332" s="18" t="inlineStr">
        <is>
          <t>p14 r38</t>
        </is>
      </c>
      <c r="AO332" s="18" t="inlineStr">
        <is>
          <t>p14: R$ 439.222,79</t>
        </is>
      </c>
      <c r="AP332" s="18" t="inlineStr">
        <is>
          <t>OTHER</t>
        </is>
      </c>
      <c r="AQ332" s="18" t="inlineStr">
        <is>
          <t>2025-03-25</t>
        </is>
      </c>
      <c r="AR332" s="18" t="inlineStr">
        <is>
          <t>OK_NO_TOTALS</t>
        </is>
      </c>
      <c r="AS332" s="18" t="inlineStr">
        <is>
          <t>ROWS:p14r38 UNRECONCILED_SOURCE CASE_NUMBER_CORRECTED</t>
        </is>
      </c>
      <c r="AT332" s="18" t="inlineStr">
        <is>
          <t>ea17ba43b261</t>
        </is>
      </c>
    </row>
    <row r="333">
      <c r="A333" s="9" t="n">
        <v>332</v>
      </c>
      <c r="B333" s="9" t="inlineStr">
        <is>
          <t>NEW</t>
        </is>
      </c>
      <c r="C333" s="9" t="inlineStr"/>
      <c r="D333" s="9" t="n">
        <v>0</v>
      </c>
      <c r="E333" s="9" t="inlineStr"/>
      <c r="F333" s="9" t="inlineStr"/>
      <c r="G333" s="9" t="inlineStr"/>
      <c r="H333" s="9" t="inlineStr"/>
      <c r="I333" t="inlineStr">
        <is>
          <t>SIEMENS HEALTHCARE DIAGNOSTICOS LTDA.</t>
        </is>
      </c>
      <c r="J333" t="inlineStr">
        <is>
          <t>SIEMENS HEALTHCARE DIAGNOSTICO (</t>
        </is>
      </c>
      <c r="K333" t="inlineStr">
        <is>
          <t>01449930</t>
        </is>
      </c>
      <c r="L333" t="inlineStr">
        <is>
          <t>01449930000602</t>
        </is>
      </c>
      <c r="M333" s="10" t="n">
        <v>438000</v>
      </c>
      <c r="N333" t="n">
        <v>1</v>
      </c>
      <c r="O333" s="11" t="inlineStr">
        <is>
          <t>C</t>
        </is>
      </c>
      <c r="P333" s="11" t="inlineStr">
        <is>
          <t>ACTIVE</t>
        </is>
      </c>
      <c r="Q333" s="12" t="n">
        <v>44735</v>
      </c>
      <c r="R333" s="11">
        <f>IF(Q333="","",ROUND((TODAY()-Q333)/365.25,1))</f>
        <v/>
      </c>
      <c r="S333" s="13">
        <f>IFERROR(VLOOKUP(O333,Assumptions!$A$7:$F$11,2,FALSE),0.25)</f>
        <v/>
      </c>
      <c r="T333" s="14">
        <f>IF(O333="A",MAX(1,IFERROR(VLOOKUP(O333,Assumptions!$A$7:$F$11,3,FALSE),3)+IFERROR(VLOOKUP(O333,Assumptions!$A$7:$F$11,4,FALSE),8)/2-MAX(0,IF(R333="",0,R333)-IFERROR(VLOOKUP(O333,Assumptions!$A$7:$F$11,5,FALSE),1.5))),IFERROR(VLOOKUP(O333,Assumptions!$A$7:$F$11,5,FALSE),2.5)+IFERROR(VLOOKUP(O333,Assumptions!$A$7:$F$11,3,FALSE),3)+IFERROR(VLOOKUP(O333,Assumptions!$A$7:$F$11,4,FALSE),8)/2)</f>
        <v/>
      </c>
      <c r="U333" s="15">
        <f>M333*S333/(1+Assumptions!$B$3)^T333</f>
        <v/>
      </c>
      <c r="V333" s="11">
        <f>IF(M333=0,"",ROUND(U333/M333*100,1))</f>
        <v/>
      </c>
      <c r="W333" s="16">
        <f>U333*Assumptions!$B$4</f>
        <v/>
      </c>
      <c r="X333" s="11">
        <f>IF(M333=0,"",ROUND(W333/M333*100,1))</f>
        <v/>
      </c>
      <c r="Y333" t="inlineStr">
        <is>
          <t>ASSOCIAÇÃO DE CARIDADE SANTA CASA DO RIO GRANDE</t>
        </is>
      </c>
      <c r="Z333" t="inlineStr">
        <is>
          <t>5012306-16.2022.8.21.0023</t>
        </is>
      </c>
      <c r="AA333" t="inlineStr">
        <is>
          <t>TJRS</t>
        </is>
      </c>
      <c r="AB333" t="inlineStr">
        <is>
          <t>scalzilliaj.com.br</t>
        </is>
      </c>
      <c r="AC333" t="inlineStr">
        <is>
          <t>ADRIANA SILVA DA COSTA</t>
        </is>
      </c>
      <c r="AD333" t="inlineStr">
        <is>
          <t>Administrador</t>
        </is>
      </c>
      <c r="AE333" t="inlineStr">
        <is>
          <t>(11) 4585-7350</t>
        </is>
      </c>
      <c r="AF333" t="inlineStr"/>
      <c r="AG333" t="inlineStr"/>
      <c r="AH333" t="inlineStr">
        <is>
          <t>SP</t>
        </is>
      </c>
      <c r="AI333" t="inlineStr">
        <is>
          <t>SAO PAULO</t>
        </is>
      </c>
      <c r="AJ333" t="inlineStr">
        <is>
          <t>Comércio atacadista de instrumentos e materiais para uso médico, cirúrgico, hospitalar e de laboratórios</t>
        </is>
      </c>
      <c r="AK333" t="inlineStr">
        <is>
          <t>DEMAIS</t>
        </is>
      </c>
      <c r="AL333" t="inlineStr">
        <is>
          <t>ATIVA</t>
        </is>
      </c>
      <c r="AM333" s="17" t="inlineStr">
        <is>
          <t>https://scalzilliaj.com.br/sgc/download.php?file=files/processo_documento/processo_documento09120721032023_1_.pdf&amp;nome=15 - Edital do art. 7º, §2º e 53 da Lei 11.101/2005 (segunda lista de credores e recebimento do plano))</t>
        </is>
      </c>
      <c r="AN333" s="18" t="inlineStr">
        <is>
          <t>p29 r50</t>
        </is>
      </c>
      <c r="AO333" s="18" t="inlineStr">
        <is>
          <t>p29: R$ 438.000,00</t>
        </is>
      </c>
      <c r="AP333" s="18" t="inlineStr">
        <is>
          <t>AJ_LIST</t>
        </is>
      </c>
      <c r="AQ333" s="18" t="inlineStr">
        <is>
          <t>2023-03-21</t>
        </is>
      </c>
      <c r="AR333" s="18" t="inlineStr">
        <is>
          <t>OK_NO_TOTALS</t>
        </is>
      </c>
      <c r="AS333" s="18" t="inlineStr">
        <is>
          <t>ROWS:p29r50 UNRECONCILED_SOURCE</t>
        </is>
      </c>
      <c r="AT333" s="18" t="inlineStr">
        <is>
          <t>ebfb999b457c</t>
        </is>
      </c>
    </row>
    <row r="334">
      <c r="A334" s="9" t="n">
        <v>333</v>
      </c>
      <c r="B334" s="9" t="inlineStr">
        <is>
          <t>NEW</t>
        </is>
      </c>
      <c r="C334" s="9" t="inlineStr"/>
      <c r="D334" s="9" t="n">
        <v>0</v>
      </c>
      <c r="E334" s="9" t="inlineStr"/>
      <c r="F334" s="9" t="inlineStr"/>
      <c r="G334" s="9" t="inlineStr"/>
      <c r="H334" s="9" t="inlineStr"/>
      <c r="I334" t="inlineStr">
        <is>
          <t>MAID OLEOS E GORDURAS LTDA</t>
        </is>
      </c>
      <c r="J334" t="inlineStr">
        <is>
          <t>Maid Oleos E Gorduras Ltda</t>
        </is>
      </c>
      <c r="K334" t="inlineStr">
        <is>
          <t>17205148</t>
        </is>
      </c>
      <c r="L334" t="inlineStr">
        <is>
          <t>17205148000165</t>
        </is>
      </c>
      <c r="M334" s="10" t="n">
        <v>434952</v>
      </c>
      <c r="N334" t="n">
        <v>1</v>
      </c>
      <c r="O334" s="11" t="inlineStr">
        <is>
          <t>C</t>
        </is>
      </c>
      <c r="P334" s="11" t="inlineStr">
        <is>
          <t>ACTIVE</t>
        </is>
      </c>
      <c r="Q334" s="12" t="n">
        <v>45275</v>
      </c>
      <c r="R334" s="11">
        <f>IF(Q334="","",ROUND((TODAY()-Q334)/365.25,1))</f>
        <v/>
      </c>
      <c r="S334" s="13">
        <f>IFERROR(VLOOKUP(O334,Assumptions!$A$7:$F$11,2,FALSE),0.25)</f>
        <v/>
      </c>
      <c r="T334" s="14">
        <f>IF(O334="A",MAX(1,IFERROR(VLOOKUP(O334,Assumptions!$A$7:$F$11,3,FALSE),3)+IFERROR(VLOOKUP(O334,Assumptions!$A$7:$F$11,4,FALSE),8)/2-MAX(0,IF(R334="",0,R334)-IFERROR(VLOOKUP(O334,Assumptions!$A$7:$F$11,5,FALSE),1.5))),IFERROR(VLOOKUP(O334,Assumptions!$A$7:$F$11,5,FALSE),2.5)+IFERROR(VLOOKUP(O334,Assumptions!$A$7:$F$11,3,FALSE),3)+IFERROR(VLOOKUP(O334,Assumptions!$A$7:$F$11,4,FALSE),8)/2)</f>
        <v/>
      </c>
      <c r="U334" s="15">
        <f>M334*S334/(1+Assumptions!$B$3)^T334</f>
        <v/>
      </c>
      <c r="V334" s="11">
        <f>IF(M334=0,"",ROUND(U334/M334*100,1))</f>
        <v/>
      </c>
      <c r="W334" s="16">
        <f>U334*Assumptions!$B$4</f>
        <v/>
      </c>
      <c r="X334" s="11">
        <f>IF(M334=0,"",ROUND(W334/M334*100,1))</f>
        <v/>
      </c>
      <c r="Y334" t="inlineStr">
        <is>
          <t>Grupo Agromeal</t>
        </is>
      </c>
      <c r="Z334" t="inlineStr">
        <is>
          <t>0003971-03.2023.8.16.0119</t>
        </is>
      </c>
      <c r="AA334" t="inlineStr">
        <is>
          <t>TJPR</t>
        </is>
      </c>
      <c r="AB334" t="inlineStr">
        <is>
          <t>marquesadmjudicial.com.br</t>
        </is>
      </c>
      <c r="AC334" t="inlineStr">
        <is>
          <t>IDENILDE CASTURINA LEAL</t>
        </is>
      </c>
      <c r="AD334" t="inlineStr">
        <is>
          <t>Sócio-Administrador</t>
        </is>
      </c>
      <c r="AE334" t="inlineStr">
        <is>
          <t>(44) 9868-0056</t>
        </is>
      </c>
      <c r="AF334" t="inlineStr">
        <is>
          <t>(44) 9868-0013</t>
        </is>
      </c>
      <c r="AG334" t="inlineStr"/>
      <c r="AH334" t="inlineStr">
        <is>
          <t>PR</t>
        </is>
      </c>
      <c r="AI334" t="inlineStr">
        <is>
          <t>PARANACITY</t>
        </is>
      </c>
      <c r="AJ334" t="inlineStr">
        <is>
          <t>Fabricação de produtos diversos não especificados anteriormente</t>
        </is>
      </c>
      <c r="AK334" t="inlineStr">
        <is>
          <t>DEMAIS</t>
        </is>
      </c>
      <c r="AL334" t="inlineStr">
        <is>
          <t>ATIVA</t>
        </is>
      </c>
      <c r="AM334" s="17" t="inlineStr">
        <is>
          <t>https://marquesadmjudicial.com.br/sgc/download.php?file=files/processo_documento/processo_documento17040729052024_1_.pdf&amp;nome=Relação Nominal de Credores AJ-Sintética</t>
        </is>
      </c>
      <c r="AN334" s="18" t="inlineStr">
        <is>
          <t>p12 r7</t>
        </is>
      </c>
      <c r="AO334" s="18" t="inlineStr">
        <is>
          <t>p12: R$ 434.952,00</t>
        </is>
      </c>
      <c r="AP334" s="18" t="inlineStr">
        <is>
          <t>AJ_LIST</t>
        </is>
      </c>
      <c r="AQ334" s="18" t="inlineStr">
        <is>
          <t>2024-05-27</t>
        </is>
      </c>
      <c r="AR334" s="18" t="inlineStr">
        <is>
          <t>QUARANTINED</t>
        </is>
      </c>
      <c r="AS334" s="18" t="inlineStr">
        <is>
          <t>PARTIAL_DOC_CLASS_III_RECONCILED ROWS:p12r7</t>
        </is>
      </c>
      <c r="AT334" s="18" t="inlineStr">
        <is>
          <t>1209dafe77b7</t>
        </is>
      </c>
    </row>
    <row r="335">
      <c r="A335" s="9" t="n">
        <v>334</v>
      </c>
      <c r="B335" s="9" t="inlineStr">
        <is>
          <t>NEW</t>
        </is>
      </c>
      <c r="C335" s="9" t="inlineStr"/>
      <c r="D335" s="9" t="n">
        <v>0</v>
      </c>
      <c r="E335" s="9" t="inlineStr"/>
      <c r="F335" s="9" t="inlineStr"/>
      <c r="G335" s="9" t="inlineStr"/>
      <c r="H335" s="9" t="inlineStr"/>
      <c r="I335" t="inlineStr">
        <is>
          <t>HUESKER LTDA</t>
        </is>
      </c>
      <c r="J335" t="inlineStr">
        <is>
          <t>HUESKER LTDA</t>
        </is>
      </c>
      <c r="K335" t="inlineStr">
        <is>
          <t>02565876</t>
        </is>
      </c>
      <c r="L335" t="inlineStr">
        <is>
          <t>02565876000100</t>
        </is>
      </c>
      <c r="M335" s="10" t="n">
        <v>429201.75</v>
      </c>
      <c r="N335" t="n">
        <v>1</v>
      </c>
      <c r="O335" s="11" t="inlineStr">
        <is>
          <t>C</t>
        </is>
      </c>
      <c r="P335" s="11" t="inlineStr">
        <is>
          <t>ACTIVE</t>
        </is>
      </c>
      <c r="Q335" s="12" t="n">
        <v>43838</v>
      </c>
      <c r="R335" s="11">
        <f>IF(Q335="","",ROUND((TODAY()-Q335)/365.25,1))</f>
        <v/>
      </c>
      <c r="S335" s="13">
        <f>IFERROR(VLOOKUP(O335,Assumptions!$A$7:$F$11,2,FALSE),0.25)</f>
        <v/>
      </c>
      <c r="T335" s="14">
        <f>IF(O335="A",MAX(1,IFERROR(VLOOKUP(O335,Assumptions!$A$7:$F$11,3,FALSE),3)+IFERROR(VLOOKUP(O335,Assumptions!$A$7:$F$11,4,FALSE),8)/2-MAX(0,IF(R335="",0,R335)-IFERROR(VLOOKUP(O335,Assumptions!$A$7:$F$11,5,FALSE),1.5))),IFERROR(VLOOKUP(O335,Assumptions!$A$7:$F$11,5,FALSE),2.5)+IFERROR(VLOOKUP(O335,Assumptions!$A$7:$F$11,3,FALSE),3)+IFERROR(VLOOKUP(O335,Assumptions!$A$7:$F$11,4,FALSE),8)/2)</f>
        <v/>
      </c>
      <c r="U335" s="15">
        <f>M335*S335/(1+Assumptions!$B$3)^T335</f>
        <v/>
      </c>
      <c r="V335" s="11">
        <f>IF(M335=0,"",ROUND(U335/M335*100,1))</f>
        <v/>
      </c>
      <c r="W335" s="16">
        <f>U335*Assumptions!$B$4</f>
        <v/>
      </c>
      <c r="X335" s="11">
        <f>IF(M335=0,"",ROUND(W335/M335*100,1))</f>
        <v/>
      </c>
      <c r="Y335" t="inlineStr">
        <is>
          <t>CONSTRUTORA ANDRADE GUEDES LTDA</t>
        </is>
      </c>
      <c r="Z335" t="inlineStr">
        <is>
          <t>0000880-57.2020.8.17.2001</t>
        </is>
      </c>
      <c r="AA335" t="inlineStr">
        <is>
          <t>TJPE</t>
        </is>
      </c>
      <c r="AB335" t="inlineStr">
        <is>
          <t>diligence.adm.br</t>
        </is>
      </c>
      <c r="AC335" t="inlineStr">
        <is>
          <t>ANDRE ESTEVAO FERREIRA DA SILVA</t>
        </is>
      </c>
      <c r="AD335" t="inlineStr">
        <is>
          <t>Administrador</t>
        </is>
      </c>
      <c r="AE335" t="inlineStr">
        <is>
          <t>(12) 3903-9300</t>
        </is>
      </c>
      <c r="AF335" t="inlineStr">
        <is>
          <t>(12) 2138-8200</t>
        </is>
      </c>
      <c r="AG335" t="inlineStr"/>
      <c r="AH335" t="inlineStr">
        <is>
          <t>SP</t>
        </is>
      </c>
      <c r="AI335" t="inlineStr">
        <is>
          <t>SAO JOSE DOS CAMPOS</t>
        </is>
      </c>
      <c r="AJ335" t="inlineStr">
        <is>
          <t>Comércio atacadista especializado de materiais de construção não especificados anteriormente</t>
        </is>
      </c>
      <c r="AK335" t="inlineStr">
        <is>
          <t>DEMAIS</t>
        </is>
      </c>
      <c r="AL335" t="inlineStr">
        <is>
          <t>ATIVA</t>
        </is>
      </c>
      <c r="AM335" s="17" t="inlineStr">
        <is>
          <t>https://diligence.adm.br/wp-content/plugins/download-attachments/includes/download.php?id=4599</t>
        </is>
      </c>
      <c r="AN335" s="18" t="inlineStr">
        <is>
          <t>p10 r38</t>
        </is>
      </c>
      <c r="AO335" s="18" t="inlineStr">
        <is>
          <t>p10: R$ 429.201,75</t>
        </is>
      </c>
      <c r="AP335" s="18" t="inlineStr">
        <is>
          <t>AJ_LIST</t>
        </is>
      </c>
      <c r="AQ335" s="18" t="inlineStr">
        <is>
          <t>2024-06-25</t>
        </is>
      </c>
      <c r="AR335" s="18" t="inlineStr">
        <is>
          <t>OK_NO_TOTALS</t>
        </is>
      </c>
      <c r="AS335" s="18" t="inlineStr">
        <is>
          <t>ALT_VALUE:R$429.201,75 ROWS:p10r38 UNRECONCILED_SOURCE VALUE_COL:2ª_Lista</t>
        </is>
      </c>
      <c r="AT335" s="18" t="inlineStr">
        <is>
          <t>44ecd0afa707</t>
        </is>
      </c>
    </row>
    <row r="336">
      <c r="A336" s="9" t="n">
        <v>335</v>
      </c>
      <c r="B336" s="9" t="inlineStr">
        <is>
          <t>NEW</t>
        </is>
      </c>
      <c r="C336" s="9" t="inlineStr"/>
      <c r="D336" s="9" t="n">
        <v>0</v>
      </c>
      <c r="E336" s="9" t="inlineStr"/>
      <c r="F336" s="9" t="inlineStr"/>
      <c r="G336" s="9" t="inlineStr"/>
      <c r="H336" s="9" t="inlineStr"/>
      <c r="I336" t="inlineStr">
        <is>
          <t>FS I INDUSTRIA DE ETANOL S.A</t>
        </is>
      </c>
      <c r="J336" t="inlineStr">
        <is>
          <t>Fs i Industria De Etanol S.A</t>
        </is>
      </c>
      <c r="K336" t="inlineStr">
        <is>
          <t>46710597</t>
        </is>
      </c>
      <c r="L336" t="inlineStr">
        <is>
          <t>46710597000240</t>
        </is>
      </c>
      <c r="M336" s="10" t="n">
        <v>425717.6</v>
      </c>
      <c r="N336" t="n">
        <v>1</v>
      </c>
      <c r="O336" s="11" t="inlineStr">
        <is>
          <t>B</t>
        </is>
      </c>
      <c r="P336" s="11" t="inlineStr">
        <is>
          <t>ACTIVE</t>
        </is>
      </c>
      <c r="Q336" s="12" t="n">
        <v>46130</v>
      </c>
      <c r="R336" s="11">
        <f>IF(Q336="","",ROUND((TODAY()-Q336)/365.25,1))</f>
        <v/>
      </c>
      <c r="S336" s="13">
        <f>IFERROR(VLOOKUP(O336,Assumptions!$A$7:$F$11,2,FALSE),0.25)</f>
        <v/>
      </c>
      <c r="T336" s="14">
        <f>IF(O336="A",MAX(1,IFERROR(VLOOKUP(O336,Assumptions!$A$7:$F$11,3,FALSE),3)+IFERROR(VLOOKUP(O336,Assumptions!$A$7:$F$11,4,FALSE),8)/2-MAX(0,IF(R336="",0,R336)-IFERROR(VLOOKUP(O336,Assumptions!$A$7:$F$11,5,FALSE),1.5))),IFERROR(VLOOKUP(O336,Assumptions!$A$7:$F$11,5,FALSE),2.5)+IFERROR(VLOOKUP(O336,Assumptions!$A$7:$F$11,3,FALSE),3)+IFERROR(VLOOKUP(O336,Assumptions!$A$7:$F$11,4,FALSE),8)/2)</f>
        <v/>
      </c>
      <c r="U336" s="15">
        <f>M336*S336/(1+Assumptions!$B$3)^T336</f>
        <v/>
      </c>
      <c r="V336" s="11">
        <f>IF(M336=0,"",ROUND(U336/M336*100,1))</f>
        <v/>
      </c>
      <c r="W336" s="16">
        <f>U336*Assumptions!$B$4</f>
        <v/>
      </c>
      <c r="X336" s="11">
        <f>IF(M336=0,"",ROUND(W336/M336*100,1))</f>
        <v/>
      </c>
      <c r="Y336" t="inlineStr">
        <is>
          <t>GRUPO 3E</t>
        </is>
      </c>
      <c r="Z336" t="inlineStr">
        <is>
          <t>5341375-33.2026.8.09.0049</t>
        </is>
      </c>
      <c r="AA336" t="inlineStr">
        <is>
          <t>TJGO</t>
        </is>
      </c>
      <c r="AB336" t="inlineStr">
        <is>
          <t>stenius.com.br</t>
        </is>
      </c>
      <c r="AC336" t="inlineStr">
        <is>
          <t>DANIEL COSTA LOPES</t>
        </is>
      </c>
      <c r="AD336" t="inlineStr">
        <is>
          <t>Diretor</t>
        </is>
      </c>
      <c r="AE336" t="inlineStr">
        <is>
          <t>(65) 3548-1500</t>
        </is>
      </c>
      <c r="AF336" t="inlineStr"/>
      <c r="AG336" t="inlineStr"/>
      <c r="AH336" t="inlineStr">
        <is>
          <t>SP</t>
        </is>
      </c>
      <c r="AI336" t="inlineStr">
        <is>
          <t>SAO PAULO</t>
        </is>
      </c>
      <c r="AJ336" t="inlineStr">
        <is>
          <t>Comércio atacadista de matérias-primas agrícolas não especificadas anteriormente</t>
        </is>
      </c>
      <c r="AK336" t="inlineStr">
        <is>
          <t>DEMAIS</t>
        </is>
      </c>
      <c r="AL336" t="inlineStr">
        <is>
          <t>ATIVA</t>
        </is>
      </c>
      <c r="AM336" s="17" t="inlineStr">
        <is>
          <t>https://stenius.com.br/wp-content/uploads/2026/06/EDITAL-GRUPO-3E.pdf</t>
        </is>
      </c>
      <c r="AN336" s="18" t="inlineStr">
        <is>
          <t>p13 r64</t>
        </is>
      </c>
      <c r="AO336" s="18" t="inlineStr">
        <is>
          <t>p13: R$ 425.717,60</t>
        </is>
      </c>
      <c r="AP336" s="18" t="inlineStr">
        <is>
          <t>DEBTOR_LIST</t>
        </is>
      </c>
      <c r="AQ336" s="18" t="inlineStr">
        <is>
          <t>2026-06-22</t>
        </is>
      </c>
      <c r="AR336" s="18" t="inlineStr">
        <is>
          <t>OK_NO_TOTALS</t>
        </is>
      </c>
      <c r="AS336" s="18" t="inlineStr">
        <is>
          <t>ROWS:p13r64 UNRECONCILED_SOURCE</t>
        </is>
      </c>
      <c r="AT336" s="18" t="inlineStr">
        <is>
          <t>8e8832093a15</t>
        </is>
      </c>
    </row>
    <row r="337">
      <c r="A337" s="9" t="n">
        <v>336</v>
      </c>
      <c r="B337" s="9" t="inlineStr">
        <is>
          <t>NEW</t>
        </is>
      </c>
      <c r="C337" s="9" t="inlineStr"/>
      <c r="D337" s="9" t="n">
        <v>0</v>
      </c>
      <c r="E337" s="9" t="inlineStr"/>
      <c r="F337" s="9" t="inlineStr"/>
      <c r="G337" s="9" t="inlineStr"/>
      <c r="H337" s="9" t="inlineStr"/>
      <c r="I337" t="inlineStr">
        <is>
          <t>POLIMIX CONCRETO LTDA</t>
        </is>
      </c>
      <c r="J337" t="inlineStr">
        <is>
          <t>POLIMIX CONCRETO LTDA</t>
        </is>
      </c>
      <c r="K337" t="inlineStr">
        <is>
          <t>29067113</t>
        </is>
      </c>
      <c r="L337" t="inlineStr">
        <is>
          <t>29067113034767</t>
        </is>
      </c>
      <c r="M337" s="10" t="n">
        <v>425000</v>
      </c>
      <c r="N337" t="n">
        <v>1</v>
      </c>
      <c r="O337" s="11" t="inlineStr">
        <is>
          <t>C</t>
        </is>
      </c>
      <c r="P337" s="11" t="inlineStr">
        <is>
          <t>ACTIVE</t>
        </is>
      </c>
      <c r="Q337" s="12" t="n">
        <v>43838</v>
      </c>
      <c r="R337" s="11">
        <f>IF(Q337="","",ROUND((TODAY()-Q337)/365.25,1))</f>
        <v/>
      </c>
      <c r="S337" s="13">
        <f>IFERROR(VLOOKUP(O337,Assumptions!$A$7:$F$11,2,FALSE),0.25)</f>
        <v/>
      </c>
      <c r="T337" s="14">
        <f>IF(O337="A",MAX(1,IFERROR(VLOOKUP(O337,Assumptions!$A$7:$F$11,3,FALSE),3)+IFERROR(VLOOKUP(O337,Assumptions!$A$7:$F$11,4,FALSE),8)/2-MAX(0,IF(R337="",0,R337)-IFERROR(VLOOKUP(O337,Assumptions!$A$7:$F$11,5,FALSE),1.5))),IFERROR(VLOOKUP(O337,Assumptions!$A$7:$F$11,5,FALSE),2.5)+IFERROR(VLOOKUP(O337,Assumptions!$A$7:$F$11,3,FALSE),3)+IFERROR(VLOOKUP(O337,Assumptions!$A$7:$F$11,4,FALSE),8)/2)</f>
        <v/>
      </c>
      <c r="U337" s="15">
        <f>M337*S337/(1+Assumptions!$B$3)^T337</f>
        <v/>
      </c>
      <c r="V337" s="11">
        <f>IF(M337=0,"",ROUND(U337/M337*100,1))</f>
        <v/>
      </c>
      <c r="W337" s="16">
        <f>U337*Assumptions!$B$4</f>
        <v/>
      </c>
      <c r="X337" s="11">
        <f>IF(M337=0,"",ROUND(W337/M337*100,1))</f>
        <v/>
      </c>
      <c r="Y337" t="inlineStr">
        <is>
          <t>CONSTRUTORA ANDRADE GUEDES LTDA</t>
        </is>
      </c>
      <c r="Z337" t="inlineStr">
        <is>
          <t>0000880-57.2020.8.17.2001</t>
        </is>
      </c>
      <c r="AA337" t="inlineStr">
        <is>
          <t>TJPE</t>
        </is>
      </c>
      <c r="AB337" t="inlineStr">
        <is>
          <t>diligence.adm.br</t>
        </is>
      </c>
      <c r="AC337" t="inlineStr">
        <is>
          <t>ALCINDO ANTONIO CHRUSCIELSKI</t>
        </is>
      </c>
      <c r="AD337" t="inlineStr">
        <is>
          <t>Administrador</t>
        </is>
      </c>
      <c r="AE337" t="inlineStr">
        <is>
          <t>(11) 4168-0300</t>
        </is>
      </c>
      <c r="AF337" t="inlineStr"/>
      <c r="AG337" t="inlineStr"/>
      <c r="AH337" t="inlineStr">
        <is>
          <t>SP</t>
        </is>
      </c>
      <c r="AI337" t="inlineStr">
        <is>
          <t>SANTANA DE PARNAIBA</t>
        </is>
      </c>
      <c r="AJ337" t="inlineStr">
        <is>
          <t>Serviços combinados de escritório e apoio administrativo</t>
        </is>
      </c>
      <c r="AK337" t="inlineStr">
        <is>
          <t>DEMAIS</t>
        </is>
      </c>
      <c r="AL337" t="inlineStr">
        <is>
          <t>ATIVA</t>
        </is>
      </c>
      <c r="AM337" s="17" t="inlineStr">
        <is>
          <t>https://diligence.adm.br/wp-content/plugins/download-attachments/includes/download.php?id=4599</t>
        </is>
      </c>
      <c r="AN337" s="18" t="inlineStr">
        <is>
          <t>p10 r65</t>
        </is>
      </c>
      <c r="AO337" s="18" t="inlineStr">
        <is>
          <t>p10: R$ 425.000,00</t>
        </is>
      </c>
      <c r="AP337" s="18" t="inlineStr">
        <is>
          <t>AJ_LIST</t>
        </is>
      </c>
      <c r="AQ337" s="18" t="inlineStr">
        <is>
          <t>2024-06-25</t>
        </is>
      </c>
      <c r="AR337" s="18" t="inlineStr">
        <is>
          <t>OK_NO_TOTALS</t>
        </is>
      </c>
      <c r="AS337" s="18" t="inlineStr">
        <is>
          <t>ALT_VALUE:-R$25.000,00 ALT_VALUE:R$450.000,00 ROWS:p10r65 UNRECONCILED_SOURCE VALUE_COL:2ª_Lista</t>
        </is>
      </c>
      <c r="AT337" s="18" t="inlineStr">
        <is>
          <t>44ecd0afa707</t>
        </is>
      </c>
    </row>
    <row r="338">
      <c r="A338" s="9" t="n">
        <v>337</v>
      </c>
      <c r="B338" s="9" t="inlineStr">
        <is>
          <t>NEW</t>
        </is>
      </c>
      <c r="C338" s="9" t="inlineStr"/>
      <c r="D338" s="9" t="n">
        <v>0</v>
      </c>
      <c r="E338" s="9" t="inlineStr"/>
      <c r="F338" s="9" t="inlineStr"/>
      <c r="G338" s="9" t="inlineStr"/>
      <c r="H338" s="9" t="inlineStr"/>
      <c r="I338" t="inlineStr">
        <is>
          <t>VIBRA ENERGIA S.A</t>
        </is>
      </c>
      <c r="J338" t="inlineStr">
        <is>
          <t>PETROBRAS DISTRIBUIDORA, RIO DE JANEIRO</t>
        </is>
      </c>
      <c r="K338" t="inlineStr">
        <is>
          <t>34274233</t>
        </is>
      </c>
      <c r="L338" t="inlineStr">
        <is>
          <t>34274233000102</t>
        </is>
      </c>
      <c r="M338" s="10" t="n">
        <v>422999.28</v>
      </c>
      <c r="N338" t="n">
        <v>1</v>
      </c>
      <c r="O338" s="11" t="inlineStr">
        <is>
          <t>C</t>
        </is>
      </c>
      <c r="P338" s="11" t="inlineStr">
        <is>
          <t>ACTIVE</t>
        </is>
      </c>
      <c r="Q338" s="12" t="n">
        <v>43861</v>
      </c>
      <c r="R338" s="11">
        <f>IF(Q338="","",ROUND((TODAY()-Q338)/365.25,1))</f>
        <v/>
      </c>
      <c r="S338" s="13">
        <f>IFERROR(VLOOKUP(O338,Assumptions!$A$7:$F$11,2,FALSE),0.25)</f>
        <v/>
      </c>
      <c r="T338" s="14">
        <f>IF(O338="A",MAX(1,IFERROR(VLOOKUP(O338,Assumptions!$A$7:$F$11,3,FALSE),3)+IFERROR(VLOOKUP(O338,Assumptions!$A$7:$F$11,4,FALSE),8)/2-MAX(0,IF(R338="",0,R338)-IFERROR(VLOOKUP(O338,Assumptions!$A$7:$F$11,5,FALSE),1.5))),IFERROR(VLOOKUP(O338,Assumptions!$A$7:$F$11,5,FALSE),2.5)+IFERROR(VLOOKUP(O338,Assumptions!$A$7:$F$11,3,FALSE),3)+IFERROR(VLOOKUP(O338,Assumptions!$A$7:$F$11,4,FALSE),8)/2)</f>
        <v/>
      </c>
      <c r="U338" s="15">
        <f>M338*S338/(1+Assumptions!$B$3)^T338</f>
        <v/>
      </c>
      <c r="V338" s="11">
        <f>IF(M338=0,"",ROUND(U338/M338*100,1))</f>
        <v/>
      </c>
      <c r="W338" s="16">
        <f>U338*Assumptions!$B$4</f>
        <v/>
      </c>
      <c r="X338" s="11">
        <f>IF(M338=0,"",ROUND(W338/M338*100,1))</f>
        <v/>
      </c>
      <c r="Y338" t="inlineStr">
        <is>
          <t>AUTO POSTO FREITAS &amp; MAIA LTDA</t>
        </is>
      </c>
      <c r="Z338" t="inlineStr">
        <is>
          <t>0700087-51.2020.8.02.0043</t>
        </is>
      </c>
      <c r="AA338" t="inlineStr">
        <is>
          <t>TJAL</t>
        </is>
      </c>
      <c r="AB338" t="inlineStr">
        <is>
          <t>recuperacaojudicial.squarespace.com</t>
        </is>
      </c>
      <c r="AC338" t="inlineStr">
        <is>
          <t>ERNESTO PERES POUSADA JUNIOR</t>
        </is>
      </c>
      <c r="AD338" t="inlineStr">
        <is>
          <t>Presidente</t>
        </is>
      </c>
      <c r="AE338" t="inlineStr">
        <is>
          <t>(21) 2354-3151</t>
        </is>
      </c>
      <c r="AF338" t="inlineStr">
        <is>
          <t>(21) 2354-3146</t>
        </is>
      </c>
      <c r="AG338" t="inlineStr"/>
      <c r="AH338" t="inlineStr">
        <is>
          <t>RJ</t>
        </is>
      </c>
      <c r="AI338" t="inlineStr">
        <is>
          <t>RIO DE JANEIRO</t>
        </is>
      </c>
      <c r="AJ338" t="inlineStr">
        <is>
          <t>Comércio atacadista de álcool carburante, biodiesel, gasolina e demais derivados de petróleo, exceto lubrificantes, não realizado por transportador re</t>
        </is>
      </c>
      <c r="AK338" t="inlineStr">
        <is>
          <t>DEMAIS</t>
        </is>
      </c>
      <c r="AL338" t="inlineStr">
        <is>
          <t>ATIVA</t>
        </is>
      </c>
      <c r="AM338" s="17" t="inlineStr">
        <is>
          <t>https://recuperacaojudicial.squarespace.com/s/LISTA-DE-CREDORES-CONSOLIDADA-EM-11072025_6419.pdf</t>
        </is>
      </c>
      <c r="AN338" s="18" t="inlineStr">
        <is>
          <t>p4 r7</t>
        </is>
      </c>
      <c r="AO338" s="18" t="inlineStr">
        <is>
          <t>p4: R$ 422.999,28</t>
        </is>
      </c>
      <c r="AP338" s="18" t="inlineStr">
        <is>
          <t>AJ_LIST</t>
        </is>
      </c>
      <c r="AQ338" s="18" t="inlineStr">
        <is>
          <t>2025-07-15</t>
        </is>
      </c>
      <c r="AR338" s="18" t="inlineStr">
        <is>
          <t>OK</t>
        </is>
      </c>
      <c r="AS338" s="18" t="inlineStr">
        <is>
          <t>ROWS:p4r7 VALUE_COL:Valor_Do_Crédito</t>
        </is>
      </c>
      <c r="AT338" s="18" t="inlineStr">
        <is>
          <t>9b292ab96619</t>
        </is>
      </c>
    </row>
    <row r="339">
      <c r="A339" s="9" t="n">
        <v>338</v>
      </c>
      <c r="B339" s="9" t="inlineStr">
        <is>
          <t>NEW</t>
        </is>
      </c>
      <c r="C339" s="9" t="inlineStr"/>
      <c r="D339" s="9" t="n">
        <v>0</v>
      </c>
      <c r="E339" s="9" t="inlineStr"/>
      <c r="F339" s="9" t="inlineStr"/>
      <c r="G339" s="9" t="inlineStr"/>
      <c r="H339" s="9" t="inlineStr"/>
      <c r="I339" t="inlineStr">
        <is>
          <t>COOPERATIVA REGIONAL AGROPECUARIA DE CAMPOS NOVOS - COPERCAMPOS</t>
        </is>
      </c>
      <c r="J339" t="inlineStr">
        <is>
          <t>2.19COOPERATIVA REGIONAL AGROPECUÁRIA DE CAMPOS NOVOS</t>
        </is>
      </c>
      <c r="K339" t="inlineStr">
        <is>
          <t>83158824</t>
        </is>
      </c>
      <c r="L339" t="inlineStr">
        <is>
          <t>83158824004109</t>
        </is>
      </c>
      <c r="M339" s="10" t="n">
        <v>418883.74</v>
      </c>
      <c r="N339" t="n">
        <v>1</v>
      </c>
      <c r="O339" s="11" t="inlineStr">
        <is>
          <t>B</t>
        </is>
      </c>
      <c r="P339" s="11" t="inlineStr">
        <is>
          <t>ACTIVE</t>
        </is>
      </c>
      <c r="Q339" s="12" t="n">
        <v>45534</v>
      </c>
      <c r="R339" s="11">
        <f>IF(Q339="","",ROUND((TODAY()-Q339)/365.25,1))</f>
        <v/>
      </c>
      <c r="S339" s="13">
        <f>IFERROR(VLOOKUP(O339,Assumptions!$A$7:$F$11,2,FALSE),0.25)</f>
        <v/>
      </c>
      <c r="T339" s="14">
        <f>IF(O339="A",MAX(1,IFERROR(VLOOKUP(O339,Assumptions!$A$7:$F$11,3,FALSE),3)+IFERROR(VLOOKUP(O339,Assumptions!$A$7:$F$11,4,FALSE),8)/2-MAX(0,IF(R339="",0,R339)-IFERROR(VLOOKUP(O339,Assumptions!$A$7:$F$11,5,FALSE),1.5))),IFERROR(VLOOKUP(O339,Assumptions!$A$7:$F$11,5,FALSE),2.5)+IFERROR(VLOOKUP(O339,Assumptions!$A$7:$F$11,3,FALSE),3)+IFERROR(VLOOKUP(O339,Assumptions!$A$7:$F$11,4,FALSE),8)/2)</f>
        <v/>
      </c>
      <c r="U339" s="15">
        <f>M339*S339/(1+Assumptions!$B$3)^T339</f>
        <v/>
      </c>
      <c r="V339" s="11">
        <f>IF(M339=0,"",ROUND(U339/M339*100,1))</f>
        <v/>
      </c>
      <c r="W339" s="16">
        <f>U339*Assumptions!$B$4</f>
        <v/>
      </c>
      <c r="X339" s="11">
        <f>IF(M339=0,"",ROUND(W339/M339*100,1))</f>
        <v/>
      </c>
      <c r="Y339" t="inlineStr">
        <is>
          <t>SUINOCULTURA KUNZLER</t>
        </is>
      </c>
      <c r="Z339" t="inlineStr">
        <is>
          <t>5009149-92.2024.8.24.0019</t>
        </is>
      </c>
      <c r="AA339" t="inlineStr">
        <is>
          <t>TJSC</t>
        </is>
      </c>
      <c r="AB339" t="inlineStr">
        <is>
          <t>rlg-aj.com.br</t>
        </is>
      </c>
      <c r="AC339" t="inlineStr">
        <is>
          <t>LUIZ CARLOS CHIOCCA</t>
        </is>
      </c>
      <c r="AD339" t="inlineStr">
        <is>
          <t>Presidente</t>
        </is>
      </c>
      <c r="AE339" t="inlineStr">
        <is>
          <t>(49) 3541-6000</t>
        </is>
      </c>
      <c r="AF339" t="inlineStr">
        <is>
          <t>(49) 3541-6033</t>
        </is>
      </c>
      <c r="AG339" t="inlineStr"/>
      <c r="AH339" t="inlineStr">
        <is>
          <t>SC</t>
        </is>
      </c>
      <c r="AI339" t="inlineStr">
        <is>
          <t>CAMPOS NOVOS</t>
        </is>
      </c>
      <c r="AJ339" t="inlineStr">
        <is>
          <t>Representantes comerciais e agentes do comércio de matérias-primas agrícolas e animais vivos</t>
        </is>
      </c>
      <c r="AK339" t="inlineStr">
        <is>
          <t>DEMAIS</t>
        </is>
      </c>
      <c r="AL339" t="inlineStr">
        <is>
          <t>ATIVA</t>
        </is>
      </c>
      <c r="AM339" s="17" t="inlineStr">
        <is>
          <t>https://rlg-aj.com.br/wp-content/uploads/2024/11/07.-Relação-de-credores.pdf</t>
        </is>
      </c>
      <c r="AN339" s="18" t="inlineStr">
        <is>
          <t>p1 r25</t>
        </is>
      </c>
      <c r="AO339" s="18" t="inlineStr">
        <is>
          <t>p1: R$ 418.883,74</t>
        </is>
      </c>
      <c r="AP339" s="18" t="inlineStr">
        <is>
          <t>UNKNOWN</t>
        </is>
      </c>
      <c r="AQ339" s="18" t="inlineStr"/>
      <c r="AR339" s="18" t="inlineStr">
        <is>
          <t>OK_NO_TOTALS</t>
        </is>
      </c>
      <c r="AS339" s="18" t="inlineStr">
        <is>
          <t>ROWS:p1r25 UNRECONCILED_SOURCE</t>
        </is>
      </c>
      <c r="AT339" s="18" t="inlineStr">
        <is>
          <t>a62ac8ee0458</t>
        </is>
      </c>
    </row>
    <row r="340">
      <c r="A340" s="9" t="n">
        <v>339</v>
      </c>
      <c r="B340" s="9" t="inlineStr">
        <is>
          <t>NEW</t>
        </is>
      </c>
      <c r="C340" s="9" t="inlineStr"/>
      <c r="D340" s="9" t="n">
        <v>0</v>
      </c>
      <c r="E340" s="9" t="inlineStr"/>
      <c r="F340" s="9" t="inlineStr"/>
      <c r="G340" s="9" t="inlineStr"/>
      <c r="H340" s="9" t="inlineStr"/>
      <c r="I340" t="inlineStr">
        <is>
          <t>IMACA LTDA</t>
        </is>
      </c>
      <c r="J340" t="inlineStr">
        <is>
          <t>IMACÁ LTDA</t>
        </is>
      </c>
      <c r="K340" t="inlineStr">
        <is>
          <t>76495209</t>
        </is>
      </c>
      <c r="L340" t="inlineStr">
        <is>
          <t>76495209000135</t>
        </is>
      </c>
      <c r="M340" s="10" t="n">
        <v>417212.12</v>
      </c>
      <c r="N340" t="n">
        <v>1</v>
      </c>
      <c r="O340" s="11" t="inlineStr">
        <is>
          <t>D</t>
        </is>
      </c>
      <c r="P340" s="11" t="inlineStr"/>
      <c r="Q340" s="12" t="inlineStr"/>
      <c r="R340" s="11">
        <f>IF(Q340="","",ROUND((TODAY()-Q340)/365.25,1))</f>
        <v/>
      </c>
      <c r="S340" s="13">
        <f>IFERROR(VLOOKUP(O340,Assumptions!$A$7:$F$11,2,FALSE),0.25)</f>
        <v/>
      </c>
      <c r="T340" s="14">
        <f>IF(O340="A",MAX(1,IFERROR(VLOOKUP(O340,Assumptions!$A$7:$F$11,3,FALSE),3)+IFERROR(VLOOKUP(O340,Assumptions!$A$7:$F$11,4,FALSE),8)/2-MAX(0,IF(R340="",0,R340)-IFERROR(VLOOKUP(O340,Assumptions!$A$7:$F$11,5,FALSE),1.5))),IFERROR(VLOOKUP(O340,Assumptions!$A$7:$F$11,5,FALSE),2.5)+IFERROR(VLOOKUP(O340,Assumptions!$A$7:$F$11,3,FALSE),3)+IFERROR(VLOOKUP(O340,Assumptions!$A$7:$F$11,4,FALSE),8)/2)</f>
        <v/>
      </c>
      <c r="U340" s="15">
        <f>M340*S340/(1+Assumptions!$B$3)^T340</f>
        <v/>
      </c>
      <c r="V340" s="11">
        <f>IF(M340=0,"",ROUND(U340/M340*100,1))</f>
        <v/>
      </c>
      <c r="W340" s="16">
        <f>U340*Assumptions!$B$4</f>
        <v/>
      </c>
      <c r="X340" s="11">
        <f>IF(M340=0,"",ROUND(W340/M340*100,1))</f>
        <v/>
      </c>
      <c r="Y340" t="inlineStr">
        <is>
          <t>Mannes</t>
        </is>
      </c>
      <c r="Z340" t="inlineStr">
        <is>
          <t>0005010-50.2013.8.24.0026</t>
        </is>
      </c>
      <c r="AA340" t="inlineStr"/>
      <c r="AB340" t="inlineStr">
        <is>
          <t>administradorajudicialgs.com.br</t>
        </is>
      </c>
      <c r="AC340" t="inlineStr">
        <is>
          <t>VITORIA GOOSEN SINGER</t>
        </is>
      </c>
      <c r="AD340" t="inlineStr">
        <is>
          <t>Administrador</t>
        </is>
      </c>
      <c r="AE340" t="inlineStr"/>
      <c r="AF340" t="inlineStr"/>
      <c r="AG340" t="inlineStr"/>
      <c r="AH340" t="inlineStr">
        <is>
          <t>PR</t>
        </is>
      </c>
      <c r="AI340" t="inlineStr">
        <is>
          <t>CURITIBA</t>
        </is>
      </c>
      <c r="AJ340" t="inlineStr">
        <is>
          <t>Fabricação de artefatos diversos de madeira, exceto móveis</t>
        </is>
      </c>
      <c r="AK340" t="inlineStr">
        <is>
          <t>DEMAIS</t>
        </is>
      </c>
      <c r="AL340" t="inlineStr">
        <is>
          <t>ATIVA</t>
        </is>
      </c>
      <c r="AM340" s="17" t="inlineStr">
        <is>
          <t>https://administradorajudicialgs.com.br/wp-content/uploads/2024/12/relacao-de-credores-da-falida.pdf</t>
        </is>
      </c>
      <c r="AN340" s="18" t="inlineStr">
        <is>
          <t>p15 r22</t>
        </is>
      </c>
      <c r="AO340" s="18" t="inlineStr">
        <is>
          <t>p15: R$ 417.212,12</t>
        </is>
      </c>
      <c r="AP340" s="18" t="inlineStr">
        <is>
          <t>OTHER</t>
        </is>
      </c>
      <c r="AQ340" s="18" t="inlineStr">
        <is>
          <t>2025-03-25</t>
        </is>
      </c>
      <c r="AR340" s="18" t="inlineStr">
        <is>
          <t>OK_NO_TOTALS</t>
        </is>
      </c>
      <c r="AS340" s="18" t="inlineStr">
        <is>
          <t>ROWS:p15r22 UNRECONCILED_SOURCE CASE_NUMBER_CORRECTED</t>
        </is>
      </c>
      <c r="AT340" s="18" t="inlineStr">
        <is>
          <t>ea17ba43b261</t>
        </is>
      </c>
    </row>
    <row r="341">
      <c r="A341" s="9" t="n">
        <v>340</v>
      </c>
      <c r="B341" s="9" t="inlineStr">
        <is>
          <t>NEW</t>
        </is>
      </c>
      <c r="C341" s="9" t="inlineStr"/>
      <c r="D341" s="9" t="n">
        <v>0</v>
      </c>
      <c r="E341" s="9" t="inlineStr"/>
      <c r="F341" s="9" t="inlineStr"/>
      <c r="G341" s="9" t="inlineStr"/>
      <c r="H341" s="9" t="inlineStr"/>
      <c r="I341" t="inlineStr">
        <is>
          <t>BRASMO INDUSTRIA E COMERCIO LTDA</t>
        </is>
      </c>
      <c r="J341" t="inlineStr">
        <is>
          <t>BRASMO INDUSTRIA E COMERCIO LTDA</t>
        </is>
      </c>
      <c r="K341" t="inlineStr">
        <is>
          <t>00714387</t>
        </is>
      </c>
      <c r="L341" t="inlineStr">
        <is>
          <t>00714387000148</t>
        </is>
      </c>
      <c r="M341" s="10" t="n">
        <v>416585.1</v>
      </c>
      <c r="N341" t="n">
        <v>1</v>
      </c>
      <c r="O341" s="11" t="inlineStr">
        <is>
          <t>C</t>
        </is>
      </c>
      <c r="P341" s="11" t="inlineStr">
        <is>
          <t>ACTIVE</t>
        </is>
      </c>
      <c r="Q341" s="12" t="n">
        <v>45154</v>
      </c>
      <c r="R341" s="11">
        <f>IF(Q341="","",ROUND((TODAY()-Q341)/365.25,1))</f>
        <v/>
      </c>
      <c r="S341" s="13">
        <f>IFERROR(VLOOKUP(O341,Assumptions!$A$7:$F$11,2,FALSE),0.25)</f>
        <v/>
      </c>
      <c r="T341" s="14">
        <f>IF(O341="A",MAX(1,IFERROR(VLOOKUP(O341,Assumptions!$A$7:$F$11,3,FALSE),3)+IFERROR(VLOOKUP(O341,Assumptions!$A$7:$F$11,4,FALSE),8)/2-MAX(0,IF(R341="",0,R341)-IFERROR(VLOOKUP(O341,Assumptions!$A$7:$F$11,5,FALSE),1.5))),IFERROR(VLOOKUP(O341,Assumptions!$A$7:$F$11,5,FALSE),2.5)+IFERROR(VLOOKUP(O341,Assumptions!$A$7:$F$11,3,FALSE),3)+IFERROR(VLOOKUP(O341,Assumptions!$A$7:$F$11,4,FALSE),8)/2)</f>
        <v/>
      </c>
      <c r="U341" s="15">
        <f>M341*S341/(1+Assumptions!$B$3)^T341</f>
        <v/>
      </c>
      <c r="V341" s="11">
        <f>IF(M341=0,"",ROUND(U341/M341*100,1))</f>
        <v/>
      </c>
      <c r="W341" s="16">
        <f>U341*Assumptions!$B$4</f>
        <v/>
      </c>
      <c r="X341" s="11">
        <f>IF(M341=0,"",ROUND(W341/M341*100,1))</f>
        <v/>
      </c>
      <c r="Y341" t="inlineStr">
        <is>
          <t>AZEPLAST INDÚSTRIA E COMÉRCIO LTDA</t>
        </is>
      </c>
      <c r="Z341" t="inlineStr">
        <is>
          <t>5008793-34.2023.8.24.0019</t>
        </is>
      </c>
      <c r="AA341" t="inlineStr">
        <is>
          <t>TJSC</t>
        </is>
      </c>
      <c r="AB341" t="inlineStr">
        <is>
          <t>ajruiz.com.br</t>
        </is>
      </c>
      <c r="AC341" t="inlineStr">
        <is>
          <t>MARCIO THOMAZ</t>
        </is>
      </c>
      <c r="AD341" t="inlineStr">
        <is>
          <t>Sócio-Administrador</t>
        </is>
      </c>
      <c r="AE341" t="inlineStr">
        <is>
          <t>(49) 3322-3628</t>
        </is>
      </c>
      <c r="AF341" t="inlineStr"/>
      <c r="AG341" t="inlineStr"/>
      <c r="AH341" t="inlineStr">
        <is>
          <t>SC</t>
        </is>
      </c>
      <c r="AI341" t="inlineStr">
        <is>
          <t>CHAPECO</t>
        </is>
      </c>
      <c r="AJ341" t="inlineStr">
        <is>
          <t>Fabricação de equipamentos e acessórios para segurança pessoal e profissional</t>
        </is>
      </c>
      <c r="AK341" t="inlineStr">
        <is>
          <t>DEMAIS</t>
        </is>
      </c>
      <c r="AL341" t="inlineStr">
        <is>
          <t>ATIVA</t>
        </is>
      </c>
      <c r="AM341" s="17" t="inlineStr">
        <is>
          <t>https://ajruiz.com.br/sites/default/files/public/arquivos-processos/2026-08/qgc_azeplast_julho_2026.pdf</t>
        </is>
      </c>
      <c r="AN341" s="18" t="inlineStr">
        <is>
          <t>p1 r9</t>
        </is>
      </c>
      <c r="AO341" s="18" t="inlineStr">
        <is>
          <t>p1: R$ 416.585,10</t>
        </is>
      </c>
      <c r="AP341" s="18" t="inlineStr">
        <is>
          <t>QGC</t>
        </is>
      </c>
      <c r="AQ341" s="18" t="inlineStr"/>
      <c r="AR341" s="18" t="inlineStr">
        <is>
          <t>QUARANTINED</t>
        </is>
      </c>
      <c r="AS341" s="18" t="inlineStr">
        <is>
          <t>PARTIAL_DOC_CLASS_III_RECONCILED ROWS:p1r9</t>
        </is>
      </c>
      <c r="AT341" s="18" t="inlineStr">
        <is>
          <t>229081edb0ea</t>
        </is>
      </c>
    </row>
    <row r="342">
      <c r="A342" s="9" t="n">
        <v>341</v>
      </c>
      <c r="B342" s="9" t="inlineStr">
        <is>
          <t>NEW</t>
        </is>
      </c>
      <c r="C342" s="9" t="inlineStr"/>
      <c r="D342" s="9" t="n">
        <v>0</v>
      </c>
      <c r="E342" s="9" t="inlineStr"/>
      <c r="F342" s="9" t="inlineStr"/>
      <c r="G342" s="9" t="inlineStr"/>
      <c r="H342" s="9" t="inlineStr"/>
      <c r="I342" t="inlineStr">
        <is>
          <t>CERAMICA SERRA AZUL LTDA</t>
        </is>
      </c>
      <c r="J342" t="inlineStr">
        <is>
          <t>CERAMICA SERRA AZUL LTDA</t>
        </is>
      </c>
      <c r="K342" t="inlineStr">
        <is>
          <t>07378783</t>
        </is>
      </c>
      <c r="L342" t="inlineStr">
        <is>
          <t>07378783000190</t>
        </is>
      </c>
      <c r="M342" s="10" t="n">
        <v>414186.52</v>
      </c>
      <c r="N342" t="n">
        <v>1</v>
      </c>
      <c r="O342" s="11" t="inlineStr">
        <is>
          <t>B</t>
        </is>
      </c>
      <c r="P342" s="11" t="inlineStr"/>
      <c r="Q342" s="12" t="n">
        <v>45785</v>
      </c>
      <c r="R342" s="11">
        <f>IF(Q342="","",ROUND((TODAY()-Q342)/365.25,1))</f>
        <v/>
      </c>
      <c r="S342" s="13">
        <f>IFERROR(VLOOKUP(O342,Assumptions!$A$7:$F$11,2,FALSE),0.25)</f>
        <v/>
      </c>
      <c r="T342" s="14">
        <f>IF(O342="A",MAX(1,IFERROR(VLOOKUP(O342,Assumptions!$A$7:$F$11,3,FALSE),3)+IFERROR(VLOOKUP(O342,Assumptions!$A$7:$F$11,4,FALSE),8)/2-MAX(0,IF(R342="",0,R342)-IFERROR(VLOOKUP(O342,Assumptions!$A$7:$F$11,5,FALSE),1.5))),IFERROR(VLOOKUP(O342,Assumptions!$A$7:$F$11,5,FALSE),2.5)+IFERROR(VLOOKUP(O342,Assumptions!$A$7:$F$11,3,FALSE),3)+IFERROR(VLOOKUP(O342,Assumptions!$A$7:$F$11,4,FALSE),8)/2)</f>
        <v/>
      </c>
      <c r="U342" s="15">
        <f>M342*S342/(1+Assumptions!$B$3)^T342</f>
        <v/>
      </c>
      <c r="V342" s="11">
        <f>IF(M342=0,"",ROUND(U342/M342*100,1))</f>
        <v/>
      </c>
      <c r="W342" s="16">
        <f>U342*Assumptions!$B$4</f>
        <v/>
      </c>
      <c r="X342" s="11">
        <f>IF(M342=0,"",ROUND(W342/M342*100,1))</f>
        <v/>
      </c>
      <c r="Y342" t="inlineStr">
        <is>
          <t>Grupo Pisebem</t>
        </is>
      </c>
      <c r="Z342" t="inlineStr">
        <is>
          <t>0700707-87.2025.8.02.0043</t>
        </is>
      </c>
      <c r="AA342" t="inlineStr">
        <is>
          <t>TJAL</t>
        </is>
      </c>
      <c r="AB342" t="inlineStr">
        <is>
          <t>recuperacaojudicial.squarespace.com</t>
        </is>
      </c>
      <c r="AC342" t="inlineStr">
        <is>
          <t>EDUARDO FIOR</t>
        </is>
      </c>
      <c r="AD342" t="inlineStr">
        <is>
          <t>Administrador</t>
        </is>
      </c>
      <c r="AE342" t="inlineStr">
        <is>
          <t>(79) 3213-1483</t>
        </is>
      </c>
      <c r="AF342" t="inlineStr"/>
      <c r="AG342" t="inlineStr"/>
      <c r="AH342" t="inlineStr">
        <is>
          <t>SE</t>
        </is>
      </c>
      <c r="AI342" t="inlineStr">
        <is>
          <t>NOSSA SENHORA DO SOCORRO</t>
        </is>
      </c>
      <c r="AJ342" t="inlineStr">
        <is>
          <t>Fabricação de azulejos e pisos</t>
        </is>
      </c>
      <c r="AK342" t="inlineStr">
        <is>
          <t>DEMAIS</t>
        </is>
      </c>
      <c r="AL342" t="inlineStr">
        <is>
          <t>ATIVA</t>
        </is>
      </c>
      <c r="AM342" s="17" t="inlineStr">
        <is>
          <t>https://recuperacaojudicial.squarespace.com/s/EDITAL-COM-A-2-LISTA-DE-CREDORES-E-INFORMANDO-A-APRESENTACO-DO-PRJ_1532.pdf</t>
        </is>
      </c>
      <c r="AN342" s="18" t="inlineStr">
        <is>
          <t>p2 r7</t>
        </is>
      </c>
      <c r="AO342" s="18" t="inlineStr">
        <is>
          <t>p2: R$ 414.186,52</t>
        </is>
      </c>
      <c r="AP342" s="18" t="inlineStr">
        <is>
          <t>AJ_LIST</t>
        </is>
      </c>
      <c r="AQ342" s="18" t="inlineStr"/>
      <c r="AR342" s="18" t="inlineStr">
        <is>
          <t>OK_NO_TOTALS</t>
        </is>
      </c>
      <c r="AS342" s="18" t="inlineStr">
        <is>
          <t>ROWS:p2r7 UNRECONCILED_SOURCE CASE_NUMBER_CORRECTED</t>
        </is>
      </c>
      <c r="AT342" s="18" t="inlineStr">
        <is>
          <t>d7c426fbd475</t>
        </is>
      </c>
    </row>
    <row r="343">
      <c r="A343" s="9" t="n">
        <v>342</v>
      </c>
      <c r="B343" s="9" t="inlineStr">
        <is>
          <t>NEW</t>
        </is>
      </c>
      <c r="C343" s="9" t="inlineStr"/>
      <c r="D343" s="9" t="n">
        <v>0</v>
      </c>
      <c r="E343" s="9" t="inlineStr"/>
      <c r="F343" s="9" t="inlineStr"/>
      <c r="G343" s="9" t="inlineStr"/>
      <c r="H343" s="9" t="inlineStr"/>
      <c r="I343" t="inlineStr">
        <is>
          <t>OLFAR S/A - ALIMENTO E ENERGIA</t>
        </is>
      </c>
      <c r="J343" t="inlineStr">
        <is>
          <t>2.21OLFAR S/A</t>
        </is>
      </c>
      <c r="K343" t="inlineStr">
        <is>
          <t>91830836</t>
        </is>
      </c>
      <c r="L343" t="inlineStr">
        <is>
          <t>91830836000179</t>
        </is>
      </c>
      <c r="M343" s="10" t="n">
        <v>414186.16</v>
      </c>
      <c r="N343" t="n">
        <v>1</v>
      </c>
      <c r="O343" s="11" t="inlineStr">
        <is>
          <t>B</t>
        </is>
      </c>
      <c r="P343" s="11" t="inlineStr">
        <is>
          <t>ACTIVE</t>
        </is>
      </c>
      <c r="Q343" s="12" t="n">
        <v>45534</v>
      </c>
      <c r="R343" s="11">
        <f>IF(Q343="","",ROUND((TODAY()-Q343)/365.25,1))</f>
        <v/>
      </c>
      <c r="S343" s="13">
        <f>IFERROR(VLOOKUP(O343,Assumptions!$A$7:$F$11,2,FALSE),0.25)</f>
        <v/>
      </c>
      <c r="T343" s="14">
        <f>IF(O343="A",MAX(1,IFERROR(VLOOKUP(O343,Assumptions!$A$7:$F$11,3,FALSE),3)+IFERROR(VLOOKUP(O343,Assumptions!$A$7:$F$11,4,FALSE),8)/2-MAX(0,IF(R343="",0,R343)-IFERROR(VLOOKUP(O343,Assumptions!$A$7:$F$11,5,FALSE),1.5))),IFERROR(VLOOKUP(O343,Assumptions!$A$7:$F$11,5,FALSE),2.5)+IFERROR(VLOOKUP(O343,Assumptions!$A$7:$F$11,3,FALSE),3)+IFERROR(VLOOKUP(O343,Assumptions!$A$7:$F$11,4,FALSE),8)/2)</f>
        <v/>
      </c>
      <c r="U343" s="15">
        <f>M343*S343/(1+Assumptions!$B$3)^T343</f>
        <v/>
      </c>
      <c r="V343" s="11">
        <f>IF(M343=0,"",ROUND(U343/M343*100,1))</f>
        <v/>
      </c>
      <c r="W343" s="16">
        <f>U343*Assumptions!$B$4</f>
        <v/>
      </c>
      <c r="X343" s="11">
        <f>IF(M343=0,"",ROUND(W343/M343*100,1))</f>
        <v/>
      </c>
      <c r="Y343" t="inlineStr">
        <is>
          <t>SUINOCULTURA KUNZLER</t>
        </is>
      </c>
      <c r="Z343" t="inlineStr">
        <is>
          <t>5009149-92.2024.8.24.0019</t>
        </is>
      </c>
      <c r="AA343" t="inlineStr">
        <is>
          <t>TJSC</t>
        </is>
      </c>
      <c r="AB343" t="inlineStr">
        <is>
          <t>rlg-aj.com.br</t>
        </is>
      </c>
      <c r="AC343" t="inlineStr">
        <is>
          <t>JOSE CARLOS WESCHENFELDER</t>
        </is>
      </c>
      <c r="AD343" t="inlineStr">
        <is>
          <t>Presidente</t>
        </is>
      </c>
      <c r="AE343" t="inlineStr">
        <is>
          <t>(54) 2106-2600</t>
        </is>
      </c>
      <c r="AF343" t="inlineStr"/>
      <c r="AG343" t="inlineStr"/>
      <c r="AH343" t="inlineStr">
        <is>
          <t>RS</t>
        </is>
      </c>
      <c r="AI343" t="inlineStr">
        <is>
          <t>ERECHIM</t>
        </is>
      </c>
      <c r="AJ343" t="inlineStr">
        <is>
          <t>Moagem e fabricação de produtos de origem vegetal não especificados anteriormente</t>
        </is>
      </c>
      <c r="AK343" t="inlineStr">
        <is>
          <t>DEMAIS</t>
        </is>
      </c>
      <c r="AL343" t="inlineStr">
        <is>
          <t>ATIVA</t>
        </is>
      </c>
      <c r="AM343" s="17" t="inlineStr">
        <is>
          <t>https://rlg-aj.com.br/wp-content/uploads/2024/11/07.-Relação-de-credores.pdf</t>
        </is>
      </c>
      <c r="AN343" s="18" t="inlineStr">
        <is>
          <t>p1 r27</t>
        </is>
      </c>
      <c r="AO343" s="18" t="inlineStr">
        <is>
          <t>p1: R$ 414.186,16</t>
        </is>
      </c>
      <c r="AP343" s="18" t="inlineStr">
        <is>
          <t>UNKNOWN</t>
        </is>
      </c>
      <c r="AQ343" s="18" t="inlineStr"/>
      <c r="AR343" s="18" t="inlineStr">
        <is>
          <t>OK_NO_TOTALS</t>
        </is>
      </c>
      <c r="AS343" s="18" t="inlineStr">
        <is>
          <t>ROWS:p1r27 UNRECONCILED_SOURCE</t>
        </is>
      </c>
      <c r="AT343" s="18" t="inlineStr">
        <is>
          <t>a62ac8ee0458</t>
        </is>
      </c>
    </row>
    <row r="344">
      <c r="A344" s="9" t="n">
        <v>343</v>
      </c>
      <c r="B344" s="9" t="inlineStr">
        <is>
          <t>NEW</t>
        </is>
      </c>
      <c r="C344" s="9" t="inlineStr"/>
      <c r="D344" s="9" t="n">
        <v>0</v>
      </c>
      <c r="E344" s="9" t="inlineStr"/>
      <c r="F344" s="9" t="inlineStr"/>
      <c r="G344" s="9" t="inlineStr"/>
      <c r="H344" s="9" t="inlineStr"/>
      <c r="I344" t="inlineStr">
        <is>
          <t>TCL SEMP INDUSTRIA E COMERCIO DE ELETROELETRONICOS S.A</t>
        </is>
      </c>
      <c r="J344" t="inlineStr">
        <is>
          <t>24.227.491/0001-76</t>
        </is>
      </c>
      <c r="K344" t="inlineStr">
        <is>
          <t>24227491</t>
        </is>
      </c>
      <c r="L344" t="inlineStr">
        <is>
          <t>24227491000176</t>
        </is>
      </c>
      <c r="M344" s="10" t="n">
        <v>412477.83</v>
      </c>
      <c r="N344" t="n">
        <v>1</v>
      </c>
      <c r="O344" s="11" t="inlineStr">
        <is>
          <t>C</t>
        </is>
      </c>
      <c r="P344" s="11" t="inlineStr">
        <is>
          <t>ACTIVE</t>
        </is>
      </c>
      <c r="Q344" s="12" t="n">
        <v>43894</v>
      </c>
      <c r="R344" s="11">
        <f>IF(Q344="","",ROUND((TODAY()-Q344)/365.25,1))</f>
        <v/>
      </c>
      <c r="S344" s="13">
        <f>IFERROR(VLOOKUP(O344,Assumptions!$A$7:$F$11,2,FALSE),0.25)</f>
        <v/>
      </c>
      <c r="T344" s="14">
        <f>IF(O344="A",MAX(1,IFERROR(VLOOKUP(O344,Assumptions!$A$7:$F$11,3,FALSE),3)+IFERROR(VLOOKUP(O344,Assumptions!$A$7:$F$11,4,FALSE),8)/2-MAX(0,IF(R344="",0,R344)-IFERROR(VLOOKUP(O344,Assumptions!$A$7:$F$11,5,FALSE),1.5))),IFERROR(VLOOKUP(O344,Assumptions!$A$7:$F$11,5,FALSE),2.5)+IFERROR(VLOOKUP(O344,Assumptions!$A$7:$F$11,3,FALSE),3)+IFERROR(VLOOKUP(O344,Assumptions!$A$7:$F$11,4,FALSE),8)/2)</f>
        <v/>
      </c>
      <c r="U344" s="15">
        <f>M344*S344/(1+Assumptions!$B$3)^T344</f>
        <v/>
      </c>
      <c r="V344" s="11">
        <f>IF(M344=0,"",ROUND(U344/M344*100,1))</f>
        <v/>
      </c>
      <c r="W344" s="16">
        <f>U344*Assumptions!$B$4</f>
        <v/>
      </c>
      <c r="X344" s="11">
        <f>IF(M344=0,"",ROUND(W344/M344*100,1))</f>
        <v/>
      </c>
      <c r="Y344" t="inlineStr">
        <is>
          <t>CREDIMÓVEIS NOVOLAR LTDA.</t>
        </is>
      </c>
      <c r="Z344" t="inlineStr">
        <is>
          <t>0007565-40.2020.8.17.2370</t>
        </is>
      </c>
      <c r="AA344" t="inlineStr">
        <is>
          <t>TJPE</t>
        </is>
      </c>
      <c r="AB344" t="inlineStr">
        <is>
          <t>recuperacaojudicial.squarespace.com</t>
        </is>
      </c>
      <c r="AC344" t="inlineStr">
        <is>
          <t>YIXIN CAI</t>
        </is>
      </c>
      <c r="AD344" t="inlineStr">
        <is>
          <t>Presidente</t>
        </is>
      </c>
      <c r="AE344" t="inlineStr">
        <is>
          <t>(92) 2127-6333</t>
        </is>
      </c>
      <c r="AF344" t="inlineStr"/>
      <c r="AG344" t="inlineStr"/>
      <c r="AH344" t="inlineStr">
        <is>
          <t>AM</t>
        </is>
      </c>
      <c r="AI344" t="inlineStr">
        <is>
          <t>MANAUS</t>
        </is>
      </c>
      <c r="AJ344" t="inlineStr">
        <is>
          <t>Fabricação de aparelhos de recepção, reprodução, gravação e amplificação de áudio e vídeo</t>
        </is>
      </c>
      <c r="AK344" t="inlineStr">
        <is>
          <t>DEMAIS</t>
        </is>
      </c>
      <c r="AL344" t="inlineStr">
        <is>
          <t>ATIVA</t>
        </is>
      </c>
      <c r="AM344" s="17" t="inlineStr">
        <is>
          <t>https://recuperacaojudicial.squarespace.com/s/RJ-Credimoveis-QGC-01082025.pdf</t>
        </is>
      </c>
      <c r="AN344" s="18" t="inlineStr">
        <is>
          <t>p16 r58</t>
        </is>
      </c>
      <c r="AO344" s="18" t="inlineStr">
        <is>
          <t>p16: R$ 412.477,83</t>
        </is>
      </c>
      <c r="AP344" s="18" t="inlineStr">
        <is>
          <t>QGC</t>
        </is>
      </c>
      <c r="AQ344" s="18" t="inlineStr">
        <is>
          <t>2026-01-28</t>
        </is>
      </c>
      <c r="AR344" s="18" t="inlineStr">
        <is>
          <t>OK</t>
        </is>
      </c>
      <c r="AS344" s="18" t="inlineStr">
        <is>
          <t>ROWS:p16r58</t>
        </is>
      </c>
      <c r="AT344" s="18" t="inlineStr">
        <is>
          <t>849d4fe5adce</t>
        </is>
      </c>
    </row>
    <row r="345">
      <c r="A345" s="9" t="n">
        <v>344</v>
      </c>
      <c r="B345" s="9" t="inlineStr">
        <is>
          <t>NEW</t>
        </is>
      </c>
      <c r="C345" s="9" t="inlineStr"/>
      <c r="D345" s="9" t="n">
        <v>0</v>
      </c>
      <c r="E345" s="9" t="inlineStr"/>
      <c r="F345" s="9" t="inlineStr"/>
      <c r="G345" s="9" t="inlineStr"/>
      <c r="H345" s="9" t="inlineStr"/>
      <c r="I345" t="inlineStr">
        <is>
          <t>ALCATEC PRODUTOS SINTETICOS LTDA</t>
        </is>
      </c>
      <c r="J345" t="inlineStr">
        <is>
          <t>05236060000121</t>
        </is>
      </c>
      <c r="K345" t="inlineStr">
        <is>
          <t>05236060</t>
        </is>
      </c>
      <c r="L345" t="inlineStr">
        <is>
          <t>05236060000121</t>
        </is>
      </c>
      <c r="M345" s="10" t="n">
        <v>410794</v>
      </c>
      <c r="N345" t="n">
        <v>1</v>
      </c>
      <c r="O345" s="11" t="inlineStr">
        <is>
          <t>C</t>
        </is>
      </c>
      <c r="P345" s="11" t="inlineStr">
        <is>
          <t>ACTIVE</t>
        </is>
      </c>
      <c r="Q345" s="12" t="n">
        <v>45057</v>
      </c>
      <c r="R345" s="11">
        <f>IF(Q345="","",ROUND((TODAY()-Q345)/365.25,1))</f>
        <v/>
      </c>
      <c r="S345" s="13">
        <f>IFERROR(VLOOKUP(O345,Assumptions!$A$7:$F$11,2,FALSE),0.25)</f>
        <v/>
      </c>
      <c r="T345" s="14">
        <f>IF(O345="A",MAX(1,IFERROR(VLOOKUP(O345,Assumptions!$A$7:$F$11,3,FALSE),3)+IFERROR(VLOOKUP(O345,Assumptions!$A$7:$F$11,4,FALSE),8)/2-MAX(0,IF(R345="",0,R345)-IFERROR(VLOOKUP(O345,Assumptions!$A$7:$F$11,5,FALSE),1.5))),IFERROR(VLOOKUP(O345,Assumptions!$A$7:$F$11,5,FALSE),2.5)+IFERROR(VLOOKUP(O345,Assumptions!$A$7:$F$11,3,FALSE),3)+IFERROR(VLOOKUP(O345,Assumptions!$A$7:$F$11,4,FALSE),8)/2)</f>
        <v/>
      </c>
      <c r="U345" s="15">
        <f>M345*S345/(1+Assumptions!$B$3)^T345</f>
        <v/>
      </c>
      <c r="V345" s="11">
        <f>IF(M345=0,"",ROUND(U345/M345*100,1))</f>
        <v/>
      </c>
      <c r="W345" s="16">
        <f>U345*Assumptions!$B$4</f>
        <v/>
      </c>
      <c r="X345" s="11">
        <f>IF(M345=0,"",ROUND(W345/M345*100,1))</f>
        <v/>
      </c>
      <c r="Y345" t="inlineStr">
        <is>
          <t>TOP TEXTIL EMBALAGENS LTDA</t>
        </is>
      </c>
      <c r="Z345" t="inlineStr">
        <is>
          <t>5011460-87.2023.8.24.0020</t>
        </is>
      </c>
      <c r="AA345" t="inlineStr">
        <is>
          <t>TJSC</t>
        </is>
      </c>
      <c r="AB345" t="inlineStr">
        <is>
          <t>cataliseaj.com.br</t>
        </is>
      </c>
      <c r="AC345" t="inlineStr">
        <is>
          <t>INACIO PROCOPIO NETO</t>
        </is>
      </c>
      <c r="AD345" t="inlineStr">
        <is>
          <t>Sócio-Administrador</t>
        </is>
      </c>
      <c r="AE345" t="inlineStr">
        <is>
          <t>(41) 3374-1046</t>
        </is>
      </c>
      <c r="AF345" t="inlineStr">
        <is>
          <t>(75) 3238-9091</t>
        </is>
      </c>
      <c r="AG345" t="inlineStr"/>
      <c r="AH345" t="inlineStr">
        <is>
          <t>BA</t>
        </is>
      </c>
      <c r="AI345" t="inlineStr">
        <is>
          <t>TERRA NOVA</t>
        </is>
      </c>
      <c r="AJ345" t="inlineStr">
        <is>
          <t>Tecelagem de fios de fibras artificiais e sintéticas</t>
        </is>
      </c>
      <c r="AK345" t="inlineStr">
        <is>
          <t>DEMAIS</t>
        </is>
      </c>
      <c r="AL345" t="inlineStr">
        <is>
          <t>ATIVA</t>
        </is>
      </c>
      <c r="AM345" s="17" t="inlineStr">
        <is>
          <t>https://cataliseaj.com.br/sgc/download.php?file=files/processo_documento/processo_documento15092204102024_1_.pdf&amp;nome=02. RELAÇÃO DE CREDORES</t>
        </is>
      </c>
      <c r="AN345" s="18" t="inlineStr">
        <is>
          <t>p2 r8</t>
        </is>
      </c>
      <c r="AO345" s="18" t="inlineStr">
        <is>
          <t>p2: R$ 410.794,00</t>
        </is>
      </c>
      <c r="AP345" s="18" t="inlineStr">
        <is>
          <t>DEBTOR_LIST</t>
        </is>
      </c>
      <c r="AQ345" s="18" t="inlineStr"/>
      <c r="AR345" s="18" t="inlineStr">
        <is>
          <t>OK_NO_TOTALS</t>
        </is>
      </c>
      <c r="AS345" s="18" t="inlineStr">
        <is>
          <t>ROWS:p2r8 UNRECONCILED_SOURCE</t>
        </is>
      </c>
      <c r="AT345" s="18" t="inlineStr">
        <is>
          <t>741aed48dd00</t>
        </is>
      </c>
    </row>
    <row r="346">
      <c r="A346" s="9" t="n">
        <v>345</v>
      </c>
      <c r="B346" s="9" t="inlineStr">
        <is>
          <t>NEW</t>
        </is>
      </c>
      <c r="C346" s="9" t="inlineStr"/>
      <c r="D346" s="9" t="n">
        <v>0</v>
      </c>
      <c r="E346" s="9" t="inlineStr"/>
      <c r="F346" s="9" t="inlineStr"/>
      <c r="G346" s="9" t="inlineStr"/>
      <c r="H346" s="9" t="inlineStr"/>
      <c r="I346" t="inlineStr">
        <is>
          <t>COMPANHIA DE DESENVOLVIMENTO DOS VALES DO SAO FRANCISCO E DO PARNAIBA</t>
        </is>
      </c>
      <c r="J346" t="inlineStr">
        <is>
          <t>COMPANHIA DE DESENVOLVIMENTO DOS VALES DO SAO FRANCISCO E DO PARNAIBA</t>
        </is>
      </c>
      <c r="K346" t="inlineStr">
        <is>
          <t>00399857</t>
        </is>
      </c>
      <c r="L346" t="inlineStr">
        <is>
          <t>00399857000126</t>
        </is>
      </c>
      <c r="M346" s="10" t="n">
        <v>410504.45</v>
      </c>
      <c r="N346" t="n">
        <v>1</v>
      </c>
      <c r="O346" s="11" t="inlineStr">
        <is>
          <t>D</t>
        </is>
      </c>
      <c r="P346" s="11" t="inlineStr"/>
      <c r="Q346" s="12" t="inlineStr"/>
      <c r="R346" s="11">
        <f>IF(Q346="","",ROUND((TODAY()-Q346)/365.25,1))</f>
        <v/>
      </c>
      <c r="S346" s="13">
        <f>IFERROR(VLOOKUP(O346,Assumptions!$A$7:$F$11,2,FALSE),0.25)</f>
        <v/>
      </c>
      <c r="T346" s="14">
        <f>IF(O346="A",MAX(1,IFERROR(VLOOKUP(O346,Assumptions!$A$7:$F$11,3,FALSE),3)+IFERROR(VLOOKUP(O346,Assumptions!$A$7:$F$11,4,FALSE),8)/2-MAX(0,IF(R346="",0,R346)-IFERROR(VLOOKUP(O346,Assumptions!$A$7:$F$11,5,FALSE),1.5))),IFERROR(VLOOKUP(O346,Assumptions!$A$7:$F$11,5,FALSE),2.5)+IFERROR(VLOOKUP(O346,Assumptions!$A$7:$F$11,3,FALSE),3)+IFERROR(VLOOKUP(O346,Assumptions!$A$7:$F$11,4,FALSE),8)/2)</f>
        <v/>
      </c>
      <c r="U346" s="15">
        <f>M346*S346/(1+Assumptions!$B$3)^T346</f>
        <v/>
      </c>
      <c r="V346" s="11">
        <f>IF(M346=0,"",ROUND(U346/M346*100,1))</f>
        <v/>
      </c>
      <c r="W346" s="16">
        <f>U346*Assumptions!$B$4</f>
        <v/>
      </c>
      <c r="X346" s="11">
        <f>IF(M346=0,"",ROUND(W346/M346*100,1))</f>
        <v/>
      </c>
      <c r="Y346" t="inlineStr">
        <is>
          <t>COPA FRUIT IMPORTAÇÃO E EXPORTAÇÃO S.A</t>
        </is>
      </c>
      <c r="Z346" t="inlineStr">
        <is>
          <t>0032731-52.2010.8.17.0001</t>
        </is>
      </c>
      <c r="AA346" t="inlineStr"/>
      <c r="AB346" t="inlineStr">
        <is>
          <t>diligence.adm.br</t>
        </is>
      </c>
      <c r="AC346" t="inlineStr">
        <is>
          <t>LUCAS FELIPE DE OLIVEIRA</t>
        </is>
      </c>
      <c r="AD346" t="inlineStr">
        <is>
          <t>Presidente</t>
        </is>
      </c>
      <c r="AE346" t="inlineStr"/>
      <c r="AF346" t="inlineStr"/>
      <c r="AG346" t="inlineStr"/>
      <c r="AH346" t="inlineStr">
        <is>
          <t>DF</t>
        </is>
      </c>
      <c r="AI346" t="inlineStr">
        <is>
          <t>BRASILIA</t>
        </is>
      </c>
      <c r="AJ346" t="inlineStr">
        <is>
          <t>Administração pública em geral</t>
        </is>
      </c>
      <c r="AK346" t="inlineStr">
        <is>
          <t>DEMAIS</t>
        </is>
      </c>
      <c r="AL346" t="inlineStr">
        <is>
          <t>ATIVA</t>
        </is>
      </c>
      <c r="AM346" s="17" t="inlineStr">
        <is>
          <t>https://diligence.adm.br/wp-content/plugins/download-attachments/includes/download.php?id=4579</t>
        </is>
      </c>
      <c r="AN346" s="18" t="inlineStr">
        <is>
          <t>p8 r4</t>
        </is>
      </c>
      <c r="AO346" s="18" t="inlineStr">
        <is>
          <t>p8: R$ 410.504,45</t>
        </is>
      </c>
      <c r="AP346" s="18" t="inlineStr">
        <is>
          <t>AJ_LIST</t>
        </is>
      </c>
      <c r="AQ346" s="18" t="inlineStr">
        <is>
          <t>2024-06-11</t>
        </is>
      </c>
      <c r="AR346" s="18" t="inlineStr">
        <is>
          <t>OK_NO_TOTALS</t>
        </is>
      </c>
      <c r="AS346" s="18" t="inlineStr">
        <is>
          <t>ROWS:p8r4 UNRECONCILED_SOURCE VALUE_COL:Crédito_1ª_Lista</t>
        </is>
      </c>
      <c r="AT346" s="18" t="inlineStr">
        <is>
          <t>bf3c4e448c3e</t>
        </is>
      </c>
    </row>
    <row r="347">
      <c r="A347" s="9" t="n">
        <v>346</v>
      </c>
      <c r="B347" s="9" t="inlineStr">
        <is>
          <t>NEW</t>
        </is>
      </c>
      <c r="C347" s="9" t="inlineStr"/>
      <c r="D347" s="9" t="n">
        <v>0</v>
      </c>
      <c r="E347" s="9" t="inlineStr"/>
      <c r="F347" s="9" t="inlineStr"/>
      <c r="G347" s="9" t="inlineStr"/>
      <c r="H347" s="9" t="inlineStr"/>
      <c r="I347" t="inlineStr">
        <is>
          <t>TOPICO LOCACOES DE GALPOES E EQUIPAMENTOS PARA INDUSTRIAS S.A</t>
        </is>
      </c>
      <c r="J347" t="inlineStr">
        <is>
          <t>Tópico Locações de Galpões e Equipamentos para Industriais LTDA</t>
        </is>
      </c>
      <c r="K347" t="inlineStr">
        <is>
          <t>08259544</t>
        </is>
      </c>
      <c r="L347" t="inlineStr">
        <is>
          <t>08259544000184</t>
        </is>
      </c>
      <c r="M347" s="10" t="n">
        <v>408816.48</v>
      </c>
      <c r="N347" t="n">
        <v>1</v>
      </c>
      <c r="O347" s="11" t="inlineStr">
        <is>
          <t>B</t>
        </is>
      </c>
      <c r="P347" s="11" t="inlineStr"/>
      <c r="Q347" s="12" t="n">
        <v>45756</v>
      </c>
      <c r="R347" s="11">
        <f>IF(Q347="","",ROUND((TODAY()-Q347)/365.25,1))</f>
        <v/>
      </c>
      <c r="S347" s="13">
        <f>IFERROR(VLOOKUP(O347,Assumptions!$A$7:$F$11,2,FALSE),0.25)</f>
        <v/>
      </c>
      <c r="T347" s="14">
        <f>IF(O347="A",MAX(1,IFERROR(VLOOKUP(O347,Assumptions!$A$7:$F$11,3,FALSE),3)+IFERROR(VLOOKUP(O347,Assumptions!$A$7:$F$11,4,FALSE),8)/2-MAX(0,IF(R347="",0,R347)-IFERROR(VLOOKUP(O347,Assumptions!$A$7:$F$11,5,FALSE),1.5))),IFERROR(VLOOKUP(O347,Assumptions!$A$7:$F$11,5,FALSE),2.5)+IFERROR(VLOOKUP(O347,Assumptions!$A$7:$F$11,3,FALSE),3)+IFERROR(VLOOKUP(O347,Assumptions!$A$7:$F$11,4,FALSE),8)/2)</f>
        <v/>
      </c>
      <c r="U347" s="15">
        <f>M347*S347/(1+Assumptions!$B$3)^T347</f>
        <v/>
      </c>
      <c r="V347" s="11">
        <f>IF(M347=0,"",ROUND(U347/M347*100,1))</f>
        <v/>
      </c>
      <c r="W347" s="16">
        <f>U347*Assumptions!$B$4</f>
        <v/>
      </c>
      <c r="X347" s="11">
        <f>IF(M347=0,"",ROUND(W347/M347*100,1))</f>
        <v/>
      </c>
      <c r="Y347" t="inlineStr">
        <is>
          <t>GRUPO EGESA (EGESA ENG S.A, EGESUR PART E EMP S.A, MATRIX INFRA LTDA, BEMVIVER ENG AMBIENTAL E SERV LTDA, DKF CONST E EMP LTDA, EGEPEL LTDA, ETR ASSESSORIA EMP E PART LTDA, MVT ENG E SERV LTDA, PARQUES DO VALE LTDA, ELMO RIBEIRO E ANA RIBEIRO)</t>
        </is>
      </c>
      <c r="Z347" t="inlineStr">
        <is>
          <t>5088952-81.2025.8.13.0024</t>
        </is>
      </c>
      <c r="AA347" t="inlineStr">
        <is>
          <t>TJMG</t>
        </is>
      </c>
      <c r="AB347" t="inlineStr">
        <is>
          <t>scalzilliaj.com.br</t>
        </is>
      </c>
      <c r="AC347" t="inlineStr">
        <is>
          <t>GUSTAVO PEREIRA DE FREITAS SANTOS</t>
        </is>
      </c>
      <c r="AD347" t="inlineStr">
        <is>
          <t>Presidente</t>
        </is>
      </c>
      <c r="AE347" t="inlineStr">
        <is>
          <t>(11) 4785-1200</t>
        </is>
      </c>
      <c r="AF347" t="inlineStr">
        <is>
          <t>(11) 2344-1200</t>
        </is>
      </c>
      <c r="AG347" t="inlineStr"/>
      <c r="AH347" t="inlineStr">
        <is>
          <t>SP</t>
        </is>
      </c>
      <c r="AI347" t="inlineStr">
        <is>
          <t>EMBU DAS ARTES</t>
        </is>
      </c>
      <c r="AJ347" t="inlineStr">
        <is>
          <t>Aluguel de palcos, coberturas e outras estruturas de uso temporário, exceto andaimes</t>
        </is>
      </c>
      <c r="AK347" t="inlineStr">
        <is>
          <t>DEMAIS</t>
        </is>
      </c>
      <c r="AL347" t="inlineStr">
        <is>
          <t>ATIVA</t>
        </is>
      </c>
      <c r="AM347" s="17" t="inlineStr">
        <is>
          <t>https://scalzilliaj.com.br/sgc/download.php?file=files/processo_documento/processo_documento09514021082025_1_.pdf&amp;nome=04 - Relação de credores das Recuperandas</t>
        </is>
      </c>
      <c r="AN347" s="18" t="inlineStr">
        <is>
          <t>p74 r7</t>
        </is>
      </c>
      <c r="AO347" s="18" t="inlineStr">
        <is>
          <t>p74: R$ 408.816,48</t>
        </is>
      </c>
      <c r="AP347" s="18" t="inlineStr">
        <is>
          <t>DEBTOR_LIST</t>
        </is>
      </c>
      <c r="AQ347" s="18" t="inlineStr"/>
      <c r="AR347" s="18" t="inlineStr">
        <is>
          <t>OK</t>
        </is>
      </c>
      <c r="AS347" s="18" t="inlineStr">
        <is>
          <t>ROWS:p74r7 VALUE_COL:Valor_Atualizado CASE_NUMBER_CORRECTED CASE_FROM_PORTAL</t>
        </is>
      </c>
      <c r="AT347" s="18" t="inlineStr">
        <is>
          <t>24ed98480a57</t>
        </is>
      </c>
    </row>
    <row r="348">
      <c r="A348" s="9" t="n">
        <v>347</v>
      </c>
      <c r="B348" s="9" t="inlineStr">
        <is>
          <t>NEW</t>
        </is>
      </c>
      <c r="C348" s="9" t="inlineStr"/>
      <c r="D348" s="9" t="n">
        <v>0</v>
      </c>
      <c r="E348" s="9" t="inlineStr"/>
      <c r="F348" s="9" t="inlineStr"/>
      <c r="G348" s="9" t="inlineStr"/>
      <c r="H348" s="9" t="inlineStr"/>
      <c r="I348" t="inlineStr">
        <is>
          <t>STRATURA ASFALTOS LTDA.</t>
        </is>
      </c>
      <c r="J348" t="inlineStr">
        <is>
          <t>Arauclin - Medicina e Seguranca Asfaltos S.A (CNPJ nº</t>
        </is>
      </c>
      <c r="K348" t="inlineStr">
        <is>
          <t>59128553</t>
        </is>
      </c>
      <c r="L348" t="inlineStr">
        <is>
          <t>59128553002382</t>
        </is>
      </c>
      <c r="M348" s="10" t="n">
        <v>408408.17</v>
      </c>
      <c r="N348" t="n">
        <v>1</v>
      </c>
      <c r="O348" s="11" t="inlineStr">
        <is>
          <t>C</t>
        </is>
      </c>
      <c r="P348" s="11" t="inlineStr">
        <is>
          <t>ACTIVE</t>
        </is>
      </c>
      <c r="Q348" s="12" t="n">
        <v>44882</v>
      </c>
      <c r="R348" s="11">
        <f>IF(Q348="","",ROUND((TODAY()-Q348)/365.25,1))</f>
        <v/>
      </c>
      <c r="S348" s="13">
        <f>IFERROR(VLOOKUP(O348,Assumptions!$A$7:$F$11,2,FALSE),0.25)</f>
        <v/>
      </c>
      <c r="T348" s="14">
        <f>IF(O348="A",MAX(1,IFERROR(VLOOKUP(O348,Assumptions!$A$7:$F$11,3,FALSE),3)+IFERROR(VLOOKUP(O348,Assumptions!$A$7:$F$11,4,FALSE),8)/2-MAX(0,IF(R348="",0,R348)-IFERROR(VLOOKUP(O348,Assumptions!$A$7:$F$11,5,FALSE),1.5))),IFERROR(VLOOKUP(O348,Assumptions!$A$7:$F$11,5,FALSE),2.5)+IFERROR(VLOOKUP(O348,Assumptions!$A$7:$F$11,3,FALSE),3)+IFERROR(VLOOKUP(O348,Assumptions!$A$7:$F$11,4,FALSE),8)/2)</f>
        <v/>
      </c>
      <c r="U348" s="15">
        <f>M348*S348/(1+Assumptions!$B$3)^T348</f>
        <v/>
      </c>
      <c r="V348" s="11">
        <f>IF(M348=0,"",ROUND(U348/M348*100,1))</f>
        <v/>
      </c>
      <c r="W348" s="16">
        <f>U348*Assumptions!$B$4</f>
        <v/>
      </c>
      <c r="X348" s="11">
        <f>IF(M348=0,"",ROUND(W348/M348*100,1))</f>
        <v/>
      </c>
      <c r="Y348" t="inlineStr">
        <is>
          <t>CARAVAGGIO CONSTRUTORA LTDA</t>
        </is>
      </c>
      <c r="Z348" t="inlineStr">
        <is>
          <t>0037411-27.2022.8.16.0021</t>
        </is>
      </c>
      <c r="AA348" t="inlineStr">
        <is>
          <t>TJPR</t>
        </is>
      </c>
      <c r="AB348" t="inlineStr">
        <is>
          <t>marquesadmjudicial.com.br</t>
        </is>
      </c>
      <c r="AC348" t="inlineStr">
        <is>
          <t>CARLOS ALBERTO DE AQUINO PINHEIRO JUNIOR</t>
        </is>
      </c>
      <c r="AD348" t="inlineStr">
        <is>
          <t>Administrador</t>
        </is>
      </c>
      <c r="AE348" t="inlineStr">
        <is>
          <t>(11) 3513-4260</t>
        </is>
      </c>
      <c r="AF348" t="inlineStr"/>
      <c r="AG348" t="inlineStr"/>
      <c r="AH348" t="inlineStr">
        <is>
          <t>SP</t>
        </is>
      </c>
      <c r="AI348" t="inlineStr">
        <is>
          <t>SAO PAULO</t>
        </is>
      </c>
      <c r="AJ348" t="inlineStr">
        <is>
          <t>Serviços combinados de escritório e apoio administrativo</t>
        </is>
      </c>
      <c r="AK348" t="inlineStr">
        <is>
          <t>DEMAIS</t>
        </is>
      </c>
      <c r="AL348" t="inlineStr">
        <is>
          <t>ATIVA</t>
        </is>
      </c>
      <c r="AM348" s="17" t="inlineStr">
        <is>
          <t>https://marquesadmjudicial.com.br/sgc/download.php?file=files/processo_documento/processo_documento16562707032024_1_.pdf&amp;nome=2º Edital-Relação de Credores do art. 7, §2 da LREF e do Plano de Recuperação Judicial</t>
        </is>
      </c>
      <c r="AN348" s="18" t="inlineStr">
        <is>
          <t>p1 r26</t>
        </is>
      </c>
      <c r="AO348" s="18" t="inlineStr">
        <is>
          <t>p1: R$ 408.408,17</t>
        </is>
      </c>
      <c r="AP348" s="18" t="inlineStr">
        <is>
          <t>AJ_LIST</t>
        </is>
      </c>
      <c r="AQ348" s="18" t="inlineStr">
        <is>
          <t>2022-11-17</t>
        </is>
      </c>
      <c r="AR348" s="18" t="inlineStr">
        <is>
          <t>OK_NO_TOTALS</t>
        </is>
      </c>
      <c r="AS348" s="18" t="inlineStr">
        <is>
          <t>ROWS:p1r26 UNRECONCILED_SOURCE</t>
        </is>
      </c>
      <c r="AT348" s="18" t="inlineStr">
        <is>
          <t>437e79745649</t>
        </is>
      </c>
    </row>
    <row r="349">
      <c r="A349" s="9" t="n">
        <v>348</v>
      </c>
      <c r="B349" s="9" t="inlineStr">
        <is>
          <t>NEW</t>
        </is>
      </c>
      <c r="C349" s="9" t="inlineStr"/>
      <c r="D349" s="9" t="n">
        <v>0</v>
      </c>
      <c r="E349" s="9" t="inlineStr"/>
      <c r="F349" s="9" t="inlineStr"/>
      <c r="G349" s="9" t="inlineStr"/>
      <c r="H349" s="9" t="inlineStr"/>
      <c r="I349" t="inlineStr">
        <is>
          <t>ROLAND BRASIL IMPORTACAO, EXPORTACAO, COMERCIO, REPRESENTACAO E SERVICOS LTDA.</t>
        </is>
      </c>
      <c r="J349" t="inlineStr">
        <is>
          <t>Rua Pacífico, nº 292, Lote 8, Quadra C, Granja Viana II, CEP nº 06.707-065, Cotia/SP</t>
        </is>
      </c>
      <c r="K349" t="inlineStr">
        <is>
          <t>67070268</t>
        </is>
      </c>
      <c r="L349" t="inlineStr">
        <is>
          <t>67070268000251</t>
        </is>
      </c>
      <c r="M349" s="10" t="n">
        <v>407763.63</v>
      </c>
      <c r="N349" t="n">
        <v>1</v>
      </c>
      <c r="O349" s="11" t="inlineStr">
        <is>
          <t>B</t>
        </is>
      </c>
      <c r="P349" s="11" t="inlineStr">
        <is>
          <t>ACTIVE</t>
        </is>
      </c>
      <c r="Q349" s="12" t="n">
        <v>45644</v>
      </c>
      <c r="R349" s="11">
        <f>IF(Q349="","",ROUND((TODAY()-Q349)/365.25,1))</f>
        <v/>
      </c>
      <c r="S349" s="13">
        <f>IFERROR(VLOOKUP(O349,Assumptions!$A$7:$F$11,2,FALSE),0.25)</f>
        <v/>
      </c>
      <c r="T349" s="14">
        <f>IF(O349="A",MAX(1,IFERROR(VLOOKUP(O349,Assumptions!$A$7:$F$11,3,FALSE),3)+IFERROR(VLOOKUP(O349,Assumptions!$A$7:$F$11,4,FALSE),8)/2-MAX(0,IF(R349="",0,R349)-IFERROR(VLOOKUP(O349,Assumptions!$A$7:$F$11,5,FALSE),1.5))),IFERROR(VLOOKUP(O349,Assumptions!$A$7:$F$11,5,FALSE),2.5)+IFERROR(VLOOKUP(O349,Assumptions!$A$7:$F$11,3,FALSE),3)+IFERROR(VLOOKUP(O349,Assumptions!$A$7:$F$11,4,FALSE),8)/2)</f>
        <v/>
      </c>
      <c r="U349" s="15">
        <f>M349*S349/(1+Assumptions!$B$3)^T349</f>
        <v/>
      </c>
      <c r="V349" s="11">
        <f>IF(M349=0,"",ROUND(U349/M349*100,1))</f>
        <v/>
      </c>
      <c r="W349" s="16">
        <f>U349*Assumptions!$B$4</f>
        <v/>
      </c>
      <c r="X349" s="11">
        <f>IF(M349=0,"",ROUND(W349/M349*100,1))</f>
        <v/>
      </c>
      <c r="Y349" t="inlineStr">
        <is>
          <t>GRUPO RIVER MUSIC</t>
        </is>
      </c>
      <c r="Z349" t="inlineStr">
        <is>
          <t>1001174-80.2024.8.26.0359</t>
        </is>
      </c>
      <c r="AA349" t="inlineStr">
        <is>
          <t>TJSP</t>
        </is>
      </c>
      <c r="AB349" t="inlineStr">
        <is>
          <t>ativosajce.com.br</t>
        </is>
      </c>
      <c r="AC349" t="inlineStr">
        <is>
          <t>SERGIO BOTELHO PAIS</t>
        </is>
      </c>
      <c r="AD349" t="inlineStr">
        <is>
          <t>Administrador</t>
        </is>
      </c>
      <c r="AE349" t="inlineStr">
        <is>
          <t>(11) 3087-7700</t>
        </is>
      </c>
      <c r="AF349" t="inlineStr"/>
      <c r="AG349" t="inlineStr"/>
      <c r="AH349" t="inlineStr">
        <is>
          <t>SP</t>
        </is>
      </c>
      <c r="AI349" t="inlineStr">
        <is>
          <t>SAO PAULO</t>
        </is>
      </c>
      <c r="AJ349" t="inlineStr">
        <is>
          <t>Comércio atacadista de outros equipamentos e artigos de uso pessoal e doméstico não especificados anteriormente</t>
        </is>
      </c>
      <c r="AK349" t="inlineStr">
        <is>
          <t>DEMAIS</t>
        </is>
      </c>
      <c r="AL349" t="inlineStr">
        <is>
          <t>ATIVA</t>
        </is>
      </c>
      <c r="AM349" s="17" t="inlineStr">
        <is>
          <t>https://ativosajce.com.br/admin/download.php?file=files/processo_documento/processo_documento18543908052025_1_.pdf&amp;nome=Relação de Credores - art. 52, §1º da Lei 11.101/05 - 27/01/2025</t>
        </is>
      </c>
      <c r="AN349" s="18" t="inlineStr">
        <is>
          <t>p3 r11</t>
        </is>
      </c>
      <c r="AO349" s="18" t="inlineStr">
        <is>
          <t>p3: R$ 407.763,63</t>
        </is>
      </c>
      <c r="AP349" s="18" t="inlineStr">
        <is>
          <t>UNKNOWN</t>
        </is>
      </c>
      <c r="AQ349" s="18" t="inlineStr"/>
      <c r="AR349" s="18" t="inlineStr">
        <is>
          <t>OK_NO_TOTALS</t>
        </is>
      </c>
      <c r="AS349" s="18" t="inlineStr">
        <is>
          <t>ROWS:p3r11 UNRECONCILED_SOURCE VALUE_COL:Valor_Do_Créidto</t>
        </is>
      </c>
      <c r="AT349" s="18" t="inlineStr">
        <is>
          <t>442539f948e0</t>
        </is>
      </c>
    </row>
    <row r="350">
      <c r="A350" s="9" t="n">
        <v>349</v>
      </c>
      <c r="B350" s="9" t="inlineStr">
        <is>
          <t>NEW</t>
        </is>
      </c>
      <c r="C350" s="9" t="inlineStr"/>
      <c r="D350" s="9" t="n">
        <v>0</v>
      </c>
      <c r="E350" s="9" t="inlineStr"/>
      <c r="F350" s="9" t="inlineStr"/>
      <c r="G350" s="9" t="inlineStr"/>
      <c r="H350" s="9" t="inlineStr"/>
      <c r="I350" t="inlineStr">
        <is>
          <t>CCP - INDUSTRIA E COMERCIO DE COMPOSTOS DE PVC LTDA</t>
        </is>
      </c>
      <c r="J350" t="inlineStr">
        <is>
          <t>CCP IND. COM. DE COMPOSTOS DE PVC LTDA</t>
        </is>
      </c>
      <c r="K350" t="inlineStr">
        <is>
          <t>08048078</t>
        </is>
      </c>
      <c r="L350" t="inlineStr">
        <is>
          <t>08048078000198</t>
        </is>
      </c>
      <c r="M350" s="10" t="n">
        <v>407429.66</v>
      </c>
      <c r="N350" t="n">
        <v>4</v>
      </c>
      <c r="O350" s="11" t="inlineStr">
        <is>
          <t>B</t>
        </is>
      </c>
      <c r="P350" s="11" t="inlineStr"/>
      <c r="Q350" s="12" t="inlineStr"/>
      <c r="R350" s="11">
        <f>IF(Q350="","",ROUND((TODAY()-Q350)/365.25,1))</f>
        <v/>
      </c>
      <c r="S350" s="13">
        <f>IFERROR(VLOOKUP(O350,Assumptions!$A$7:$F$11,2,FALSE),0.25)</f>
        <v/>
      </c>
      <c r="T350" s="14">
        <f>IF(O350="A",MAX(1,IFERROR(VLOOKUP(O350,Assumptions!$A$7:$F$11,3,FALSE),3)+IFERROR(VLOOKUP(O350,Assumptions!$A$7:$F$11,4,FALSE),8)/2-MAX(0,IF(R350="",0,R350)-IFERROR(VLOOKUP(O350,Assumptions!$A$7:$F$11,5,FALSE),1.5))),IFERROR(VLOOKUP(O350,Assumptions!$A$7:$F$11,5,FALSE),2.5)+IFERROR(VLOOKUP(O350,Assumptions!$A$7:$F$11,3,FALSE),3)+IFERROR(VLOOKUP(O350,Assumptions!$A$7:$F$11,4,FALSE),8)/2)</f>
        <v/>
      </c>
      <c r="U350" s="15">
        <f>M350*S350/(1+Assumptions!$B$3)^T350</f>
        <v/>
      </c>
      <c r="V350" s="11">
        <f>IF(M350=0,"",ROUND(U350/M350*100,1))</f>
        <v/>
      </c>
      <c r="W350" s="16">
        <f>U350*Assumptions!$B$4</f>
        <v/>
      </c>
      <c r="X350" s="11">
        <f>IF(M350=0,"",ROUND(W350/M350*100,1))</f>
        <v/>
      </c>
      <c r="Y350" t="inlineStr">
        <is>
          <t>Base</t>
        </is>
      </c>
      <c r="Z350" t="inlineStr">
        <is>
          <t>1022634-27.2024.8.26.0100</t>
        </is>
      </c>
      <c r="AA350" t="inlineStr"/>
      <c r="AB350" t="inlineStr">
        <is>
          <t>ajruiz.com.br</t>
        </is>
      </c>
      <c r="AC350" t="inlineStr">
        <is>
          <t>JAIR KASPROWICZ</t>
        </is>
      </c>
      <c r="AD350" t="inlineStr">
        <is>
          <t>Administrador</t>
        </is>
      </c>
      <c r="AE350" t="inlineStr">
        <is>
          <t>(47) 3447-4800</t>
        </is>
      </c>
      <c r="AF350" t="inlineStr"/>
      <c r="AG350" t="inlineStr"/>
      <c r="AH350" t="inlineStr">
        <is>
          <t>SC</t>
        </is>
      </c>
      <c r="AI350" t="inlineStr">
        <is>
          <t>ARAQUARI</t>
        </is>
      </c>
      <c r="AJ350" t="inlineStr">
        <is>
          <t>Fabricação de resinas termoplásticas</t>
        </is>
      </c>
      <c r="AK350" t="inlineStr">
        <is>
          <t>DEMAIS</t>
        </is>
      </c>
      <c r="AL350" t="inlineStr">
        <is>
          <t>ATIVA</t>
        </is>
      </c>
      <c r="AM350" s="17" t="inlineStr">
        <is>
          <t>https://ajruiz.com.br/sites/default/files/public/arquivos-processos/2024-04/relacao_de_credores_recuperanda_1.pdf</t>
        </is>
      </c>
      <c r="AN350" s="18" t="inlineStr">
        <is>
          <t>p4 r6; p4 r7; p4 r8; p4 r9</t>
        </is>
      </c>
      <c r="AO350" s="18" t="inlineStr">
        <is>
          <t>p4: R$ 151.777,50; p4: R$ 7.227,50; p4: R$ 166.232,50; p4: R$ 82.192,16</t>
        </is>
      </c>
      <c r="AP350" s="18" t="inlineStr">
        <is>
          <t>QGC</t>
        </is>
      </c>
      <c r="AQ350" s="18" t="inlineStr">
        <is>
          <t>2024-01-31</t>
        </is>
      </c>
      <c r="AR350" s="18" t="inlineStr">
        <is>
          <t>OK</t>
        </is>
      </c>
      <c r="AS350" s="18" t="inlineStr">
        <is>
          <t>ROWS:p4r6,p4r7,p4r8,p4r9 CASE_NUMBER_CORRECTED</t>
        </is>
      </c>
      <c r="AT350" s="18" t="inlineStr">
        <is>
          <t>380922480f80</t>
        </is>
      </c>
    </row>
    <row r="351">
      <c r="A351" s="9" t="n">
        <v>350</v>
      </c>
      <c r="B351" s="9" t="inlineStr">
        <is>
          <t>NEW</t>
        </is>
      </c>
      <c r="C351" s="9" t="inlineStr"/>
      <c r="D351" s="9" t="n">
        <v>0</v>
      </c>
      <c r="E351" s="9" t="inlineStr"/>
      <c r="F351" s="9" t="inlineStr"/>
      <c r="G351" s="9" t="inlineStr"/>
      <c r="H351" s="9" t="inlineStr"/>
      <c r="I351" t="inlineStr">
        <is>
          <t>COMARY INDUSTRIA DE BEBIDAS LTDA</t>
        </is>
      </c>
      <c r="J351" t="inlineStr">
        <is>
          <t>COMARY INDUSTRIA DE BEBIDAS LTDA</t>
        </is>
      </c>
      <c r="K351" t="inlineStr">
        <is>
          <t>29588019</t>
        </is>
      </c>
      <c r="L351" t="inlineStr">
        <is>
          <t>29588019001316</t>
        </is>
      </c>
      <c r="M351" s="10" t="n">
        <v>407241.98</v>
      </c>
      <c r="N351" t="n">
        <v>1</v>
      </c>
      <c r="O351" s="11" t="inlineStr">
        <is>
          <t>B</t>
        </is>
      </c>
      <c r="P351" s="11" t="inlineStr">
        <is>
          <t>ACTIVE</t>
        </is>
      </c>
      <c r="Q351" s="12" t="n">
        <v>45685</v>
      </c>
      <c r="R351" s="11">
        <f>IF(Q351="","",ROUND((TODAY()-Q351)/365.25,1))</f>
        <v/>
      </c>
      <c r="S351" s="13">
        <f>IFERROR(VLOOKUP(O351,Assumptions!$A$7:$F$11,2,FALSE),0.25)</f>
        <v/>
      </c>
      <c r="T351" s="14">
        <f>IF(O351="A",MAX(1,IFERROR(VLOOKUP(O351,Assumptions!$A$7:$F$11,3,FALSE),3)+IFERROR(VLOOKUP(O351,Assumptions!$A$7:$F$11,4,FALSE),8)/2-MAX(0,IF(R351="",0,R351)-IFERROR(VLOOKUP(O351,Assumptions!$A$7:$F$11,5,FALSE),1.5))),IFERROR(VLOOKUP(O351,Assumptions!$A$7:$F$11,5,FALSE),2.5)+IFERROR(VLOOKUP(O351,Assumptions!$A$7:$F$11,3,FALSE),3)+IFERROR(VLOOKUP(O351,Assumptions!$A$7:$F$11,4,FALSE),8)/2)</f>
        <v/>
      </c>
      <c r="U351" s="15">
        <f>M351*S351/(1+Assumptions!$B$3)^T351</f>
        <v/>
      </c>
      <c r="V351" s="11">
        <f>IF(M351=0,"",ROUND(U351/M351*100,1))</f>
        <v/>
      </c>
      <c r="W351" s="16">
        <f>U351*Assumptions!$B$4</f>
        <v/>
      </c>
      <c r="X351" s="11">
        <f>IF(M351=0,"",ROUND(W351/M351*100,1))</f>
        <v/>
      </c>
      <c r="Y351" t="inlineStr">
        <is>
          <t>Grupo Arruda (ARRUDA &amp; MELO REPRESENTACAO DE ALIMENTOS E BEBIDAS LTDA, ARRUDA &amp; MELO COMERCIO E DISTRIBUICAO DE ALIMENTOS E BEBIDAS LTDA, ARRUDA &amp; MELO COMERCIO E DISTRIBUICAO DE ALIMENTOS E BEBIDAS DA BAHIA LTDA)</t>
        </is>
      </c>
      <c r="Z351" t="inlineStr">
        <is>
          <t>0008526-45.2025.8.17.2001</t>
        </is>
      </c>
      <c r="AA351" t="inlineStr">
        <is>
          <t>TJPE</t>
        </is>
      </c>
      <c r="AB351" t="inlineStr">
        <is>
          <t>diligence.adm.br</t>
        </is>
      </c>
      <c r="AC351" t="inlineStr">
        <is>
          <t>MOZART RIBEIRO RODRIGUES</t>
        </is>
      </c>
      <c r="AD351" t="inlineStr">
        <is>
          <t>Sócio-Administrador</t>
        </is>
      </c>
      <c r="AE351" t="inlineStr">
        <is>
          <t>(21) 2152-4014</t>
        </is>
      </c>
      <c r="AF351" t="inlineStr">
        <is>
          <t>(21) 2152-4000</t>
        </is>
      </c>
      <c r="AG351" t="inlineStr"/>
      <c r="AH351" t="inlineStr">
        <is>
          <t>RJ</t>
        </is>
      </c>
      <c r="AI351" t="inlineStr">
        <is>
          <t>TERESOPOLIS</t>
        </is>
      </c>
      <c r="AJ351" t="inlineStr">
        <is>
          <t>Fabricação de vinho</t>
        </is>
      </c>
      <c r="AK351" t="inlineStr">
        <is>
          <t>DEMAIS</t>
        </is>
      </c>
      <c r="AL351" t="inlineStr">
        <is>
          <t>ATIVA</t>
        </is>
      </c>
      <c r="AM351" s="17" t="inlineStr">
        <is>
          <t>https://diligence.adm.br/wp-content/uploads/2025/06/Edital-1a-Lista-de-Credores.pdf</t>
        </is>
      </c>
      <c r="AN351" s="18" t="inlineStr">
        <is>
          <t>p5 r69</t>
        </is>
      </c>
      <c r="AO351" s="18" t="inlineStr">
        <is>
          <t>p5: R$ 407.241,98</t>
        </is>
      </c>
      <c r="AP351" s="18" t="inlineStr">
        <is>
          <t>DEBTOR_LIST</t>
        </is>
      </c>
      <c r="AQ351" s="18" t="inlineStr">
        <is>
          <t>2025-06-10</t>
        </is>
      </c>
      <c r="AR351" s="18" t="inlineStr">
        <is>
          <t>OK</t>
        </is>
      </c>
      <c r="AS351" s="18" t="inlineStr">
        <is>
          <t>ROWS:p5r69</t>
        </is>
      </c>
      <c r="AT351" s="18" t="inlineStr">
        <is>
          <t>1658892fa167</t>
        </is>
      </c>
    </row>
    <row r="352">
      <c r="A352" s="9" t="n">
        <v>351</v>
      </c>
      <c r="B352" s="9" t="inlineStr">
        <is>
          <t>NEW</t>
        </is>
      </c>
      <c r="C352" s="9" t="inlineStr"/>
      <c r="D352" s="9" t="n">
        <v>0</v>
      </c>
      <c r="E352" s="9" t="inlineStr"/>
      <c r="F352" s="9" t="inlineStr"/>
      <c r="G352" s="9" t="inlineStr"/>
      <c r="H352" s="9" t="inlineStr"/>
      <c r="I352" t="inlineStr">
        <is>
          <t>AGROCETE INDUSTRIA DE FERTILIZANTES LTDA</t>
        </is>
      </c>
      <c r="J352" t="inlineStr">
        <is>
          <t>AGROCETE INDUSTRIA DE FERTILIZANTES LTDA</t>
        </is>
      </c>
      <c r="K352" t="inlineStr">
        <is>
          <t>75007385</t>
        </is>
      </c>
      <c r="L352" t="inlineStr">
        <is>
          <t>75007385000118</t>
        </is>
      </c>
      <c r="M352" s="10" t="n">
        <v>406921.95</v>
      </c>
      <c r="N352" t="n">
        <v>1</v>
      </c>
      <c r="O352" s="11" t="inlineStr">
        <is>
          <t>B</t>
        </is>
      </c>
      <c r="P352" s="11" t="inlineStr">
        <is>
          <t>ACTIVE</t>
        </is>
      </c>
      <c r="Q352" s="12" t="n">
        <v>45625</v>
      </c>
      <c r="R352" s="11">
        <f>IF(Q352="","",ROUND((TODAY()-Q352)/365.25,1))</f>
        <v/>
      </c>
      <c r="S352" s="13">
        <f>IFERROR(VLOOKUP(O352,Assumptions!$A$7:$F$11,2,FALSE),0.25)</f>
        <v/>
      </c>
      <c r="T352" s="14">
        <f>IF(O352="A",MAX(1,IFERROR(VLOOKUP(O352,Assumptions!$A$7:$F$11,3,FALSE),3)+IFERROR(VLOOKUP(O352,Assumptions!$A$7:$F$11,4,FALSE),8)/2-MAX(0,IF(R352="",0,R352)-IFERROR(VLOOKUP(O352,Assumptions!$A$7:$F$11,5,FALSE),1.5))),IFERROR(VLOOKUP(O352,Assumptions!$A$7:$F$11,5,FALSE),2.5)+IFERROR(VLOOKUP(O352,Assumptions!$A$7:$F$11,3,FALSE),3)+IFERROR(VLOOKUP(O352,Assumptions!$A$7:$F$11,4,FALSE),8)/2)</f>
        <v/>
      </c>
      <c r="U352" s="15">
        <f>M352*S352/(1+Assumptions!$B$3)^T352</f>
        <v/>
      </c>
      <c r="V352" s="11">
        <f>IF(M352=0,"",ROUND(U352/M352*100,1))</f>
        <v/>
      </c>
      <c r="W352" s="16">
        <f>U352*Assumptions!$B$4</f>
        <v/>
      </c>
      <c r="X352" s="11">
        <f>IF(M352=0,"",ROUND(W352/M352*100,1))</f>
        <v/>
      </c>
      <c r="Y352" t="inlineStr">
        <is>
          <t>Agroforte Agropecuaria Ltda</t>
        </is>
      </c>
      <c r="Z352" t="inlineStr">
        <is>
          <t>0031120-52.2024.8.16.0017</t>
        </is>
      </c>
      <c r="AA352" t="inlineStr">
        <is>
          <t>TJPR</t>
        </is>
      </c>
      <c r="AB352" t="inlineStr">
        <is>
          <t>marquesadmjudicial.com.br</t>
        </is>
      </c>
      <c r="AC352" t="inlineStr">
        <is>
          <t>ANTONIO RICARDO DE FIGUEIREDO</t>
        </is>
      </c>
      <c r="AD352" t="inlineStr">
        <is>
          <t>Sócio-Administrador</t>
        </is>
      </c>
      <c r="AE352" t="inlineStr">
        <is>
          <t>(42) 3228-1229</t>
        </is>
      </c>
      <c r="AF352" t="inlineStr"/>
      <c r="AG352" t="inlineStr"/>
      <c r="AH352" t="inlineStr">
        <is>
          <t>PR</t>
        </is>
      </c>
      <c r="AI352" t="inlineStr">
        <is>
          <t>PONTA GROSSA</t>
        </is>
      </c>
      <c r="AJ352" t="inlineStr">
        <is>
          <t>Fabricação de adubos e fertilizantes, exceto organo-minerais</t>
        </is>
      </c>
      <c r="AK352" t="inlineStr">
        <is>
          <t>DEMAIS</t>
        </is>
      </c>
      <c r="AL352" t="inlineStr">
        <is>
          <t>ATIVA</t>
        </is>
      </c>
      <c r="AM352" s="17" t="inlineStr">
        <is>
          <t>https://marquesadmjudicial.com.br/sgc/download.php?file=files/processo_documento/processo_documento11370527032026_1_.pdf&amp;nome=Quadro Geral de Credores (QGC) -AJ Anterior</t>
        </is>
      </c>
      <c r="AN352" s="18" t="inlineStr">
        <is>
          <t>p1 r4</t>
        </is>
      </c>
      <c r="AO352" s="18" t="inlineStr">
        <is>
          <t>p1: R$ 406.921,95</t>
        </is>
      </c>
      <c r="AP352" s="18" t="inlineStr">
        <is>
          <t>QGC</t>
        </is>
      </c>
      <c r="AQ352" s="18" t="inlineStr">
        <is>
          <t>2025-09-22</t>
        </is>
      </c>
      <c r="AR352" s="18" t="inlineStr">
        <is>
          <t>QUARANTINED</t>
        </is>
      </c>
      <c r="AS352" s="18" t="inlineStr">
        <is>
          <t>PARTIAL_DOC_CLASS_III_RECONCILED ROWS:p1r4</t>
        </is>
      </c>
      <c r="AT352" s="18" t="inlineStr">
        <is>
          <t>200afc9e12c1</t>
        </is>
      </c>
    </row>
    <row r="353">
      <c r="A353" s="9" t="n">
        <v>352</v>
      </c>
      <c r="B353" s="9" t="inlineStr">
        <is>
          <t>NEW</t>
        </is>
      </c>
      <c r="C353" s="9" t="inlineStr"/>
      <c r="D353" s="9" t="n">
        <v>0</v>
      </c>
      <c r="E353" s="9" t="inlineStr"/>
      <c r="F353" s="9" t="inlineStr"/>
      <c r="G353" s="9" t="inlineStr"/>
      <c r="H353" s="9" t="inlineStr"/>
      <c r="I353" t="inlineStr">
        <is>
          <t>GETTI QUIMICA LTDA</t>
        </is>
      </c>
      <c r="J353" t="inlineStr">
        <is>
          <t>GETTI QUIMICA LTDA</t>
        </is>
      </c>
      <c r="K353" t="inlineStr">
        <is>
          <t>00073757</t>
        </is>
      </c>
      <c r="L353" t="inlineStr">
        <is>
          <t>00073757000105</t>
        </is>
      </c>
      <c r="M353" s="10" t="n">
        <v>406720.75</v>
      </c>
      <c r="N353" t="n">
        <v>1</v>
      </c>
      <c r="O353" s="11" t="inlineStr">
        <is>
          <t>B</t>
        </is>
      </c>
      <c r="P353" s="11" t="inlineStr">
        <is>
          <t>ACTIVE</t>
        </is>
      </c>
      <c r="Q353" s="12" t="n">
        <v>45425</v>
      </c>
      <c r="R353" s="11">
        <f>IF(Q353="","",ROUND((TODAY()-Q353)/365.25,1))</f>
        <v/>
      </c>
      <c r="S353" s="13">
        <f>IFERROR(VLOOKUP(O353,Assumptions!$A$7:$F$11,2,FALSE),0.25)</f>
        <v/>
      </c>
      <c r="T353" s="14">
        <f>IF(O353="A",MAX(1,IFERROR(VLOOKUP(O353,Assumptions!$A$7:$F$11,3,FALSE),3)+IFERROR(VLOOKUP(O353,Assumptions!$A$7:$F$11,4,FALSE),8)/2-MAX(0,IF(R353="",0,R353)-IFERROR(VLOOKUP(O353,Assumptions!$A$7:$F$11,5,FALSE),1.5))),IFERROR(VLOOKUP(O353,Assumptions!$A$7:$F$11,5,FALSE),2.5)+IFERROR(VLOOKUP(O353,Assumptions!$A$7:$F$11,3,FALSE),3)+IFERROR(VLOOKUP(O353,Assumptions!$A$7:$F$11,4,FALSE),8)/2)</f>
        <v/>
      </c>
      <c r="U353" s="15">
        <f>M353*S353/(1+Assumptions!$B$3)^T353</f>
        <v/>
      </c>
      <c r="V353" s="11">
        <f>IF(M353=0,"",ROUND(U353/M353*100,1))</f>
        <v/>
      </c>
      <c r="W353" s="16">
        <f>U353*Assumptions!$B$4</f>
        <v/>
      </c>
      <c r="X353" s="11">
        <f>IF(M353=0,"",ROUND(W353/M353*100,1))</f>
        <v/>
      </c>
      <c r="Y353" t="inlineStr">
        <is>
          <t>GRUPO DIVINA</t>
        </is>
      </c>
      <c r="Z353" t="inlineStr">
        <is>
          <t>0000721-61.2024.8.17.2620</t>
        </is>
      </c>
      <c r="AA353" t="inlineStr">
        <is>
          <t>TJPE</t>
        </is>
      </c>
      <c r="AB353" t="inlineStr">
        <is>
          <t>lrflideres.com.br</t>
        </is>
      </c>
      <c r="AC353" t="inlineStr">
        <is>
          <t>ADRIANO BONDAN</t>
        </is>
      </c>
      <c r="AD353" t="inlineStr">
        <is>
          <t>Sócio-Administrador</t>
        </is>
      </c>
      <c r="AE353" t="inlineStr">
        <is>
          <t>(51) 3553-3355</t>
        </is>
      </c>
      <c r="AF353" t="inlineStr"/>
      <c r="AG353" t="inlineStr"/>
      <c r="AH353" t="inlineStr">
        <is>
          <t>RS</t>
        </is>
      </c>
      <c r="AI353" t="inlineStr">
        <is>
          <t>NOVO HAMBURGO</t>
        </is>
      </c>
      <c r="AJ353" t="inlineStr">
        <is>
          <t>Fabricação de outros produtos químicos não especificados anteriormente</t>
        </is>
      </c>
      <c r="AK353" t="inlineStr">
        <is>
          <t>DEMAIS</t>
        </is>
      </c>
      <c r="AL353" t="inlineStr">
        <is>
          <t>ATIVA</t>
        </is>
      </c>
      <c r="AM353" s="17" t="inlineStr">
        <is>
          <t>https://lrflideres.com.br/wp-content/plugins/download-attachments/includes/download.php?id=6252</t>
        </is>
      </c>
      <c r="AN353" s="18" t="inlineStr">
        <is>
          <t>p2 r46</t>
        </is>
      </c>
      <c r="AO353" s="18" t="inlineStr">
        <is>
          <t>p2: R$ 406.720,75</t>
        </is>
      </c>
      <c r="AP353" s="18" t="inlineStr">
        <is>
          <t>AJ_LIST</t>
        </is>
      </c>
      <c r="AQ353" s="18" t="inlineStr">
        <is>
          <t>2024-11-27</t>
        </is>
      </c>
      <c r="AR353" s="18" t="inlineStr">
        <is>
          <t>QUARANTINED</t>
        </is>
      </c>
      <c r="AS353" s="18" t="inlineStr">
        <is>
          <t>PARTIAL_DOC_CLASS_III_RECONCILED ROWS:p2r46</t>
        </is>
      </c>
      <c r="AT353" s="18" t="inlineStr">
        <is>
          <t>38f0c15b8a2d</t>
        </is>
      </c>
    </row>
    <row r="354">
      <c r="A354" s="9" t="n">
        <v>353</v>
      </c>
      <c r="B354" s="9" t="inlineStr">
        <is>
          <t>NEW</t>
        </is>
      </c>
      <c r="C354" s="9" t="inlineStr"/>
      <c r="D354" s="9" t="n">
        <v>0</v>
      </c>
      <c r="E354" s="9" t="inlineStr"/>
      <c r="F354" s="9" t="inlineStr"/>
      <c r="G354" s="9" t="inlineStr"/>
      <c r="H354" s="9" t="inlineStr"/>
      <c r="I354" t="inlineStr">
        <is>
          <t>DOCELAR MOVEIS LTDA</t>
        </is>
      </c>
      <c r="J354" t="inlineStr">
        <is>
          <t>28.485.746/0001-51</t>
        </is>
      </c>
      <c r="K354" t="inlineStr">
        <is>
          <t>28485746</t>
        </is>
      </c>
      <c r="L354" t="inlineStr">
        <is>
          <t>28485746000151</t>
        </is>
      </c>
      <c r="M354" s="10" t="n">
        <v>406451</v>
      </c>
      <c r="N354" t="n">
        <v>1</v>
      </c>
      <c r="O354" s="11" t="inlineStr">
        <is>
          <t>C</t>
        </is>
      </c>
      <c r="P354" s="11" t="inlineStr">
        <is>
          <t>ACTIVE</t>
        </is>
      </c>
      <c r="Q354" s="12" t="n">
        <v>43894</v>
      </c>
      <c r="R354" s="11">
        <f>IF(Q354="","",ROUND((TODAY()-Q354)/365.25,1))</f>
        <v/>
      </c>
      <c r="S354" s="13">
        <f>IFERROR(VLOOKUP(O354,Assumptions!$A$7:$F$11,2,FALSE),0.25)</f>
        <v/>
      </c>
      <c r="T354" s="14">
        <f>IF(O354="A",MAX(1,IFERROR(VLOOKUP(O354,Assumptions!$A$7:$F$11,3,FALSE),3)+IFERROR(VLOOKUP(O354,Assumptions!$A$7:$F$11,4,FALSE),8)/2-MAX(0,IF(R354="",0,R354)-IFERROR(VLOOKUP(O354,Assumptions!$A$7:$F$11,5,FALSE),1.5))),IFERROR(VLOOKUP(O354,Assumptions!$A$7:$F$11,5,FALSE),2.5)+IFERROR(VLOOKUP(O354,Assumptions!$A$7:$F$11,3,FALSE),3)+IFERROR(VLOOKUP(O354,Assumptions!$A$7:$F$11,4,FALSE),8)/2)</f>
        <v/>
      </c>
      <c r="U354" s="15">
        <f>M354*S354/(1+Assumptions!$B$3)^T354</f>
        <v/>
      </c>
      <c r="V354" s="11">
        <f>IF(M354=0,"",ROUND(U354/M354*100,1))</f>
        <v/>
      </c>
      <c r="W354" s="16">
        <f>U354*Assumptions!$B$4</f>
        <v/>
      </c>
      <c r="X354" s="11">
        <f>IF(M354=0,"",ROUND(W354/M354*100,1))</f>
        <v/>
      </c>
      <c r="Y354" t="inlineStr">
        <is>
          <t>CREDIMÓVEIS NOVOLAR LTDA.</t>
        </is>
      </c>
      <c r="Z354" t="inlineStr">
        <is>
          <t>0007565-40.2020.8.17.2370</t>
        </is>
      </c>
      <c r="AA354" t="inlineStr">
        <is>
          <t>TJPE</t>
        </is>
      </c>
      <c r="AB354" t="inlineStr">
        <is>
          <t>recuperacaojudicial.squarespace.com</t>
        </is>
      </c>
      <c r="AC354" t="inlineStr">
        <is>
          <t>CARMEN LUCIA DONATELLI BREDA</t>
        </is>
      </c>
      <c r="AD354" t="inlineStr">
        <is>
          <t>Sócio-Administrador</t>
        </is>
      </c>
      <c r="AE354" t="inlineStr">
        <is>
          <t>(27) 3372-6868</t>
        </is>
      </c>
      <c r="AF354" t="inlineStr"/>
      <c r="AG354" t="inlineStr"/>
      <c r="AH354" t="inlineStr">
        <is>
          <t>ES</t>
        </is>
      </c>
      <c r="AI354" t="inlineStr">
        <is>
          <t>LINHARES</t>
        </is>
      </c>
      <c r="AJ354" t="inlineStr">
        <is>
          <t>Fabricação de móveis com predominância de madeira</t>
        </is>
      </c>
      <c r="AK354" t="inlineStr">
        <is>
          <t>DEMAIS</t>
        </is>
      </c>
      <c r="AL354" t="inlineStr">
        <is>
          <t>ATIVA</t>
        </is>
      </c>
      <c r="AM354" s="17" t="inlineStr">
        <is>
          <t>https://recuperacaojudicial.squarespace.com/s/RJ-Credimoveis-QGC-01082025.pdf</t>
        </is>
      </c>
      <c r="AN354" s="18" t="inlineStr">
        <is>
          <t>p15 r39</t>
        </is>
      </c>
      <c r="AO354" s="18" t="inlineStr">
        <is>
          <t>p15: R$ 406.451,00</t>
        </is>
      </c>
      <c r="AP354" s="18" t="inlineStr">
        <is>
          <t>QGC</t>
        </is>
      </c>
      <c r="AQ354" s="18" t="inlineStr">
        <is>
          <t>2026-01-28</t>
        </is>
      </c>
      <c r="AR354" s="18" t="inlineStr">
        <is>
          <t>OK</t>
        </is>
      </c>
      <c r="AS354" s="18" t="inlineStr">
        <is>
          <t>ROWS:p15r39</t>
        </is>
      </c>
      <c r="AT354" s="18" t="inlineStr">
        <is>
          <t>849d4fe5adce</t>
        </is>
      </c>
    </row>
    <row r="355">
      <c r="A355" s="9" t="n">
        <v>354</v>
      </c>
      <c r="B355" s="9" t="inlineStr">
        <is>
          <t>NEW</t>
        </is>
      </c>
      <c r="C355" s="9" t="inlineStr"/>
      <c r="D355" s="9" t="n">
        <v>0</v>
      </c>
      <c r="E355" s="9" t="inlineStr"/>
      <c r="F355" s="9" t="inlineStr"/>
      <c r="G355" s="9" t="inlineStr"/>
      <c r="H355" s="9" t="inlineStr"/>
      <c r="I355" t="inlineStr">
        <is>
          <t>CRISTAL MASTER INDUSTRIA E COMERCIO LTDA</t>
        </is>
      </c>
      <c r="J355" t="inlineStr">
        <is>
          <t>CRISTAL MASTER INDUSTRIA E COMERCIO LTDA</t>
        </is>
      </c>
      <c r="K355" t="inlineStr">
        <is>
          <t>05378317</t>
        </is>
      </c>
      <c r="L355" t="inlineStr">
        <is>
          <t>05378317000180</t>
        </is>
      </c>
      <c r="M355" s="10" t="n">
        <v>403317.43</v>
      </c>
      <c r="N355" t="n">
        <v>1</v>
      </c>
      <c r="O355" s="11" t="inlineStr">
        <is>
          <t>C</t>
        </is>
      </c>
      <c r="P355" s="11" t="inlineStr">
        <is>
          <t>ACTIVE</t>
        </is>
      </c>
      <c r="Q355" s="12" t="n">
        <v>45154</v>
      </c>
      <c r="R355" s="11">
        <f>IF(Q355="","",ROUND((TODAY()-Q355)/365.25,1))</f>
        <v/>
      </c>
      <c r="S355" s="13">
        <f>IFERROR(VLOOKUP(O355,Assumptions!$A$7:$F$11,2,FALSE),0.25)</f>
        <v/>
      </c>
      <c r="T355" s="14">
        <f>IF(O355="A",MAX(1,IFERROR(VLOOKUP(O355,Assumptions!$A$7:$F$11,3,FALSE),3)+IFERROR(VLOOKUP(O355,Assumptions!$A$7:$F$11,4,FALSE),8)/2-MAX(0,IF(R355="",0,R355)-IFERROR(VLOOKUP(O355,Assumptions!$A$7:$F$11,5,FALSE),1.5))),IFERROR(VLOOKUP(O355,Assumptions!$A$7:$F$11,5,FALSE),2.5)+IFERROR(VLOOKUP(O355,Assumptions!$A$7:$F$11,3,FALSE),3)+IFERROR(VLOOKUP(O355,Assumptions!$A$7:$F$11,4,FALSE),8)/2)</f>
        <v/>
      </c>
      <c r="U355" s="15">
        <f>M355*S355/(1+Assumptions!$B$3)^T355</f>
        <v/>
      </c>
      <c r="V355" s="11">
        <f>IF(M355=0,"",ROUND(U355/M355*100,1))</f>
        <v/>
      </c>
      <c r="W355" s="16">
        <f>U355*Assumptions!$B$4</f>
        <v/>
      </c>
      <c r="X355" s="11">
        <f>IF(M355=0,"",ROUND(W355/M355*100,1))</f>
        <v/>
      </c>
      <c r="Y355" t="inlineStr">
        <is>
          <t>AZEPLAST INDÚSTRIA E COMÉRCIO LTDA</t>
        </is>
      </c>
      <c r="Z355" t="inlineStr">
        <is>
          <t>5008793-34.2023.8.24.0019</t>
        </is>
      </c>
      <c r="AA355" t="inlineStr">
        <is>
          <t>TJSC</t>
        </is>
      </c>
      <c r="AB355" t="inlineStr">
        <is>
          <t>ajruiz.com.br</t>
        </is>
      </c>
      <c r="AC355" t="inlineStr">
        <is>
          <t>LUIZ CARLOS REINERT DOS SANTOS</t>
        </is>
      </c>
      <c r="AD355" t="inlineStr">
        <is>
          <t>Administrador</t>
        </is>
      </c>
      <c r="AE355" t="inlineStr">
        <is>
          <t>(47) 3451-5030</t>
        </is>
      </c>
      <c r="AF355" t="inlineStr"/>
      <c r="AG355" t="inlineStr"/>
      <c r="AH355" t="inlineStr">
        <is>
          <t>SC</t>
        </is>
      </c>
      <c r="AI355" t="inlineStr">
        <is>
          <t>JOINVILLE</t>
        </is>
      </c>
      <c r="AJ355" t="inlineStr">
        <is>
          <t>Fabricação de artefatos de material plástico para outros usos não especificados anteriormente</t>
        </is>
      </c>
      <c r="AK355" t="inlineStr">
        <is>
          <t>DEMAIS</t>
        </is>
      </c>
      <c r="AL355" t="inlineStr">
        <is>
          <t>ATIVA</t>
        </is>
      </c>
      <c r="AM355" s="17" t="inlineStr">
        <is>
          <t>https://ajruiz.com.br/sites/default/files/public/arquivos-processos/2026-08/qgc_azeplast_julho_2026.pdf</t>
        </is>
      </c>
      <c r="AN355" s="18" t="inlineStr">
        <is>
          <t>p1 r21</t>
        </is>
      </c>
      <c r="AO355" s="18" t="inlineStr">
        <is>
          <t>p1: R$ 403.317,43</t>
        </is>
      </c>
      <c r="AP355" s="18" t="inlineStr">
        <is>
          <t>QGC</t>
        </is>
      </c>
      <c r="AQ355" s="18" t="inlineStr"/>
      <c r="AR355" s="18" t="inlineStr">
        <is>
          <t>QUARANTINED</t>
        </is>
      </c>
      <c r="AS355" s="18" t="inlineStr">
        <is>
          <t>PARTIAL_DOC_CLASS_III_RECONCILED ROWS:p1r21</t>
        </is>
      </c>
      <c r="AT355" s="18" t="inlineStr">
        <is>
          <t>229081edb0ea</t>
        </is>
      </c>
    </row>
    <row r="356">
      <c r="A356" s="9" t="n">
        <v>355</v>
      </c>
      <c r="B356" s="9" t="inlineStr">
        <is>
          <t>NEW</t>
        </is>
      </c>
      <c r="C356" s="9" t="inlineStr"/>
      <c r="D356" s="9" t="n">
        <v>0</v>
      </c>
      <c r="E356" s="9" t="inlineStr"/>
      <c r="F356" s="9" t="inlineStr"/>
      <c r="G356" s="9" t="inlineStr"/>
      <c r="H356" s="9" t="inlineStr"/>
      <c r="I356" t="inlineStr">
        <is>
          <t>UNIDADE REVENDEDORA DE BEBIDAS LTDA</t>
        </is>
      </c>
      <c r="J356" t="inlineStr">
        <is>
          <t>Cervejaria Ambev</t>
        </is>
      </c>
      <c r="K356" t="inlineStr">
        <is>
          <t>12095666</t>
        </is>
      </c>
      <c r="L356" t="inlineStr">
        <is>
          <t>12095666000400</t>
        </is>
      </c>
      <c r="M356" s="10" t="n">
        <v>402999.19</v>
      </c>
      <c r="N356" t="n">
        <v>1</v>
      </c>
      <c r="O356" s="11" t="inlineStr">
        <is>
          <t>B</t>
        </is>
      </c>
      <c r="P356" s="11" t="inlineStr">
        <is>
          <t>ACTIVE</t>
        </is>
      </c>
      <c r="Q356" s="12" t="n">
        <v>46130</v>
      </c>
      <c r="R356" s="11">
        <f>IF(Q356="","",ROUND((TODAY()-Q356)/365.25,1))</f>
        <v/>
      </c>
      <c r="S356" s="13">
        <f>IFERROR(VLOOKUP(O356,Assumptions!$A$7:$F$11,2,FALSE),0.25)</f>
        <v/>
      </c>
      <c r="T356" s="14">
        <f>IF(O356="A",MAX(1,IFERROR(VLOOKUP(O356,Assumptions!$A$7:$F$11,3,FALSE),3)+IFERROR(VLOOKUP(O356,Assumptions!$A$7:$F$11,4,FALSE),8)/2-MAX(0,IF(R356="",0,R356)-IFERROR(VLOOKUP(O356,Assumptions!$A$7:$F$11,5,FALSE),1.5))),IFERROR(VLOOKUP(O356,Assumptions!$A$7:$F$11,5,FALSE),2.5)+IFERROR(VLOOKUP(O356,Assumptions!$A$7:$F$11,3,FALSE),3)+IFERROR(VLOOKUP(O356,Assumptions!$A$7:$F$11,4,FALSE),8)/2)</f>
        <v/>
      </c>
      <c r="U356" s="15">
        <f>M356*S356/(1+Assumptions!$B$3)^T356</f>
        <v/>
      </c>
      <c r="V356" s="11">
        <f>IF(M356=0,"",ROUND(U356/M356*100,1))</f>
        <v/>
      </c>
      <c r="W356" s="16">
        <f>U356*Assumptions!$B$4</f>
        <v/>
      </c>
      <c r="X356" s="11">
        <f>IF(M356=0,"",ROUND(W356/M356*100,1))</f>
        <v/>
      </c>
      <c r="Y356" t="inlineStr">
        <is>
          <t>GRUPO 3E</t>
        </is>
      </c>
      <c r="Z356" t="inlineStr">
        <is>
          <t>5341375-33.2026.8.09.0049</t>
        </is>
      </c>
      <c r="AA356" t="inlineStr">
        <is>
          <t>TJGO</t>
        </is>
      </c>
      <c r="AB356" t="inlineStr">
        <is>
          <t>stenius.com.br</t>
        </is>
      </c>
      <c r="AC356" t="inlineStr">
        <is>
          <t>GRAZIELA PEREZ DINAMARCO SOLERA</t>
        </is>
      </c>
      <c r="AD356" t="inlineStr">
        <is>
          <t>Sócio-Administrador</t>
        </is>
      </c>
      <c r="AE356" t="inlineStr">
        <is>
          <t>(62) 8455-8905</t>
        </is>
      </c>
      <c r="AF356" t="inlineStr"/>
      <c r="AG356" t="inlineStr"/>
      <c r="AH356" t="inlineStr">
        <is>
          <t>GO</t>
        </is>
      </c>
      <c r="AI356" t="inlineStr">
        <is>
          <t>PORANGATU</t>
        </is>
      </c>
      <c r="AJ356" t="inlineStr">
        <is>
          <t>Comércio atacadista de cerveja, chope e refrigerante</t>
        </is>
      </c>
      <c r="AK356" t="inlineStr">
        <is>
          <t>DEMAIS</t>
        </is>
      </c>
      <c r="AL356" t="inlineStr">
        <is>
          <t>ATIVA</t>
        </is>
      </c>
      <c r="AM356" s="17" t="inlineStr">
        <is>
          <t>https://stenius.com.br/wp-content/uploads/2026/06/EDITAL-GRUPO-3E.pdf</t>
        </is>
      </c>
      <c r="AN356" s="18" t="inlineStr">
        <is>
          <t>p11 r56</t>
        </is>
      </c>
      <c r="AO356" s="18" t="inlineStr">
        <is>
          <t>p11: R$ 402.999,19</t>
        </is>
      </c>
      <c r="AP356" s="18" t="inlineStr">
        <is>
          <t>DEBTOR_LIST</t>
        </is>
      </c>
      <c r="AQ356" s="18" t="inlineStr">
        <is>
          <t>2026-06-22</t>
        </is>
      </c>
      <c r="AR356" s="18" t="inlineStr">
        <is>
          <t>OK_NO_TOTALS</t>
        </is>
      </c>
      <c r="AS356" s="18" t="inlineStr">
        <is>
          <t>ROWS:p11r56 UNRECONCILED_SOURCE</t>
        </is>
      </c>
      <c r="AT356" s="18" t="inlineStr">
        <is>
          <t>8e8832093a15</t>
        </is>
      </c>
    </row>
    <row r="357">
      <c r="A357" s="9" t="n">
        <v>356</v>
      </c>
      <c r="B357" s="9" t="inlineStr">
        <is>
          <t>NEW</t>
        </is>
      </c>
      <c r="C357" s="9" t="inlineStr"/>
      <c r="D357" s="9" t="n">
        <v>0</v>
      </c>
      <c r="E357" s="9" t="inlineStr"/>
      <c r="F357" s="9" t="inlineStr"/>
      <c r="G357" s="9" t="inlineStr"/>
      <c r="H357" s="9" t="inlineStr"/>
      <c r="I357" t="inlineStr">
        <is>
          <t>COOPERATIVA DE PRODUTORES DE GRAOS DO ALTO URUGUAI LTDA</t>
        </is>
      </c>
      <c r="J357" t="inlineStr">
        <is>
          <t>2.24COOP. DE PRODUTORES DE GRÃOS DO ALTO URUGUAI LTDA</t>
        </is>
      </c>
      <c r="K357" t="inlineStr">
        <is>
          <t>05039208</t>
        </is>
      </c>
      <c r="L357" t="inlineStr">
        <is>
          <t>05039208000138</t>
        </is>
      </c>
      <c r="M357" s="10" t="n">
        <v>401745.93</v>
      </c>
      <c r="N357" t="n">
        <v>1</v>
      </c>
      <c r="O357" s="11" t="inlineStr">
        <is>
          <t>B</t>
        </is>
      </c>
      <c r="P357" s="11" t="inlineStr">
        <is>
          <t>ACTIVE</t>
        </is>
      </c>
      <c r="Q357" s="12" t="n">
        <v>45534</v>
      </c>
      <c r="R357" s="11">
        <f>IF(Q357="","",ROUND((TODAY()-Q357)/365.25,1))</f>
        <v/>
      </c>
      <c r="S357" s="13">
        <f>IFERROR(VLOOKUP(O357,Assumptions!$A$7:$F$11,2,FALSE),0.25)</f>
        <v/>
      </c>
      <c r="T357" s="14">
        <f>IF(O357="A",MAX(1,IFERROR(VLOOKUP(O357,Assumptions!$A$7:$F$11,3,FALSE),3)+IFERROR(VLOOKUP(O357,Assumptions!$A$7:$F$11,4,FALSE),8)/2-MAX(0,IF(R357="",0,R357)-IFERROR(VLOOKUP(O357,Assumptions!$A$7:$F$11,5,FALSE),1.5))),IFERROR(VLOOKUP(O357,Assumptions!$A$7:$F$11,5,FALSE),2.5)+IFERROR(VLOOKUP(O357,Assumptions!$A$7:$F$11,3,FALSE),3)+IFERROR(VLOOKUP(O357,Assumptions!$A$7:$F$11,4,FALSE),8)/2)</f>
        <v/>
      </c>
      <c r="U357" s="15">
        <f>M357*S357/(1+Assumptions!$B$3)^T357</f>
        <v/>
      </c>
      <c r="V357" s="11">
        <f>IF(M357=0,"",ROUND(U357/M357*100,1))</f>
        <v/>
      </c>
      <c r="W357" s="16">
        <f>U357*Assumptions!$B$4</f>
        <v/>
      </c>
      <c r="X357" s="11">
        <f>IF(M357=0,"",ROUND(W357/M357*100,1))</f>
        <v/>
      </c>
      <c r="Y357" t="inlineStr">
        <is>
          <t>SUINOCULTURA KUNZLER</t>
        </is>
      </c>
      <c r="Z357" t="inlineStr">
        <is>
          <t>5009149-92.2024.8.24.0019</t>
        </is>
      </c>
      <c r="AA357" t="inlineStr">
        <is>
          <t>TJSC</t>
        </is>
      </c>
      <c r="AB357" t="inlineStr">
        <is>
          <t>rlg-aj.com.br</t>
        </is>
      </c>
      <c r="AC357" t="inlineStr">
        <is>
          <t>ALEX SCOLARI RIGO</t>
        </is>
      </c>
      <c r="AD357" t="inlineStr">
        <is>
          <t>Administrador</t>
        </is>
      </c>
      <c r="AE357" t="inlineStr">
        <is>
          <t>(54) 9983-4616</t>
        </is>
      </c>
      <c r="AF357" t="inlineStr"/>
      <c r="AG357" t="inlineStr"/>
      <c r="AH357" t="inlineStr">
        <is>
          <t>RS</t>
        </is>
      </c>
      <c r="AI357" t="inlineStr">
        <is>
          <t>ESTACAO</t>
        </is>
      </c>
      <c r="AJ357" t="inlineStr">
        <is>
          <t>Comércio atacadista de cereais e leguminosas beneficiados</t>
        </is>
      </c>
      <c r="AK357" t="inlineStr">
        <is>
          <t>DEMAIS</t>
        </is>
      </c>
      <c r="AL357" t="inlineStr">
        <is>
          <t>ATIVA</t>
        </is>
      </c>
      <c r="AM357" s="17" t="inlineStr">
        <is>
          <t>https://rlg-aj.com.br/wp-content/uploads/2024/11/07.-Relação-de-credores.pdf</t>
        </is>
      </c>
      <c r="AN357" s="18" t="inlineStr">
        <is>
          <t>p1 r30</t>
        </is>
      </c>
      <c r="AO357" s="18" t="inlineStr">
        <is>
          <t>p1: R$ 401.745,93</t>
        </is>
      </c>
      <c r="AP357" s="18" t="inlineStr">
        <is>
          <t>UNKNOWN</t>
        </is>
      </c>
      <c r="AQ357" s="18" t="inlineStr"/>
      <c r="AR357" s="18" t="inlineStr">
        <is>
          <t>OK_NO_TOTALS</t>
        </is>
      </c>
      <c r="AS357" s="18" t="inlineStr">
        <is>
          <t>ROWS:p1r30 UNRECONCILED_SOURCE</t>
        </is>
      </c>
      <c r="AT357" s="18" t="inlineStr">
        <is>
          <t>a62ac8ee0458</t>
        </is>
      </c>
    </row>
    <row r="358">
      <c r="A358" s="9" t="n">
        <v>357</v>
      </c>
      <c r="B358" s="9" t="inlineStr">
        <is>
          <t>NEW</t>
        </is>
      </c>
      <c r="C358" s="9" t="inlineStr"/>
      <c r="D358" s="9" t="n">
        <v>0</v>
      </c>
      <c r="E358" s="9" t="inlineStr"/>
      <c r="F358" s="9" t="inlineStr"/>
      <c r="G358" s="9" t="inlineStr"/>
      <c r="H358" s="9" t="inlineStr"/>
      <c r="I358" t="inlineStr">
        <is>
          <t>EPE - PRODUTOS AGROPECUARIOS LTDA</t>
        </is>
      </c>
      <c r="J358" t="inlineStr">
        <is>
          <t>EPE - PRODUTOS AGROPECUARIOS LTDA</t>
        </is>
      </c>
      <c r="K358" t="inlineStr">
        <is>
          <t>05860157</t>
        </is>
      </c>
      <c r="L358" t="inlineStr">
        <is>
          <t>05860157000100</t>
        </is>
      </c>
      <c r="M358" s="10" t="n">
        <v>399413.94</v>
      </c>
      <c r="N358" t="n">
        <v>1</v>
      </c>
      <c r="O358" s="11" t="inlineStr">
        <is>
          <t>C</t>
        </is>
      </c>
      <c r="P358" s="11" t="inlineStr"/>
      <c r="Q358" s="12" t="inlineStr"/>
      <c r="R358" s="11">
        <f>IF(Q358="","",ROUND((TODAY()-Q358)/365.25,1))</f>
        <v/>
      </c>
      <c r="S358" s="13">
        <f>IFERROR(VLOOKUP(O358,Assumptions!$A$7:$F$11,2,FALSE),0.25)</f>
        <v/>
      </c>
      <c r="T358" s="14">
        <f>IF(O358="A",MAX(1,IFERROR(VLOOKUP(O358,Assumptions!$A$7:$F$11,3,FALSE),3)+IFERROR(VLOOKUP(O358,Assumptions!$A$7:$F$11,4,FALSE),8)/2-MAX(0,IF(R358="",0,R358)-IFERROR(VLOOKUP(O358,Assumptions!$A$7:$F$11,5,FALSE),1.5))),IFERROR(VLOOKUP(O358,Assumptions!$A$7:$F$11,5,FALSE),2.5)+IFERROR(VLOOKUP(O358,Assumptions!$A$7:$F$11,3,FALSE),3)+IFERROR(VLOOKUP(O358,Assumptions!$A$7:$F$11,4,FALSE),8)/2)</f>
        <v/>
      </c>
      <c r="U358" s="15">
        <f>M358*S358/(1+Assumptions!$B$3)^T358</f>
        <v/>
      </c>
      <c r="V358" s="11">
        <f>IF(M358=0,"",ROUND(U358/M358*100,1))</f>
        <v/>
      </c>
      <c r="W358" s="16">
        <f>U358*Assumptions!$B$4</f>
        <v/>
      </c>
      <c r="X358" s="11">
        <f>IF(M358=0,"",ROUND(W358/M358*100,1))</f>
        <v/>
      </c>
      <c r="Y358" t="inlineStr">
        <is>
          <t>AGROPECUÁRIA SERROTE REDONDO</t>
        </is>
      </c>
      <c r="Z358" t="inlineStr">
        <is>
          <t>0000206-69.2013.8.17.1340</t>
        </is>
      </c>
      <c r="AA358" t="inlineStr"/>
      <c r="AB358" t="inlineStr">
        <is>
          <t>lrflideres.com.br</t>
        </is>
      </c>
      <c r="AC358" t="inlineStr">
        <is>
          <t>EDIVAL VERAS DE BARROS CAMPELO FILHO</t>
        </is>
      </c>
      <c r="AD358" t="inlineStr">
        <is>
          <t>Sócio-Administrador</t>
        </is>
      </c>
      <c r="AE358" t="inlineStr">
        <is>
          <t>(81) 3465-3775</t>
        </is>
      </c>
      <c r="AF358" t="inlineStr">
        <is>
          <t>(81) 8865-3037</t>
        </is>
      </c>
      <c r="AG358" t="inlineStr"/>
      <c r="AH358" t="inlineStr">
        <is>
          <t>PE</t>
        </is>
      </c>
      <c r="AI358" t="inlineStr">
        <is>
          <t>GARANHUNS</t>
        </is>
      </c>
      <c r="AJ358" t="inlineStr">
        <is>
          <t>Comércio atacadista de mercadorias em geral, com predominância de insumos agropecuários</t>
        </is>
      </c>
      <c r="AK358" t="inlineStr">
        <is>
          <t>DEMAIS</t>
        </is>
      </c>
      <c r="AL358" t="inlineStr">
        <is>
          <t>ATIVA</t>
        </is>
      </c>
      <c r="AM358" s="17" t="inlineStr">
        <is>
          <t>https://lrflideres.com.br/wp-content/plugins/download-attachments/includes/download.php?id=5001</t>
        </is>
      </c>
      <c r="AN358" s="18" t="inlineStr">
        <is>
          <t>p2 r4</t>
        </is>
      </c>
      <c r="AO358" s="18" t="inlineStr">
        <is>
          <t>p2: R$ 399.413,94</t>
        </is>
      </c>
      <c r="AP358" s="18" t="inlineStr">
        <is>
          <t>UNKNOWN</t>
        </is>
      </c>
      <c r="AQ358" s="18" t="inlineStr"/>
      <c r="AR358" s="18" t="inlineStr">
        <is>
          <t>OK</t>
        </is>
      </c>
      <c r="AS358" s="18" t="inlineStr">
        <is>
          <t>ALT_VALUE:399.413,94 ROWS:p2r4</t>
        </is>
      </c>
      <c r="AT358" s="18" t="inlineStr">
        <is>
          <t>7c0ce2830d0d</t>
        </is>
      </c>
    </row>
    <row r="359">
      <c r="A359" s="9" t="n">
        <v>358</v>
      </c>
      <c r="B359" s="9" t="inlineStr">
        <is>
          <t>NEW</t>
        </is>
      </c>
      <c r="C359" s="9" t="inlineStr"/>
      <c r="D359" s="9" t="n">
        <v>0</v>
      </c>
      <c r="E359" s="9" t="inlineStr"/>
      <c r="F359" s="9" t="inlineStr"/>
      <c r="G359" s="9" t="inlineStr"/>
      <c r="H359" s="9" t="inlineStr"/>
      <c r="I359" t="inlineStr">
        <is>
          <t>INDUSTRIA DE CARROCERIAS METALICAS IBIPORA LTDA</t>
        </is>
      </c>
      <c r="J359" t="inlineStr">
        <is>
          <t>Ind. De Carrocerias Metalicas Ibipora Ltda</t>
        </is>
      </c>
      <c r="K359" t="inlineStr">
        <is>
          <t>85462471</t>
        </is>
      </c>
      <c r="L359" t="inlineStr">
        <is>
          <t>85462471000174</t>
        </is>
      </c>
      <c r="M359" s="10" t="n">
        <v>398969.08</v>
      </c>
      <c r="N359" t="n">
        <v>1</v>
      </c>
      <c r="O359" s="11" t="inlineStr">
        <is>
          <t>B</t>
        </is>
      </c>
      <c r="P359" s="11" t="inlineStr">
        <is>
          <t>ACTIVE</t>
        </is>
      </c>
      <c r="Q359" s="12" t="n">
        <v>46130</v>
      </c>
      <c r="R359" s="11">
        <f>IF(Q359="","",ROUND((TODAY()-Q359)/365.25,1))</f>
        <v/>
      </c>
      <c r="S359" s="13">
        <f>IFERROR(VLOOKUP(O359,Assumptions!$A$7:$F$11,2,FALSE),0.25)</f>
        <v/>
      </c>
      <c r="T359" s="14">
        <f>IF(O359="A",MAX(1,IFERROR(VLOOKUP(O359,Assumptions!$A$7:$F$11,3,FALSE),3)+IFERROR(VLOOKUP(O359,Assumptions!$A$7:$F$11,4,FALSE),8)/2-MAX(0,IF(R359="",0,R359)-IFERROR(VLOOKUP(O359,Assumptions!$A$7:$F$11,5,FALSE),1.5))),IFERROR(VLOOKUP(O359,Assumptions!$A$7:$F$11,5,FALSE),2.5)+IFERROR(VLOOKUP(O359,Assumptions!$A$7:$F$11,3,FALSE),3)+IFERROR(VLOOKUP(O359,Assumptions!$A$7:$F$11,4,FALSE),8)/2)</f>
        <v/>
      </c>
      <c r="U359" s="15">
        <f>M359*S359/(1+Assumptions!$B$3)^T359</f>
        <v/>
      </c>
      <c r="V359" s="11">
        <f>IF(M359=0,"",ROUND(U359/M359*100,1))</f>
        <v/>
      </c>
      <c r="W359" s="16">
        <f>U359*Assumptions!$B$4</f>
        <v/>
      </c>
      <c r="X359" s="11">
        <f>IF(M359=0,"",ROUND(W359/M359*100,1))</f>
        <v/>
      </c>
      <c r="Y359" t="inlineStr">
        <is>
          <t>GRUPO 3E</t>
        </is>
      </c>
      <c r="Z359" t="inlineStr">
        <is>
          <t>5341375-33.2026.8.09.0049</t>
        </is>
      </c>
      <c r="AA359" t="inlineStr">
        <is>
          <t>TJGO</t>
        </is>
      </c>
      <c r="AB359" t="inlineStr">
        <is>
          <t>stenius.com.br</t>
        </is>
      </c>
      <c r="AC359" t="inlineStr">
        <is>
          <t>DAVID WILLIAM MARTINS DA COSTA</t>
        </is>
      </c>
      <c r="AD359" t="inlineStr">
        <is>
          <t>Sócio-Administrador</t>
        </is>
      </c>
      <c r="AE359" t="inlineStr">
        <is>
          <t>(43) 3178-5000</t>
        </is>
      </c>
      <c r="AF359" t="inlineStr"/>
      <c r="AG359" t="inlineStr"/>
      <c r="AH359" t="inlineStr">
        <is>
          <t>PR</t>
        </is>
      </c>
      <c r="AI359" t="inlineStr">
        <is>
          <t>IBIPORA</t>
        </is>
      </c>
      <c r="AJ359" t="inlineStr">
        <is>
          <t>Fabricação de cabines, carrocerias e reboques para caminhões</t>
        </is>
      </c>
      <c r="AK359" t="inlineStr">
        <is>
          <t>DEMAIS</t>
        </is>
      </c>
      <c r="AL359" t="inlineStr">
        <is>
          <t>ATIVA</t>
        </is>
      </c>
      <c r="AM359" s="17" t="inlineStr">
        <is>
          <t>https://stenius.com.br/wp-content/uploads/2026/06/EDITAL-GRUPO-3E.pdf</t>
        </is>
      </c>
      <c r="AN359" s="18" t="inlineStr">
        <is>
          <t>p14 r52</t>
        </is>
      </c>
      <c r="AO359" s="18" t="inlineStr">
        <is>
          <t>p14: R$ 398.969,08</t>
        </is>
      </c>
      <c r="AP359" s="18" t="inlineStr">
        <is>
          <t>DEBTOR_LIST</t>
        </is>
      </c>
      <c r="AQ359" s="18" t="inlineStr">
        <is>
          <t>2026-06-22</t>
        </is>
      </c>
      <c r="AR359" s="18" t="inlineStr">
        <is>
          <t>OK_NO_TOTALS</t>
        </is>
      </c>
      <c r="AS359" s="18" t="inlineStr">
        <is>
          <t>ROWS:p14r52 UNRECONCILED_SOURCE</t>
        </is>
      </c>
      <c r="AT359" s="18" t="inlineStr">
        <is>
          <t>8e8832093a15</t>
        </is>
      </c>
    </row>
    <row r="360">
      <c r="A360" s="9" t="n">
        <v>359</v>
      </c>
      <c r="B360" s="9" t="inlineStr">
        <is>
          <t>NEW</t>
        </is>
      </c>
      <c r="C360" s="9" t="inlineStr"/>
      <c r="D360" s="9" t="n">
        <v>0</v>
      </c>
      <c r="E360" s="9" t="inlineStr"/>
      <c r="F360" s="9" t="inlineStr"/>
      <c r="G360" s="9" t="inlineStr"/>
      <c r="H360" s="9" t="inlineStr"/>
      <c r="I360" t="inlineStr">
        <is>
          <t>SAO LUIS ADMINISTRADORA DE SHOPPING CENTER LTDA</t>
        </is>
      </c>
      <c r="J360" t="inlineStr">
        <is>
          <t>SAO LUIS ADMINISTRADORA DE SHOPPING CENTER LTDA</t>
        </is>
      </c>
      <c r="K360" t="inlineStr">
        <is>
          <t>01637668</t>
        </is>
      </c>
      <c r="L360" t="inlineStr">
        <is>
          <t>01637668000107</t>
        </is>
      </c>
      <c r="M360" s="10" t="n">
        <v>398428.76</v>
      </c>
      <c r="N360" t="n">
        <v>1</v>
      </c>
      <c r="O360" s="11" t="inlineStr">
        <is>
          <t>C</t>
        </is>
      </c>
      <c r="P360" s="11" t="inlineStr">
        <is>
          <t>ACTIVE</t>
        </is>
      </c>
      <c r="Q360" s="12" t="n">
        <v>44571</v>
      </c>
      <c r="R360" s="11">
        <f>IF(Q360="","",ROUND((TODAY()-Q360)/365.25,1))</f>
        <v/>
      </c>
      <c r="S360" s="13">
        <f>IFERROR(VLOOKUP(O360,Assumptions!$A$7:$F$11,2,FALSE),0.25)</f>
        <v/>
      </c>
      <c r="T360" s="14">
        <f>IF(O360="A",MAX(1,IFERROR(VLOOKUP(O360,Assumptions!$A$7:$F$11,3,FALSE),3)+IFERROR(VLOOKUP(O360,Assumptions!$A$7:$F$11,4,FALSE),8)/2-MAX(0,IF(R360="",0,R360)-IFERROR(VLOOKUP(O360,Assumptions!$A$7:$F$11,5,FALSE),1.5))),IFERROR(VLOOKUP(O360,Assumptions!$A$7:$F$11,5,FALSE),2.5)+IFERROR(VLOOKUP(O360,Assumptions!$A$7:$F$11,3,FALSE),3)+IFERROR(VLOOKUP(O360,Assumptions!$A$7:$F$11,4,FALSE),8)/2)</f>
        <v/>
      </c>
      <c r="U360" s="15">
        <f>M360*S360/(1+Assumptions!$B$3)^T360</f>
        <v/>
      </c>
      <c r="V360" s="11">
        <f>IF(M360=0,"",ROUND(U360/M360*100,1))</f>
        <v/>
      </c>
      <c r="W360" s="16">
        <f>U360*Assumptions!$B$4</f>
        <v/>
      </c>
      <c r="X360" s="11">
        <f>IF(M360=0,"",ROUND(W360/M360*100,1))</f>
        <v/>
      </c>
      <c r="Y360" t="inlineStr">
        <is>
          <t>GRUPO CATTAN</t>
        </is>
      </c>
      <c r="Z360" t="inlineStr">
        <is>
          <t>0002484-82.2022.8.17.2001</t>
        </is>
      </c>
      <c r="AA360" t="inlineStr">
        <is>
          <t>TJPE</t>
        </is>
      </c>
      <c r="AB360" t="inlineStr">
        <is>
          <t>lrflideres.com.br</t>
        </is>
      </c>
      <c r="AC360" t="inlineStr">
        <is>
          <t>ANGELICA DE MEDEIROS CLAUDINO</t>
        </is>
      </c>
      <c r="AD360" t="inlineStr">
        <is>
          <t>Administrador</t>
        </is>
      </c>
      <c r="AE360" t="inlineStr">
        <is>
          <t>(98) 3313-3760</t>
        </is>
      </c>
      <c r="AF360" t="inlineStr">
        <is>
          <t>(98) 3313-3777</t>
        </is>
      </c>
      <c r="AG360" t="inlineStr"/>
      <c r="AH360" t="inlineStr">
        <is>
          <t>MA</t>
        </is>
      </c>
      <c r="AI360" t="inlineStr">
        <is>
          <t>SAO LUIS</t>
        </is>
      </c>
      <c r="AJ360" t="inlineStr">
        <is>
          <t>Gestão e administração da propriedade imobiliária</t>
        </is>
      </c>
      <c r="AK360" t="inlineStr">
        <is>
          <t>DEMAIS</t>
        </is>
      </c>
      <c r="AL360" t="inlineStr">
        <is>
          <t>ATIVA</t>
        </is>
      </c>
      <c r="AM360" s="17" t="inlineStr">
        <is>
          <t>https://lrflideres.com.br/wp-content/plugins/download-attachments/includes/download.php?id=4023</t>
        </is>
      </c>
      <c r="AN360" s="18" t="inlineStr">
        <is>
          <t>p7 r119</t>
        </is>
      </c>
      <c r="AO360" s="18" t="inlineStr">
        <is>
          <t>p7: R$ 398.428,76</t>
        </is>
      </c>
      <c r="AP360" s="18" t="inlineStr">
        <is>
          <t>DEBTOR_LIST</t>
        </is>
      </c>
      <c r="AQ360" s="18" t="inlineStr"/>
      <c r="AR360" s="18" t="inlineStr">
        <is>
          <t>QUARANTINED</t>
        </is>
      </c>
      <c r="AS360" s="18" t="inlineStr">
        <is>
          <t>PARTIAL_DOC_CLASS_III_RECONCILED ROWS:p7r119</t>
        </is>
      </c>
      <c r="AT360" s="18" t="inlineStr">
        <is>
          <t>f3b6182e3aa2</t>
        </is>
      </c>
    </row>
    <row r="361">
      <c r="A361" s="9" t="n">
        <v>360</v>
      </c>
      <c r="B361" s="9" t="inlineStr">
        <is>
          <t>NEW</t>
        </is>
      </c>
      <c r="C361" s="9" t="inlineStr"/>
      <c r="D361" s="9" t="n">
        <v>0</v>
      </c>
      <c r="E361" s="9" t="inlineStr"/>
      <c r="F361" s="9" t="inlineStr"/>
      <c r="G361" s="9" t="inlineStr"/>
      <c r="H361" s="9" t="inlineStr"/>
      <c r="I361" t="inlineStr">
        <is>
          <t>HEMOPROT INDUSTRIA E COMERCIO DE PRODUTOS FRIGORIFICOS LTDA</t>
        </is>
      </c>
      <c r="J361" t="inlineStr">
        <is>
          <t>Hemoprot</t>
        </is>
      </c>
      <c r="K361" t="inlineStr">
        <is>
          <t>02525961</t>
        </is>
      </c>
      <c r="L361" t="inlineStr">
        <is>
          <t>02525961000498</t>
        </is>
      </c>
      <c r="M361" s="10" t="n">
        <v>398000</v>
      </c>
      <c r="N361" t="n">
        <v>1</v>
      </c>
      <c r="O361" s="11" t="inlineStr">
        <is>
          <t>B</t>
        </is>
      </c>
      <c r="P361" s="11" t="inlineStr">
        <is>
          <t>ACTIVE</t>
        </is>
      </c>
      <c r="Q361" s="12" t="n">
        <v>46130</v>
      </c>
      <c r="R361" s="11">
        <f>IF(Q361="","",ROUND((TODAY()-Q361)/365.25,1))</f>
        <v/>
      </c>
      <c r="S361" s="13">
        <f>IFERROR(VLOOKUP(O361,Assumptions!$A$7:$F$11,2,FALSE),0.25)</f>
        <v/>
      </c>
      <c r="T361" s="14">
        <f>IF(O361="A",MAX(1,IFERROR(VLOOKUP(O361,Assumptions!$A$7:$F$11,3,FALSE),3)+IFERROR(VLOOKUP(O361,Assumptions!$A$7:$F$11,4,FALSE),8)/2-MAX(0,IF(R361="",0,R361)-IFERROR(VLOOKUP(O361,Assumptions!$A$7:$F$11,5,FALSE),1.5))),IFERROR(VLOOKUP(O361,Assumptions!$A$7:$F$11,5,FALSE),2.5)+IFERROR(VLOOKUP(O361,Assumptions!$A$7:$F$11,3,FALSE),3)+IFERROR(VLOOKUP(O361,Assumptions!$A$7:$F$11,4,FALSE),8)/2)</f>
        <v/>
      </c>
      <c r="U361" s="15">
        <f>M361*S361/(1+Assumptions!$B$3)^T361</f>
        <v/>
      </c>
      <c r="V361" s="11">
        <f>IF(M361=0,"",ROUND(U361/M361*100,1))</f>
        <v/>
      </c>
      <c r="W361" s="16">
        <f>U361*Assumptions!$B$4</f>
        <v/>
      </c>
      <c r="X361" s="11">
        <f>IF(M361=0,"",ROUND(W361/M361*100,1))</f>
        <v/>
      </c>
      <c r="Y361" t="inlineStr">
        <is>
          <t>GRUPO 3E</t>
        </is>
      </c>
      <c r="Z361" t="inlineStr">
        <is>
          <t>5341375-33.2026.8.09.0049</t>
        </is>
      </c>
      <c r="AA361" t="inlineStr">
        <is>
          <t>TJGO</t>
        </is>
      </c>
      <c r="AB361" t="inlineStr">
        <is>
          <t>stenius.com.br</t>
        </is>
      </c>
      <c r="AC361" t="inlineStr">
        <is>
          <t>GUIDO ALOIS LUDVIG</t>
        </is>
      </c>
      <c r="AD361" t="inlineStr">
        <is>
          <t>Administrador</t>
        </is>
      </c>
      <c r="AE361" t="inlineStr">
        <is>
          <t>(67) 9212-6719</t>
        </is>
      </c>
      <c r="AF361" t="inlineStr"/>
      <c r="AG361" t="inlineStr"/>
      <c r="AH361" t="inlineStr">
        <is>
          <t>MS</t>
        </is>
      </c>
      <c r="AI361" t="inlineStr">
        <is>
          <t>MUNDO NOVO</t>
        </is>
      </c>
      <c r="AJ361" t="inlineStr">
        <is>
          <t>Preparação de subprodutos do abate</t>
        </is>
      </c>
      <c r="AK361" t="inlineStr">
        <is>
          <t>DEMAIS</t>
        </is>
      </c>
      <c r="AL361" t="inlineStr">
        <is>
          <t>ATIVA</t>
        </is>
      </c>
      <c r="AM361" s="17" t="inlineStr">
        <is>
          <t>https://stenius.com.br/wp-content/uploads/2026/06/EDITAL-GRUPO-3E.pdf</t>
        </is>
      </c>
      <c r="AN361" s="18" t="inlineStr">
        <is>
          <t>p14 r36</t>
        </is>
      </c>
      <c r="AO361" s="18" t="inlineStr">
        <is>
          <t>p14: R$ 398.000,00</t>
        </is>
      </c>
      <c r="AP361" s="18" t="inlineStr">
        <is>
          <t>DEBTOR_LIST</t>
        </is>
      </c>
      <c r="AQ361" s="18" t="inlineStr">
        <is>
          <t>2026-06-22</t>
        </is>
      </c>
      <c r="AR361" s="18" t="inlineStr">
        <is>
          <t>OK_NO_TOTALS</t>
        </is>
      </c>
      <c r="AS361" s="18" t="inlineStr">
        <is>
          <t>ROWS:p14r36 UNRECONCILED_SOURCE</t>
        </is>
      </c>
      <c r="AT361" s="18" t="inlineStr">
        <is>
          <t>8e8832093a15</t>
        </is>
      </c>
    </row>
    <row r="362">
      <c r="A362" s="9" t="n">
        <v>361</v>
      </c>
      <c r="B362" s="9" t="inlineStr">
        <is>
          <t>NEW</t>
        </is>
      </c>
      <c r="C362" s="9" t="inlineStr"/>
      <c r="D362" s="9" t="n">
        <v>0</v>
      </c>
      <c r="E362" s="9" t="inlineStr"/>
      <c r="F362" s="9" t="inlineStr"/>
      <c r="G362" s="9" t="inlineStr"/>
      <c r="H362" s="9" t="inlineStr"/>
      <c r="I362" t="inlineStr">
        <is>
          <t>GUINDASTES TRIANGULO LTDA</t>
        </is>
      </c>
      <c r="J362" t="inlineStr">
        <is>
          <t>Guindastes Triangulo Ltda</t>
        </is>
      </c>
      <c r="K362" t="inlineStr">
        <is>
          <t>41687757</t>
        </is>
      </c>
      <c r="L362" t="inlineStr">
        <is>
          <t>41687757000182</t>
        </is>
      </c>
      <c r="M362" s="10" t="n">
        <v>397947.39</v>
      </c>
      <c r="N362" t="n">
        <v>1</v>
      </c>
      <c r="O362" s="11" t="inlineStr">
        <is>
          <t>B</t>
        </is>
      </c>
      <c r="P362" s="11" t="inlineStr"/>
      <c r="Q362" s="12" t="n">
        <v>45756</v>
      </c>
      <c r="R362" s="11">
        <f>IF(Q362="","",ROUND((TODAY()-Q362)/365.25,1))</f>
        <v/>
      </c>
      <c r="S362" s="13">
        <f>IFERROR(VLOOKUP(O362,Assumptions!$A$7:$F$11,2,FALSE),0.25)</f>
        <v/>
      </c>
      <c r="T362" s="14">
        <f>IF(O362="A",MAX(1,IFERROR(VLOOKUP(O362,Assumptions!$A$7:$F$11,3,FALSE),3)+IFERROR(VLOOKUP(O362,Assumptions!$A$7:$F$11,4,FALSE),8)/2-MAX(0,IF(R362="",0,R362)-IFERROR(VLOOKUP(O362,Assumptions!$A$7:$F$11,5,FALSE),1.5))),IFERROR(VLOOKUP(O362,Assumptions!$A$7:$F$11,5,FALSE),2.5)+IFERROR(VLOOKUP(O362,Assumptions!$A$7:$F$11,3,FALSE),3)+IFERROR(VLOOKUP(O362,Assumptions!$A$7:$F$11,4,FALSE),8)/2)</f>
        <v/>
      </c>
      <c r="U362" s="15">
        <f>M362*S362/(1+Assumptions!$B$3)^T362</f>
        <v/>
      </c>
      <c r="V362" s="11">
        <f>IF(M362=0,"",ROUND(U362/M362*100,1))</f>
        <v/>
      </c>
      <c r="W362" s="16">
        <f>U362*Assumptions!$B$4</f>
        <v/>
      </c>
      <c r="X362" s="11">
        <f>IF(M362=0,"",ROUND(W362/M362*100,1))</f>
        <v/>
      </c>
      <c r="Y362" t="inlineStr">
        <is>
          <t>GRUPO EGESA (EGESA ENG S.A, EGESUR PART E EMP S.A, MATRIX INFRA LTDA, BEMVIVER ENG AMBIENTAL E SERV LTDA, DKF CONST E EMP LTDA, EGEPEL LTDA, ETR ASSESSORIA EMP E PART LTDA, MVT ENG E SERV LTDA, PARQUES DO VALE LTDA, ELMO RIBEIRO E ANA RIBEIRO)</t>
        </is>
      </c>
      <c r="Z362" t="inlineStr">
        <is>
          <t>5088952-81.2025.8.13.0024</t>
        </is>
      </c>
      <c r="AA362" t="inlineStr">
        <is>
          <t>TJMG</t>
        </is>
      </c>
      <c r="AB362" t="inlineStr">
        <is>
          <t>scalzilliaj.com.br</t>
        </is>
      </c>
      <c r="AC362" t="inlineStr">
        <is>
          <t>IDERVAL DE MORAIS FERRAZ</t>
        </is>
      </c>
      <c r="AD362" t="inlineStr">
        <is>
          <t>Administrador</t>
        </is>
      </c>
      <c r="AE362" t="inlineStr"/>
      <c r="AF362" t="inlineStr"/>
      <c r="AG362" t="inlineStr"/>
      <c r="AH362" t="inlineStr">
        <is>
          <t>MG</t>
        </is>
      </c>
      <c r="AI362" t="inlineStr">
        <is>
          <t>UBERLANDIA</t>
        </is>
      </c>
      <c r="AJ362" t="inlineStr">
        <is>
          <t>Aluguel de outras máquinas e equipamentos comerciais e industriais não especificados anteriormente, sem operador</t>
        </is>
      </c>
      <c r="AK362" t="inlineStr">
        <is>
          <t>DEMAIS</t>
        </is>
      </c>
      <c r="AL362" t="inlineStr">
        <is>
          <t>ATIVA</t>
        </is>
      </c>
      <c r="AM362" s="17" t="inlineStr">
        <is>
          <t>https://scalzilliaj.com.br/sgc/download.php?file=files/processo_documento/processo_documento09514021082025_1_.pdf&amp;nome=04 - Relação de credores das Recuperandas</t>
        </is>
      </c>
      <c r="AN362" s="18" t="inlineStr">
        <is>
          <t>p67 r14</t>
        </is>
      </c>
      <c r="AO362" s="18" t="inlineStr">
        <is>
          <t>p67: R$ 397.947,39</t>
        </is>
      </c>
      <c r="AP362" s="18" t="inlineStr">
        <is>
          <t>DEBTOR_LIST</t>
        </is>
      </c>
      <c r="AQ362" s="18" t="inlineStr"/>
      <c r="AR362" s="18" t="inlineStr">
        <is>
          <t>OK</t>
        </is>
      </c>
      <c r="AS362" s="18" t="inlineStr">
        <is>
          <t>ROWS:p67r14 VALUE_COL:Valor_Atualizado CASE_NUMBER_CORRECTED CASE_FROM_PORTAL</t>
        </is>
      </c>
      <c r="AT362" s="18" t="inlineStr">
        <is>
          <t>24ed98480a57</t>
        </is>
      </c>
    </row>
    <row r="363">
      <c r="A363" s="9" t="n">
        <v>362</v>
      </c>
      <c r="B363" s="9" t="inlineStr">
        <is>
          <t>NEW</t>
        </is>
      </c>
      <c r="C363" s="9" t="inlineStr"/>
      <c r="D363" s="9" t="n">
        <v>0</v>
      </c>
      <c r="E363" s="9" t="inlineStr"/>
      <c r="F363" s="9" t="inlineStr"/>
      <c r="G363" s="9" t="inlineStr"/>
      <c r="H363" s="9" t="inlineStr"/>
      <c r="I363" t="inlineStr">
        <is>
          <t>PROGER-COMERCIO IMPORTACAO E EXPORTACAO LTDA</t>
        </is>
      </c>
      <c r="J363" t="inlineStr">
        <is>
          <t>PROGER COMÉRCIO, IMPORTAÇÃO E EXPORTAÇÃO LTDA (</t>
        </is>
      </c>
      <c r="K363" t="inlineStr">
        <is>
          <t>02017233</t>
        </is>
      </c>
      <c r="L363" t="inlineStr">
        <is>
          <t>02017233000122</t>
        </is>
      </c>
      <c r="M363" s="10" t="n">
        <v>397886.19</v>
      </c>
      <c r="N363" t="n">
        <v>1</v>
      </c>
      <c r="O363" s="11" t="inlineStr">
        <is>
          <t>C</t>
        </is>
      </c>
      <c r="P363" s="11" t="inlineStr">
        <is>
          <t>ACTIVE</t>
        </is>
      </c>
      <c r="Q363" s="12" t="n">
        <v>44735</v>
      </c>
      <c r="R363" s="11">
        <f>IF(Q363="","",ROUND((TODAY()-Q363)/365.25,1))</f>
        <v/>
      </c>
      <c r="S363" s="13">
        <f>IFERROR(VLOOKUP(O363,Assumptions!$A$7:$F$11,2,FALSE),0.25)</f>
        <v/>
      </c>
      <c r="T363" s="14">
        <f>IF(O363="A",MAX(1,IFERROR(VLOOKUP(O363,Assumptions!$A$7:$F$11,3,FALSE),3)+IFERROR(VLOOKUP(O363,Assumptions!$A$7:$F$11,4,FALSE),8)/2-MAX(0,IF(R363="",0,R363)-IFERROR(VLOOKUP(O363,Assumptions!$A$7:$F$11,5,FALSE),1.5))),IFERROR(VLOOKUP(O363,Assumptions!$A$7:$F$11,5,FALSE),2.5)+IFERROR(VLOOKUP(O363,Assumptions!$A$7:$F$11,3,FALSE),3)+IFERROR(VLOOKUP(O363,Assumptions!$A$7:$F$11,4,FALSE),8)/2)</f>
        <v/>
      </c>
      <c r="U363" s="15">
        <f>M363*S363/(1+Assumptions!$B$3)^T363</f>
        <v/>
      </c>
      <c r="V363" s="11">
        <f>IF(M363=0,"",ROUND(U363/M363*100,1))</f>
        <v/>
      </c>
      <c r="W363" s="16">
        <f>U363*Assumptions!$B$4</f>
        <v/>
      </c>
      <c r="X363" s="11">
        <f>IF(M363=0,"",ROUND(W363/M363*100,1))</f>
        <v/>
      </c>
      <c r="Y363" t="inlineStr">
        <is>
          <t>ASSOCIAÇÃO DE CARIDADE SANTA CASA DO RIO GRANDE</t>
        </is>
      </c>
      <c r="Z363" t="inlineStr">
        <is>
          <t>5012306-16.2022.8.21.0023</t>
        </is>
      </c>
      <c r="AA363" t="inlineStr">
        <is>
          <t>TJRS</t>
        </is>
      </c>
      <c r="AB363" t="inlineStr">
        <is>
          <t>scalzilliaj.com.br</t>
        </is>
      </c>
      <c r="AC363" t="inlineStr">
        <is>
          <t>EMILIANO DANILEVICZ JOBIM</t>
        </is>
      </c>
      <c r="AD363" t="inlineStr">
        <is>
          <t>Sócio-Administrador</t>
        </is>
      </c>
      <c r="AE363" t="inlineStr">
        <is>
          <t>(51) 9606-4995</t>
        </is>
      </c>
      <c r="AF363" t="inlineStr"/>
      <c r="AG363" t="inlineStr"/>
      <c r="AH363" t="inlineStr">
        <is>
          <t>RS</t>
        </is>
      </c>
      <c r="AI363" t="inlineStr">
        <is>
          <t>PORTO ALEGRE</t>
        </is>
      </c>
      <c r="AJ363" t="inlineStr">
        <is>
          <t>Comércio atacadista de instrumentos e materiais para uso médico, cirúrgico, hospitalar e de laboratórios</t>
        </is>
      </c>
      <c r="AK363" t="inlineStr">
        <is>
          <t>EMPRESA DE PEQUENO PORTE</t>
        </is>
      </c>
      <c r="AL363" t="inlineStr">
        <is>
          <t>ATIVA</t>
        </is>
      </c>
      <c r="AM363" s="17" t="inlineStr">
        <is>
          <t>https://scalzilliaj.com.br/sgc/download.php?file=files/processo_documento/processo_documento09120721032023_1_.pdf&amp;nome=15 - Edital do art. 7º, §2º e 53 da Lei 11.101/2005 (segunda lista de credores e recebimento do plano))</t>
        </is>
      </c>
      <c r="AN363" s="18" t="inlineStr">
        <is>
          <t>p29 r24</t>
        </is>
      </c>
      <c r="AO363" s="18" t="inlineStr">
        <is>
          <t>p29: R$ 397.886,19</t>
        </is>
      </c>
      <c r="AP363" s="18" t="inlineStr">
        <is>
          <t>AJ_LIST</t>
        </is>
      </c>
      <c r="AQ363" s="18" t="inlineStr">
        <is>
          <t>2023-03-21</t>
        </is>
      </c>
      <c r="AR363" s="18" t="inlineStr">
        <is>
          <t>OK_NO_TOTALS</t>
        </is>
      </c>
      <c r="AS363" s="18" t="inlineStr">
        <is>
          <t>ROWS:p29r24 UNRECONCILED_SOURCE</t>
        </is>
      </c>
      <c r="AT363" s="18" t="inlineStr">
        <is>
          <t>ebfb999b457c</t>
        </is>
      </c>
    </row>
    <row r="364">
      <c r="A364" s="9" t="n">
        <v>363</v>
      </c>
      <c r="B364" s="9" t="inlineStr">
        <is>
          <t>NEW</t>
        </is>
      </c>
      <c r="C364" s="9" t="inlineStr"/>
      <c r="D364" s="9" t="n">
        <v>0</v>
      </c>
      <c r="E364" s="9" t="inlineStr"/>
      <c r="F364" s="9" t="inlineStr"/>
      <c r="G364" s="9" t="inlineStr"/>
      <c r="H364" s="9" t="inlineStr"/>
      <c r="I364" t="inlineStr">
        <is>
          <t>TOTVS S.A.</t>
        </is>
      </c>
      <c r="J364" t="inlineStr">
        <is>
          <t>TOTVS S.A.</t>
        </is>
      </c>
      <c r="K364" t="inlineStr">
        <is>
          <t>53113791</t>
        </is>
      </c>
      <c r="L364" t="inlineStr">
        <is>
          <t>53113791000122</t>
        </is>
      </c>
      <c r="M364" s="10" t="n">
        <v>391959.35</v>
      </c>
      <c r="N364" t="n">
        <v>1</v>
      </c>
      <c r="O364" s="11" t="inlineStr">
        <is>
          <t>D</t>
        </is>
      </c>
      <c r="P364" s="11" t="inlineStr"/>
      <c r="Q364" s="12" t="inlineStr"/>
      <c r="R364" s="11">
        <f>IF(Q364="","",ROUND((TODAY()-Q364)/365.25,1))</f>
        <v/>
      </c>
      <c r="S364" s="13">
        <f>IFERROR(VLOOKUP(O364,Assumptions!$A$7:$F$11,2,FALSE),0.25)</f>
        <v/>
      </c>
      <c r="T364" s="14">
        <f>IF(O364="A",MAX(1,IFERROR(VLOOKUP(O364,Assumptions!$A$7:$F$11,3,FALSE),3)+IFERROR(VLOOKUP(O364,Assumptions!$A$7:$F$11,4,FALSE),8)/2-MAX(0,IF(R364="",0,R364)-IFERROR(VLOOKUP(O364,Assumptions!$A$7:$F$11,5,FALSE),1.5))),IFERROR(VLOOKUP(O364,Assumptions!$A$7:$F$11,5,FALSE),2.5)+IFERROR(VLOOKUP(O364,Assumptions!$A$7:$F$11,3,FALSE),3)+IFERROR(VLOOKUP(O364,Assumptions!$A$7:$F$11,4,FALSE),8)/2)</f>
        <v/>
      </c>
      <c r="U364" s="15">
        <f>M364*S364/(1+Assumptions!$B$3)^T364</f>
        <v/>
      </c>
      <c r="V364" s="11">
        <f>IF(M364=0,"",ROUND(U364/M364*100,1))</f>
        <v/>
      </c>
      <c r="W364" s="16">
        <f>U364*Assumptions!$B$4</f>
        <v/>
      </c>
      <c r="X364" s="11">
        <f>IF(M364=0,"",ROUND(W364/M364*100,1))</f>
        <v/>
      </c>
      <c r="Y364" t="inlineStr">
        <is>
          <t>COPA FRUIT IMPORTAÇÃO E EXPORTAÇÃO S.A</t>
        </is>
      </c>
      <c r="Z364" t="inlineStr">
        <is>
          <t>0032731-52.2010.8.17.0001</t>
        </is>
      </c>
      <c r="AA364" t="inlineStr"/>
      <c r="AB364" t="inlineStr">
        <is>
          <t>diligence.adm.br</t>
        </is>
      </c>
      <c r="AC364" t="inlineStr">
        <is>
          <t>DENNIS HERSZKOWICZ</t>
        </is>
      </c>
      <c r="AD364" t="inlineStr">
        <is>
          <t>Presidente</t>
        </is>
      </c>
      <c r="AE364" t="inlineStr">
        <is>
          <t>(11) 4004-0015</t>
        </is>
      </c>
      <c r="AF364" t="inlineStr"/>
      <c r="AG364" t="inlineStr"/>
      <c r="AH364" t="inlineStr">
        <is>
          <t>SP</t>
        </is>
      </c>
      <c r="AI364" t="inlineStr">
        <is>
          <t>SAO PAULO</t>
        </is>
      </c>
      <c r="AJ364" t="inlineStr">
        <is>
          <t>Desenvolvimento de programas de computador sob encomenda</t>
        </is>
      </c>
      <c r="AK364" t="inlineStr">
        <is>
          <t>DEMAIS</t>
        </is>
      </c>
      <c r="AL364" t="inlineStr">
        <is>
          <t>ATIVA</t>
        </is>
      </c>
      <c r="AM364" s="17" t="inlineStr">
        <is>
          <t>https://diligence.adm.br/wp-content/plugins/download-attachments/includes/download.php?id=4579</t>
        </is>
      </c>
      <c r="AN364" s="18" t="inlineStr">
        <is>
          <t>p8 r12</t>
        </is>
      </c>
      <c r="AO364" s="18" t="inlineStr">
        <is>
          <t>p8: R$ 391.959,35</t>
        </is>
      </c>
      <c r="AP364" s="18" t="inlineStr">
        <is>
          <t>AJ_LIST</t>
        </is>
      </c>
      <c r="AQ364" s="18" t="inlineStr">
        <is>
          <t>2024-06-11</t>
        </is>
      </c>
      <c r="AR364" s="18" t="inlineStr">
        <is>
          <t>OK_NO_TOTALS</t>
        </is>
      </c>
      <c r="AS364" s="18" t="inlineStr">
        <is>
          <t>ROWS:p8r12 UNRECONCILED_SOURCE VALUE_COL:Crédito_1ª_Lista</t>
        </is>
      </c>
      <c r="AT364" s="18" t="inlineStr">
        <is>
          <t>bf3c4e448c3e</t>
        </is>
      </c>
    </row>
    <row r="365">
      <c r="A365" s="9" t="n">
        <v>364</v>
      </c>
      <c r="B365" s="9" t="inlineStr">
        <is>
          <t>NEW</t>
        </is>
      </c>
      <c r="C365" s="9" t="inlineStr"/>
      <c r="D365" s="9" t="n">
        <v>0</v>
      </c>
      <c r="E365" s="9" t="inlineStr"/>
      <c r="F365" s="9" t="inlineStr"/>
      <c r="G365" s="9" t="inlineStr"/>
      <c r="H365" s="9" t="inlineStr"/>
      <c r="I365" t="inlineStr">
        <is>
          <t>COMPANHIA ENERGETICA DE PERNAMBUCO</t>
        </is>
      </c>
      <c r="J365" t="inlineStr">
        <is>
          <t>CELPE - GRUPO NEOENERGIA-CELPE</t>
        </is>
      </c>
      <c r="K365" t="inlineStr">
        <is>
          <t>10835932</t>
        </is>
      </c>
      <c r="L365" t="inlineStr">
        <is>
          <t>10835932000108</t>
        </is>
      </c>
      <c r="M365" s="10" t="n">
        <v>391331.27</v>
      </c>
      <c r="N365" t="n">
        <v>1</v>
      </c>
      <c r="O365" s="11" t="inlineStr">
        <is>
          <t>C</t>
        </is>
      </c>
      <c r="P365" s="11" t="inlineStr"/>
      <c r="Q365" s="12" t="inlineStr"/>
      <c r="R365" s="11">
        <f>IF(Q365="","",ROUND((TODAY()-Q365)/365.25,1))</f>
        <v/>
      </c>
      <c r="S365" s="13">
        <f>IFERROR(VLOOKUP(O365,Assumptions!$A$7:$F$11,2,FALSE),0.25)</f>
        <v/>
      </c>
      <c r="T365" s="14">
        <f>IF(O365="A",MAX(1,IFERROR(VLOOKUP(O365,Assumptions!$A$7:$F$11,3,FALSE),3)+IFERROR(VLOOKUP(O365,Assumptions!$A$7:$F$11,4,FALSE),8)/2-MAX(0,IF(R365="",0,R365)-IFERROR(VLOOKUP(O365,Assumptions!$A$7:$F$11,5,FALSE),1.5))),IFERROR(VLOOKUP(O365,Assumptions!$A$7:$F$11,5,FALSE),2.5)+IFERROR(VLOOKUP(O365,Assumptions!$A$7:$F$11,3,FALSE),3)+IFERROR(VLOOKUP(O365,Assumptions!$A$7:$F$11,4,FALSE),8)/2)</f>
        <v/>
      </c>
      <c r="U365" s="15">
        <f>M365*S365/(1+Assumptions!$B$3)^T365</f>
        <v/>
      </c>
      <c r="V365" s="11">
        <f>IF(M365=0,"",ROUND(U365/M365*100,1))</f>
        <v/>
      </c>
      <c r="W365" s="16">
        <f>U365*Assumptions!$B$4</f>
        <v/>
      </c>
      <c r="X365" s="11">
        <f>IF(M365=0,"",ROUND(W365/M365*100,1))</f>
        <v/>
      </c>
      <c r="Y365" t="inlineStr">
        <is>
          <t>CENTRO DE TRATAMENTO RENAL ZONA SUL LTDA</t>
        </is>
      </c>
      <c r="Z365" t="inlineStr">
        <is>
          <t>0015488-29.2018.8.17.2810</t>
        </is>
      </c>
      <c r="AA365" t="inlineStr"/>
      <c r="AB365" t="inlineStr">
        <is>
          <t>recuperacaojudicial.squarespace.com</t>
        </is>
      </c>
      <c r="AC365" t="inlineStr">
        <is>
          <t>SAULO CABRAL E SILVA</t>
        </is>
      </c>
      <c r="AD365" t="inlineStr">
        <is>
          <t>Presidente</t>
        </is>
      </c>
      <c r="AE365" t="inlineStr">
        <is>
          <t>(81) 3217-5226</t>
        </is>
      </c>
      <c r="AF365" t="inlineStr"/>
      <c r="AG365" t="inlineStr"/>
      <c r="AH365" t="inlineStr">
        <is>
          <t>PE</t>
        </is>
      </c>
      <c r="AI365" t="inlineStr">
        <is>
          <t>RECIFE</t>
        </is>
      </c>
      <c r="AJ365" t="inlineStr">
        <is>
          <t>Distribuição de energia elétrica</t>
        </is>
      </c>
      <c r="AK365" t="inlineStr">
        <is>
          <t>DEMAIS</t>
        </is>
      </c>
      <c r="AL365" t="inlineStr">
        <is>
          <t>ATIVA</t>
        </is>
      </c>
      <c r="AM365" s="17" t="inlineStr">
        <is>
          <t>https://recuperacaojudicial.squarespace.com/s/4-RJCTREditalda2ListadeCredoresnovembro2019.pdf</t>
        </is>
      </c>
      <c r="AN365" s="18" t="inlineStr">
        <is>
          <t>p3 r10</t>
        </is>
      </c>
      <c r="AO365" s="18" t="inlineStr">
        <is>
          <t>p3: R$ 391.331,27</t>
        </is>
      </c>
      <c r="AP365" s="18" t="inlineStr">
        <is>
          <t>AJ_LIST</t>
        </is>
      </c>
      <c r="AQ365" s="18" t="inlineStr">
        <is>
          <t>2019-11-25</t>
        </is>
      </c>
      <c r="AR365" s="18" t="inlineStr">
        <is>
          <t>OK</t>
        </is>
      </c>
      <c r="AS365" s="18" t="inlineStr">
        <is>
          <t>ROWS:p3r10</t>
        </is>
      </c>
      <c r="AT365" s="18" t="inlineStr">
        <is>
          <t>05e15e3ab097</t>
        </is>
      </c>
    </row>
    <row r="366">
      <c r="A366" s="9" t="n">
        <v>365</v>
      </c>
      <c r="B366" s="9" t="inlineStr">
        <is>
          <t>NEW</t>
        </is>
      </c>
      <c r="C366" s="9" t="inlineStr"/>
      <c r="D366" s="9" t="n">
        <v>0</v>
      </c>
      <c r="E366" s="9" t="inlineStr"/>
      <c r="F366" s="9" t="inlineStr"/>
      <c r="G366" s="9" t="inlineStr"/>
      <c r="H366" s="9" t="inlineStr"/>
      <c r="I366" t="inlineStr">
        <is>
          <t>MONFORTE ALIMENTOS LTDA</t>
        </is>
      </c>
      <c r="J366" t="inlineStr">
        <is>
          <t>Monforte Alimentos Ltda</t>
        </is>
      </c>
      <c r="K366" t="inlineStr">
        <is>
          <t>13259183</t>
        </is>
      </c>
      <c r="L366" t="inlineStr">
        <is>
          <t>13259183000106</t>
        </is>
      </c>
      <c r="M366" s="10" t="n">
        <v>390793.75</v>
      </c>
      <c r="N366" t="n">
        <v>1</v>
      </c>
      <c r="O366" s="11" t="inlineStr">
        <is>
          <t>A</t>
        </is>
      </c>
      <c r="P366" s="11" t="inlineStr">
        <is>
          <t>ACTIVE</t>
        </is>
      </c>
      <c r="Q366" s="12" t="n">
        <v>45356</v>
      </c>
      <c r="R366" s="11">
        <f>IF(Q366="","",ROUND((TODAY()-Q366)/365.25,1))</f>
        <v/>
      </c>
      <c r="S366" s="13">
        <f>IFERROR(VLOOKUP(O366,Assumptions!$A$7:$F$11,2,FALSE),0.25)</f>
        <v/>
      </c>
      <c r="T366" s="14">
        <f>IF(O366="A",MAX(1,IFERROR(VLOOKUP(O366,Assumptions!$A$7:$F$11,3,FALSE),3)+IFERROR(VLOOKUP(O366,Assumptions!$A$7:$F$11,4,FALSE),8)/2-MAX(0,IF(R366="",0,R366)-IFERROR(VLOOKUP(O366,Assumptions!$A$7:$F$11,5,FALSE),1.5))),IFERROR(VLOOKUP(O366,Assumptions!$A$7:$F$11,5,FALSE),2.5)+IFERROR(VLOOKUP(O366,Assumptions!$A$7:$F$11,3,FALSE),3)+IFERROR(VLOOKUP(O366,Assumptions!$A$7:$F$11,4,FALSE),8)/2)</f>
        <v/>
      </c>
      <c r="U366" s="15">
        <f>M366*S366/(1+Assumptions!$B$3)^T366</f>
        <v/>
      </c>
      <c r="V366" s="11">
        <f>IF(M366=0,"",ROUND(U366/M366*100,1))</f>
        <v/>
      </c>
      <c r="W366" s="16">
        <f>U366*Assumptions!$B$4</f>
        <v/>
      </c>
      <c r="X366" s="11">
        <f>IF(M366=0,"",ROUND(W366/M366*100,1))</f>
        <v/>
      </c>
      <c r="Y366" t="inlineStr">
        <is>
          <t>FRIGORÍFICO ALFA INDÚSTRIA E COMÉRCIO DE CARNES E DERIVADOS LTDA e CTX LOGÍSTICA, TRANSPORTE E LOCAÇÕES LTDA</t>
        </is>
      </c>
      <c r="Z366" t="inlineStr">
        <is>
          <t>1009827-02.2024.8.26.0576</t>
        </is>
      </c>
      <c r="AA366" t="inlineStr">
        <is>
          <t>TJSP</t>
        </is>
      </c>
      <c r="AB366" t="inlineStr">
        <is>
          <t>vtladm.com.br</t>
        </is>
      </c>
      <c r="AC366" t="inlineStr">
        <is>
          <t>LUCIA CRISTINA DE OLIVEIRA OLIVEIRA</t>
        </is>
      </c>
      <c r="AD366" t="inlineStr">
        <is>
          <t>Sócio-Administrador</t>
        </is>
      </c>
      <c r="AE366" t="inlineStr">
        <is>
          <t>(14) 3441-5037</t>
        </is>
      </c>
      <c r="AF366" t="inlineStr"/>
      <c r="AG366" t="inlineStr"/>
      <c r="AH366" t="inlineStr">
        <is>
          <t>SP</t>
        </is>
      </c>
      <c r="AI366" t="inlineStr">
        <is>
          <t>TUPA</t>
        </is>
      </c>
      <c r="AJ366" t="inlineStr">
        <is>
          <t>Comércio atacadista de carnes bovinas e suínas e derivados</t>
        </is>
      </c>
      <c r="AK366" t="inlineStr">
        <is>
          <t>DEMAIS</t>
        </is>
      </c>
      <c r="AL366" t="inlineStr">
        <is>
          <t>ATIVA</t>
        </is>
      </c>
      <c r="AM366" s="17" t="inlineStr">
        <is>
          <t>https://vtladm.com.br/wp-content/uploads/2024/04/09-–-EDITAL-DE-CONVOCACAO-DE-CREDORES-–-Frigorifico-Alfa-Industria-e-Comercio-de-Carnes-e-Derivados-Ltda.-e-Ctx-Logistica-Transporte-E-Locacoes-Ltda.pdf</t>
        </is>
      </c>
      <c r="AN366" s="18" t="inlineStr">
        <is>
          <t>p1 r61</t>
        </is>
      </c>
      <c r="AO366" s="18" t="inlineStr">
        <is>
          <t>p1: R$ 390.793,75</t>
        </is>
      </c>
      <c r="AP366" s="18" t="inlineStr">
        <is>
          <t>AJ_LIST</t>
        </is>
      </c>
      <c r="AQ366" s="18" t="inlineStr"/>
      <c r="AR366" s="18" t="inlineStr">
        <is>
          <t>OK</t>
        </is>
      </c>
      <c r="AS366" s="18" t="inlineStr">
        <is>
          <t>ALT_VALUE:390.793,75 ROWS:p1r61</t>
        </is>
      </c>
      <c r="AT366" s="18" t="inlineStr">
        <is>
          <t>89671ae49d87</t>
        </is>
      </c>
    </row>
    <row r="367">
      <c r="A367" s="9" t="n">
        <v>366</v>
      </c>
      <c r="B367" s="9" t="inlineStr">
        <is>
          <t>NEW</t>
        </is>
      </c>
      <c r="C367" s="9" t="inlineStr"/>
      <c r="D367" s="9" t="n">
        <v>0</v>
      </c>
      <c r="E367" s="9" t="inlineStr"/>
      <c r="F367" s="9" t="inlineStr"/>
      <c r="G367" s="9" t="inlineStr"/>
      <c r="H367" s="9" t="inlineStr"/>
      <c r="I367" t="inlineStr">
        <is>
          <t>L D NUNES</t>
        </is>
      </c>
      <c r="J367" t="inlineStr">
        <is>
          <t>L. D. NUNES LTDA</t>
        </is>
      </c>
      <c r="K367" t="inlineStr">
        <is>
          <t>02291660</t>
        </is>
      </c>
      <c r="L367" t="inlineStr">
        <is>
          <t>02291660000102</t>
        </is>
      </c>
      <c r="M367" s="10" t="n">
        <v>390081</v>
      </c>
      <c r="N367" t="n">
        <v>1</v>
      </c>
      <c r="O367" s="11" t="inlineStr">
        <is>
          <t>C</t>
        </is>
      </c>
      <c r="P367" s="11" t="inlineStr"/>
      <c r="Q367" s="12" t="inlineStr"/>
      <c r="R367" s="11">
        <f>IF(Q367="","",ROUND((TODAY()-Q367)/365.25,1))</f>
        <v/>
      </c>
      <c r="S367" s="13">
        <f>IFERROR(VLOOKUP(O367,Assumptions!$A$7:$F$11,2,FALSE),0.25)</f>
        <v/>
      </c>
      <c r="T367" s="14">
        <f>IF(O367="A",MAX(1,IFERROR(VLOOKUP(O367,Assumptions!$A$7:$F$11,3,FALSE),3)+IFERROR(VLOOKUP(O367,Assumptions!$A$7:$F$11,4,FALSE),8)/2-MAX(0,IF(R367="",0,R367)-IFERROR(VLOOKUP(O367,Assumptions!$A$7:$F$11,5,FALSE),1.5))),IFERROR(VLOOKUP(O367,Assumptions!$A$7:$F$11,5,FALSE),2.5)+IFERROR(VLOOKUP(O367,Assumptions!$A$7:$F$11,3,FALSE),3)+IFERROR(VLOOKUP(O367,Assumptions!$A$7:$F$11,4,FALSE),8)/2)</f>
        <v/>
      </c>
      <c r="U367" s="15">
        <f>M367*S367/(1+Assumptions!$B$3)^T367</f>
        <v/>
      </c>
      <c r="V367" s="11">
        <f>IF(M367=0,"",ROUND(U367/M367*100,1))</f>
        <v/>
      </c>
      <c r="W367" s="16">
        <f>U367*Assumptions!$B$4</f>
        <v/>
      </c>
      <c r="X367" s="11">
        <f>IF(M367=0,"",ROUND(W367/M367*100,1))</f>
        <v/>
      </c>
      <c r="Y367" t="inlineStr">
        <is>
          <t>AGROPECUÁRIA SERROTE REDONDO</t>
        </is>
      </c>
      <c r="Z367" t="inlineStr">
        <is>
          <t>0000206-69.2013.8.17.1340</t>
        </is>
      </c>
      <c r="AA367" t="inlineStr"/>
      <c r="AB367" t="inlineStr">
        <is>
          <t>lrflideres.com.br</t>
        </is>
      </c>
      <c r="AC367" t="inlineStr"/>
      <c r="AD367" t="inlineStr"/>
      <c r="AE367" t="inlineStr"/>
      <c r="AF367" t="inlineStr"/>
      <c r="AG367" t="inlineStr"/>
      <c r="AH367" t="inlineStr">
        <is>
          <t>RN</t>
        </is>
      </c>
      <c r="AI367" t="inlineStr">
        <is>
          <t>MACAIBA</t>
        </is>
      </c>
      <c r="AJ367" t="inlineStr">
        <is>
          <t>Preparação de subprodutos do abate</t>
        </is>
      </c>
      <c r="AK367" t="inlineStr">
        <is>
          <t>EMPRESA DE PEQUENO PORTE</t>
        </is>
      </c>
      <c r="AL367" t="inlineStr">
        <is>
          <t>ATIVA</t>
        </is>
      </c>
      <c r="AM367" s="17" t="inlineStr">
        <is>
          <t>https://lrflideres.com.br/wp-content/plugins/download-attachments/includes/download.php?id=5001</t>
        </is>
      </c>
      <c r="AN367" s="18" t="inlineStr">
        <is>
          <t>p2 r36</t>
        </is>
      </c>
      <c r="AO367" s="18" t="inlineStr">
        <is>
          <t>p2: R$ 390.081,00</t>
        </is>
      </c>
      <c r="AP367" s="18" t="inlineStr">
        <is>
          <t>UNKNOWN</t>
        </is>
      </c>
      <c r="AQ367" s="18" t="inlineStr"/>
      <c r="AR367" s="18" t="inlineStr">
        <is>
          <t>OK</t>
        </is>
      </c>
      <c r="AS367" s="18" t="inlineStr">
        <is>
          <t>ALT_VALUE:390.081,00 ROWS:p2r36</t>
        </is>
      </c>
      <c r="AT367" s="18" t="inlineStr">
        <is>
          <t>7c0ce2830d0d</t>
        </is>
      </c>
    </row>
    <row r="368">
      <c r="A368" s="9" t="n">
        <v>367</v>
      </c>
      <c r="B368" s="9" t="inlineStr">
        <is>
          <t>NEW</t>
        </is>
      </c>
      <c r="C368" s="9" t="inlineStr"/>
      <c r="D368" s="9" t="n">
        <v>0</v>
      </c>
      <c r="E368" s="9" t="inlineStr"/>
      <c r="F368" s="9" t="inlineStr"/>
      <c r="G368" s="9" t="inlineStr"/>
      <c r="H368" s="9" t="inlineStr"/>
      <c r="I368" t="inlineStr">
        <is>
          <t>CEREALISTA SANTO EXPEDITO LTDA</t>
        </is>
      </c>
      <c r="J368" t="inlineStr">
        <is>
          <t>Cerealista Santo Expedito Ltda (CNPJ nº</t>
        </is>
      </c>
      <c r="K368" t="inlineStr">
        <is>
          <t>04335788</t>
        </is>
      </c>
      <c r="L368" t="inlineStr">
        <is>
          <t>04335788000148</t>
        </is>
      </c>
      <c r="M368" s="10" t="n">
        <v>387589.91</v>
      </c>
      <c r="N368" t="n">
        <v>1</v>
      </c>
      <c r="O368" s="11" t="inlineStr">
        <is>
          <t>B</t>
        </is>
      </c>
      <c r="P368" s="11" t="inlineStr">
        <is>
          <t>ACTIVE</t>
        </is>
      </c>
      <c r="Q368" s="12" t="n">
        <v>45912</v>
      </c>
      <c r="R368" s="11">
        <f>IF(Q368="","",ROUND((TODAY()-Q368)/365.25,1))</f>
        <v/>
      </c>
      <c r="S368" s="13">
        <f>IFERROR(VLOOKUP(O368,Assumptions!$A$7:$F$11,2,FALSE),0.25)</f>
        <v/>
      </c>
      <c r="T368" s="14">
        <f>IF(O368="A",MAX(1,IFERROR(VLOOKUP(O368,Assumptions!$A$7:$F$11,3,FALSE),3)+IFERROR(VLOOKUP(O368,Assumptions!$A$7:$F$11,4,FALSE),8)/2-MAX(0,IF(R368="",0,R368)-IFERROR(VLOOKUP(O368,Assumptions!$A$7:$F$11,5,FALSE),1.5))),IFERROR(VLOOKUP(O368,Assumptions!$A$7:$F$11,5,FALSE),2.5)+IFERROR(VLOOKUP(O368,Assumptions!$A$7:$F$11,3,FALSE),3)+IFERROR(VLOOKUP(O368,Assumptions!$A$7:$F$11,4,FALSE),8)/2)</f>
        <v/>
      </c>
      <c r="U368" s="15">
        <f>M368*S368/(1+Assumptions!$B$3)^T368</f>
        <v/>
      </c>
      <c r="V368" s="11">
        <f>IF(M368=0,"",ROUND(U368/M368*100,1))</f>
        <v/>
      </c>
      <c r="W368" s="16">
        <f>U368*Assumptions!$B$4</f>
        <v/>
      </c>
      <c r="X368" s="11">
        <f>IF(M368=0,"",ROUND(W368/M368*100,1))</f>
        <v/>
      </c>
      <c r="Y368" t="inlineStr">
        <is>
          <t>B1 COMÉRCIO DE MANUFATURADOS LTDA</t>
        </is>
      </c>
      <c r="Z368" t="inlineStr">
        <is>
          <t>0043030-30.2025.8.16.0021</t>
        </is>
      </c>
      <c r="AA368" t="inlineStr">
        <is>
          <t>TJPR</t>
        </is>
      </c>
      <c r="AB368" t="inlineStr">
        <is>
          <t>marquesadmjudicial.com.br</t>
        </is>
      </c>
      <c r="AC368" t="inlineStr">
        <is>
          <t>EDERSON ANDRE AZZOLINI</t>
        </is>
      </c>
      <c r="AD368" t="inlineStr">
        <is>
          <t>Sócio-Administrador</t>
        </is>
      </c>
      <c r="AE368" t="inlineStr">
        <is>
          <t>(49) 3644-0679</t>
        </is>
      </c>
      <c r="AF368" t="inlineStr"/>
      <c r="AG368" t="inlineStr"/>
      <c r="AH368" t="inlineStr">
        <is>
          <t>PR</t>
        </is>
      </c>
      <c r="AI368" t="inlineStr">
        <is>
          <t>BARRACAO</t>
        </is>
      </c>
      <c r="AJ368" t="inlineStr">
        <is>
          <t>Comércio atacadista de matérias-primas agrícolas não especificadas anteriormente</t>
        </is>
      </c>
      <c r="AK368" t="inlineStr">
        <is>
          <t>DEMAIS</t>
        </is>
      </c>
      <c r="AL368" t="inlineStr">
        <is>
          <t>ATIVA</t>
        </is>
      </c>
      <c r="AM368" s="17" t="inlineStr">
        <is>
          <t>https://marquesadmjudicial.com.br/sgc/download.php?file=files/processo_documento/processo_documento18581929042026_1_.pdf&amp;nome=3º Edital - Relação de Credores e PRJ</t>
        </is>
      </c>
      <c r="AN368" s="18" t="inlineStr">
        <is>
          <t>p1 r43</t>
        </is>
      </c>
      <c r="AO368" s="18" t="inlineStr">
        <is>
          <t>p1: R$ 387.589,91</t>
        </is>
      </c>
      <c r="AP368" s="18" t="inlineStr">
        <is>
          <t>AJ_LIST</t>
        </is>
      </c>
      <c r="AQ368" s="18" t="inlineStr">
        <is>
          <t>2025-09-12</t>
        </is>
      </c>
      <c r="AR368" s="18" t="inlineStr">
        <is>
          <t>OK_NO_TOTALS</t>
        </is>
      </c>
      <c r="AS368" s="18" t="inlineStr">
        <is>
          <t>ROWS:p1r43 UNRECONCILED_SOURCE</t>
        </is>
      </c>
      <c r="AT368" s="18" t="inlineStr">
        <is>
          <t>9846e4c0bb37</t>
        </is>
      </c>
    </row>
    <row r="369">
      <c r="A369" s="9" t="n">
        <v>368</v>
      </c>
      <c r="B369" s="9" t="inlineStr">
        <is>
          <t>NEW</t>
        </is>
      </c>
      <c r="C369" s="9" t="inlineStr"/>
      <c r="D369" s="9" t="n">
        <v>0</v>
      </c>
      <c r="E369" s="9" t="inlineStr"/>
      <c r="F369" s="9" t="inlineStr"/>
      <c r="G369" s="9" t="inlineStr"/>
      <c r="H369" s="9" t="inlineStr"/>
      <c r="I369" t="inlineStr">
        <is>
          <t>CITOL INDUSTRIA DE TRATAMENTO DE OLEO S.A.</t>
        </is>
      </c>
      <c r="J369" t="inlineStr">
        <is>
          <t>CITOL INDUSTRIA DE TRATAMENTO DE OLEO S/A</t>
        </is>
      </c>
      <c r="K369" t="inlineStr">
        <is>
          <t>18933677</t>
        </is>
      </c>
      <c r="L369" t="inlineStr">
        <is>
          <t>18933677000229</t>
        </is>
      </c>
      <c r="M369" s="10" t="n">
        <v>385787.79</v>
      </c>
      <c r="N369" t="n">
        <v>4</v>
      </c>
      <c r="O369" s="11" t="inlineStr">
        <is>
          <t>B</t>
        </is>
      </c>
      <c r="P369" s="11" t="inlineStr"/>
      <c r="Q369" s="12" t="inlineStr"/>
      <c r="R369" s="11">
        <f>IF(Q369="","",ROUND((TODAY()-Q369)/365.25,1))</f>
        <v/>
      </c>
      <c r="S369" s="13">
        <f>IFERROR(VLOOKUP(O369,Assumptions!$A$7:$F$11,2,FALSE),0.25)</f>
        <v/>
      </c>
      <c r="T369" s="14">
        <f>IF(O369="A",MAX(1,IFERROR(VLOOKUP(O369,Assumptions!$A$7:$F$11,3,FALSE),3)+IFERROR(VLOOKUP(O369,Assumptions!$A$7:$F$11,4,FALSE),8)/2-MAX(0,IF(R369="",0,R369)-IFERROR(VLOOKUP(O369,Assumptions!$A$7:$F$11,5,FALSE),1.5))),IFERROR(VLOOKUP(O369,Assumptions!$A$7:$F$11,5,FALSE),2.5)+IFERROR(VLOOKUP(O369,Assumptions!$A$7:$F$11,3,FALSE),3)+IFERROR(VLOOKUP(O369,Assumptions!$A$7:$F$11,4,FALSE),8)/2)</f>
        <v/>
      </c>
      <c r="U369" s="15">
        <f>M369*S369/(1+Assumptions!$B$3)^T369</f>
        <v/>
      </c>
      <c r="V369" s="11">
        <f>IF(M369=0,"",ROUND(U369/M369*100,1))</f>
        <v/>
      </c>
      <c r="W369" s="16">
        <f>U369*Assumptions!$B$4</f>
        <v/>
      </c>
      <c r="X369" s="11">
        <f>IF(M369=0,"",ROUND(W369/M369*100,1))</f>
        <v/>
      </c>
      <c r="Y369" t="inlineStr">
        <is>
          <t>Base</t>
        </is>
      </c>
      <c r="Z369" t="inlineStr">
        <is>
          <t>1022634-27.2024.8.26.0100</t>
        </is>
      </c>
      <c r="AA369" t="inlineStr"/>
      <c r="AB369" t="inlineStr">
        <is>
          <t>ajruiz.com.br</t>
        </is>
      </c>
      <c r="AC369" t="inlineStr">
        <is>
          <t>MARCOS ANTONIO BENTO DOMINGUES</t>
        </is>
      </c>
      <c r="AD369" t="inlineStr">
        <is>
          <t>Diretor</t>
        </is>
      </c>
      <c r="AE369" t="inlineStr">
        <is>
          <t>(19) 3806-4535</t>
        </is>
      </c>
      <c r="AF369" t="inlineStr"/>
      <c r="AG369" t="inlineStr"/>
      <c r="AH369" t="inlineStr">
        <is>
          <t>SP</t>
        </is>
      </c>
      <c r="AI369" t="inlineStr">
        <is>
          <t>MOGI GUACU</t>
        </is>
      </c>
      <c r="AJ369" t="inlineStr">
        <is>
          <t>Fabricação de outros produtos derivados do petróleo, exceto produtos do refino</t>
        </is>
      </c>
      <c r="AK369" t="inlineStr">
        <is>
          <t>DEMAIS</t>
        </is>
      </c>
      <c r="AL369" t="inlineStr">
        <is>
          <t>ATIVA</t>
        </is>
      </c>
      <c r="AM369" s="17" t="inlineStr">
        <is>
          <t>https://ajruiz.com.br/sites/default/files/public/arquivos-processos/2024-04/relacao_de_credores_recuperanda_1.pdf</t>
        </is>
      </c>
      <c r="AN369" s="18" t="inlineStr">
        <is>
          <t>p4 r10; p4 r11; p5 r1; p5 r2; p5 r3; p5 r4; p5 r5</t>
        </is>
      </c>
      <c r="AO369" s="18" t="inlineStr">
        <is>
          <t>p4: R$ 114.917,25; p4: R$ 114.917,25; p5: R$ 135.000,00; p5: R$ 135.000,00; p5: R$ 102.604,69; p5: R$ 102.604,69; p5: R$ 33.265,85</t>
        </is>
      </c>
      <c r="AP369" s="18" t="inlineStr">
        <is>
          <t>QGC</t>
        </is>
      </c>
      <c r="AQ369" s="18" t="inlineStr">
        <is>
          <t>2024-01-31</t>
        </is>
      </c>
      <c r="AR369" s="18" t="inlineStr">
        <is>
          <t>OK</t>
        </is>
      </c>
      <c r="AS369" s="18" t="inlineStr">
        <is>
          <t>ROWS:p4r10,p5r1,p5r3,p5r5 CASE_NUMBER_CORRECTED</t>
        </is>
      </c>
      <c r="AT369" s="18" t="inlineStr">
        <is>
          <t>380922480f80</t>
        </is>
      </c>
    </row>
    <row r="370">
      <c r="A370" s="9" t="n">
        <v>369</v>
      </c>
      <c r="B370" s="9" t="inlineStr">
        <is>
          <t>NEW</t>
        </is>
      </c>
      <c r="C370" s="9" t="inlineStr"/>
      <c r="D370" s="9" t="n">
        <v>0</v>
      </c>
      <c r="E370" s="9" t="inlineStr"/>
      <c r="F370" s="9" t="inlineStr"/>
      <c r="G370" s="9" t="inlineStr"/>
      <c r="H370" s="9" t="inlineStr"/>
      <c r="I370" t="inlineStr">
        <is>
          <t>CC TELHAS LTDA</t>
        </is>
      </c>
      <c r="J370" t="inlineStr">
        <is>
          <t>C. &amp; V. Materiais de Construções em Geral LTDA</t>
        </is>
      </c>
      <c r="K370" t="inlineStr">
        <is>
          <t>13217111</t>
        </is>
      </c>
      <c r="L370" t="inlineStr">
        <is>
          <t>13217111000104</t>
        </is>
      </c>
      <c r="M370" s="10" t="n">
        <v>384596.09</v>
      </c>
      <c r="N370" t="n">
        <v>1</v>
      </c>
      <c r="O370" s="11" t="inlineStr">
        <is>
          <t>B</t>
        </is>
      </c>
      <c r="P370" s="11" t="inlineStr"/>
      <c r="Q370" s="12" t="n">
        <v>45756</v>
      </c>
      <c r="R370" s="11">
        <f>IF(Q370="","",ROUND((TODAY()-Q370)/365.25,1))</f>
        <v/>
      </c>
      <c r="S370" s="13">
        <f>IFERROR(VLOOKUP(O370,Assumptions!$A$7:$F$11,2,FALSE),0.25)</f>
        <v/>
      </c>
      <c r="T370" s="14">
        <f>IF(O370="A",MAX(1,IFERROR(VLOOKUP(O370,Assumptions!$A$7:$F$11,3,FALSE),3)+IFERROR(VLOOKUP(O370,Assumptions!$A$7:$F$11,4,FALSE),8)/2-MAX(0,IF(R370="",0,R370)-IFERROR(VLOOKUP(O370,Assumptions!$A$7:$F$11,5,FALSE),1.5))),IFERROR(VLOOKUP(O370,Assumptions!$A$7:$F$11,5,FALSE),2.5)+IFERROR(VLOOKUP(O370,Assumptions!$A$7:$F$11,3,FALSE),3)+IFERROR(VLOOKUP(O370,Assumptions!$A$7:$F$11,4,FALSE),8)/2)</f>
        <v/>
      </c>
      <c r="U370" s="15">
        <f>M370*S370/(1+Assumptions!$B$3)^T370</f>
        <v/>
      </c>
      <c r="V370" s="11">
        <f>IF(M370=0,"",ROUND(U370/M370*100,1))</f>
        <v/>
      </c>
      <c r="W370" s="16">
        <f>U370*Assumptions!$B$4</f>
        <v/>
      </c>
      <c r="X370" s="11">
        <f>IF(M370=0,"",ROUND(W370/M370*100,1))</f>
        <v/>
      </c>
      <c r="Y370" t="inlineStr">
        <is>
          <t>GRUPO EGESA (EGESA ENG S.A, EGESUR PART E EMP S.A, MATRIX INFRA LTDA, BEMVIVER ENG AMBIENTAL E SERV LTDA, DKF CONST E EMP LTDA, EGEPEL LTDA, ETR ASSESSORIA EMP E PART LTDA, MVT ENG E SERV LTDA, PARQUES DO VALE LTDA, ELMO RIBEIRO E ANA RIBEIRO)</t>
        </is>
      </c>
      <c r="Z370" t="inlineStr">
        <is>
          <t>5088952-81.2025.8.13.0024</t>
        </is>
      </c>
      <c r="AA370" t="inlineStr">
        <is>
          <t>TJMG</t>
        </is>
      </c>
      <c r="AB370" t="inlineStr">
        <is>
          <t>scalzilliaj.com.br</t>
        </is>
      </c>
      <c r="AC370" t="inlineStr">
        <is>
          <t>DARBISON SANTOS CAMPOS</t>
        </is>
      </c>
      <c r="AD370" t="inlineStr">
        <is>
          <t>Sócio-Administrador</t>
        </is>
      </c>
      <c r="AE370" t="inlineStr">
        <is>
          <t>(81) 3551-2989</t>
        </is>
      </c>
      <c r="AF370" t="inlineStr"/>
      <c r="AG370" t="inlineStr"/>
      <c r="AH370" t="inlineStr">
        <is>
          <t>PE</t>
        </is>
      </c>
      <c r="AI370" t="inlineStr">
        <is>
          <t>IPOJUCA</t>
        </is>
      </c>
      <c r="AJ370" t="inlineStr">
        <is>
          <t>Comércio varejista de materiais de construção em geral</t>
        </is>
      </c>
      <c r="AK370" t="inlineStr">
        <is>
          <t>EMPRESA DE PEQUENO PORTE</t>
        </is>
      </c>
      <c r="AL370" t="inlineStr">
        <is>
          <t>ATIVA</t>
        </is>
      </c>
      <c r="AM370" s="17" t="inlineStr">
        <is>
          <t>https://scalzilliaj.com.br/sgc/download.php?file=files/processo_documento/processo_documento09514021082025_1_.pdf&amp;nome=04 - Relação de credores das Recuperandas</t>
        </is>
      </c>
      <c r="AN370" s="18" t="inlineStr">
        <is>
          <t>p63 r16</t>
        </is>
      </c>
      <c r="AO370" s="18" t="inlineStr">
        <is>
          <t>p63: R$ 384.596,09</t>
        </is>
      </c>
      <c r="AP370" s="18" t="inlineStr">
        <is>
          <t>DEBTOR_LIST</t>
        </is>
      </c>
      <c r="AQ370" s="18" t="inlineStr"/>
      <c r="AR370" s="18" t="inlineStr">
        <is>
          <t>OK</t>
        </is>
      </c>
      <c r="AS370" s="18" t="inlineStr">
        <is>
          <t>ROWS:p63r16 VALUE_COL:Valor_Atualizado CASE_NUMBER_CORRECTED CASE_FROM_PORTAL</t>
        </is>
      </c>
      <c r="AT370" s="18" t="inlineStr">
        <is>
          <t>24ed98480a57</t>
        </is>
      </c>
    </row>
    <row r="371">
      <c r="A371" s="9" t="n">
        <v>370</v>
      </c>
      <c r="B371" s="9" t="inlineStr">
        <is>
          <t>NEW</t>
        </is>
      </c>
      <c r="C371" s="9" t="inlineStr"/>
      <c r="D371" s="9" t="n">
        <v>0</v>
      </c>
      <c r="E371" s="9" t="inlineStr"/>
      <c r="F371" s="9" t="inlineStr"/>
      <c r="G371" s="9" t="inlineStr"/>
      <c r="H371" s="9" t="inlineStr"/>
      <c r="I371" t="inlineStr">
        <is>
          <t>SIRI COMERCIO E SERVICOS LTDA.</t>
        </is>
      </c>
      <c r="J371" t="inlineStr">
        <is>
          <t>04.904.042/0004-50</t>
        </is>
      </c>
      <c r="K371" t="inlineStr">
        <is>
          <t>04904042</t>
        </is>
      </c>
      <c r="L371" t="inlineStr">
        <is>
          <t>04904042000450</t>
        </is>
      </c>
      <c r="M371" s="10" t="n">
        <v>383787.51</v>
      </c>
      <c r="N371" t="n">
        <v>1</v>
      </c>
      <c r="O371" s="11" t="inlineStr">
        <is>
          <t>C</t>
        </is>
      </c>
      <c r="P371" s="11" t="inlineStr">
        <is>
          <t>ACTIVE</t>
        </is>
      </c>
      <c r="Q371" s="12" t="n">
        <v>43894</v>
      </c>
      <c r="R371" s="11">
        <f>IF(Q371="","",ROUND((TODAY()-Q371)/365.25,1))</f>
        <v/>
      </c>
      <c r="S371" s="13">
        <f>IFERROR(VLOOKUP(O371,Assumptions!$A$7:$F$11,2,FALSE),0.25)</f>
        <v/>
      </c>
      <c r="T371" s="14">
        <f>IF(O371="A",MAX(1,IFERROR(VLOOKUP(O371,Assumptions!$A$7:$F$11,3,FALSE),3)+IFERROR(VLOOKUP(O371,Assumptions!$A$7:$F$11,4,FALSE),8)/2-MAX(0,IF(R371="",0,R371)-IFERROR(VLOOKUP(O371,Assumptions!$A$7:$F$11,5,FALSE),1.5))),IFERROR(VLOOKUP(O371,Assumptions!$A$7:$F$11,5,FALSE),2.5)+IFERROR(VLOOKUP(O371,Assumptions!$A$7:$F$11,3,FALSE),3)+IFERROR(VLOOKUP(O371,Assumptions!$A$7:$F$11,4,FALSE),8)/2)</f>
        <v/>
      </c>
      <c r="U371" s="15">
        <f>M371*S371/(1+Assumptions!$B$3)^T371</f>
        <v/>
      </c>
      <c r="V371" s="11">
        <f>IF(M371=0,"",ROUND(U371/M371*100,1))</f>
        <v/>
      </c>
      <c r="W371" s="16">
        <f>U371*Assumptions!$B$4</f>
        <v/>
      </c>
      <c r="X371" s="11">
        <f>IF(M371=0,"",ROUND(W371/M371*100,1))</f>
        <v/>
      </c>
      <c r="Y371" t="inlineStr">
        <is>
          <t>CREDIMÓVEIS NOVOLAR LTDA.</t>
        </is>
      </c>
      <c r="Z371" t="inlineStr">
        <is>
          <t>0007565-40.2020.8.17.2370</t>
        </is>
      </c>
      <c r="AA371" t="inlineStr">
        <is>
          <t>TJPE</t>
        </is>
      </c>
      <c r="AB371" t="inlineStr">
        <is>
          <t>recuperacaojudicial.squarespace.com</t>
        </is>
      </c>
      <c r="AC371" t="inlineStr">
        <is>
          <t>RICARDO DOS SANTOS BORBA CAVALCANTE</t>
        </is>
      </c>
      <c r="AD371" t="inlineStr">
        <is>
          <t>Sócio-Administrador</t>
        </is>
      </c>
      <c r="AE371" t="inlineStr">
        <is>
          <t>(11) 3053-1611</t>
        </is>
      </c>
      <c r="AF371" t="inlineStr"/>
      <c r="AG371" t="inlineStr"/>
      <c r="AH371" t="inlineStr">
        <is>
          <t>SP</t>
        </is>
      </c>
      <c r="AI371" t="inlineStr">
        <is>
          <t>SAO PAULO</t>
        </is>
      </c>
      <c r="AJ371" t="inlineStr">
        <is>
          <t>Comércio atacadista de componentes eletrônicos e equipamentos de telefonia e comunicação</t>
        </is>
      </c>
      <c r="AK371" t="inlineStr">
        <is>
          <t>DEMAIS</t>
        </is>
      </c>
      <c r="AL371" t="inlineStr">
        <is>
          <t>ATIVA</t>
        </is>
      </c>
      <c r="AM371" s="17" t="inlineStr">
        <is>
          <t>https://recuperacaojudicial.squarespace.com/s/RJ-Credimoveis-QGC-01082025.pdf</t>
        </is>
      </c>
      <c r="AN371" s="18" t="inlineStr">
        <is>
          <t>p16 r60</t>
        </is>
      </c>
      <c r="AO371" s="18" t="inlineStr">
        <is>
          <t>p16: R$ 383.787,51</t>
        </is>
      </c>
      <c r="AP371" s="18" t="inlineStr">
        <is>
          <t>QGC</t>
        </is>
      </c>
      <c r="AQ371" s="18" t="inlineStr">
        <is>
          <t>2026-01-28</t>
        </is>
      </c>
      <c r="AR371" s="18" t="inlineStr">
        <is>
          <t>OK</t>
        </is>
      </c>
      <c r="AS371" s="18" t="inlineStr">
        <is>
          <t>ROWS:p16r60</t>
        </is>
      </c>
      <c r="AT371" s="18" t="inlineStr">
        <is>
          <t>849d4fe5adce</t>
        </is>
      </c>
    </row>
    <row r="372">
      <c r="A372" s="9" t="n">
        <v>371</v>
      </c>
      <c r="B372" s="9" t="inlineStr">
        <is>
          <t>NEW</t>
        </is>
      </c>
      <c r="C372" s="9" t="inlineStr"/>
      <c r="D372" s="9" t="n">
        <v>0</v>
      </c>
      <c r="E372" s="9" t="inlineStr"/>
      <c r="F372" s="9" t="inlineStr"/>
      <c r="G372" s="9" t="inlineStr"/>
      <c r="H372" s="9" t="inlineStr"/>
      <c r="I372" t="inlineStr">
        <is>
          <t>ACOPLATION ANDAIMES LTDA EM RECUPERACAO JUDICIAL</t>
        </is>
      </c>
      <c r="J372" t="inlineStr">
        <is>
          <t>Acoplation Andaimes LTDA</t>
        </is>
      </c>
      <c r="K372" t="inlineStr">
        <is>
          <t>02576794</t>
        </is>
      </c>
      <c r="L372" t="inlineStr">
        <is>
          <t>02576794000161</t>
        </is>
      </c>
      <c r="M372" s="10" t="n">
        <v>379730.78</v>
      </c>
      <c r="N372" t="n">
        <v>1</v>
      </c>
      <c r="O372" s="11" t="inlineStr">
        <is>
          <t>B</t>
        </is>
      </c>
      <c r="P372" s="11" t="inlineStr"/>
      <c r="Q372" s="12" t="n">
        <v>45756</v>
      </c>
      <c r="R372" s="11">
        <f>IF(Q372="","",ROUND((TODAY()-Q372)/365.25,1))</f>
        <v/>
      </c>
      <c r="S372" s="13">
        <f>IFERROR(VLOOKUP(O372,Assumptions!$A$7:$F$11,2,FALSE),0.25)</f>
        <v/>
      </c>
      <c r="T372" s="14">
        <f>IF(O372="A",MAX(1,IFERROR(VLOOKUP(O372,Assumptions!$A$7:$F$11,3,FALSE),3)+IFERROR(VLOOKUP(O372,Assumptions!$A$7:$F$11,4,FALSE),8)/2-MAX(0,IF(R372="",0,R372)-IFERROR(VLOOKUP(O372,Assumptions!$A$7:$F$11,5,FALSE),1.5))),IFERROR(VLOOKUP(O372,Assumptions!$A$7:$F$11,5,FALSE),2.5)+IFERROR(VLOOKUP(O372,Assumptions!$A$7:$F$11,3,FALSE),3)+IFERROR(VLOOKUP(O372,Assumptions!$A$7:$F$11,4,FALSE),8)/2)</f>
        <v/>
      </c>
      <c r="U372" s="15">
        <f>M372*S372/(1+Assumptions!$B$3)^T372</f>
        <v/>
      </c>
      <c r="V372" s="11">
        <f>IF(M372=0,"",ROUND(U372/M372*100,1))</f>
        <v/>
      </c>
      <c r="W372" s="16">
        <f>U372*Assumptions!$B$4</f>
        <v/>
      </c>
      <c r="X372" s="11">
        <f>IF(M372=0,"",ROUND(W372/M372*100,1))</f>
        <v/>
      </c>
      <c r="Y372" t="inlineStr">
        <is>
          <t>GRUPO EGESA (EGESA ENG S.A, EGESUR PART E EMP S.A, MATRIX INFRA LTDA, BEMVIVER ENG AMBIENTAL E SERV LTDA, DKF CONST E EMP LTDA, EGEPEL LTDA, ETR ASSESSORIA EMP E PART LTDA, MVT ENG E SERV LTDA, PARQUES DO VALE LTDA, ELMO RIBEIRO E ANA RIBEIRO)</t>
        </is>
      </c>
      <c r="Z372" t="inlineStr">
        <is>
          <t>5088952-81.2025.8.13.0024</t>
        </is>
      </c>
      <c r="AA372" t="inlineStr">
        <is>
          <t>TJMG</t>
        </is>
      </c>
      <c r="AB372" t="inlineStr">
        <is>
          <t>scalzilliaj.com.br</t>
        </is>
      </c>
      <c r="AC372" t="inlineStr">
        <is>
          <t>MARCIO JOSE DA SILVA</t>
        </is>
      </c>
      <c r="AD372" t="inlineStr">
        <is>
          <t>Sócio-Administrador</t>
        </is>
      </c>
      <c r="AE372" t="inlineStr">
        <is>
          <t>(31) 3036-2975</t>
        </is>
      </c>
      <c r="AF372" t="inlineStr">
        <is>
          <t>(31) 3036-2974</t>
        </is>
      </c>
      <c r="AG372" t="inlineStr"/>
      <c r="AH372" t="inlineStr">
        <is>
          <t>MG</t>
        </is>
      </c>
      <c r="AI372" t="inlineStr">
        <is>
          <t>BALDIM</t>
        </is>
      </c>
      <c r="AJ372" t="inlineStr">
        <is>
          <t>Serviços de engenharia</t>
        </is>
      </c>
      <c r="AK372" t="inlineStr">
        <is>
          <t>DEMAIS</t>
        </is>
      </c>
      <c r="AL372" t="inlineStr">
        <is>
          <t>ATIVA</t>
        </is>
      </c>
      <c r="AM372" s="17" t="inlineStr">
        <is>
          <t>https://scalzilliaj.com.br/sgc/download.php?file=files/processo_documento/processo_documento09514021082025_1_.pdf&amp;nome=04 - Relação de credores das Recuperandas</t>
        </is>
      </c>
      <c r="AN372" s="18" t="inlineStr">
        <is>
          <t>p61 r9</t>
        </is>
      </c>
      <c r="AO372" s="18" t="inlineStr">
        <is>
          <t>p61: R$ 379.730,78</t>
        </is>
      </c>
      <c r="AP372" s="18" t="inlineStr">
        <is>
          <t>DEBTOR_LIST</t>
        </is>
      </c>
      <c r="AQ372" s="18" t="inlineStr"/>
      <c r="AR372" s="18" t="inlineStr">
        <is>
          <t>OK</t>
        </is>
      </c>
      <c r="AS372" s="18" t="inlineStr">
        <is>
          <t>ROWS:p61r9 VALUE_COL:Valor_Atualizado CASE_NUMBER_CORRECTED CASE_FROM_PORTAL</t>
        </is>
      </c>
      <c r="AT372" s="18" t="inlineStr">
        <is>
          <t>24ed98480a57</t>
        </is>
      </c>
    </row>
    <row r="373">
      <c r="A373" s="9" t="n">
        <v>372</v>
      </c>
      <c r="B373" s="9" t="inlineStr">
        <is>
          <t>NEW</t>
        </is>
      </c>
      <c r="C373" s="9" t="inlineStr"/>
      <c r="D373" s="9" t="n">
        <v>0</v>
      </c>
      <c r="E373" s="9" t="inlineStr"/>
      <c r="F373" s="9" t="inlineStr"/>
      <c r="G373" s="9" t="inlineStr"/>
      <c r="H373" s="9" t="inlineStr"/>
      <c r="I373" t="inlineStr">
        <is>
          <t>BELGO BEKAERT ARAMES LTDA</t>
        </is>
      </c>
      <c r="J373" t="inlineStr">
        <is>
          <t>BELGO BEKAERT ARAMES S/A</t>
        </is>
      </c>
      <c r="K373" t="inlineStr">
        <is>
          <t>61074506</t>
        </is>
      </c>
      <c r="L373" t="inlineStr">
        <is>
          <t>61074506000130</t>
        </is>
      </c>
      <c r="M373" s="10" t="n">
        <v>377941.88</v>
      </c>
      <c r="N373" t="n">
        <v>71</v>
      </c>
      <c r="O373" s="11" t="inlineStr">
        <is>
          <t>C</t>
        </is>
      </c>
      <c r="P373" s="11" t="inlineStr"/>
      <c r="Q373" s="12" t="inlineStr"/>
      <c r="R373" s="11">
        <f>IF(Q373="","",ROUND((TODAY()-Q373)/365.25,1))</f>
        <v/>
      </c>
      <c r="S373" s="13">
        <f>IFERROR(VLOOKUP(O373,Assumptions!$A$7:$F$11,2,FALSE),0.25)</f>
        <v/>
      </c>
      <c r="T373" s="14">
        <f>IF(O373="A",MAX(1,IFERROR(VLOOKUP(O373,Assumptions!$A$7:$F$11,3,FALSE),3)+IFERROR(VLOOKUP(O373,Assumptions!$A$7:$F$11,4,FALSE),8)/2-MAX(0,IF(R373="",0,R373)-IFERROR(VLOOKUP(O373,Assumptions!$A$7:$F$11,5,FALSE),1.5))),IFERROR(VLOOKUP(O373,Assumptions!$A$7:$F$11,5,FALSE),2.5)+IFERROR(VLOOKUP(O373,Assumptions!$A$7:$F$11,3,FALSE),3)+IFERROR(VLOOKUP(O373,Assumptions!$A$7:$F$11,4,FALSE),8)/2)</f>
        <v/>
      </c>
      <c r="U373" s="15">
        <f>M373*S373/(1+Assumptions!$B$3)^T373</f>
        <v/>
      </c>
      <c r="V373" s="11">
        <f>IF(M373=0,"",ROUND(U373/M373*100,1))</f>
        <v/>
      </c>
      <c r="W373" s="16">
        <f>U373*Assumptions!$B$4</f>
        <v/>
      </c>
      <c r="X373" s="11">
        <f>IF(M373=0,"",ROUND(W373/M373*100,1))</f>
        <v/>
      </c>
      <c r="Y373" t="inlineStr">
        <is>
          <t>BLUFIX IND. E COM. LTDA</t>
        </is>
      </c>
      <c r="Z373" t="inlineStr">
        <is>
          <t>0315021-46.2018.8.24.0008</t>
        </is>
      </c>
      <c r="AA373" t="inlineStr"/>
      <c r="AB373" t="inlineStr">
        <is>
          <t>administradorajudicialgs.com.br</t>
        </is>
      </c>
      <c r="AC373" t="inlineStr">
        <is>
          <t>RODRIGO AUGUSTO ARCHER</t>
        </is>
      </c>
      <c r="AD373" t="inlineStr">
        <is>
          <t>Administrador</t>
        </is>
      </c>
      <c r="AE373" t="inlineStr">
        <is>
          <t>(31) 3329-2400</t>
        </is>
      </c>
      <c r="AF373" t="inlineStr">
        <is>
          <t>(31) 3329-2200</t>
        </is>
      </c>
      <c r="AG373" t="inlineStr"/>
      <c r="AH373" t="inlineStr">
        <is>
          <t>MG</t>
        </is>
      </c>
      <c r="AI373" t="inlineStr">
        <is>
          <t>CONTAGEM</t>
        </is>
      </c>
      <c r="AJ373" t="inlineStr">
        <is>
          <t>Produção de arames de aço</t>
        </is>
      </c>
      <c r="AK373" t="inlineStr">
        <is>
          <t>DEMAIS</t>
        </is>
      </c>
      <c r="AL373" t="inlineStr">
        <is>
          <t>ATIVA</t>
        </is>
      </c>
      <c r="AM373" s="17" t="inlineStr">
        <is>
          <t>https://administradorajudicialgs.com.br/wp-content/uploads/2023/08/relacao-de-credores-empresa.pdf</t>
        </is>
      </c>
      <c r="AN373" s="18" t="inlineStr">
        <is>
          <t>p10 r76; p10 r77; p10 r78; p10 r79; p10 r80; p10 r81; p10 r82; p10 r83; p10 r84; p10 r85; p10 r86; p10 r87; p10 r88; p10 r89; p10 r90; p10 r91; p10 r92; p10 r93; p10 r94; p10 r95; p10 r96; p10 r97; p10 r98; p10 r99; p10 r100; p10 r101; p10 r102; p11 r1; p11 r2; p11 r3; p11 r4; p11 r5; p11 r6; p11 r7; p11 r8; p11 r9; p11 r10; p11 r11; p11 r12; p11 r13; p11 r14; p11 r15; p11 r16; p11 r17; p11 r18; p11 r19; p11 r20; p11 r21; p11 r22; p11 r23; p11 r24; p11 r25; p11 r26; p11 r27; p11 r28; p11 r29; p11 r30; p11 r31; p11 r32; p11 r33; p11 r34; p11 r35; p11 r36; p11 r37; p11 r38; p11 r39; p11 r40; p11 r41; p11 r42; p11 r43; p11 r44; p11 r45; p11 r46; p11 r47; p11 r48; p11 r49; p11 r50; p11 r51; p11 r52; p11 r53; p11 r54; p11 r55; p11 r56; p11 r57; p11 r58; p11 r59; p11 r60; p11 r61; p11 r62; p11 r63; p11 r64; p11 r65; p11 r66; p11 r67; p11 r68; p11 r69; p11 r70; p11 r71; p11 r72; p11 r73; p11 r74; p11 r75; p11 r76; p11 r77; p11 r78; p11 r79</t>
        </is>
      </c>
      <c r="AO373" s="18" t="inlineStr">
        <is>
          <t>p10: R$ 4.482,30; p10: R$ None; p10: R$ 7.151,67; p10: R$ 7.595,13; p10: R$ 5.282,91; p10: R$ 3.785,59; p10: R$ 9.478,62; p10: R$ 4.883,90; p10: R$ 4.637,06; p10: R$ 7.265,04; p10: R$ 3.525,37; p10: R$ 9.012,60; p10: R$ 3.742,05; p10: R$ 3.720,79; p10: R$ 2.421,68; p10: R$ 3.574,13; p10: R$ None; p10: R$ 4.090,85; p10: R$ None; p10: R$ 4.694,32; p10: R$ 3.579,10; p10: R$ 8.492,77; p10: R$ 4.948,60; p10: R$ 4.419,83; p10: R$ 6.755,01; p10: R$ 3.762,75; p10: R$ 4.638,91; p11: R$ 4.629,89; p11: R$ 4.805,76; p11: R$ 4.637,06; p11: R$ 3.869,41; p11: R$ 3.816,95; p11: R$ 7.055,97; p11: R$ 7.460,60; p11: R$ None; p11: R$ 9.253,26; p11: R$ 3.430,87; p11: R$ 3.716,87; p11: R$ 4.787,18; p11: R$ 3.574,13; p11: R$ None; p11: R$ 4.090,85; p11: R$ None; p11: R$ 4.694,32; p11: R$ 3.579,10; p11: R$ 9.478,91; p11: R$ 4.884,05; p11: R$ 4.637,19; p11: R$ 7.265,27; p11: R$ 3.525,47; p11: R$ 9.012,87; p11: R$ 5.712,81; p11: R$ None; p11: R$ 3.742,17; p11: R$ 3.720,89; p11: R$ 2.421,76; p11: R$ None; p11: R$ 4.835,35; p11: R$ None; p11: R$ 4.560,45; p11: R$ 8.493,03; p11: R$ 4.948,76; p11: R$ 4.419,97; p11: R$ 6.755,22; p11: R$ None; p11: R$ 9.253,26; p11: R$ 3.430,87; p11: R$ 3.716,87; p11: R$ 4.787,18; p11: R$ 3.762,86; p11: R$ 4.639,04; p11: R$ 4.629,89; p11: R$ 4.805,90; p11: R$ 4.637,19; p11: R$ 3.869,52; p11: R$ 3.817,07; p11: R$ 7.056,17; p11: R$ 7.460,60; p11: R$ 3.574,24; p11: R$ None; p11: R$ 4.090,96; p11: R$ None; p11: R$ 4.694,47; p11: R$ 3.579,22; p11: R$ None; p11: R$ 5.712,81; p11: R$ None; p11: R$ 9.240,74; p11: R$ 4.835,35; p11: R$ None; p11: R$ 4.560,45; p11: R$ None; p11: R$ 9.253,53; p11: R$ 3.430,98; p11: R$ 3.716,98; p11: R$ 4.787,32; p11: R$ 4.630,04; p11: R$ 7.460,83; p11: R$ 5.712,98; p11: R$ None; p11: R$ None; p11: R$ 9.240,74; p11: R$ 4.835,50; p11: R$ None; p11: R$ 4.560,60; p11: R$ 9.241,02</t>
        </is>
      </c>
      <c r="AP373" s="18" t="inlineStr">
        <is>
          <t>UNKNOWN</t>
        </is>
      </c>
      <c r="AQ373" s="18" t="inlineStr">
        <is>
          <t>2017-10-25</t>
        </is>
      </c>
      <c r="AR373" s="18" t="inlineStr">
        <is>
          <t>OK_NO_TOTALS</t>
        </is>
      </c>
      <c r="AS373" s="18" t="inlineStr">
        <is>
          <t>ROWS:p10r76,p10r78,p10r79,p10r80,p10r81,p10r82,p10r83,p10r84,p10r85,p10r86,p10r87,p10r88,p10r89,p10r90,p10r91,p10r93,p10r95,p10r96,p10r97,p10r98,p10r99,p10r100,p10r101,p10r102,p11r1,p11r2,p11r4,p11r5,p11r6,p11r7,p11r9,p11r10,p11r11,p11r12,p11r19,p11r20,p11r21,p11r22,p11r23,p11r24,p11r25,p11r27,p11r28,p11r29,p11r31,p11r33,p11r34,p11r35,p11r36,p11r37,p11r43,p11r44,p11r46,p11r48,p11r49,p11r50,p11r52,p11r54,p11r56,p11r57,p11r61,p11r66,p11r67,p11r68,p11r69,p11r70,p11r71,p11r72,p11r76,p11r78,p11r79 UNRECONCILED_SOURCE</t>
        </is>
      </c>
      <c r="AT373" s="18" t="inlineStr">
        <is>
          <t>f27c1682cf46</t>
        </is>
      </c>
    </row>
    <row r="374">
      <c r="A374" s="9" t="n">
        <v>373</v>
      </c>
      <c r="B374" s="9" t="inlineStr">
        <is>
          <t>NEW</t>
        </is>
      </c>
      <c r="C374" s="9" t="inlineStr"/>
      <c r="D374" s="9" t="n">
        <v>0</v>
      </c>
      <c r="E374" s="9" t="inlineStr"/>
      <c r="F374" s="9" t="inlineStr"/>
      <c r="G374" s="9" t="inlineStr"/>
      <c r="H374" s="9" t="inlineStr"/>
      <c r="I374" t="inlineStr">
        <is>
          <t>PRODUSI METALURGICA LTDA</t>
        </is>
      </c>
      <c r="J374" t="inlineStr">
        <is>
          <t>SIM</t>
        </is>
      </c>
      <c r="K374" t="inlineStr">
        <is>
          <t>02135888</t>
        </is>
      </c>
      <c r="L374" t="inlineStr">
        <is>
          <t>02135888000103</t>
        </is>
      </c>
      <c r="M374" s="10" t="n">
        <v>376976.74</v>
      </c>
      <c r="N374" t="n">
        <v>1</v>
      </c>
      <c r="O374" s="11" t="inlineStr">
        <is>
          <t>B</t>
        </is>
      </c>
      <c r="P374" s="11" t="inlineStr"/>
      <c r="Q374" s="12" t="inlineStr"/>
      <c r="R374" s="11">
        <f>IF(Q374="","",ROUND((TODAY()-Q374)/365.25,1))</f>
        <v/>
      </c>
      <c r="S374" s="13">
        <f>IFERROR(VLOOKUP(O374,Assumptions!$A$7:$F$11,2,FALSE),0.25)</f>
        <v/>
      </c>
      <c r="T374" s="14">
        <f>IF(O374="A",MAX(1,IFERROR(VLOOKUP(O374,Assumptions!$A$7:$F$11,3,FALSE),3)+IFERROR(VLOOKUP(O374,Assumptions!$A$7:$F$11,4,FALSE),8)/2-MAX(0,IF(R374="",0,R374)-IFERROR(VLOOKUP(O374,Assumptions!$A$7:$F$11,5,FALSE),1.5))),IFERROR(VLOOKUP(O374,Assumptions!$A$7:$F$11,5,FALSE),2.5)+IFERROR(VLOOKUP(O374,Assumptions!$A$7:$F$11,3,FALSE),3)+IFERROR(VLOOKUP(O374,Assumptions!$A$7:$F$11,4,FALSE),8)/2)</f>
        <v/>
      </c>
      <c r="U374" s="15">
        <f>M374*S374/(1+Assumptions!$B$3)^T374</f>
        <v/>
      </c>
      <c r="V374" s="11">
        <f>IF(M374=0,"",ROUND(U374/M374*100,1))</f>
        <v/>
      </c>
      <c r="W374" s="16">
        <f>U374*Assumptions!$B$4</f>
        <v/>
      </c>
      <c r="X374" s="11">
        <f>IF(M374=0,"",ROUND(W374/M374*100,1))</f>
        <v/>
      </c>
      <c r="Y374" t="inlineStr">
        <is>
          <t>Grupo Rech</t>
        </is>
      </c>
      <c r="Z374" t="inlineStr">
        <is>
          <t>5057720-48.2025.8.24.0023</t>
        </is>
      </c>
      <c r="AA374" t="inlineStr"/>
      <c r="AB374" t="inlineStr">
        <is>
          <t>credibilita.com.br</t>
        </is>
      </c>
      <c r="AC374" t="inlineStr">
        <is>
          <t>JULIO CESAR GONCALVES FERNANDES</t>
        </is>
      </c>
      <c r="AD374" t="inlineStr">
        <is>
          <t>Sócio-Administrador</t>
        </is>
      </c>
      <c r="AE374" t="inlineStr">
        <is>
          <t>(43) 3373-8800</t>
        </is>
      </c>
      <c r="AF374" t="inlineStr"/>
      <c r="AG374" t="inlineStr"/>
      <c r="AH374" t="inlineStr">
        <is>
          <t>PR</t>
        </is>
      </c>
      <c r="AI374" t="inlineStr">
        <is>
          <t>LONDRINA</t>
        </is>
      </c>
      <c r="AJ374" t="inlineStr">
        <is>
          <t>Fabricação de outros produtos de metal não especificados anteriormente</t>
        </is>
      </c>
      <c r="AK374" t="inlineStr">
        <is>
          <t>DEMAIS</t>
        </is>
      </c>
      <c r="AL374" t="inlineStr">
        <is>
          <t>ATIVA</t>
        </is>
      </c>
      <c r="AM374" s="17" t="inlineStr">
        <is>
          <t>https://credibilita.com.br/wp-content/uploads/2025/09/Relacao-Credores-29.04.2026.pdf</t>
        </is>
      </c>
      <c r="AN374" s="18" t="inlineStr">
        <is>
          <t>p2 r10</t>
        </is>
      </c>
      <c r="AO374" s="18" t="inlineStr">
        <is>
          <t>p2: R$ 376.976,74</t>
        </is>
      </c>
      <c r="AP374" s="18" t="inlineStr">
        <is>
          <t>QUORUM_LIST</t>
        </is>
      </c>
      <c r="AQ374" s="18" t="inlineStr"/>
      <c r="AR374" s="18" t="inlineStr">
        <is>
          <t>OK_NO_TOTALS</t>
        </is>
      </c>
      <c r="AS374" s="18" t="inlineStr">
        <is>
          <t>ROWS:p2r10 UNRECONCILED_SOURCE VALUE_COL:Valor_Após_Analise CASE_NUMBER_CORRECTED</t>
        </is>
      </c>
      <c r="AT374" s="18" t="inlineStr">
        <is>
          <t>cf92cff797d2</t>
        </is>
      </c>
    </row>
    <row r="375">
      <c r="A375" s="9" t="n">
        <v>374</v>
      </c>
      <c r="B375" s="9" t="inlineStr">
        <is>
          <t>NEW</t>
        </is>
      </c>
      <c r="C375" s="9" t="inlineStr"/>
      <c r="D375" s="9" t="n">
        <v>0</v>
      </c>
      <c r="E375" s="9" t="inlineStr"/>
      <c r="F375" s="9" t="inlineStr"/>
      <c r="G375" s="9" t="inlineStr"/>
      <c r="H375" s="9" t="inlineStr"/>
      <c r="I375" t="inlineStr">
        <is>
          <t>CESDE INDUSTRIA E COMERCIO DE ELETRODOMESTICOS LTDA</t>
        </is>
      </c>
      <c r="J375" t="inlineStr">
        <is>
          <t>00.153.282/0001-67</t>
        </is>
      </c>
      <c r="K375" t="inlineStr">
        <is>
          <t>00153282</t>
        </is>
      </c>
      <c r="L375" t="inlineStr">
        <is>
          <t>00153282000167</t>
        </is>
      </c>
      <c r="M375" s="10" t="n">
        <v>376130.35</v>
      </c>
      <c r="N375" t="n">
        <v>1</v>
      </c>
      <c r="O375" s="11" t="inlineStr">
        <is>
          <t>C</t>
        </is>
      </c>
      <c r="P375" s="11" t="inlineStr">
        <is>
          <t>ACTIVE</t>
        </is>
      </c>
      <c r="Q375" s="12" t="n">
        <v>43894</v>
      </c>
      <c r="R375" s="11">
        <f>IF(Q375="","",ROUND((TODAY()-Q375)/365.25,1))</f>
        <v/>
      </c>
      <c r="S375" s="13">
        <f>IFERROR(VLOOKUP(O375,Assumptions!$A$7:$F$11,2,FALSE),0.25)</f>
        <v/>
      </c>
      <c r="T375" s="14">
        <f>IF(O375="A",MAX(1,IFERROR(VLOOKUP(O375,Assumptions!$A$7:$F$11,3,FALSE),3)+IFERROR(VLOOKUP(O375,Assumptions!$A$7:$F$11,4,FALSE),8)/2-MAX(0,IF(R375="",0,R375)-IFERROR(VLOOKUP(O375,Assumptions!$A$7:$F$11,5,FALSE),1.5))),IFERROR(VLOOKUP(O375,Assumptions!$A$7:$F$11,5,FALSE),2.5)+IFERROR(VLOOKUP(O375,Assumptions!$A$7:$F$11,3,FALSE),3)+IFERROR(VLOOKUP(O375,Assumptions!$A$7:$F$11,4,FALSE),8)/2)</f>
        <v/>
      </c>
      <c r="U375" s="15">
        <f>M375*S375/(1+Assumptions!$B$3)^T375</f>
        <v/>
      </c>
      <c r="V375" s="11">
        <f>IF(M375=0,"",ROUND(U375/M375*100,1))</f>
        <v/>
      </c>
      <c r="W375" s="16">
        <f>U375*Assumptions!$B$4</f>
        <v/>
      </c>
      <c r="X375" s="11">
        <f>IF(M375=0,"",ROUND(W375/M375*100,1))</f>
        <v/>
      </c>
      <c r="Y375" t="inlineStr">
        <is>
          <t>CREDIMÓVEIS NOVOLAR LTDA.</t>
        </is>
      </c>
      <c r="Z375" t="inlineStr">
        <is>
          <t>0007565-40.2020.8.17.2370</t>
        </is>
      </c>
      <c r="AA375" t="inlineStr">
        <is>
          <t>TJPE</t>
        </is>
      </c>
      <c r="AB375" t="inlineStr">
        <is>
          <t>recuperacaojudicial.squarespace.com</t>
        </is>
      </c>
      <c r="AC375" t="inlineStr">
        <is>
          <t>ALBERTO BETRIAN BLASCO</t>
        </is>
      </c>
      <c r="AD375" t="inlineStr">
        <is>
          <t>Sócio-Administrador</t>
        </is>
      </c>
      <c r="AE375" t="inlineStr">
        <is>
          <t>(85) 4011-3800</t>
        </is>
      </c>
      <c r="AF375" t="inlineStr">
        <is>
          <t>(85) 4011-3824</t>
        </is>
      </c>
      <c r="AG375" t="inlineStr"/>
      <c r="AH375" t="inlineStr">
        <is>
          <t>CE</t>
        </is>
      </c>
      <c r="AI375" t="inlineStr">
        <is>
          <t>MARANGUAPE</t>
        </is>
      </c>
      <c r="AJ375" t="inlineStr">
        <is>
          <t>Fabricação de outros aparelhos eletrodomésticos não especificados anteriormente, peças e acessórios</t>
        </is>
      </c>
      <c r="AK375" t="inlineStr">
        <is>
          <t>DEMAIS</t>
        </is>
      </c>
      <c r="AL375" t="inlineStr">
        <is>
          <t>ATIVA</t>
        </is>
      </c>
      <c r="AM375" s="17" t="inlineStr">
        <is>
          <t>https://recuperacaojudicial.squarespace.com/s/RJ-Credimoveis-QGC-01082025.pdf</t>
        </is>
      </c>
      <c r="AN375" s="18" t="inlineStr">
        <is>
          <t>p15 r29</t>
        </is>
      </c>
      <c r="AO375" s="18" t="inlineStr">
        <is>
          <t>p15: R$ 376.130,35</t>
        </is>
      </c>
      <c r="AP375" s="18" t="inlineStr">
        <is>
          <t>QGC</t>
        </is>
      </c>
      <c r="AQ375" s="18" t="inlineStr">
        <is>
          <t>2026-01-28</t>
        </is>
      </c>
      <c r="AR375" s="18" t="inlineStr">
        <is>
          <t>OK</t>
        </is>
      </c>
      <c r="AS375" s="18" t="inlineStr">
        <is>
          <t>ROWS:p15r29</t>
        </is>
      </c>
      <c r="AT375" s="18" t="inlineStr">
        <is>
          <t>849d4fe5adce</t>
        </is>
      </c>
    </row>
    <row r="376">
      <c r="A376" s="9" t="n">
        <v>375</v>
      </c>
      <c r="B376" s="9" t="inlineStr">
        <is>
          <t>NEW</t>
        </is>
      </c>
      <c r="C376" s="9" t="inlineStr"/>
      <c r="D376" s="9" t="n">
        <v>0</v>
      </c>
      <c r="E376" s="9" t="inlineStr"/>
      <c r="F376" s="9" t="inlineStr"/>
      <c r="G376" s="9" t="inlineStr"/>
      <c r="H376" s="9" t="inlineStr"/>
      <c r="I376" t="inlineStr">
        <is>
          <t>CAUANA INDUSTRIA COMERCIO E REPRESENTACOES LTDA</t>
        </is>
      </c>
      <c r="J376" t="inlineStr">
        <is>
          <t>CAUANA COMERCIO E REPRESENTACOES LTDA</t>
        </is>
      </c>
      <c r="K376" t="inlineStr">
        <is>
          <t>13726078</t>
        </is>
      </c>
      <c r="L376" t="inlineStr">
        <is>
          <t>13726078000130</t>
        </is>
      </c>
      <c r="M376" s="10" t="n">
        <v>374949</v>
      </c>
      <c r="N376" t="n">
        <v>1</v>
      </c>
      <c r="O376" s="11" t="inlineStr">
        <is>
          <t>C</t>
        </is>
      </c>
      <c r="P376" s="11" t="inlineStr">
        <is>
          <t>ACTIVE</t>
        </is>
      </c>
      <c r="Q376" s="12" t="n">
        <v>44571</v>
      </c>
      <c r="R376" s="11">
        <f>IF(Q376="","",ROUND((TODAY()-Q376)/365.25,1))</f>
        <v/>
      </c>
      <c r="S376" s="13">
        <f>IFERROR(VLOOKUP(O376,Assumptions!$A$7:$F$11,2,FALSE),0.25)</f>
        <v/>
      </c>
      <c r="T376" s="14">
        <f>IF(O376="A",MAX(1,IFERROR(VLOOKUP(O376,Assumptions!$A$7:$F$11,3,FALSE),3)+IFERROR(VLOOKUP(O376,Assumptions!$A$7:$F$11,4,FALSE),8)/2-MAX(0,IF(R376="",0,R376)-IFERROR(VLOOKUP(O376,Assumptions!$A$7:$F$11,5,FALSE),1.5))),IFERROR(VLOOKUP(O376,Assumptions!$A$7:$F$11,5,FALSE),2.5)+IFERROR(VLOOKUP(O376,Assumptions!$A$7:$F$11,3,FALSE),3)+IFERROR(VLOOKUP(O376,Assumptions!$A$7:$F$11,4,FALSE),8)/2)</f>
        <v/>
      </c>
      <c r="U376" s="15">
        <f>M376*S376/(1+Assumptions!$B$3)^T376</f>
        <v/>
      </c>
      <c r="V376" s="11">
        <f>IF(M376=0,"",ROUND(U376/M376*100,1))</f>
        <v/>
      </c>
      <c r="W376" s="16">
        <f>U376*Assumptions!$B$4</f>
        <v/>
      </c>
      <c r="X376" s="11">
        <f>IF(M376=0,"",ROUND(W376/M376*100,1))</f>
        <v/>
      </c>
      <c r="Y376" t="inlineStr">
        <is>
          <t>GRUPO CATTAN</t>
        </is>
      </c>
      <c r="Z376" t="inlineStr">
        <is>
          <t>0002484-82.2022.8.17.2001</t>
        </is>
      </c>
      <c r="AA376" t="inlineStr">
        <is>
          <t>TJPE</t>
        </is>
      </c>
      <c r="AB376" t="inlineStr">
        <is>
          <t>lrflideres.com.br</t>
        </is>
      </c>
      <c r="AC376" t="inlineStr">
        <is>
          <t>CLAUDIO NOGUEIRA DINIZ</t>
        </is>
      </c>
      <c r="AD376" t="inlineStr">
        <is>
          <t>Sócio-Administrador</t>
        </is>
      </c>
      <c r="AE376" t="inlineStr">
        <is>
          <t>(31) 2581-0599</t>
        </is>
      </c>
      <c r="AF376" t="inlineStr"/>
      <c r="AG376" t="inlineStr"/>
      <c r="AH376" t="inlineStr">
        <is>
          <t>MG</t>
        </is>
      </c>
      <c r="AI376" t="inlineStr">
        <is>
          <t>NOVA LIMA</t>
        </is>
      </c>
      <c r="AJ376" t="inlineStr">
        <is>
          <t>Confecção de peças de vestuário, exceto roupas íntimas e as confeccionadas sob medida</t>
        </is>
      </c>
      <c r="AK376" t="inlineStr">
        <is>
          <t>MICRO EMPRESA</t>
        </is>
      </c>
      <c r="AL376" t="inlineStr">
        <is>
          <t>ATIVA</t>
        </is>
      </c>
      <c r="AM376" s="17" t="inlineStr">
        <is>
          <t>https://lrflideres.com.br/wp-content/plugins/download-attachments/includes/download.php?id=4023</t>
        </is>
      </c>
      <c r="AN376" s="18" t="inlineStr">
        <is>
          <t>p4 r62</t>
        </is>
      </c>
      <c r="AO376" s="18" t="inlineStr">
        <is>
          <t>p4: R$ 374.949,00</t>
        </is>
      </c>
      <c r="AP376" s="18" t="inlineStr">
        <is>
          <t>DEBTOR_LIST</t>
        </is>
      </c>
      <c r="AQ376" s="18" t="inlineStr"/>
      <c r="AR376" s="18" t="inlineStr">
        <is>
          <t>QUARANTINED</t>
        </is>
      </c>
      <c r="AS376" s="18" t="inlineStr">
        <is>
          <t>PARTIAL_DOC_CLASS_III_RECONCILED ROWS:p4r62</t>
        </is>
      </c>
      <c r="AT376" s="18" t="inlineStr">
        <is>
          <t>f3b6182e3aa2</t>
        </is>
      </c>
    </row>
    <row r="377">
      <c r="A377" s="9" t="n">
        <v>376</v>
      </c>
      <c r="B377" s="9" t="inlineStr">
        <is>
          <t>NEW</t>
        </is>
      </c>
      <c r="C377" s="9" t="inlineStr"/>
      <c r="D377" s="9" t="n">
        <v>0</v>
      </c>
      <c r="E377" s="9" t="inlineStr"/>
      <c r="F377" s="9" t="inlineStr"/>
      <c r="G377" s="9" t="inlineStr"/>
      <c r="H377" s="9" t="inlineStr"/>
      <c r="I377" t="inlineStr">
        <is>
          <t>RAVATO DISTRIBUIDORA DE COMBUSTIVEIS LTDA</t>
        </is>
      </c>
      <c r="J377" t="inlineStr">
        <is>
          <t>Ravato Distribuidora De Combustiveis Ltda</t>
        </is>
      </c>
      <c r="K377" t="inlineStr">
        <is>
          <t>16978251</t>
        </is>
      </c>
      <c r="L377" t="inlineStr">
        <is>
          <t>16978251000266</t>
        </is>
      </c>
      <c r="M377" s="10" t="n">
        <v>373976.81</v>
      </c>
      <c r="N377" t="n">
        <v>1</v>
      </c>
      <c r="O377" s="11" t="inlineStr">
        <is>
          <t>C</t>
        </is>
      </c>
      <c r="P377" s="11" t="inlineStr">
        <is>
          <t>ACTIVE</t>
        </is>
      </c>
      <c r="Q377" s="12" t="n">
        <v>45275</v>
      </c>
      <c r="R377" s="11">
        <f>IF(Q377="","",ROUND((TODAY()-Q377)/365.25,1))</f>
        <v/>
      </c>
      <c r="S377" s="13">
        <f>IFERROR(VLOOKUP(O377,Assumptions!$A$7:$F$11,2,FALSE),0.25)</f>
        <v/>
      </c>
      <c r="T377" s="14">
        <f>IF(O377="A",MAX(1,IFERROR(VLOOKUP(O377,Assumptions!$A$7:$F$11,3,FALSE),3)+IFERROR(VLOOKUP(O377,Assumptions!$A$7:$F$11,4,FALSE),8)/2-MAX(0,IF(R377="",0,R377)-IFERROR(VLOOKUP(O377,Assumptions!$A$7:$F$11,5,FALSE),1.5))),IFERROR(VLOOKUP(O377,Assumptions!$A$7:$F$11,5,FALSE),2.5)+IFERROR(VLOOKUP(O377,Assumptions!$A$7:$F$11,3,FALSE),3)+IFERROR(VLOOKUP(O377,Assumptions!$A$7:$F$11,4,FALSE),8)/2)</f>
        <v/>
      </c>
      <c r="U377" s="15">
        <f>M377*S377/(1+Assumptions!$B$3)^T377</f>
        <v/>
      </c>
      <c r="V377" s="11">
        <f>IF(M377=0,"",ROUND(U377/M377*100,1))</f>
        <v/>
      </c>
      <c r="W377" s="16">
        <f>U377*Assumptions!$B$4</f>
        <v/>
      </c>
      <c r="X377" s="11">
        <f>IF(M377=0,"",ROUND(W377/M377*100,1))</f>
        <v/>
      </c>
      <c r="Y377" t="inlineStr">
        <is>
          <t>Grupo Agromeal</t>
        </is>
      </c>
      <c r="Z377" t="inlineStr">
        <is>
          <t>0003971-03.2023.8.16.0119</t>
        </is>
      </c>
      <c r="AA377" t="inlineStr">
        <is>
          <t>TJPR</t>
        </is>
      </c>
      <c r="AB377" t="inlineStr">
        <is>
          <t>marquesadmjudicial.com.br</t>
        </is>
      </c>
      <c r="AC377" t="inlineStr">
        <is>
          <t>LUCIANO DEMICHELI</t>
        </is>
      </c>
      <c r="AD377" t="inlineStr">
        <is>
          <t>Administrador</t>
        </is>
      </c>
      <c r="AE377" t="inlineStr">
        <is>
          <t>(42) 3520-2100</t>
        </is>
      </c>
      <c r="AF377" t="inlineStr">
        <is>
          <t>(42) 3520-2110</t>
        </is>
      </c>
      <c r="AG377" t="inlineStr"/>
      <c r="AH377" t="inlineStr">
        <is>
          <t>PR</t>
        </is>
      </c>
      <c r="AI377" t="inlineStr">
        <is>
          <t>SAO MATEUS DO SUL</t>
        </is>
      </c>
      <c r="AJ377" t="inlineStr">
        <is>
          <t>Comércio atacadista de álcool carburante, biodiesel, gasolina e demais derivados de petróleo, exceto lubrificantes, não realizado por transportador re</t>
        </is>
      </c>
      <c r="AK377" t="inlineStr">
        <is>
          <t>DEMAIS</t>
        </is>
      </c>
      <c r="AL377" t="inlineStr">
        <is>
          <t>ATIVA</t>
        </is>
      </c>
      <c r="AM377" s="17" t="inlineStr">
        <is>
          <t>https://marquesadmjudicial.com.br/sgc/download.php?file=files/processo_documento/processo_documento17040729052024_1_.pdf&amp;nome=Relação Nominal de Credores AJ-Sintética</t>
        </is>
      </c>
      <c r="AN377" s="18" t="inlineStr">
        <is>
          <t>p12 r14</t>
        </is>
      </c>
      <c r="AO377" s="18" t="inlineStr">
        <is>
          <t>p12: R$ 373.976,81</t>
        </is>
      </c>
      <c r="AP377" s="18" t="inlineStr">
        <is>
          <t>AJ_LIST</t>
        </is>
      </c>
      <c r="AQ377" s="18" t="inlineStr">
        <is>
          <t>2024-05-27</t>
        </is>
      </c>
      <c r="AR377" s="18" t="inlineStr">
        <is>
          <t>QUARANTINED</t>
        </is>
      </c>
      <c r="AS377" s="18" t="inlineStr">
        <is>
          <t>PARTIAL_DOC_CLASS_III_RECONCILED ROWS:p12r14</t>
        </is>
      </c>
      <c r="AT377" s="18" t="inlineStr">
        <is>
          <t>1209dafe77b7</t>
        </is>
      </c>
    </row>
    <row r="378">
      <c r="A378" s="9" t="n">
        <v>377</v>
      </c>
      <c r="B378" s="9" t="inlineStr">
        <is>
          <t>NEW</t>
        </is>
      </c>
      <c r="C378" s="9" t="inlineStr"/>
      <c r="D378" s="9" t="n">
        <v>0</v>
      </c>
      <c r="E378" s="9" t="inlineStr"/>
      <c r="F378" s="9" t="inlineStr"/>
      <c r="G378" s="9" t="inlineStr"/>
      <c r="H378" s="9" t="inlineStr"/>
      <c r="I378" t="inlineStr">
        <is>
          <t>COMPANHIA ESPIRITO SANTENSE DE SANEAMENTO CESAN</t>
        </is>
      </c>
      <c r="J378" t="inlineStr">
        <is>
          <t>CESAN COMPANHIA ESPIRITO SANTENSE DE SANEAMENTO</t>
        </is>
      </c>
      <c r="K378" t="inlineStr">
        <is>
          <t>28151363</t>
        </is>
      </c>
      <c r="L378" t="inlineStr">
        <is>
          <t>28151363000147</t>
        </is>
      </c>
      <c r="M378" s="10" t="n">
        <v>370928.52</v>
      </c>
      <c r="N378" t="n">
        <v>1</v>
      </c>
      <c r="O378" s="11" t="inlineStr">
        <is>
          <t>C</t>
        </is>
      </c>
      <c r="P378" s="11" t="inlineStr"/>
      <c r="Q378" s="12" t="inlineStr"/>
      <c r="R378" s="11">
        <f>IF(Q378="","",ROUND((TODAY()-Q378)/365.25,1))</f>
        <v/>
      </c>
      <c r="S378" s="13">
        <f>IFERROR(VLOOKUP(O378,Assumptions!$A$7:$F$11,2,FALSE),0.25)</f>
        <v/>
      </c>
      <c r="T378" s="14">
        <f>IF(O378="A",MAX(1,IFERROR(VLOOKUP(O378,Assumptions!$A$7:$F$11,3,FALSE),3)+IFERROR(VLOOKUP(O378,Assumptions!$A$7:$F$11,4,FALSE),8)/2-MAX(0,IF(R378="",0,R378)-IFERROR(VLOOKUP(O378,Assumptions!$A$7:$F$11,5,FALSE),1.5))),IFERROR(VLOOKUP(O378,Assumptions!$A$7:$F$11,5,FALSE),2.5)+IFERROR(VLOOKUP(O378,Assumptions!$A$7:$F$11,3,FALSE),3)+IFERROR(VLOOKUP(O378,Assumptions!$A$7:$F$11,4,FALSE),8)/2)</f>
        <v/>
      </c>
      <c r="U378" s="15">
        <f>M378*S378/(1+Assumptions!$B$3)^T378</f>
        <v/>
      </c>
      <c r="V378" s="11">
        <f>IF(M378=0,"",ROUND(U378/M378*100,1))</f>
        <v/>
      </c>
      <c r="W378" s="16">
        <f>U378*Assumptions!$B$4</f>
        <v/>
      </c>
      <c r="X378" s="11">
        <f>IF(M378=0,"",ROUND(W378/M378*100,1))</f>
        <v/>
      </c>
      <c r="Y378" t="inlineStr">
        <is>
          <t>HOSPITAL SANTA MÔNICA LTDA</t>
        </is>
      </c>
      <c r="Z378" t="inlineStr">
        <is>
          <t>0041309-42.2014.8.08.0024</t>
        </is>
      </c>
      <c r="AA378" t="inlineStr"/>
      <c r="AB378" t="inlineStr">
        <is>
          <t>ricardobiancardi.com.br</t>
        </is>
      </c>
      <c r="AC378" t="inlineStr">
        <is>
          <t>MUNIR ABUD DE OLIVEIRA</t>
        </is>
      </c>
      <c r="AD378" t="inlineStr">
        <is>
          <t>Presidente</t>
        </is>
      </c>
      <c r="AE378" t="inlineStr">
        <is>
          <t>(27) 2127-5005</t>
        </is>
      </c>
      <c r="AF378" t="inlineStr"/>
      <c r="AG378" t="inlineStr"/>
      <c r="AH378" t="inlineStr">
        <is>
          <t>ES</t>
        </is>
      </c>
      <c r="AI378" t="inlineStr">
        <is>
          <t>VITORIA</t>
        </is>
      </c>
      <c r="AJ378" t="inlineStr">
        <is>
          <t>Captação, tratamento e distribuição de água</t>
        </is>
      </c>
      <c r="AK378" t="inlineStr">
        <is>
          <t>DEMAIS</t>
        </is>
      </c>
      <c r="AL378" t="inlineStr">
        <is>
          <t>ATIVA</t>
        </is>
      </c>
      <c r="AM378" s="17" t="inlineStr">
        <is>
          <t>https://ricardobiancardi.com.br/wp-content/uploads/2024/12/Edital-1-relacao-de-credores-pub.-02.12.24-.pdf</t>
        </is>
      </c>
      <c r="AN378" s="18" t="inlineStr">
        <is>
          <t>p3 r16</t>
        </is>
      </c>
      <c r="AO378" s="18" t="inlineStr">
        <is>
          <t>p3: R$ 370.928,52</t>
        </is>
      </c>
      <c r="AP378" s="18" t="inlineStr">
        <is>
          <t>DEBTOR_LIST</t>
        </is>
      </c>
      <c r="AQ378" s="18" t="inlineStr">
        <is>
          <t>2024-12-02</t>
        </is>
      </c>
      <c r="AR378" s="18" t="inlineStr">
        <is>
          <t>OK_NO_TOTALS</t>
        </is>
      </c>
      <c r="AS378" s="18" t="inlineStr">
        <is>
          <t>ROWS:p3r16 UNRECONCILED_SOURCE</t>
        </is>
      </c>
      <c r="AT378" s="18" t="inlineStr">
        <is>
          <t>bf96785f7a4e</t>
        </is>
      </c>
    </row>
    <row r="379">
      <c r="A379" s="9" t="n">
        <v>378</v>
      </c>
      <c r="B379" s="9" t="inlineStr">
        <is>
          <t>NEW</t>
        </is>
      </c>
      <c r="C379" s="9" t="inlineStr"/>
      <c r="D379" s="9" t="n">
        <v>0</v>
      </c>
      <c r="E379" s="9" t="inlineStr"/>
      <c r="F379" s="9" t="inlineStr"/>
      <c r="G379" s="9" t="inlineStr"/>
      <c r="H379" s="9" t="inlineStr"/>
      <c r="I379" t="inlineStr">
        <is>
          <t>AGAE TRANSPORTES E COMERCIO S/A</t>
        </is>
      </c>
      <c r="J379" t="inlineStr">
        <is>
          <t>Agae Transportes e Comercio Ltda</t>
        </is>
      </c>
      <c r="K379" t="inlineStr">
        <is>
          <t>43998509</t>
        </is>
      </c>
      <c r="L379" t="inlineStr">
        <is>
          <t>43998509000188</t>
        </is>
      </c>
      <c r="M379" s="10" t="n">
        <v>368662.26</v>
      </c>
      <c r="N379" t="n">
        <v>1</v>
      </c>
      <c r="O379" s="11" t="inlineStr">
        <is>
          <t>B</t>
        </is>
      </c>
      <c r="P379" s="11" t="inlineStr"/>
      <c r="Q379" s="12" t="n">
        <v>45756</v>
      </c>
      <c r="R379" s="11">
        <f>IF(Q379="","",ROUND((TODAY()-Q379)/365.25,1))</f>
        <v/>
      </c>
      <c r="S379" s="13">
        <f>IFERROR(VLOOKUP(O379,Assumptions!$A$7:$F$11,2,FALSE),0.25)</f>
        <v/>
      </c>
      <c r="T379" s="14">
        <f>IF(O379="A",MAX(1,IFERROR(VLOOKUP(O379,Assumptions!$A$7:$F$11,3,FALSE),3)+IFERROR(VLOOKUP(O379,Assumptions!$A$7:$F$11,4,FALSE),8)/2-MAX(0,IF(R379="",0,R379)-IFERROR(VLOOKUP(O379,Assumptions!$A$7:$F$11,5,FALSE),1.5))),IFERROR(VLOOKUP(O379,Assumptions!$A$7:$F$11,5,FALSE),2.5)+IFERROR(VLOOKUP(O379,Assumptions!$A$7:$F$11,3,FALSE),3)+IFERROR(VLOOKUP(O379,Assumptions!$A$7:$F$11,4,FALSE),8)/2)</f>
        <v/>
      </c>
      <c r="U379" s="15">
        <f>M379*S379/(1+Assumptions!$B$3)^T379</f>
        <v/>
      </c>
      <c r="V379" s="11">
        <f>IF(M379=0,"",ROUND(U379/M379*100,1))</f>
        <v/>
      </c>
      <c r="W379" s="16">
        <f>U379*Assumptions!$B$4</f>
        <v/>
      </c>
      <c r="X379" s="11">
        <f>IF(M379=0,"",ROUND(W379/M379*100,1))</f>
        <v/>
      </c>
      <c r="Y379" t="inlineStr">
        <is>
          <t>GRUPO EGESA (EGESA ENG S.A, EGESUR PART E EMP S.A, MATRIX INFRA LTDA, BEMVIVER ENG AMBIENTAL E SERV LTDA, DKF CONST E EMP LTDA, EGEPEL LTDA, ETR ASSESSORIA EMP E PART LTDA, MVT ENG E SERV LTDA, PARQUES DO VALE LTDA, ELMO RIBEIRO E ANA RIBEIRO)</t>
        </is>
      </c>
      <c r="Z379" t="inlineStr">
        <is>
          <t>5088952-81.2025.8.13.0024</t>
        </is>
      </c>
      <c r="AA379" t="inlineStr">
        <is>
          <t>TJMG</t>
        </is>
      </c>
      <c r="AB379" t="inlineStr">
        <is>
          <t>scalzilliaj.com.br</t>
        </is>
      </c>
      <c r="AC379" t="inlineStr">
        <is>
          <t>FLAVIO GOMES VIANNA</t>
        </is>
      </c>
      <c r="AD379" t="inlineStr">
        <is>
          <t>Presidente</t>
        </is>
      </c>
      <c r="AE379" t="inlineStr">
        <is>
          <t>021221236632</t>
        </is>
      </c>
      <c r="AF379" t="inlineStr"/>
      <c r="AG379" t="inlineStr"/>
      <c r="AH379" t="inlineStr">
        <is>
          <t>RJ</t>
        </is>
      </c>
      <c r="AI379" t="inlineStr">
        <is>
          <t>RIO DE JANEIRO</t>
        </is>
      </c>
      <c r="AJ379" t="inlineStr">
        <is>
          <t>Transporte rodoviário de produtos perigosos</t>
        </is>
      </c>
      <c r="AK379" t="inlineStr">
        <is>
          <t>DEMAIS</t>
        </is>
      </c>
      <c r="AL379" t="inlineStr">
        <is>
          <t>ATIVA</t>
        </is>
      </c>
      <c r="AM379" s="17" t="inlineStr">
        <is>
          <t>https://scalzilliaj.com.br/sgc/download.php?file=files/processo_documento/processo_documento09514021082025_1_.pdf&amp;nome=04 - Relação de credores das Recuperandas</t>
        </is>
      </c>
      <c r="AN379" s="18" t="inlineStr">
        <is>
          <t>p61 r13</t>
        </is>
      </c>
      <c r="AO379" s="18" t="inlineStr">
        <is>
          <t>p61: R$ 368.662,26</t>
        </is>
      </c>
      <c r="AP379" s="18" t="inlineStr">
        <is>
          <t>DEBTOR_LIST</t>
        </is>
      </c>
      <c r="AQ379" s="18" t="inlineStr"/>
      <c r="AR379" s="18" t="inlineStr">
        <is>
          <t>OK</t>
        </is>
      </c>
      <c r="AS379" s="18" t="inlineStr">
        <is>
          <t>ROWS:p61r13 VALUE_COL:Valor_Atualizado CASE_NUMBER_CORRECTED CASE_FROM_PORTAL</t>
        </is>
      </c>
      <c r="AT379" s="18" t="inlineStr">
        <is>
          <t>24ed98480a57</t>
        </is>
      </c>
    </row>
    <row r="380">
      <c r="A380" s="9" t="n">
        <v>379</v>
      </c>
      <c r="B380" s="9" t="inlineStr">
        <is>
          <t>NEW</t>
        </is>
      </c>
      <c r="C380" s="9" t="inlineStr"/>
      <c r="D380" s="9" t="n">
        <v>0</v>
      </c>
      <c r="E380" s="9" t="inlineStr"/>
      <c r="F380" s="9" t="inlineStr"/>
      <c r="G380" s="9" t="inlineStr"/>
      <c r="H380" s="9" t="inlineStr"/>
      <c r="I380" t="inlineStr">
        <is>
          <t>ALPHA MARKTEC MATERIAIS ELETRICOS LTDA</t>
        </is>
      </c>
      <c r="J380" t="inlineStr">
        <is>
          <t>Alpha Marktec Materiais Elétricos Ltda</t>
        </is>
      </c>
      <c r="K380" t="inlineStr">
        <is>
          <t>59274316</t>
        </is>
      </c>
      <c r="L380" t="inlineStr">
        <is>
          <t>59274316000114</t>
        </is>
      </c>
      <c r="M380" s="10" t="n">
        <v>368324.26</v>
      </c>
      <c r="N380" t="n">
        <v>1</v>
      </c>
      <c r="O380" s="11" t="inlineStr">
        <is>
          <t>B</t>
        </is>
      </c>
      <c r="P380" s="11" t="inlineStr"/>
      <c r="Q380" s="12" t="n">
        <v>45756</v>
      </c>
      <c r="R380" s="11">
        <f>IF(Q380="","",ROUND((TODAY()-Q380)/365.25,1))</f>
        <v/>
      </c>
      <c r="S380" s="13">
        <f>IFERROR(VLOOKUP(O380,Assumptions!$A$7:$F$11,2,FALSE),0.25)</f>
        <v/>
      </c>
      <c r="T380" s="14">
        <f>IF(O380="A",MAX(1,IFERROR(VLOOKUP(O380,Assumptions!$A$7:$F$11,3,FALSE),3)+IFERROR(VLOOKUP(O380,Assumptions!$A$7:$F$11,4,FALSE),8)/2-MAX(0,IF(R380="",0,R380)-IFERROR(VLOOKUP(O380,Assumptions!$A$7:$F$11,5,FALSE),1.5))),IFERROR(VLOOKUP(O380,Assumptions!$A$7:$F$11,5,FALSE),2.5)+IFERROR(VLOOKUP(O380,Assumptions!$A$7:$F$11,3,FALSE),3)+IFERROR(VLOOKUP(O380,Assumptions!$A$7:$F$11,4,FALSE),8)/2)</f>
        <v/>
      </c>
      <c r="U380" s="15">
        <f>M380*S380/(1+Assumptions!$B$3)^T380</f>
        <v/>
      </c>
      <c r="V380" s="11">
        <f>IF(M380=0,"",ROUND(U380/M380*100,1))</f>
        <v/>
      </c>
      <c r="W380" s="16">
        <f>U380*Assumptions!$B$4</f>
        <v/>
      </c>
      <c r="X380" s="11">
        <f>IF(M380=0,"",ROUND(W380/M380*100,1))</f>
        <v/>
      </c>
      <c r="Y380" t="inlineStr">
        <is>
          <t>GRUPO EGESA (EGESA ENG S.A, EGESUR PART E EMP S.A, MATRIX INFRA LTDA, BEMVIVER ENG AMBIENTAL E SERV LTDA, DKF CONST E EMP LTDA, EGEPEL LTDA, ETR ASSESSORIA EMP E PART LTDA, MVT ENG E SERV LTDA, PARQUES DO VALE LTDA, ELMO RIBEIRO E ANA RIBEIRO)</t>
        </is>
      </c>
      <c r="Z380" t="inlineStr">
        <is>
          <t>5088952-81.2025.8.13.0024</t>
        </is>
      </c>
      <c r="AA380" t="inlineStr">
        <is>
          <t>TJMG</t>
        </is>
      </c>
      <c r="AB380" t="inlineStr">
        <is>
          <t>scalzilliaj.com.br</t>
        </is>
      </c>
      <c r="AC380" t="inlineStr">
        <is>
          <t>CARLOS HENRIQUE CARDOSO TEIXEIRA DE ALBUQUERQUE FERREIRA</t>
        </is>
      </c>
      <c r="AD380" t="inlineStr">
        <is>
          <t>Sócio-Administrador</t>
        </is>
      </c>
      <c r="AE380" t="inlineStr">
        <is>
          <t>(11) 2782-3200</t>
        </is>
      </c>
      <c r="AF380" t="inlineStr"/>
      <c r="AG380" t="inlineStr"/>
      <c r="AH380" t="inlineStr">
        <is>
          <t>SP</t>
        </is>
      </c>
      <c r="AI380" t="inlineStr">
        <is>
          <t>SAO PAULO</t>
        </is>
      </c>
      <c r="AJ380" t="inlineStr">
        <is>
          <t>Comércio atacadista de material elétrico</t>
        </is>
      </c>
      <c r="AK380" t="inlineStr">
        <is>
          <t>DEMAIS</t>
        </is>
      </c>
      <c r="AL380" t="inlineStr">
        <is>
          <t>ATIVA</t>
        </is>
      </c>
      <c r="AM380" s="17" t="inlineStr">
        <is>
          <t>https://scalzilliaj.com.br/sgc/download.php?file=files/processo_documento/processo_documento09514021082025_1_.pdf&amp;nome=04 - Relação de credores das Recuperandas</t>
        </is>
      </c>
      <c r="AN380" s="18" t="inlineStr">
        <is>
          <t>p62 r3</t>
        </is>
      </c>
      <c r="AO380" s="18" t="inlineStr">
        <is>
          <t>p62: R$ 368.324,26</t>
        </is>
      </c>
      <c r="AP380" s="18" t="inlineStr">
        <is>
          <t>DEBTOR_LIST</t>
        </is>
      </c>
      <c r="AQ380" s="18" t="inlineStr"/>
      <c r="AR380" s="18" t="inlineStr">
        <is>
          <t>OK</t>
        </is>
      </c>
      <c r="AS380" s="18" t="inlineStr">
        <is>
          <t>ROWS:p62r3 VALUE_COL:Valor_Atualizado CASE_NUMBER_CORRECTED CASE_FROM_PORTAL</t>
        </is>
      </c>
      <c r="AT380" s="18" t="inlineStr">
        <is>
          <t>24ed98480a57</t>
        </is>
      </c>
    </row>
    <row r="381">
      <c r="A381" s="9" t="n">
        <v>380</v>
      </c>
      <c r="B381" s="9" t="inlineStr">
        <is>
          <t>NEW</t>
        </is>
      </c>
      <c r="C381" s="9" t="inlineStr"/>
      <c r="D381" s="9" t="n">
        <v>0</v>
      </c>
      <c r="E381" s="9" t="inlineStr"/>
      <c r="F381" s="9" t="inlineStr"/>
      <c r="G381" s="9" t="inlineStr"/>
      <c r="H381" s="9" t="inlineStr"/>
      <c r="I381" t="inlineStr">
        <is>
          <t>INDUSTRIA QUIMICA ANASTACIO S A</t>
        </is>
      </c>
      <c r="J381" t="inlineStr">
        <is>
          <t>INDUSTRIA QUIMICA ANASTACIO S/A</t>
        </is>
      </c>
      <c r="K381" t="inlineStr">
        <is>
          <t>60874724</t>
        </is>
      </c>
      <c r="L381" t="inlineStr">
        <is>
          <t>60874724000510</t>
        </is>
      </c>
      <c r="M381" s="10" t="n">
        <v>367145.2</v>
      </c>
      <c r="N381" t="n">
        <v>2</v>
      </c>
      <c r="O381" s="11" t="inlineStr">
        <is>
          <t>B</t>
        </is>
      </c>
      <c r="P381" s="11" t="inlineStr"/>
      <c r="Q381" s="12" t="inlineStr"/>
      <c r="R381" s="11">
        <f>IF(Q381="","",ROUND((TODAY()-Q381)/365.25,1))</f>
        <v/>
      </c>
      <c r="S381" s="13">
        <f>IFERROR(VLOOKUP(O381,Assumptions!$A$7:$F$11,2,FALSE),0.25)</f>
        <v/>
      </c>
      <c r="T381" s="14">
        <f>IF(O381="A",MAX(1,IFERROR(VLOOKUP(O381,Assumptions!$A$7:$F$11,3,FALSE),3)+IFERROR(VLOOKUP(O381,Assumptions!$A$7:$F$11,4,FALSE),8)/2-MAX(0,IF(R381="",0,R381)-IFERROR(VLOOKUP(O381,Assumptions!$A$7:$F$11,5,FALSE),1.5))),IFERROR(VLOOKUP(O381,Assumptions!$A$7:$F$11,5,FALSE),2.5)+IFERROR(VLOOKUP(O381,Assumptions!$A$7:$F$11,3,FALSE),3)+IFERROR(VLOOKUP(O381,Assumptions!$A$7:$F$11,4,FALSE),8)/2)</f>
        <v/>
      </c>
      <c r="U381" s="15">
        <f>M381*S381/(1+Assumptions!$B$3)^T381</f>
        <v/>
      </c>
      <c r="V381" s="11">
        <f>IF(M381=0,"",ROUND(U381/M381*100,1))</f>
        <v/>
      </c>
      <c r="W381" s="16">
        <f>U381*Assumptions!$B$4</f>
        <v/>
      </c>
      <c r="X381" s="11">
        <f>IF(M381=0,"",ROUND(W381/M381*100,1))</f>
        <v/>
      </c>
      <c r="Y381" t="inlineStr">
        <is>
          <t>Base</t>
        </is>
      </c>
      <c r="Z381" t="inlineStr">
        <is>
          <t>1022634-27.2024.8.26.0100</t>
        </is>
      </c>
      <c r="AA381" t="inlineStr"/>
      <c r="AB381" t="inlineStr">
        <is>
          <t>ajruiz.com.br</t>
        </is>
      </c>
      <c r="AC381" t="inlineStr">
        <is>
          <t>JAN FELIX KRUEDER</t>
        </is>
      </c>
      <c r="AD381" t="inlineStr">
        <is>
          <t>Presidente</t>
        </is>
      </c>
      <c r="AE381" t="inlineStr">
        <is>
          <t>(11) 2133-6600</t>
        </is>
      </c>
      <c r="AF381" t="inlineStr"/>
      <c r="AG381" t="inlineStr"/>
      <c r="AH381" t="inlineStr">
        <is>
          <t>SP</t>
        </is>
      </c>
      <c r="AI381" t="inlineStr">
        <is>
          <t>SAO PAULO</t>
        </is>
      </c>
      <c r="AJ381" t="inlineStr">
        <is>
          <t>Fabricação de produtos químicos orgânicos não especificados anteriormente</t>
        </is>
      </c>
      <c r="AK381" t="inlineStr">
        <is>
          <t>DEMAIS</t>
        </is>
      </c>
      <c r="AL381" t="inlineStr">
        <is>
          <t>ATIVA</t>
        </is>
      </c>
      <c r="AM381" s="17" t="inlineStr">
        <is>
          <t>https://ajruiz.com.br/sites/default/files/public/arquivos-processos/2024-04/relacao_de_credores_recuperanda_1.pdf</t>
        </is>
      </c>
      <c r="AN381" s="18" t="inlineStr">
        <is>
          <t>p6 r4; p6 r5; p6 r6</t>
        </is>
      </c>
      <c r="AO381" s="18" t="inlineStr">
        <is>
          <t>p6: R$ 193.593,75; p6: R$ 193.593,75; p6: R$ 173.551,45</t>
        </is>
      </c>
      <c r="AP381" s="18" t="inlineStr">
        <is>
          <t>QGC</t>
        </is>
      </c>
      <c r="AQ381" s="18" t="inlineStr">
        <is>
          <t>2024-01-31</t>
        </is>
      </c>
      <c r="AR381" s="18" t="inlineStr">
        <is>
          <t>OK</t>
        </is>
      </c>
      <c r="AS381" s="18" t="inlineStr">
        <is>
          <t>ROWS:p6r4,p6r6 CASE_NUMBER_CORRECTED</t>
        </is>
      </c>
      <c r="AT381" s="18" t="inlineStr">
        <is>
          <t>380922480f80</t>
        </is>
      </c>
    </row>
    <row r="382">
      <c r="A382" s="9" t="n">
        <v>381</v>
      </c>
      <c r="B382" s="9" t="inlineStr">
        <is>
          <t>NEW</t>
        </is>
      </c>
      <c r="C382" s="9" t="inlineStr"/>
      <c r="D382" s="9" t="n">
        <v>0</v>
      </c>
      <c r="E382" s="9" t="inlineStr"/>
      <c r="F382" s="9" t="inlineStr"/>
      <c r="G382" s="9" t="inlineStr"/>
      <c r="H382" s="9" t="inlineStr"/>
      <c r="I382" t="inlineStr">
        <is>
          <t>LEV TERMOPLASTICOS LTDA</t>
        </is>
      </c>
      <c r="J382" t="inlineStr">
        <is>
          <t>LEV TERMOPLASTICOS LTDA</t>
        </is>
      </c>
      <c r="K382" t="inlineStr">
        <is>
          <t>05936089</t>
        </is>
      </c>
      <c r="L382" t="inlineStr">
        <is>
          <t>05936089000116</t>
        </is>
      </c>
      <c r="M382" s="10" t="n">
        <v>362990.37</v>
      </c>
      <c r="N382" t="n">
        <v>6</v>
      </c>
      <c r="O382" s="11" t="inlineStr">
        <is>
          <t>B</t>
        </is>
      </c>
      <c r="P382" s="11" t="inlineStr"/>
      <c r="Q382" s="12" t="inlineStr"/>
      <c r="R382" s="11">
        <f>IF(Q382="","",ROUND((TODAY()-Q382)/365.25,1))</f>
        <v/>
      </c>
      <c r="S382" s="13">
        <f>IFERROR(VLOOKUP(O382,Assumptions!$A$7:$F$11,2,FALSE),0.25)</f>
        <v/>
      </c>
      <c r="T382" s="14">
        <f>IF(O382="A",MAX(1,IFERROR(VLOOKUP(O382,Assumptions!$A$7:$F$11,3,FALSE),3)+IFERROR(VLOOKUP(O382,Assumptions!$A$7:$F$11,4,FALSE),8)/2-MAX(0,IF(R382="",0,R382)-IFERROR(VLOOKUP(O382,Assumptions!$A$7:$F$11,5,FALSE),1.5))),IFERROR(VLOOKUP(O382,Assumptions!$A$7:$F$11,5,FALSE),2.5)+IFERROR(VLOOKUP(O382,Assumptions!$A$7:$F$11,3,FALSE),3)+IFERROR(VLOOKUP(O382,Assumptions!$A$7:$F$11,4,FALSE),8)/2)</f>
        <v/>
      </c>
      <c r="U382" s="15">
        <f>M382*S382/(1+Assumptions!$B$3)^T382</f>
        <v/>
      </c>
      <c r="V382" s="11">
        <f>IF(M382=0,"",ROUND(U382/M382*100,1))</f>
        <v/>
      </c>
      <c r="W382" s="16">
        <f>U382*Assumptions!$B$4</f>
        <v/>
      </c>
      <c r="X382" s="11">
        <f>IF(M382=0,"",ROUND(W382/M382*100,1))</f>
        <v/>
      </c>
      <c r="Y382" t="inlineStr">
        <is>
          <t>Base</t>
        </is>
      </c>
      <c r="Z382" t="inlineStr">
        <is>
          <t>1022634-27.2024.8.26.0100</t>
        </is>
      </c>
      <c r="AA382" t="inlineStr"/>
      <c r="AB382" t="inlineStr">
        <is>
          <t>ajruiz.com.br</t>
        </is>
      </c>
      <c r="AC382" t="inlineStr">
        <is>
          <t>ANSELMO MARTINS DE ALMEIDA</t>
        </is>
      </c>
      <c r="AD382" t="inlineStr">
        <is>
          <t>Sócio-Administrador</t>
        </is>
      </c>
      <c r="AE382" t="inlineStr">
        <is>
          <t>(37) 3231-0200</t>
        </is>
      </c>
      <c r="AF382" t="inlineStr">
        <is>
          <t>(37) 3231-0210</t>
        </is>
      </c>
      <c r="AG382" t="inlineStr"/>
      <c r="AH382" t="inlineStr">
        <is>
          <t>MG</t>
        </is>
      </c>
      <c r="AI382" t="inlineStr">
        <is>
          <t>PARA DE MINAS</t>
        </is>
      </c>
      <c r="AJ382" t="inlineStr">
        <is>
          <t>Fabricação de artefatos de borracha não especificados anteriormente</t>
        </is>
      </c>
      <c r="AK382" t="inlineStr">
        <is>
          <t>DEMAIS</t>
        </is>
      </c>
      <c r="AL382" t="inlineStr">
        <is>
          <t>ATIVA</t>
        </is>
      </c>
      <c r="AM382" s="17" t="inlineStr">
        <is>
          <t>https://ajruiz.com.br/sites/default/files/public/arquivos-processos/2024-04/relacao_de_credores_recuperanda_1.pdf</t>
        </is>
      </c>
      <c r="AN382" s="18" t="inlineStr">
        <is>
          <t>p7 r5; p7 r6; p7 r7; p7 r8; p7 r9; p7 r10; p7 r11; p7 r12</t>
        </is>
      </c>
      <c r="AO382" s="18" t="inlineStr">
        <is>
          <t>p7: R$ 64.799,70; p7: R$ 53.607,40; p7: R$ 129.599,40; p7: R$ 129.599,40; p7: R$ 129.599,40; p7: R$ 97.199,55; p7: R$ 6.984,36; p7: R$ 10.799,96</t>
        </is>
      </c>
      <c r="AP382" s="18" t="inlineStr">
        <is>
          <t>QGC</t>
        </is>
      </c>
      <c r="AQ382" s="18" t="inlineStr">
        <is>
          <t>2024-01-31</t>
        </is>
      </c>
      <c r="AR382" s="18" t="inlineStr">
        <is>
          <t>OK</t>
        </is>
      </c>
      <c r="AS382" s="18" t="inlineStr">
        <is>
          <t>ROWS:p7r5,p7r6,p7r7,p7r10,p7r11,p7r12 CASE_NUMBER_CORRECTED</t>
        </is>
      </c>
      <c r="AT382" s="18" t="inlineStr">
        <is>
          <t>380922480f80</t>
        </is>
      </c>
    </row>
    <row r="383">
      <c r="A383" s="9" t="n">
        <v>382</v>
      </c>
      <c r="B383" s="9" t="inlineStr">
        <is>
          <t>NEW</t>
        </is>
      </c>
      <c r="C383" s="9" t="inlineStr"/>
      <c r="D383" s="9" t="n">
        <v>0</v>
      </c>
      <c r="E383" s="9" t="inlineStr"/>
      <c r="F383" s="9" t="inlineStr"/>
      <c r="G383" s="9" t="inlineStr"/>
      <c r="H383" s="9" t="inlineStr"/>
      <c r="I383" t="inlineStr">
        <is>
          <t>AIRELA INDUSTRIA FARMACEUTICA LTDA</t>
        </is>
      </c>
      <c r="J383" t="inlineStr">
        <is>
          <t>Airela Ind. Farmaceutica LTDA</t>
        </is>
      </c>
      <c r="K383" t="inlineStr">
        <is>
          <t>01858973</t>
        </is>
      </c>
      <c r="L383" t="inlineStr">
        <is>
          <t>01858973000129</t>
        </is>
      </c>
      <c r="M383" s="10" t="n">
        <v>362247.54</v>
      </c>
      <c r="N383" t="n">
        <v>1</v>
      </c>
      <c r="O383" s="11" t="inlineStr">
        <is>
          <t>C</t>
        </is>
      </c>
      <c r="P383" s="11" t="inlineStr">
        <is>
          <t>ACTIVE</t>
        </is>
      </c>
      <c r="Q383" s="12" t="n">
        <v>44987</v>
      </c>
      <c r="R383" s="11">
        <f>IF(Q383="","",ROUND((TODAY()-Q383)/365.25,1))</f>
        <v/>
      </c>
      <c r="S383" s="13">
        <f>IFERROR(VLOOKUP(O383,Assumptions!$A$7:$F$11,2,FALSE),0.25)</f>
        <v/>
      </c>
      <c r="T383" s="14">
        <f>IF(O383="A",MAX(1,IFERROR(VLOOKUP(O383,Assumptions!$A$7:$F$11,3,FALSE),3)+IFERROR(VLOOKUP(O383,Assumptions!$A$7:$F$11,4,FALSE),8)/2-MAX(0,IF(R383="",0,R383)-IFERROR(VLOOKUP(O383,Assumptions!$A$7:$F$11,5,FALSE),1.5))),IFERROR(VLOOKUP(O383,Assumptions!$A$7:$F$11,5,FALSE),2.5)+IFERROR(VLOOKUP(O383,Assumptions!$A$7:$F$11,3,FALSE),3)+IFERROR(VLOOKUP(O383,Assumptions!$A$7:$F$11,4,FALSE),8)/2)</f>
        <v/>
      </c>
      <c r="U383" s="15">
        <f>M383*S383/(1+Assumptions!$B$3)^T383</f>
        <v/>
      </c>
      <c r="V383" s="11">
        <f>IF(M383=0,"",ROUND(U383/M383*100,1))</f>
        <v/>
      </c>
      <c r="W383" s="16">
        <f>U383*Assumptions!$B$4</f>
        <v/>
      </c>
      <c r="X383" s="11">
        <f>IF(M383=0,"",ROUND(W383/M383*100,1))</f>
        <v/>
      </c>
      <c r="Y383" t="inlineStr">
        <is>
          <t>GRUPO DP4</t>
        </is>
      </c>
      <c r="Z383" t="inlineStr">
        <is>
          <t>0005010-98.2023.8.16.0001</t>
        </is>
      </c>
      <c r="AA383" t="inlineStr">
        <is>
          <t>TJPR</t>
        </is>
      </c>
      <c r="AB383" t="inlineStr">
        <is>
          <t>marquesadmjudicial.com.br</t>
        </is>
      </c>
      <c r="AC383" t="inlineStr">
        <is>
          <t>ADROALDO MACHADO</t>
        </is>
      </c>
      <c r="AD383" t="inlineStr">
        <is>
          <t>Administrador</t>
        </is>
      </c>
      <c r="AE383" t="inlineStr">
        <is>
          <t>(48) 3659-0304</t>
        </is>
      </c>
      <c r="AF383" t="inlineStr"/>
      <c r="AG383" t="inlineStr"/>
      <c r="AH383" t="inlineStr">
        <is>
          <t>SC</t>
        </is>
      </c>
      <c r="AI383" t="inlineStr">
        <is>
          <t>PEDRAS GRANDES</t>
        </is>
      </c>
      <c r="AJ383" t="inlineStr">
        <is>
          <t>Fabricação de medicamentos alopáticos para uso humano</t>
        </is>
      </c>
      <c r="AK383" t="inlineStr">
        <is>
          <t>DEMAIS</t>
        </is>
      </c>
      <c r="AL383" t="inlineStr">
        <is>
          <t>ATIVA</t>
        </is>
      </c>
      <c r="AM383" s="17" t="inlineStr">
        <is>
          <t>https://marquesadmjudicial.com.br/sgc/download.php?file=files/processo_documento/processo_documento15293208032024_1_.pdf&amp;nome=Relação Nominal de Credores da AJ-Sintética</t>
        </is>
      </c>
      <c r="AN383" s="18" t="inlineStr">
        <is>
          <t>p19 r7</t>
        </is>
      </c>
      <c r="AO383" s="18" t="inlineStr">
        <is>
          <t>p19: R$ 362.247,54</t>
        </is>
      </c>
      <c r="AP383" s="18" t="inlineStr">
        <is>
          <t>AJ_LIST</t>
        </is>
      </c>
      <c r="AQ383" s="18" t="inlineStr">
        <is>
          <t>2023-03-02</t>
        </is>
      </c>
      <c r="AR383" s="18" t="inlineStr">
        <is>
          <t>QUARANTINED</t>
        </is>
      </c>
      <c r="AS383" s="18" t="inlineStr">
        <is>
          <t>PARTIAL_DOC_CLASS_III_RECONCILED ROWS:p19r7</t>
        </is>
      </c>
      <c r="AT383" s="18" t="inlineStr">
        <is>
          <t>b465a5d11eec</t>
        </is>
      </c>
    </row>
    <row r="384">
      <c r="A384" s="9" t="n">
        <v>383</v>
      </c>
      <c r="B384" s="9" t="inlineStr">
        <is>
          <t>NEW</t>
        </is>
      </c>
      <c r="C384" s="9" t="inlineStr"/>
      <c r="D384" s="9" t="n">
        <v>0</v>
      </c>
      <c r="E384" s="9" t="inlineStr"/>
      <c r="F384" s="9" t="inlineStr"/>
      <c r="G384" s="9" t="inlineStr"/>
      <c r="H384" s="9" t="inlineStr"/>
      <c r="I384" t="inlineStr">
        <is>
          <t>METALURGICA FEY LTDA</t>
        </is>
      </c>
      <c r="J384" t="inlineStr">
        <is>
          <t>SIM</t>
        </is>
      </c>
      <c r="K384" t="inlineStr">
        <is>
          <t>84229624</t>
        </is>
      </c>
      <c r="L384" t="inlineStr">
        <is>
          <t>84229624000175</t>
        </is>
      </c>
      <c r="M384" s="10" t="n">
        <v>360769.13</v>
      </c>
      <c r="N384" t="n">
        <v>1</v>
      </c>
      <c r="O384" s="11" t="inlineStr">
        <is>
          <t>B</t>
        </is>
      </c>
      <c r="P384" s="11" t="inlineStr"/>
      <c r="Q384" s="12" t="inlineStr"/>
      <c r="R384" s="11">
        <f>IF(Q384="","",ROUND((TODAY()-Q384)/365.25,1))</f>
        <v/>
      </c>
      <c r="S384" s="13">
        <f>IFERROR(VLOOKUP(O384,Assumptions!$A$7:$F$11,2,FALSE),0.25)</f>
        <v/>
      </c>
      <c r="T384" s="14">
        <f>IF(O384="A",MAX(1,IFERROR(VLOOKUP(O384,Assumptions!$A$7:$F$11,3,FALSE),3)+IFERROR(VLOOKUP(O384,Assumptions!$A$7:$F$11,4,FALSE),8)/2-MAX(0,IF(R384="",0,R384)-IFERROR(VLOOKUP(O384,Assumptions!$A$7:$F$11,5,FALSE),1.5))),IFERROR(VLOOKUP(O384,Assumptions!$A$7:$F$11,5,FALSE),2.5)+IFERROR(VLOOKUP(O384,Assumptions!$A$7:$F$11,3,FALSE),3)+IFERROR(VLOOKUP(O384,Assumptions!$A$7:$F$11,4,FALSE),8)/2)</f>
        <v/>
      </c>
      <c r="U384" s="15">
        <f>M384*S384/(1+Assumptions!$B$3)^T384</f>
        <v/>
      </c>
      <c r="V384" s="11">
        <f>IF(M384=0,"",ROUND(U384/M384*100,1))</f>
        <v/>
      </c>
      <c r="W384" s="16">
        <f>U384*Assumptions!$B$4</f>
        <v/>
      </c>
      <c r="X384" s="11">
        <f>IF(M384=0,"",ROUND(W384/M384*100,1))</f>
        <v/>
      </c>
      <c r="Y384" t="inlineStr">
        <is>
          <t>Grupo Rech</t>
        </is>
      </c>
      <c r="Z384" t="inlineStr">
        <is>
          <t>5057720-48.2025.8.24.0023</t>
        </is>
      </c>
      <c r="AA384" t="inlineStr"/>
      <c r="AB384" t="inlineStr">
        <is>
          <t>credibilita.com.br</t>
        </is>
      </c>
      <c r="AC384" t="inlineStr">
        <is>
          <t>ADOLFO FEY</t>
        </is>
      </c>
      <c r="AD384" t="inlineStr">
        <is>
          <t>Sócio-Administrador</t>
        </is>
      </c>
      <c r="AE384" t="inlineStr">
        <is>
          <t>(47) 3301-7000</t>
        </is>
      </c>
      <c r="AF384" t="inlineStr"/>
      <c r="AG384" t="inlineStr"/>
      <c r="AH384" t="inlineStr">
        <is>
          <t>SC</t>
        </is>
      </c>
      <c r="AI384" t="inlineStr">
        <is>
          <t>INDAIAL</t>
        </is>
      </c>
      <c r="AJ384" t="inlineStr">
        <is>
          <t>Fabricação de outras peças e acessórios para veículos automotores não especificadas anteriormente</t>
        </is>
      </c>
      <c r="AK384" t="inlineStr">
        <is>
          <t>DEMAIS</t>
        </is>
      </c>
      <c r="AL384" t="inlineStr">
        <is>
          <t>ATIVA</t>
        </is>
      </c>
      <c r="AM384" s="17" t="inlineStr">
        <is>
          <t>https://credibilita.com.br/wp-content/uploads/2025/09/Relacao-Credores-29.04.2026.pdf</t>
        </is>
      </c>
      <c r="AN384" s="18" t="inlineStr">
        <is>
          <t>p2 r5</t>
        </is>
      </c>
      <c r="AO384" s="18" t="inlineStr">
        <is>
          <t>p2: R$ 360.769,13</t>
        </is>
      </c>
      <c r="AP384" s="18" t="inlineStr">
        <is>
          <t>QUORUM_LIST</t>
        </is>
      </c>
      <c r="AQ384" s="18" t="inlineStr"/>
      <c r="AR384" s="18" t="inlineStr">
        <is>
          <t>OK_NO_TOTALS</t>
        </is>
      </c>
      <c r="AS384" s="18" t="inlineStr">
        <is>
          <t>ROWS:p2r5 UNRECONCILED_SOURCE VALUE_COL:Valor_Após_Analise CASE_NUMBER_CORRECTED</t>
        </is>
      </c>
      <c r="AT384" s="18" t="inlineStr">
        <is>
          <t>cf92cff797d2</t>
        </is>
      </c>
    </row>
    <row r="385">
      <c r="A385" s="9" t="n">
        <v>384</v>
      </c>
      <c r="B385" s="9" t="inlineStr">
        <is>
          <t>NEW</t>
        </is>
      </c>
      <c r="C385" s="9" t="inlineStr"/>
      <c r="D385" s="9" t="n">
        <v>0</v>
      </c>
      <c r="E385" s="9" t="inlineStr"/>
      <c r="F385" s="9" t="inlineStr"/>
      <c r="G385" s="9" t="inlineStr"/>
      <c r="H385" s="9" t="inlineStr"/>
      <c r="I385" t="inlineStr">
        <is>
          <t>TRR PEGORARO LTDA</t>
        </is>
      </c>
      <c r="J385" t="inlineStr">
        <is>
          <t>TRR Pegoraro Ltda</t>
        </is>
      </c>
      <c r="K385" t="inlineStr">
        <is>
          <t>17986477</t>
        </is>
      </c>
      <c r="L385" t="inlineStr">
        <is>
          <t>17986477000190</t>
        </is>
      </c>
      <c r="M385" s="10" t="n">
        <v>358250</v>
      </c>
      <c r="N385" t="n">
        <v>1</v>
      </c>
      <c r="O385" s="11" t="inlineStr">
        <is>
          <t>B</t>
        </is>
      </c>
      <c r="P385" s="11" t="inlineStr">
        <is>
          <t>ACTIVE</t>
        </is>
      </c>
      <c r="Q385" s="12" t="n">
        <v>45460</v>
      </c>
      <c r="R385" s="11">
        <f>IF(Q385="","",ROUND((TODAY()-Q385)/365.25,1))</f>
        <v/>
      </c>
      <c r="S385" s="13">
        <f>IFERROR(VLOOKUP(O385,Assumptions!$A$7:$F$11,2,FALSE),0.25)</f>
        <v/>
      </c>
      <c r="T385" s="14">
        <f>IF(O385="A",MAX(1,IFERROR(VLOOKUP(O385,Assumptions!$A$7:$F$11,3,FALSE),3)+IFERROR(VLOOKUP(O385,Assumptions!$A$7:$F$11,4,FALSE),8)/2-MAX(0,IF(R385="",0,R385)-IFERROR(VLOOKUP(O385,Assumptions!$A$7:$F$11,5,FALSE),1.5))),IFERROR(VLOOKUP(O385,Assumptions!$A$7:$F$11,5,FALSE),2.5)+IFERROR(VLOOKUP(O385,Assumptions!$A$7:$F$11,3,FALSE),3)+IFERROR(VLOOKUP(O385,Assumptions!$A$7:$F$11,4,FALSE),8)/2)</f>
        <v/>
      </c>
      <c r="U385" s="15">
        <f>M385*S385/(1+Assumptions!$B$3)^T385</f>
        <v/>
      </c>
      <c r="V385" s="11">
        <f>IF(M385=0,"",ROUND(U385/M385*100,1))</f>
        <v/>
      </c>
      <c r="W385" s="16">
        <f>U385*Assumptions!$B$4</f>
        <v/>
      </c>
      <c r="X385" s="11">
        <f>IF(M385=0,"",ROUND(W385/M385*100,1))</f>
        <v/>
      </c>
      <c r="Y385" t="inlineStr">
        <is>
          <t>GRUPO D&amp;D</t>
        </is>
      </c>
      <c r="Z385" t="inlineStr">
        <is>
          <t>0001943-40.2024.8.16.0115</t>
        </is>
      </c>
      <c r="AA385" t="inlineStr">
        <is>
          <t>TJPR</t>
        </is>
      </c>
      <c r="AB385" t="inlineStr">
        <is>
          <t>marquesadmjudicial.com.br</t>
        </is>
      </c>
      <c r="AC385" t="inlineStr">
        <is>
          <t>DARIO PEGORARO</t>
        </is>
      </c>
      <c r="AD385" t="inlineStr">
        <is>
          <t>Sócio-Administrador</t>
        </is>
      </c>
      <c r="AE385" t="inlineStr">
        <is>
          <t>(67) 3291-9200</t>
        </is>
      </c>
      <c r="AF385" t="inlineStr">
        <is>
          <t>(67) 3291-9232</t>
        </is>
      </c>
      <c r="AG385" t="inlineStr"/>
      <c r="AH385" t="inlineStr">
        <is>
          <t>MS</t>
        </is>
      </c>
      <c r="AI385" t="inlineStr">
        <is>
          <t>COXIM</t>
        </is>
      </c>
      <c r="AJ385" t="inlineStr">
        <is>
          <t>Comércio atacadista de combustíveis realizado por transportador retalhista (T.R.R.)</t>
        </is>
      </c>
      <c r="AK385" t="inlineStr">
        <is>
          <t>DEMAIS</t>
        </is>
      </c>
      <c r="AL385" t="inlineStr">
        <is>
          <t>ATIVA</t>
        </is>
      </c>
      <c r="AM385" s="17" t="inlineStr">
        <is>
          <t>https://marquesadmjudicial.com.br/sgc/download.php?file=files/processo_documento/processo_documento20014127022025_1_.pdf&amp;nome=Relação Nominal de Credores</t>
        </is>
      </c>
      <c r="AN385" s="18" t="inlineStr">
        <is>
          <t>p6 r5</t>
        </is>
      </c>
      <c r="AO385" s="18" t="inlineStr">
        <is>
          <t>p6: R$ 358.250,00</t>
        </is>
      </c>
      <c r="AP385" s="18" t="inlineStr">
        <is>
          <t>AJ_LIST</t>
        </is>
      </c>
      <c r="AQ385" s="18" t="inlineStr">
        <is>
          <t>2024-11-08</t>
        </is>
      </c>
      <c r="AR385" s="18" t="inlineStr">
        <is>
          <t>QUARANTINED</t>
        </is>
      </c>
      <c r="AS385" s="18" t="inlineStr">
        <is>
          <t>PARTIAL_DOC_CLASS_III_RECONCILED ROWS:p6r5</t>
        </is>
      </c>
      <c r="AT385" s="18" t="inlineStr">
        <is>
          <t>dfc3207dcd0f</t>
        </is>
      </c>
    </row>
    <row r="386">
      <c r="A386" s="9" t="n">
        <v>385</v>
      </c>
      <c r="B386" s="9" t="inlineStr">
        <is>
          <t>NEW</t>
        </is>
      </c>
      <c r="C386" s="9" t="inlineStr"/>
      <c r="D386" s="9" t="n">
        <v>0</v>
      </c>
      <c r="E386" s="9" t="inlineStr"/>
      <c r="F386" s="9" t="inlineStr"/>
      <c r="G386" s="9" t="inlineStr"/>
      <c r="H386" s="9" t="inlineStr"/>
      <c r="I386" t="inlineStr">
        <is>
          <t>TRANS FALLS LTDA</t>
        </is>
      </c>
      <c r="J386" t="inlineStr">
        <is>
          <t>Trans Falls LTDA</t>
        </is>
      </c>
      <c r="K386" t="inlineStr">
        <is>
          <t>03266537</t>
        </is>
      </c>
      <c r="L386" t="inlineStr">
        <is>
          <t>03266537000510</t>
        </is>
      </c>
      <c r="M386" s="10" t="n">
        <v>354400</v>
      </c>
      <c r="N386" t="n">
        <v>1</v>
      </c>
      <c r="O386" s="11" t="inlineStr">
        <is>
          <t>B</t>
        </is>
      </c>
      <c r="P386" s="11" t="inlineStr">
        <is>
          <t>ACTIVE</t>
        </is>
      </c>
      <c r="Q386" s="12" t="n">
        <v>45460</v>
      </c>
      <c r="R386" s="11">
        <f>IF(Q386="","",ROUND((TODAY()-Q386)/365.25,1))</f>
        <v/>
      </c>
      <c r="S386" s="13">
        <f>IFERROR(VLOOKUP(O386,Assumptions!$A$7:$F$11,2,FALSE),0.25)</f>
        <v/>
      </c>
      <c r="T386" s="14">
        <f>IF(O386="A",MAX(1,IFERROR(VLOOKUP(O386,Assumptions!$A$7:$F$11,3,FALSE),3)+IFERROR(VLOOKUP(O386,Assumptions!$A$7:$F$11,4,FALSE),8)/2-MAX(0,IF(R386="",0,R386)-IFERROR(VLOOKUP(O386,Assumptions!$A$7:$F$11,5,FALSE),1.5))),IFERROR(VLOOKUP(O386,Assumptions!$A$7:$F$11,5,FALSE),2.5)+IFERROR(VLOOKUP(O386,Assumptions!$A$7:$F$11,3,FALSE),3)+IFERROR(VLOOKUP(O386,Assumptions!$A$7:$F$11,4,FALSE),8)/2)</f>
        <v/>
      </c>
      <c r="U386" s="15">
        <f>M386*S386/(1+Assumptions!$B$3)^T386</f>
        <v/>
      </c>
      <c r="V386" s="11">
        <f>IF(M386=0,"",ROUND(U386/M386*100,1))</f>
        <v/>
      </c>
      <c r="W386" s="16">
        <f>U386*Assumptions!$B$4</f>
        <v/>
      </c>
      <c r="X386" s="11">
        <f>IF(M386=0,"",ROUND(W386/M386*100,1))</f>
        <v/>
      </c>
      <c r="Y386" t="inlineStr">
        <is>
          <t>GRUPO D&amp;D</t>
        </is>
      </c>
      <c r="Z386" t="inlineStr">
        <is>
          <t>0001943-40.2024.8.16.0115</t>
        </is>
      </c>
      <c r="AA386" t="inlineStr">
        <is>
          <t>TJPR</t>
        </is>
      </c>
      <c r="AB386" t="inlineStr">
        <is>
          <t>marquesadmjudicial.com.br</t>
        </is>
      </c>
      <c r="AC386" t="inlineStr">
        <is>
          <t>CELSO OSMAR PAVLAK ADAMS</t>
        </is>
      </c>
      <c r="AD386" t="inlineStr">
        <is>
          <t>Sócio-Administrador</t>
        </is>
      </c>
      <c r="AE386" t="inlineStr">
        <is>
          <t>(45) 3526-2997</t>
        </is>
      </c>
      <c r="AF386" t="inlineStr"/>
      <c r="AG386" t="inlineStr"/>
      <c r="AH386" t="inlineStr">
        <is>
          <t>PR</t>
        </is>
      </c>
      <c r="AI386" t="inlineStr">
        <is>
          <t>FOZ DO IGUACU</t>
        </is>
      </c>
      <c r="AJ386" t="inlineStr">
        <is>
          <t>Transporte rodoviário de carga, exceto produtos perigosos e mudanças, intermunicipal, interestadual e internacional</t>
        </is>
      </c>
      <c r="AK386" t="inlineStr">
        <is>
          <t>DEMAIS</t>
        </is>
      </c>
      <c r="AL386" t="inlineStr">
        <is>
          <t>ATIVA</t>
        </is>
      </c>
      <c r="AM386" s="17" t="inlineStr">
        <is>
          <t>https://marquesadmjudicial.com.br/sgc/download.php?file=files/processo_documento/processo_documento20014127022025_1_.pdf&amp;nome=Relação Nominal de Credores</t>
        </is>
      </c>
      <c r="AN386" s="18" t="inlineStr">
        <is>
          <t>p6 r4</t>
        </is>
      </c>
      <c r="AO386" s="18" t="inlineStr">
        <is>
          <t>p6: R$ 354.400,00</t>
        </is>
      </c>
      <c r="AP386" s="18" t="inlineStr">
        <is>
          <t>AJ_LIST</t>
        </is>
      </c>
      <c r="AQ386" s="18" t="inlineStr">
        <is>
          <t>2024-11-08</t>
        </is>
      </c>
      <c r="AR386" s="18" t="inlineStr">
        <is>
          <t>QUARANTINED</t>
        </is>
      </c>
      <c r="AS386" s="18" t="inlineStr">
        <is>
          <t>PARTIAL_DOC_CLASS_III_RECONCILED ROWS:p6r4</t>
        </is>
      </c>
      <c r="AT386" s="18" t="inlineStr">
        <is>
          <t>dfc3207dcd0f</t>
        </is>
      </c>
    </row>
    <row r="387">
      <c r="A387" s="9" t="n">
        <v>386</v>
      </c>
      <c r="B387" s="9" t="inlineStr">
        <is>
          <t>NEW</t>
        </is>
      </c>
      <c r="C387" s="9" t="inlineStr"/>
      <c r="D387" s="9" t="n">
        <v>0</v>
      </c>
      <c r="E387" s="9" t="inlineStr"/>
      <c r="F387" s="9" t="inlineStr"/>
      <c r="G387" s="9" t="inlineStr"/>
      <c r="H387" s="9" t="inlineStr"/>
      <c r="I387" t="inlineStr">
        <is>
          <t>COMPANHIA ENERGETICA DE PERNAMBUCO</t>
        </is>
      </c>
      <c r="J387" t="inlineStr">
        <is>
          <t>COMPANHIA ENERGETICA DE PERNAMBUCO, CPF/CNPJ Nº</t>
        </is>
      </c>
      <c r="K387" t="inlineStr">
        <is>
          <t>10835932</t>
        </is>
      </c>
      <c r="L387" t="inlineStr">
        <is>
          <t>10835932000108</t>
        </is>
      </c>
      <c r="M387" s="10" t="n">
        <v>354296.22</v>
      </c>
      <c r="N387" t="n">
        <v>1</v>
      </c>
      <c r="O387" s="11" t="inlineStr">
        <is>
          <t>C</t>
        </is>
      </c>
      <c r="P387" s="11" t="inlineStr">
        <is>
          <t>ACTIVE</t>
        </is>
      </c>
      <c r="Q387" s="12" t="n">
        <v>44966</v>
      </c>
      <c r="R387" s="11">
        <f>IF(Q387="","",ROUND((TODAY()-Q387)/365.25,1))</f>
        <v/>
      </c>
      <c r="S387" s="13">
        <f>IFERROR(VLOOKUP(O387,Assumptions!$A$7:$F$11,2,FALSE),0.25)</f>
        <v/>
      </c>
      <c r="T387" s="14">
        <f>IF(O387="A",MAX(1,IFERROR(VLOOKUP(O387,Assumptions!$A$7:$F$11,3,FALSE),3)+IFERROR(VLOOKUP(O387,Assumptions!$A$7:$F$11,4,FALSE),8)/2-MAX(0,IF(R387="",0,R387)-IFERROR(VLOOKUP(O387,Assumptions!$A$7:$F$11,5,FALSE),1.5))),IFERROR(VLOOKUP(O387,Assumptions!$A$7:$F$11,5,FALSE),2.5)+IFERROR(VLOOKUP(O387,Assumptions!$A$7:$F$11,3,FALSE),3)+IFERROR(VLOOKUP(O387,Assumptions!$A$7:$F$11,4,FALSE),8)/2)</f>
        <v/>
      </c>
      <c r="U387" s="15">
        <f>M387*S387/(1+Assumptions!$B$3)^T387</f>
        <v/>
      </c>
      <c r="V387" s="11">
        <f>IF(M387=0,"",ROUND(U387/M387*100,1))</f>
        <v/>
      </c>
      <c r="W387" s="16">
        <f>U387*Assumptions!$B$4</f>
        <v/>
      </c>
      <c r="X387" s="11">
        <f>IF(M387=0,"",ROUND(W387/M387*100,1))</f>
        <v/>
      </c>
      <c r="Y387" t="inlineStr">
        <is>
          <t>CLUBE NÁUTICO CAPIBARIBE</t>
        </is>
      </c>
      <c r="Z387" t="inlineStr">
        <is>
          <t>0011283-80.2023.8.17.2001</t>
        </is>
      </c>
      <c r="AA387" t="inlineStr">
        <is>
          <t>TJPE</t>
        </is>
      </c>
      <c r="AB387" t="inlineStr">
        <is>
          <t>lrflideres.com.br</t>
        </is>
      </c>
      <c r="AC387" t="inlineStr">
        <is>
          <t>SAULO CABRAL E SILVA</t>
        </is>
      </c>
      <c r="AD387" t="inlineStr">
        <is>
          <t>Presidente</t>
        </is>
      </c>
      <c r="AE387" t="inlineStr">
        <is>
          <t>(81) 3217-5226</t>
        </is>
      </c>
      <c r="AF387" t="inlineStr"/>
      <c r="AG387" t="inlineStr"/>
      <c r="AH387" t="inlineStr">
        <is>
          <t>PE</t>
        </is>
      </c>
      <c r="AI387" t="inlineStr">
        <is>
          <t>RECIFE</t>
        </is>
      </c>
      <c r="AJ387" t="inlineStr">
        <is>
          <t>Distribuição de energia elétrica</t>
        </is>
      </c>
      <c r="AK387" t="inlineStr">
        <is>
          <t>DEMAIS</t>
        </is>
      </c>
      <c r="AL387" t="inlineStr">
        <is>
          <t>ATIVA</t>
        </is>
      </c>
      <c r="AM387" s="17" t="inlineStr">
        <is>
          <t>https://lrflideres.com.br/wp-content/plugins/download-attachments/includes/download.php?id=5589</t>
        </is>
      </c>
      <c r="AN387" s="18" t="inlineStr">
        <is>
          <t>p11 r71</t>
        </is>
      </c>
      <c r="AO387" s="18" t="inlineStr">
        <is>
          <t>p11: R$ 354.296,22</t>
        </is>
      </c>
      <c r="AP387" s="18" t="inlineStr">
        <is>
          <t>AJ_LIST</t>
        </is>
      </c>
      <c r="AQ387" s="18" t="inlineStr">
        <is>
          <t>2023-11-27</t>
        </is>
      </c>
      <c r="AR387" s="18" t="inlineStr">
        <is>
          <t>QUARANTINED</t>
        </is>
      </c>
      <c r="AS387" s="18" t="inlineStr">
        <is>
          <t>PARTIAL_DOC_CLASS_III_RECONCILED ROWS:p11r71</t>
        </is>
      </c>
      <c r="AT387" s="18" t="inlineStr">
        <is>
          <t>677be5783c06</t>
        </is>
      </c>
    </row>
    <row r="388">
      <c r="A388" s="9" t="n">
        <v>387</v>
      </c>
      <c r="B388" s="9" t="inlineStr">
        <is>
          <t>NEW</t>
        </is>
      </c>
      <c r="C388" s="9" t="inlineStr"/>
      <c r="D388" s="9" t="n">
        <v>0</v>
      </c>
      <c r="E388" s="9" t="inlineStr"/>
      <c r="F388" s="9" t="inlineStr"/>
      <c r="G388" s="9" t="inlineStr"/>
      <c r="H388" s="9" t="inlineStr"/>
      <c r="I388" t="inlineStr">
        <is>
          <t>PMSM PUBLICIDADE E COMUNICACAO LTDA</t>
        </is>
      </c>
      <c r="J388" t="inlineStr">
        <is>
          <t>PMSM PUBLICIDADE DE COMUNICACAO LTDA, CPF/CNPJ Nº</t>
        </is>
      </c>
      <c r="K388" t="inlineStr">
        <is>
          <t>04431548</t>
        </is>
      </c>
      <c r="L388" t="inlineStr">
        <is>
          <t>04431548000147</t>
        </is>
      </c>
      <c r="M388" s="10" t="n">
        <v>351926.88</v>
      </c>
      <c r="N388" t="n">
        <v>1</v>
      </c>
      <c r="O388" s="11" t="inlineStr">
        <is>
          <t>C</t>
        </is>
      </c>
      <c r="P388" s="11" t="inlineStr">
        <is>
          <t>ACTIVE</t>
        </is>
      </c>
      <c r="Q388" s="12" t="n">
        <v>44966</v>
      </c>
      <c r="R388" s="11">
        <f>IF(Q388="","",ROUND((TODAY()-Q388)/365.25,1))</f>
        <v/>
      </c>
      <c r="S388" s="13">
        <f>IFERROR(VLOOKUP(O388,Assumptions!$A$7:$F$11,2,FALSE),0.25)</f>
        <v/>
      </c>
      <c r="T388" s="14">
        <f>IF(O388="A",MAX(1,IFERROR(VLOOKUP(O388,Assumptions!$A$7:$F$11,3,FALSE),3)+IFERROR(VLOOKUP(O388,Assumptions!$A$7:$F$11,4,FALSE),8)/2-MAX(0,IF(R388="",0,R388)-IFERROR(VLOOKUP(O388,Assumptions!$A$7:$F$11,5,FALSE),1.5))),IFERROR(VLOOKUP(O388,Assumptions!$A$7:$F$11,5,FALSE),2.5)+IFERROR(VLOOKUP(O388,Assumptions!$A$7:$F$11,3,FALSE),3)+IFERROR(VLOOKUP(O388,Assumptions!$A$7:$F$11,4,FALSE),8)/2)</f>
        <v/>
      </c>
      <c r="U388" s="15">
        <f>M388*S388/(1+Assumptions!$B$3)^T388</f>
        <v/>
      </c>
      <c r="V388" s="11">
        <f>IF(M388=0,"",ROUND(U388/M388*100,1))</f>
        <v/>
      </c>
      <c r="W388" s="16">
        <f>U388*Assumptions!$B$4</f>
        <v/>
      </c>
      <c r="X388" s="11">
        <f>IF(M388=0,"",ROUND(W388/M388*100,1))</f>
        <v/>
      </c>
      <c r="Y388" t="inlineStr">
        <is>
          <t>CLUBE NÁUTICO CAPIBARIBE</t>
        </is>
      </c>
      <c r="Z388" t="inlineStr">
        <is>
          <t>0011283-80.2023.8.17.2001</t>
        </is>
      </c>
      <c r="AA388" t="inlineStr">
        <is>
          <t>TJPE</t>
        </is>
      </c>
      <c r="AB388" t="inlineStr">
        <is>
          <t>lrflideres.com.br</t>
        </is>
      </c>
      <c r="AC388" t="inlineStr">
        <is>
          <t>FREDERICO MATHIAS DE MORAES</t>
        </is>
      </c>
      <c r="AD388" t="inlineStr">
        <is>
          <t>Sócio-Administrador</t>
        </is>
      </c>
      <c r="AE388" t="inlineStr">
        <is>
          <t>(21) 3713-2606</t>
        </is>
      </c>
      <c r="AF388" t="inlineStr"/>
      <c r="AG388" t="inlineStr"/>
      <c r="AH388" t="inlineStr">
        <is>
          <t>RJ</t>
        </is>
      </c>
      <c r="AI388" t="inlineStr">
        <is>
          <t>NITEROI</t>
        </is>
      </c>
      <c r="AJ388" t="inlineStr">
        <is>
          <t>Outras atividades de publicidade não especificadas anteriormente</t>
        </is>
      </c>
      <c r="AK388" t="inlineStr">
        <is>
          <t>DEMAIS</t>
        </is>
      </c>
      <c r="AL388" t="inlineStr">
        <is>
          <t>ATIVA</t>
        </is>
      </c>
      <c r="AM388" s="17" t="inlineStr">
        <is>
          <t>https://lrflideres.com.br/wp-content/plugins/download-attachments/includes/download.php?id=5589</t>
        </is>
      </c>
      <c r="AN388" s="18" t="inlineStr">
        <is>
          <t>p12 r36</t>
        </is>
      </c>
      <c r="AO388" s="18" t="inlineStr">
        <is>
          <t>p12: R$ 351.926,88</t>
        </is>
      </c>
      <c r="AP388" s="18" t="inlineStr">
        <is>
          <t>AJ_LIST</t>
        </is>
      </c>
      <c r="AQ388" s="18" t="inlineStr">
        <is>
          <t>2023-11-27</t>
        </is>
      </c>
      <c r="AR388" s="18" t="inlineStr">
        <is>
          <t>QUARANTINED</t>
        </is>
      </c>
      <c r="AS388" s="18" t="inlineStr">
        <is>
          <t>PARTIAL_DOC_CLASS_III_RECONCILED ROWS:p12r36</t>
        </is>
      </c>
      <c r="AT388" s="18" t="inlineStr">
        <is>
          <t>677be5783c06</t>
        </is>
      </c>
    </row>
    <row r="389">
      <c r="A389" s="9" t="n">
        <v>388</v>
      </c>
      <c r="B389" s="9" t="inlineStr">
        <is>
          <t>NEW</t>
        </is>
      </c>
      <c r="C389" s="9" t="inlineStr"/>
      <c r="D389" s="9" t="n">
        <v>0</v>
      </c>
      <c r="E389" s="9" t="inlineStr"/>
      <c r="F389" s="9" t="inlineStr"/>
      <c r="G389" s="9" t="inlineStr"/>
      <c r="H389" s="9" t="inlineStr"/>
      <c r="I389" t="inlineStr">
        <is>
          <t>BIORESULT AGRONEGOCIOS LTDA</t>
        </is>
      </c>
      <c r="J389" t="inlineStr">
        <is>
          <t>BIORESULT AGRONEGOCIOS LTDA</t>
        </is>
      </c>
      <c r="K389" t="inlineStr">
        <is>
          <t>34635991</t>
        </is>
      </c>
      <c r="L389" t="inlineStr">
        <is>
          <t>34635991000109</t>
        </is>
      </c>
      <c r="M389" s="10" t="n">
        <v>351079.81</v>
      </c>
      <c r="N389" t="n">
        <v>1</v>
      </c>
      <c r="O389" s="11" t="inlineStr">
        <is>
          <t>B</t>
        </is>
      </c>
      <c r="P389" s="11" t="inlineStr">
        <is>
          <t>ACTIVE</t>
        </is>
      </c>
      <c r="Q389" s="12" t="n">
        <v>45625</v>
      </c>
      <c r="R389" s="11">
        <f>IF(Q389="","",ROUND((TODAY()-Q389)/365.25,1))</f>
        <v/>
      </c>
      <c r="S389" s="13">
        <f>IFERROR(VLOOKUP(O389,Assumptions!$A$7:$F$11,2,FALSE),0.25)</f>
        <v/>
      </c>
      <c r="T389" s="14">
        <f>IF(O389="A",MAX(1,IFERROR(VLOOKUP(O389,Assumptions!$A$7:$F$11,3,FALSE),3)+IFERROR(VLOOKUP(O389,Assumptions!$A$7:$F$11,4,FALSE),8)/2-MAX(0,IF(R389="",0,R389)-IFERROR(VLOOKUP(O389,Assumptions!$A$7:$F$11,5,FALSE),1.5))),IFERROR(VLOOKUP(O389,Assumptions!$A$7:$F$11,5,FALSE),2.5)+IFERROR(VLOOKUP(O389,Assumptions!$A$7:$F$11,3,FALSE),3)+IFERROR(VLOOKUP(O389,Assumptions!$A$7:$F$11,4,FALSE),8)/2)</f>
        <v/>
      </c>
      <c r="U389" s="15">
        <f>M389*S389/(1+Assumptions!$B$3)^T389</f>
        <v/>
      </c>
      <c r="V389" s="11">
        <f>IF(M389=0,"",ROUND(U389/M389*100,1))</f>
        <v/>
      </c>
      <c r="W389" s="16">
        <f>U389*Assumptions!$B$4</f>
        <v/>
      </c>
      <c r="X389" s="11">
        <f>IF(M389=0,"",ROUND(W389/M389*100,1))</f>
        <v/>
      </c>
      <c r="Y389" t="inlineStr">
        <is>
          <t>Agroforte Agropecuaria Ltda</t>
        </is>
      </c>
      <c r="Z389" t="inlineStr">
        <is>
          <t>0031120-52.2024.8.16.0017</t>
        </is>
      </c>
      <c r="AA389" t="inlineStr">
        <is>
          <t>TJPR</t>
        </is>
      </c>
      <c r="AB389" t="inlineStr">
        <is>
          <t>marquesadmjudicial.com.br</t>
        </is>
      </c>
      <c r="AC389" t="inlineStr">
        <is>
          <t>LUIS HIDEKI TAKAHARA</t>
        </is>
      </c>
      <c r="AD389" t="inlineStr">
        <is>
          <t>Sócio-Administrador</t>
        </is>
      </c>
      <c r="AE389" t="inlineStr">
        <is>
          <t>(45) 4102-0950</t>
        </is>
      </c>
      <c r="AF389" t="inlineStr"/>
      <c r="AG389" t="inlineStr"/>
      <c r="AH389" t="inlineStr">
        <is>
          <t>PR</t>
        </is>
      </c>
      <c r="AI389" t="inlineStr">
        <is>
          <t>TOLEDO</t>
        </is>
      </c>
      <c r="AJ389" t="inlineStr">
        <is>
          <t>Fabricação de adubos e fertilizantes organo-minerais</t>
        </is>
      </c>
      <c r="AK389" t="inlineStr">
        <is>
          <t>DEMAIS</t>
        </is>
      </c>
      <c r="AL389" t="inlineStr">
        <is>
          <t>ATIVA</t>
        </is>
      </c>
      <c r="AM389" s="17" t="inlineStr">
        <is>
          <t>https://marquesadmjudicial.com.br/sgc/download.php?file=files/processo_documento/processo_documento11370527032026_1_.pdf&amp;nome=Quadro Geral de Credores (QGC) -AJ Anterior</t>
        </is>
      </c>
      <c r="AN389" s="18" t="inlineStr">
        <is>
          <t>p1 r11</t>
        </is>
      </c>
      <c r="AO389" s="18" t="inlineStr">
        <is>
          <t>p1: R$ 351.079,81</t>
        </is>
      </c>
      <c r="AP389" s="18" t="inlineStr">
        <is>
          <t>QGC</t>
        </is>
      </c>
      <c r="AQ389" s="18" t="inlineStr">
        <is>
          <t>2025-09-22</t>
        </is>
      </c>
      <c r="AR389" s="18" t="inlineStr">
        <is>
          <t>QUARANTINED</t>
        </is>
      </c>
      <c r="AS389" s="18" t="inlineStr">
        <is>
          <t>PARTIAL_DOC_CLASS_III_RECONCILED ROWS:p1r11</t>
        </is>
      </c>
      <c r="AT389" s="18" t="inlineStr">
        <is>
          <t>200afc9e12c1</t>
        </is>
      </c>
    </row>
    <row r="390">
      <c r="A390" s="9" t="n">
        <v>389</v>
      </c>
      <c r="B390" s="9" t="inlineStr">
        <is>
          <t>NEW</t>
        </is>
      </c>
      <c r="C390" s="9" t="inlineStr"/>
      <c r="D390" s="9" t="n">
        <v>0</v>
      </c>
      <c r="E390" s="9" t="inlineStr"/>
      <c r="F390" s="9" t="inlineStr"/>
      <c r="G390" s="9" t="inlineStr"/>
      <c r="H390" s="9" t="inlineStr"/>
      <c r="I390" t="inlineStr">
        <is>
          <t>MEDILAR IMPORTACAO E DISTRIBUICAO DE PRODUTOS MEDICO HOSPITALARES S/A</t>
        </is>
      </c>
      <c r="J390" t="inlineStr">
        <is>
          <t>MEDILAR IMP.DST PR.MATR.HOSPIT (</t>
        </is>
      </c>
      <c r="K390" t="inlineStr">
        <is>
          <t>07752236</t>
        </is>
      </c>
      <c r="L390" t="inlineStr">
        <is>
          <t>07752236000123</t>
        </is>
      </c>
      <c r="M390" s="10" t="n">
        <v>346408.09</v>
      </c>
      <c r="N390" t="n">
        <v>1</v>
      </c>
      <c r="O390" s="11" t="inlineStr">
        <is>
          <t>C</t>
        </is>
      </c>
      <c r="P390" s="11" t="inlineStr">
        <is>
          <t>ACTIVE</t>
        </is>
      </c>
      <c r="Q390" s="12" t="n">
        <v>44735</v>
      </c>
      <c r="R390" s="11">
        <f>IF(Q390="","",ROUND((TODAY()-Q390)/365.25,1))</f>
        <v/>
      </c>
      <c r="S390" s="13">
        <f>IFERROR(VLOOKUP(O390,Assumptions!$A$7:$F$11,2,FALSE),0.25)</f>
        <v/>
      </c>
      <c r="T390" s="14">
        <f>IF(O390="A",MAX(1,IFERROR(VLOOKUP(O390,Assumptions!$A$7:$F$11,3,FALSE),3)+IFERROR(VLOOKUP(O390,Assumptions!$A$7:$F$11,4,FALSE),8)/2-MAX(0,IF(R390="",0,R390)-IFERROR(VLOOKUP(O390,Assumptions!$A$7:$F$11,5,FALSE),1.5))),IFERROR(VLOOKUP(O390,Assumptions!$A$7:$F$11,5,FALSE),2.5)+IFERROR(VLOOKUP(O390,Assumptions!$A$7:$F$11,3,FALSE),3)+IFERROR(VLOOKUP(O390,Assumptions!$A$7:$F$11,4,FALSE),8)/2)</f>
        <v/>
      </c>
      <c r="U390" s="15">
        <f>M390*S390/(1+Assumptions!$B$3)^T390</f>
        <v/>
      </c>
      <c r="V390" s="11">
        <f>IF(M390=0,"",ROUND(U390/M390*100,1))</f>
        <v/>
      </c>
      <c r="W390" s="16">
        <f>U390*Assumptions!$B$4</f>
        <v/>
      </c>
      <c r="X390" s="11">
        <f>IF(M390=0,"",ROUND(W390/M390*100,1))</f>
        <v/>
      </c>
      <c r="Y390" t="inlineStr">
        <is>
          <t>ASSOCIAÇÃO DE CARIDADE SANTA CASA DO RIO GRANDE</t>
        </is>
      </c>
      <c r="Z390" t="inlineStr">
        <is>
          <t>5012306-16.2022.8.21.0023</t>
        </is>
      </c>
      <c r="AA390" t="inlineStr">
        <is>
          <t>TJRS</t>
        </is>
      </c>
      <c r="AB390" t="inlineStr">
        <is>
          <t>scalzilliaj.com.br</t>
        </is>
      </c>
      <c r="AC390" t="inlineStr">
        <is>
          <t>ADRIANA WILKE MARQUES</t>
        </is>
      </c>
      <c r="AD390" t="inlineStr">
        <is>
          <t>Diretor</t>
        </is>
      </c>
      <c r="AE390" t="inlineStr">
        <is>
          <t>(51) 3718-7600</t>
        </is>
      </c>
      <c r="AF390" t="inlineStr"/>
      <c r="AG390" t="inlineStr"/>
      <c r="AH390" t="inlineStr">
        <is>
          <t>RS</t>
        </is>
      </c>
      <c r="AI390" t="inlineStr">
        <is>
          <t>VERA CRUZ</t>
        </is>
      </c>
      <c r="AJ390" t="inlineStr">
        <is>
          <t>Comércio atacadista de medicamentos e drogas de uso humano</t>
        </is>
      </c>
      <c r="AK390" t="inlineStr">
        <is>
          <t>DEMAIS</t>
        </is>
      </c>
      <c r="AL390" t="inlineStr">
        <is>
          <t>ATIVA</t>
        </is>
      </c>
      <c r="AM390" s="17" t="inlineStr">
        <is>
          <t>https://scalzilliaj.com.br/sgc/download.php?file=files/processo_documento/processo_documento09120721032023_1_.pdf&amp;nome=15 - Edital do art. 7º, §2º e 53 da Lei 11.101/2005 (segunda lista de credores e recebimento do plano))</t>
        </is>
      </c>
      <c r="AN390" s="18" t="inlineStr">
        <is>
          <t>p28 r50</t>
        </is>
      </c>
      <c r="AO390" s="18" t="inlineStr">
        <is>
          <t>p28: R$ 346.408,09</t>
        </is>
      </c>
      <c r="AP390" s="18" t="inlineStr">
        <is>
          <t>AJ_LIST</t>
        </is>
      </c>
      <c r="AQ390" s="18" t="inlineStr">
        <is>
          <t>2023-03-21</t>
        </is>
      </c>
      <c r="AR390" s="18" t="inlineStr">
        <is>
          <t>OK_NO_TOTALS</t>
        </is>
      </c>
      <c r="AS390" s="18" t="inlineStr">
        <is>
          <t>ROWS:p28r50 UNRECONCILED_SOURCE</t>
        </is>
      </c>
      <c r="AT390" s="18" t="inlineStr">
        <is>
          <t>ebfb999b457c</t>
        </is>
      </c>
    </row>
    <row r="391">
      <c r="A391" s="9" t="n">
        <v>390</v>
      </c>
      <c r="B391" s="9" t="inlineStr">
        <is>
          <t>NEW</t>
        </is>
      </c>
      <c r="C391" s="9" t="inlineStr"/>
      <c r="D391" s="9" t="n">
        <v>0</v>
      </c>
      <c r="E391" s="9" t="inlineStr"/>
      <c r="F391" s="9" t="inlineStr"/>
      <c r="G391" s="9" t="inlineStr"/>
      <c r="H391" s="9" t="inlineStr"/>
      <c r="I391" t="inlineStr">
        <is>
          <t>COOPERATIVA DE TRABALHO EM SAUDE E QUALIDADE - NUCLEO SAUDE PERNAMBUCO</t>
        </is>
      </c>
      <c r="J391" t="inlineStr">
        <is>
          <t>COOPERATIVA DE TRABALHO EM SAUDE E QUALIDADE</t>
        </is>
      </c>
      <c r="K391" t="inlineStr">
        <is>
          <t>40422448</t>
        </is>
      </c>
      <c r="L391" t="inlineStr">
        <is>
          <t>40422448000118</t>
        </is>
      </c>
      <c r="M391" s="10" t="n">
        <v>341713.1</v>
      </c>
      <c r="N391" t="n">
        <v>1</v>
      </c>
      <c r="O391" s="11" t="inlineStr">
        <is>
          <t>B</t>
        </is>
      </c>
      <c r="P391" s="11" t="inlineStr">
        <is>
          <t>ACTIVE</t>
        </is>
      </c>
      <c r="Q391" s="12" t="n">
        <v>46112</v>
      </c>
      <c r="R391" s="11">
        <f>IF(Q391="","",ROUND((TODAY()-Q391)/365.25,1))</f>
        <v/>
      </c>
      <c r="S391" s="13">
        <f>IFERROR(VLOOKUP(O391,Assumptions!$A$7:$F$11,2,FALSE),0.25)</f>
        <v/>
      </c>
      <c r="T391" s="14">
        <f>IF(O391="A",MAX(1,IFERROR(VLOOKUP(O391,Assumptions!$A$7:$F$11,3,FALSE),3)+IFERROR(VLOOKUP(O391,Assumptions!$A$7:$F$11,4,FALSE),8)/2-MAX(0,IF(R391="",0,R391)-IFERROR(VLOOKUP(O391,Assumptions!$A$7:$F$11,5,FALSE),1.5))),IFERROR(VLOOKUP(O391,Assumptions!$A$7:$F$11,5,FALSE),2.5)+IFERROR(VLOOKUP(O391,Assumptions!$A$7:$F$11,3,FALSE),3)+IFERROR(VLOOKUP(O391,Assumptions!$A$7:$F$11,4,FALSE),8)/2)</f>
        <v/>
      </c>
      <c r="U391" s="15">
        <f>M391*S391/(1+Assumptions!$B$3)^T391</f>
        <v/>
      </c>
      <c r="V391" s="11">
        <f>IF(M391=0,"",ROUND(U391/M391*100,1))</f>
        <v/>
      </c>
      <c r="W391" s="16">
        <f>U391*Assumptions!$B$4</f>
        <v/>
      </c>
      <c r="X391" s="11">
        <f>IF(M391=0,"",ROUND(W391/M391*100,1))</f>
        <v/>
      </c>
      <c r="Y391" t="inlineStr">
        <is>
          <t>GRUPO DIAGSON</t>
        </is>
      </c>
      <c r="Z391" t="inlineStr">
        <is>
          <t>0822279-56.2026.8.15.2001</t>
        </is>
      </c>
      <c r="AA391" t="inlineStr">
        <is>
          <t>TJPB</t>
        </is>
      </c>
      <c r="AB391" t="inlineStr">
        <is>
          <t>lrflideres.com.br</t>
        </is>
      </c>
      <c r="AC391" t="inlineStr">
        <is>
          <t>DENISON PEREIRA DA SILVA</t>
        </is>
      </c>
      <c r="AD391" t="inlineStr">
        <is>
          <t>Presidente</t>
        </is>
      </c>
      <c r="AE391" t="inlineStr">
        <is>
          <t>(79) 9984-5042</t>
        </is>
      </c>
      <c r="AF391" t="inlineStr"/>
      <c r="AG391" t="inlineStr"/>
      <c r="AH391" t="inlineStr">
        <is>
          <t>PE</t>
        </is>
      </c>
      <c r="AI391" t="inlineStr">
        <is>
          <t>RECIFE</t>
        </is>
      </c>
      <c r="AJ391" t="inlineStr">
        <is>
          <t>Atividades de enfermagem</t>
        </is>
      </c>
      <c r="AK391" t="inlineStr">
        <is>
          <t>DEMAIS</t>
        </is>
      </c>
      <c r="AL391" t="inlineStr">
        <is>
          <t>ATIVA</t>
        </is>
      </c>
      <c r="AM391" s="17" t="inlineStr">
        <is>
          <t>https://lrflideres.com.br/wp-content/plugins/download-attachments/includes/download.php?id=7418</t>
        </is>
      </c>
      <c r="AN391" s="18" t="inlineStr">
        <is>
          <t>p2 r51</t>
        </is>
      </c>
      <c r="AO391" s="18" t="inlineStr">
        <is>
          <t>p2: R$ 341.713,10</t>
        </is>
      </c>
      <c r="AP391" s="18" t="inlineStr">
        <is>
          <t>DEBTOR_LIST</t>
        </is>
      </c>
      <c r="AQ391" s="18" t="inlineStr">
        <is>
          <t>2026-07-28</t>
        </is>
      </c>
      <c r="AR391" s="18" t="inlineStr">
        <is>
          <t>QUARANTINED</t>
        </is>
      </c>
      <c r="AS391" s="18" t="inlineStr">
        <is>
          <t>PARTIAL_DOC_CLASS_III_RECONCILED ROWS:p2r51</t>
        </is>
      </c>
      <c r="AT391" s="18" t="inlineStr">
        <is>
          <t>088be5223af3</t>
        </is>
      </c>
    </row>
    <row r="392">
      <c r="A392" s="9" t="n">
        <v>391</v>
      </c>
      <c r="B392" s="9" t="inlineStr">
        <is>
          <t>NEW</t>
        </is>
      </c>
      <c r="C392" s="9" t="inlineStr"/>
      <c r="D392" s="9" t="n">
        <v>0</v>
      </c>
      <c r="E392" s="9" t="inlineStr"/>
      <c r="F392" s="9" t="inlineStr"/>
      <c r="G392" s="9" t="inlineStr"/>
      <c r="H392" s="9" t="inlineStr"/>
      <c r="I392" t="inlineStr">
        <is>
          <t>TREVO ALIMENTOS LTDA</t>
        </is>
      </c>
      <c r="J392" t="inlineStr">
        <is>
          <t>Trevo Alimentos</t>
        </is>
      </c>
      <c r="K392" t="inlineStr">
        <is>
          <t>32902452</t>
        </is>
      </c>
      <c r="L392" t="inlineStr">
        <is>
          <t>32902452000155</t>
        </is>
      </c>
      <c r="M392" s="10" t="n">
        <v>341398.88</v>
      </c>
      <c r="N392" t="n">
        <v>1</v>
      </c>
      <c r="O392" s="11" t="inlineStr">
        <is>
          <t>B</t>
        </is>
      </c>
      <c r="P392" s="11" t="inlineStr">
        <is>
          <t>ACTIVE</t>
        </is>
      </c>
      <c r="Q392" s="12" t="n">
        <v>46130</v>
      </c>
      <c r="R392" s="11">
        <f>IF(Q392="","",ROUND((TODAY()-Q392)/365.25,1))</f>
        <v/>
      </c>
      <c r="S392" s="13">
        <f>IFERROR(VLOOKUP(O392,Assumptions!$A$7:$F$11,2,FALSE),0.25)</f>
        <v/>
      </c>
      <c r="T392" s="14">
        <f>IF(O392="A",MAX(1,IFERROR(VLOOKUP(O392,Assumptions!$A$7:$F$11,3,FALSE),3)+IFERROR(VLOOKUP(O392,Assumptions!$A$7:$F$11,4,FALSE),8)/2-MAX(0,IF(R392="",0,R392)-IFERROR(VLOOKUP(O392,Assumptions!$A$7:$F$11,5,FALSE),1.5))),IFERROR(VLOOKUP(O392,Assumptions!$A$7:$F$11,5,FALSE),2.5)+IFERROR(VLOOKUP(O392,Assumptions!$A$7:$F$11,3,FALSE),3)+IFERROR(VLOOKUP(O392,Assumptions!$A$7:$F$11,4,FALSE),8)/2)</f>
        <v/>
      </c>
      <c r="U392" s="15">
        <f>M392*S392/(1+Assumptions!$B$3)^T392</f>
        <v/>
      </c>
      <c r="V392" s="11">
        <f>IF(M392=0,"",ROUND(U392/M392*100,1))</f>
        <v/>
      </c>
      <c r="W392" s="16">
        <f>U392*Assumptions!$B$4</f>
        <v/>
      </c>
      <c r="X392" s="11">
        <f>IF(M392=0,"",ROUND(W392/M392*100,1))</f>
        <v/>
      </c>
      <c r="Y392" t="inlineStr">
        <is>
          <t>GRUPO 3E</t>
        </is>
      </c>
      <c r="Z392" t="inlineStr">
        <is>
          <t>5341375-33.2026.8.09.0049</t>
        </is>
      </c>
      <c r="AA392" t="inlineStr">
        <is>
          <t>TJGO</t>
        </is>
      </c>
      <c r="AB392" t="inlineStr">
        <is>
          <t>stenius.com.br</t>
        </is>
      </c>
      <c r="AC392" t="inlineStr">
        <is>
          <t>PAULO BENTO DE ARAUJO</t>
        </is>
      </c>
      <c r="AD392" t="inlineStr">
        <is>
          <t>Sócio-Administrador</t>
        </is>
      </c>
      <c r="AE392" t="inlineStr">
        <is>
          <t>(62) 3295-5359</t>
        </is>
      </c>
      <c r="AF392" t="inlineStr"/>
      <c r="AG392" t="inlineStr"/>
      <c r="AH392" t="inlineStr">
        <is>
          <t>GO</t>
        </is>
      </c>
      <c r="AI392" t="inlineStr">
        <is>
          <t>ITAUCU</t>
        </is>
      </c>
      <c r="AJ392" t="inlineStr">
        <is>
          <t>Frigorífico - abate de bovinos</t>
        </is>
      </c>
      <c r="AK392" t="inlineStr">
        <is>
          <t>EMPRESA DE PEQUENO PORTE</t>
        </is>
      </c>
      <c r="AL392" t="inlineStr">
        <is>
          <t>ATIVA</t>
        </is>
      </c>
      <c r="AM392" s="17" t="inlineStr">
        <is>
          <t>https://stenius.com.br/wp-content/uploads/2026/06/EDITAL-GRUPO-3E.pdf</t>
        </is>
      </c>
      <c r="AN392" s="18" t="inlineStr">
        <is>
          <t>p18 r48</t>
        </is>
      </c>
      <c r="AO392" s="18" t="inlineStr">
        <is>
          <t>p18: R$ 341.398,88</t>
        </is>
      </c>
      <c r="AP392" s="18" t="inlineStr">
        <is>
          <t>DEBTOR_LIST</t>
        </is>
      </c>
      <c r="AQ392" s="18" t="inlineStr">
        <is>
          <t>2026-06-22</t>
        </is>
      </c>
      <c r="AR392" s="18" t="inlineStr">
        <is>
          <t>OK_NO_TOTALS</t>
        </is>
      </c>
      <c r="AS392" s="18" t="inlineStr">
        <is>
          <t>ROWS:p18r48 UNRECONCILED_SOURCE</t>
        </is>
      </c>
      <c r="AT392" s="18" t="inlineStr">
        <is>
          <t>8e8832093a15</t>
        </is>
      </c>
    </row>
    <row r="393">
      <c r="A393" s="9" t="n">
        <v>392</v>
      </c>
      <c r="B393" s="9" t="inlineStr">
        <is>
          <t>NEW</t>
        </is>
      </c>
      <c r="C393" s="9" t="inlineStr"/>
      <c r="D393" s="9" t="n">
        <v>0</v>
      </c>
      <c r="E393" s="9" t="inlineStr"/>
      <c r="F393" s="9" t="inlineStr"/>
      <c r="G393" s="9" t="inlineStr"/>
      <c r="H393" s="9" t="inlineStr"/>
      <c r="I393" t="inlineStr">
        <is>
          <t>POLYEXCEL INDUSTRIA E COMERCIO DE COMPOSTOS POLIMERICOS LTDA</t>
        </is>
      </c>
      <c r="J393" t="inlineStr">
        <is>
          <t>POLYEXCEL IND E COM CP POLIMERICOS LTDA</t>
        </is>
      </c>
      <c r="K393" t="inlineStr">
        <is>
          <t>14492564</t>
        </is>
      </c>
      <c r="L393" t="inlineStr">
        <is>
          <t>14492564000101</t>
        </is>
      </c>
      <c r="M393" s="10" t="n">
        <v>341250</v>
      </c>
      <c r="N393" t="n">
        <v>1</v>
      </c>
      <c r="O393" s="11" t="inlineStr">
        <is>
          <t>C</t>
        </is>
      </c>
      <c r="P393" s="11" t="inlineStr">
        <is>
          <t>ACTIVE</t>
        </is>
      </c>
      <c r="Q393" s="12" t="n">
        <v>45068</v>
      </c>
      <c r="R393" s="11">
        <f>IF(Q393="","",ROUND((TODAY()-Q393)/365.25,1))</f>
        <v/>
      </c>
      <c r="S393" s="13">
        <f>IFERROR(VLOOKUP(O393,Assumptions!$A$7:$F$11,2,FALSE),0.25)</f>
        <v/>
      </c>
      <c r="T393" s="14">
        <f>IF(O393="A",MAX(1,IFERROR(VLOOKUP(O393,Assumptions!$A$7:$F$11,3,FALSE),3)+IFERROR(VLOOKUP(O393,Assumptions!$A$7:$F$11,4,FALSE),8)/2-MAX(0,IF(R393="",0,R393)-IFERROR(VLOOKUP(O393,Assumptions!$A$7:$F$11,5,FALSE),1.5))),IFERROR(VLOOKUP(O393,Assumptions!$A$7:$F$11,5,FALSE),2.5)+IFERROR(VLOOKUP(O393,Assumptions!$A$7:$F$11,3,FALSE),3)+IFERROR(VLOOKUP(O393,Assumptions!$A$7:$F$11,4,FALSE),8)/2)</f>
        <v/>
      </c>
      <c r="U393" s="15">
        <f>M393*S393/(1+Assumptions!$B$3)^T393</f>
        <v/>
      </c>
      <c r="V393" s="11">
        <f>IF(M393=0,"",ROUND(U393/M393*100,1))</f>
        <v/>
      </c>
      <c r="W393" s="16">
        <f>U393*Assumptions!$B$4</f>
        <v/>
      </c>
      <c r="X393" s="11">
        <f>IF(M393=0,"",ROUND(W393/M393*100,1))</f>
        <v/>
      </c>
      <c r="Y393" t="inlineStr">
        <is>
          <t>Grupo Conduscabos</t>
        </is>
      </c>
      <c r="Z393" t="inlineStr">
        <is>
          <t>8005129-09.2023.8.05.0039</t>
        </is>
      </c>
      <c r="AA393" t="inlineStr">
        <is>
          <t>TJBA</t>
        </is>
      </c>
      <c r="AB393" t="inlineStr">
        <is>
          <t>assistjud.com.br</t>
        </is>
      </c>
      <c r="AC393" t="inlineStr">
        <is>
          <t>RODRIGO NACHLE BOREGGIO</t>
        </is>
      </c>
      <c r="AD393" t="inlineStr">
        <is>
          <t>Sócio-Administrador</t>
        </is>
      </c>
      <c r="AE393" t="inlineStr">
        <is>
          <t>(11) 4161-6775</t>
        </is>
      </c>
      <c r="AF393" t="inlineStr"/>
      <c r="AG393" t="inlineStr"/>
      <c r="AH393" t="inlineStr">
        <is>
          <t>SP</t>
        </is>
      </c>
      <c r="AI393" t="inlineStr">
        <is>
          <t>BARUERI</t>
        </is>
      </c>
      <c r="AJ393" t="inlineStr">
        <is>
          <t>Fabricação de artefatos de material plástico para usos industriais</t>
        </is>
      </c>
      <c r="AK393" t="inlineStr">
        <is>
          <t>DEMAIS</t>
        </is>
      </c>
      <c r="AL393" t="inlineStr">
        <is>
          <t>ATIVA</t>
        </is>
      </c>
      <c r="AM393" s="17" t="inlineStr">
        <is>
          <t>https://assistjud.com.br/wp-content/uploads/elementor/forms/65098c80a5824.pdf</t>
        </is>
      </c>
      <c r="AN393" s="18" t="inlineStr">
        <is>
          <t>p9 r6</t>
        </is>
      </c>
      <c r="AO393" s="18" t="inlineStr">
        <is>
          <t>p9: R$ 341.250,00</t>
        </is>
      </c>
      <c r="AP393" s="18" t="inlineStr">
        <is>
          <t>AJ_LIST</t>
        </is>
      </c>
      <c r="AQ393" s="18" t="inlineStr">
        <is>
          <t>2023-09-18</t>
        </is>
      </c>
      <c r="AR393" s="18" t="inlineStr">
        <is>
          <t>OK_NO_TOTALS</t>
        </is>
      </c>
      <c r="AS393" s="18" t="inlineStr">
        <is>
          <t>ROWS:p9r6 UNRECONCILED_SOURCE</t>
        </is>
      </c>
      <c r="AT393" s="18" t="inlineStr">
        <is>
          <t>a0ae32a59c29</t>
        </is>
      </c>
    </row>
    <row r="394">
      <c r="A394" s="9" t="n">
        <v>393</v>
      </c>
      <c r="B394" s="9" t="inlineStr">
        <is>
          <t>NEW</t>
        </is>
      </c>
      <c r="C394" s="9" t="inlineStr"/>
      <c r="D394" s="9" t="n">
        <v>0</v>
      </c>
      <c r="E394" s="9" t="inlineStr"/>
      <c r="F394" s="9" t="inlineStr"/>
      <c r="G394" s="9" t="inlineStr"/>
      <c r="H394" s="9" t="inlineStr"/>
      <c r="I394" t="inlineStr">
        <is>
          <t>ENGASTE PROJETOS, CONSTRUCOES E INCORPORACOES LTDA</t>
        </is>
      </c>
      <c r="J394" t="inlineStr">
        <is>
          <t>ENGASTE CONSTRUÇÕES</t>
        </is>
      </c>
      <c r="K394" t="inlineStr">
        <is>
          <t>08578161</t>
        </is>
      </c>
      <c r="L394" t="inlineStr">
        <is>
          <t>08578161000179</t>
        </is>
      </c>
      <c r="M394" s="10" t="n">
        <v>340000</v>
      </c>
      <c r="N394" t="n">
        <v>1</v>
      </c>
      <c r="O394" s="11" t="inlineStr">
        <is>
          <t>D</t>
        </is>
      </c>
      <c r="P394" s="11" t="inlineStr"/>
      <c r="Q394" s="12" t="inlineStr"/>
      <c r="R394" s="11">
        <f>IF(Q394="","",ROUND((TODAY()-Q394)/365.25,1))</f>
        <v/>
      </c>
      <c r="S394" s="13">
        <f>IFERROR(VLOOKUP(O394,Assumptions!$A$7:$F$11,2,FALSE),0.25)</f>
        <v/>
      </c>
      <c r="T394" s="14">
        <f>IF(O394="A",MAX(1,IFERROR(VLOOKUP(O394,Assumptions!$A$7:$F$11,3,FALSE),3)+IFERROR(VLOOKUP(O394,Assumptions!$A$7:$F$11,4,FALSE),8)/2-MAX(0,IF(R394="",0,R394)-IFERROR(VLOOKUP(O394,Assumptions!$A$7:$F$11,5,FALSE),1.5))),IFERROR(VLOOKUP(O394,Assumptions!$A$7:$F$11,5,FALSE),2.5)+IFERROR(VLOOKUP(O394,Assumptions!$A$7:$F$11,3,FALSE),3)+IFERROR(VLOOKUP(O394,Assumptions!$A$7:$F$11,4,FALSE),8)/2)</f>
        <v/>
      </c>
      <c r="U394" s="15">
        <f>M394*S394/(1+Assumptions!$B$3)^T394</f>
        <v/>
      </c>
      <c r="V394" s="11">
        <f>IF(M394=0,"",ROUND(U394/M394*100,1))</f>
        <v/>
      </c>
      <c r="W394" s="16">
        <f>U394*Assumptions!$B$4</f>
        <v/>
      </c>
      <c r="X394" s="11">
        <f>IF(M394=0,"",ROUND(W394/M394*100,1))</f>
        <v/>
      </c>
      <c r="Y394" t="inlineStr">
        <is>
          <t>AGIMAX ESQUADRIAS METALICAS LTDA</t>
        </is>
      </c>
      <c r="Z394" t="inlineStr">
        <is>
          <t>5009529-81.2025.8.24.0019</t>
        </is>
      </c>
      <c r="AA394" t="inlineStr"/>
      <c r="AB394" t="inlineStr">
        <is>
          <t>scalzilliaj.com.br</t>
        </is>
      </c>
      <c r="AC394" t="inlineStr">
        <is>
          <t>ANDRE CARLOS PAGOTTO</t>
        </is>
      </c>
      <c r="AD394" t="inlineStr">
        <is>
          <t>Sócio-Administrador</t>
        </is>
      </c>
      <c r="AE394" t="inlineStr">
        <is>
          <t>(49) 3425-9203</t>
        </is>
      </c>
      <c r="AF394" t="inlineStr"/>
      <c r="AG394" t="inlineStr"/>
      <c r="AH394" t="inlineStr">
        <is>
          <t>SC</t>
        </is>
      </c>
      <c r="AI394" t="inlineStr">
        <is>
          <t>CONCORDIA</t>
        </is>
      </c>
      <c r="AJ394" t="inlineStr">
        <is>
          <t>Serviços de engenharia</t>
        </is>
      </c>
      <c r="AK394" t="inlineStr">
        <is>
          <t>EMPRESA DE PEQUENO PORTE</t>
        </is>
      </c>
      <c r="AL394" t="inlineStr">
        <is>
          <t>ATIVA</t>
        </is>
      </c>
      <c r="AM394" s="17" t="inlineStr">
        <is>
          <t>https://scalzilliaj.com.br/sgc/download.php?file=files/processo_documento/processo_documento15180810062026_1_.pdf&amp;nome=10 - Relação de credores do art. 7º, §2º, da Lei 11.101/2005</t>
        </is>
      </c>
      <c r="AN394" s="18" t="inlineStr">
        <is>
          <t>p1 r47</t>
        </is>
      </c>
      <c r="AO394" s="18" t="inlineStr">
        <is>
          <t>p1: R$ 340.000,00</t>
        </is>
      </c>
      <c r="AP394" s="18" t="inlineStr">
        <is>
          <t>AJ_LIST</t>
        </is>
      </c>
      <c r="AQ394" s="18" t="inlineStr"/>
      <c r="AR394" s="18" t="inlineStr">
        <is>
          <t>OK_NO_TOTALS</t>
        </is>
      </c>
      <c r="AS394" s="18" t="inlineStr">
        <is>
          <t>ROWS:p1r47 UNRECONCILED_SOURCE VALUE_COL:Valor_(Art._7º,_§2º)</t>
        </is>
      </c>
      <c r="AT394" s="18" t="inlineStr">
        <is>
          <t>2e4641168857</t>
        </is>
      </c>
    </row>
    <row r="395">
      <c r="A395" s="9" t="n">
        <v>394</v>
      </c>
      <c r="B395" s="9" t="inlineStr">
        <is>
          <t>NEW</t>
        </is>
      </c>
      <c r="C395" s="9" t="inlineStr"/>
      <c r="D395" s="9" t="n">
        <v>0</v>
      </c>
      <c r="E395" s="9" t="inlineStr"/>
      <c r="F395" s="9" t="inlineStr"/>
      <c r="G395" s="9" t="inlineStr"/>
      <c r="H395" s="9" t="inlineStr"/>
      <c r="I395" t="inlineStr">
        <is>
          <t>INDUSTRIA E COMERCIO DE FARINHA JAGUA LTDA.</t>
        </is>
      </c>
      <c r="J395" t="inlineStr">
        <is>
          <t>Industria E Comercio De Farinha Jagua Ltda</t>
        </is>
      </c>
      <c r="K395" t="inlineStr">
        <is>
          <t>10159120</t>
        </is>
      </c>
      <c r="L395" t="inlineStr">
        <is>
          <t>10159120000190</t>
        </is>
      </c>
      <c r="M395" s="10" t="n">
        <v>339668</v>
      </c>
      <c r="N395" t="n">
        <v>1</v>
      </c>
      <c r="O395" s="11" t="inlineStr">
        <is>
          <t>C</t>
        </is>
      </c>
      <c r="P395" s="11" t="inlineStr">
        <is>
          <t>ACTIVE</t>
        </is>
      </c>
      <c r="Q395" s="12" t="n">
        <v>45275</v>
      </c>
      <c r="R395" s="11">
        <f>IF(Q395="","",ROUND((TODAY()-Q395)/365.25,1))</f>
        <v/>
      </c>
      <c r="S395" s="13">
        <f>IFERROR(VLOOKUP(O395,Assumptions!$A$7:$F$11,2,FALSE),0.25)</f>
        <v/>
      </c>
      <c r="T395" s="14">
        <f>IF(O395="A",MAX(1,IFERROR(VLOOKUP(O395,Assumptions!$A$7:$F$11,3,FALSE),3)+IFERROR(VLOOKUP(O395,Assumptions!$A$7:$F$11,4,FALSE),8)/2-MAX(0,IF(R395="",0,R395)-IFERROR(VLOOKUP(O395,Assumptions!$A$7:$F$11,5,FALSE),1.5))),IFERROR(VLOOKUP(O395,Assumptions!$A$7:$F$11,5,FALSE),2.5)+IFERROR(VLOOKUP(O395,Assumptions!$A$7:$F$11,3,FALSE),3)+IFERROR(VLOOKUP(O395,Assumptions!$A$7:$F$11,4,FALSE),8)/2)</f>
        <v/>
      </c>
      <c r="U395" s="15">
        <f>M395*S395/(1+Assumptions!$B$3)^T395</f>
        <v/>
      </c>
      <c r="V395" s="11">
        <f>IF(M395=0,"",ROUND(U395/M395*100,1))</f>
        <v/>
      </c>
      <c r="W395" s="16">
        <f>U395*Assumptions!$B$4</f>
        <v/>
      </c>
      <c r="X395" s="11">
        <f>IF(M395=0,"",ROUND(W395/M395*100,1))</f>
        <v/>
      </c>
      <c r="Y395" t="inlineStr">
        <is>
          <t>Grupo Agromeal</t>
        </is>
      </c>
      <c r="Z395" t="inlineStr">
        <is>
          <t>0003971-03.2023.8.16.0119</t>
        </is>
      </c>
      <c r="AA395" t="inlineStr">
        <is>
          <t>TJPR</t>
        </is>
      </c>
      <c r="AB395" t="inlineStr">
        <is>
          <t>marquesadmjudicial.com.br</t>
        </is>
      </c>
      <c r="AC395" t="inlineStr">
        <is>
          <t>PAULO SERGIO BOTAZZARI</t>
        </is>
      </c>
      <c r="AD395" t="inlineStr">
        <is>
          <t>Administrador</t>
        </is>
      </c>
      <c r="AE395" t="inlineStr">
        <is>
          <t>(43) 3272-8038</t>
        </is>
      </c>
      <c r="AF395" t="inlineStr"/>
      <c r="AG395" t="inlineStr"/>
      <c r="AH395" t="inlineStr">
        <is>
          <t>PR</t>
        </is>
      </c>
      <c r="AI395" t="inlineStr">
        <is>
          <t>JAGUAPITA</t>
        </is>
      </c>
      <c r="AJ395" t="inlineStr">
        <is>
          <t>Fabricação de alimentos para animais</t>
        </is>
      </c>
      <c r="AK395" t="inlineStr">
        <is>
          <t>DEMAIS</t>
        </is>
      </c>
      <c r="AL395" t="inlineStr">
        <is>
          <t>ATIVA</t>
        </is>
      </c>
      <c r="AM395" s="17" t="inlineStr">
        <is>
          <t>https://marquesadmjudicial.com.br/sgc/download.php?file=files/processo_documento/processo_documento17040729052024_1_.pdf&amp;nome=Relação Nominal de Credores AJ-Sintética</t>
        </is>
      </c>
      <c r="AN395" s="18" t="inlineStr">
        <is>
          <t>p11 r18</t>
        </is>
      </c>
      <c r="AO395" s="18" t="inlineStr">
        <is>
          <t>p11: R$ 339.668,00</t>
        </is>
      </c>
      <c r="AP395" s="18" t="inlineStr">
        <is>
          <t>AJ_LIST</t>
        </is>
      </c>
      <c r="AQ395" s="18" t="inlineStr">
        <is>
          <t>2024-05-27</t>
        </is>
      </c>
      <c r="AR395" s="18" t="inlineStr">
        <is>
          <t>QUARANTINED</t>
        </is>
      </c>
      <c r="AS395" s="18" t="inlineStr">
        <is>
          <t>PARTIAL_DOC_CLASS_III_RECONCILED ROWS:p11r18</t>
        </is>
      </c>
      <c r="AT395" s="18" t="inlineStr">
        <is>
          <t>1209dafe77b7</t>
        </is>
      </c>
    </row>
    <row r="396">
      <c r="A396" s="9" t="n">
        <v>395</v>
      </c>
      <c r="B396" s="9" t="inlineStr">
        <is>
          <t>NEW</t>
        </is>
      </c>
      <c r="C396" s="9" t="inlineStr"/>
      <c r="D396" s="9" t="n">
        <v>0</v>
      </c>
      <c r="E396" s="9" t="inlineStr"/>
      <c r="F396" s="9" t="inlineStr"/>
      <c r="G396" s="9" t="inlineStr"/>
      <c r="H396" s="9" t="inlineStr"/>
      <c r="I396" t="inlineStr">
        <is>
          <t>EMPRESA BRASILEIRA DE BENEFICIOS E PAGAMENTOS INSTITUICAO DE PAGAMENTO LTDA</t>
        </is>
      </c>
      <c r="J396" t="inlineStr">
        <is>
          <t>Alameda Rio Claro, Bela Vista, São Paulo - CEP 01332-010</t>
        </is>
      </c>
      <c r="K396" t="inlineStr">
        <is>
          <t>33449007</t>
        </is>
      </c>
      <c r="L396" t="inlineStr">
        <is>
          <t>33449007000144</t>
        </is>
      </c>
      <c r="M396" s="10" t="n">
        <v>336951.3</v>
      </c>
      <c r="N396" t="n">
        <v>1</v>
      </c>
      <c r="O396" s="11" t="inlineStr">
        <is>
          <t>C</t>
        </is>
      </c>
      <c r="P396" s="11" t="inlineStr"/>
      <c r="Q396" s="12" t="inlineStr"/>
      <c r="R396" s="11">
        <f>IF(Q396="","",ROUND((TODAY()-Q396)/365.25,1))</f>
        <v/>
      </c>
      <c r="S396" s="13">
        <f>IFERROR(VLOOKUP(O396,Assumptions!$A$7:$F$11,2,FALSE),0.25)</f>
        <v/>
      </c>
      <c r="T396" s="14">
        <f>IF(O396="A",MAX(1,IFERROR(VLOOKUP(O396,Assumptions!$A$7:$F$11,3,FALSE),3)+IFERROR(VLOOKUP(O396,Assumptions!$A$7:$F$11,4,FALSE),8)/2-MAX(0,IF(R396="",0,R396)-IFERROR(VLOOKUP(O396,Assumptions!$A$7:$F$11,5,FALSE),1.5))),IFERROR(VLOOKUP(O396,Assumptions!$A$7:$F$11,5,FALSE),2.5)+IFERROR(VLOOKUP(O396,Assumptions!$A$7:$F$11,3,FALSE),3)+IFERROR(VLOOKUP(O396,Assumptions!$A$7:$F$11,4,FALSE),8)/2)</f>
        <v/>
      </c>
      <c r="U396" s="15">
        <f>M396*S396/(1+Assumptions!$B$3)^T396</f>
        <v/>
      </c>
      <c r="V396" s="11">
        <f>IF(M396=0,"",ROUND(U396/M396*100,1))</f>
        <v/>
      </c>
      <c r="W396" s="16">
        <f>U396*Assumptions!$B$4</f>
        <v/>
      </c>
      <c r="X396" s="11">
        <f>IF(M396=0,"",ROUND(W396/M396*100,1))</f>
        <v/>
      </c>
      <c r="Y396" t="inlineStr">
        <is>
          <t>REAL DISTRIBUIDORA ÚNICA RIO COMÉRCIO DE REFRIGERAÇÃO LTDA.</t>
        </is>
      </c>
      <c r="Z396" t="inlineStr">
        <is>
          <t>0873061-47.2023.8.19.0001</t>
        </is>
      </c>
      <c r="AA396" t="inlineStr"/>
      <c r="AB396" t="inlineStr">
        <is>
          <t>inova-aj.com.br</t>
        </is>
      </c>
      <c r="AC396" t="inlineStr">
        <is>
          <t>EDUARDO BRAZ DEL GIGLIO</t>
        </is>
      </c>
      <c r="AD396" t="inlineStr">
        <is>
          <t>Administrador</t>
        </is>
      </c>
      <c r="AE396" t="inlineStr">
        <is>
          <t>(11) 9999-9999</t>
        </is>
      </c>
      <c r="AF396" t="inlineStr"/>
      <c r="AG396" t="inlineStr"/>
      <c r="AH396" t="inlineStr">
        <is>
          <t>SP</t>
        </is>
      </c>
      <c r="AI396" t="inlineStr">
        <is>
          <t>SAO PAULO</t>
        </is>
      </c>
      <c r="AJ396" t="inlineStr">
        <is>
          <t>Emissão de vales-alimentação, vales-transporte e similares</t>
        </is>
      </c>
      <c r="AK396" t="inlineStr">
        <is>
          <t>DEMAIS</t>
        </is>
      </c>
      <c r="AL396" t="inlineStr">
        <is>
          <t>ATIVA</t>
        </is>
      </c>
      <c r="AM396" s="17" t="inlineStr">
        <is>
          <t>https://inova-aj.com.br/wp-content/uploads/2026/08/1a-Relacao-de-Credores-Real.pdf</t>
        </is>
      </c>
      <c r="AN396" s="18" t="inlineStr">
        <is>
          <t>p1 r28</t>
        </is>
      </c>
      <c r="AO396" s="18" t="inlineStr">
        <is>
          <t>p1: R$ 336.951,30</t>
        </is>
      </c>
      <c r="AP396" s="18" t="inlineStr">
        <is>
          <t>AJ_LIST</t>
        </is>
      </c>
      <c r="AQ396" s="18" t="inlineStr">
        <is>
          <t>2023-06-05</t>
        </is>
      </c>
      <c r="AR396" s="18" t="inlineStr">
        <is>
          <t>OK</t>
        </is>
      </c>
      <c r="AS396" s="18" t="inlineStr">
        <is>
          <t>ALT_VALUE:R$245.000,00 ROWS:p1r28</t>
        </is>
      </c>
      <c r="AT396" s="18" t="inlineStr">
        <is>
          <t>8eb5d0d64353</t>
        </is>
      </c>
    </row>
    <row r="397">
      <c r="A397" s="9" t="n">
        <v>396</v>
      </c>
      <c r="B397" s="9" t="inlineStr">
        <is>
          <t>NEW</t>
        </is>
      </c>
      <c r="C397" s="9" t="inlineStr"/>
      <c r="D397" s="9" t="n">
        <v>0</v>
      </c>
      <c r="E397" s="9" t="inlineStr"/>
      <c r="F397" s="9" t="inlineStr"/>
      <c r="G397" s="9" t="inlineStr"/>
      <c r="H397" s="9" t="inlineStr"/>
      <c r="I397" t="inlineStr">
        <is>
          <t>IRON COMEX LTDA</t>
        </is>
      </c>
      <c r="J397" t="inlineStr">
        <is>
          <t>IRON COMEX LTDA - Este documento foi gerado pelo usuário 031.***.***-17 em 10/06/2025 18:21:34</t>
        </is>
      </c>
      <c r="K397" t="inlineStr">
        <is>
          <t>43464332</t>
        </is>
      </c>
      <c r="L397" t="inlineStr">
        <is>
          <t>43464332000130, 43464332000210</t>
        </is>
      </c>
      <c r="M397" s="10" t="n">
        <v>334279.01</v>
      </c>
      <c r="N397" t="n">
        <v>2</v>
      </c>
      <c r="O397" s="11" t="inlineStr">
        <is>
          <t>B</t>
        </is>
      </c>
      <c r="P397" s="11" t="inlineStr">
        <is>
          <t>ACTIVE</t>
        </is>
      </c>
      <c r="Q397" s="12" t="n">
        <v>45685</v>
      </c>
      <c r="R397" s="11">
        <f>IF(Q397="","",ROUND((TODAY()-Q397)/365.25,1))</f>
        <v/>
      </c>
      <c r="S397" s="13">
        <f>IFERROR(VLOOKUP(O397,Assumptions!$A$7:$F$11,2,FALSE),0.25)</f>
        <v/>
      </c>
      <c r="T397" s="14">
        <f>IF(O397="A",MAX(1,IFERROR(VLOOKUP(O397,Assumptions!$A$7:$F$11,3,FALSE),3)+IFERROR(VLOOKUP(O397,Assumptions!$A$7:$F$11,4,FALSE),8)/2-MAX(0,IF(R397="",0,R397)-IFERROR(VLOOKUP(O397,Assumptions!$A$7:$F$11,5,FALSE),1.5))),IFERROR(VLOOKUP(O397,Assumptions!$A$7:$F$11,5,FALSE),2.5)+IFERROR(VLOOKUP(O397,Assumptions!$A$7:$F$11,3,FALSE),3)+IFERROR(VLOOKUP(O397,Assumptions!$A$7:$F$11,4,FALSE),8)/2)</f>
        <v/>
      </c>
      <c r="U397" s="15">
        <f>M397*S397/(1+Assumptions!$B$3)^T397</f>
        <v/>
      </c>
      <c r="V397" s="11">
        <f>IF(M397=0,"",ROUND(U397/M397*100,1))</f>
        <v/>
      </c>
      <c r="W397" s="16">
        <f>U397*Assumptions!$B$4</f>
        <v/>
      </c>
      <c r="X397" s="11">
        <f>IF(M397=0,"",ROUND(W397/M397*100,1))</f>
        <v/>
      </c>
      <c r="Y397" t="inlineStr">
        <is>
          <t>Grupo Arruda (ARRUDA &amp; MELO REPRESENTACAO DE ALIMENTOS E BEBIDAS LTDA, ARRUDA &amp; MELO COMERCIO E DISTRIBUICAO DE ALIMENTOS E BEBIDAS LTDA, ARRUDA &amp; MELO COMERCIO E DISTRIBUICAO DE ALIMENTOS E BEBIDAS DA BAHIA LTDA)</t>
        </is>
      </c>
      <c r="Z397" t="inlineStr">
        <is>
          <t>0008526-45.2025.8.17.2001</t>
        </is>
      </c>
      <c r="AA397" t="inlineStr">
        <is>
          <t>TJPE</t>
        </is>
      </c>
      <c r="AB397" t="inlineStr">
        <is>
          <t>diligence.adm.br</t>
        </is>
      </c>
      <c r="AC397" t="inlineStr">
        <is>
          <t>SARI MARIANA COSTA GASPAR CORTE REAL</t>
        </is>
      </c>
      <c r="AD397" t="inlineStr">
        <is>
          <t>Sócio-Administrador</t>
        </is>
      </c>
      <c r="AE397" t="inlineStr">
        <is>
          <t>(81) 9707-8484</t>
        </is>
      </c>
      <c r="AF397" t="inlineStr"/>
      <c r="AG397" t="inlineStr"/>
      <c r="AH397" t="inlineStr">
        <is>
          <t>PE</t>
        </is>
      </c>
      <c r="AI397" t="inlineStr">
        <is>
          <t>RECIFE</t>
        </is>
      </c>
      <c r="AJ397" t="inlineStr">
        <is>
          <t>Comércio atacadista de mercadorias em geral, sem predominância de alimentos ou de insumos agropecuários</t>
        </is>
      </c>
      <c r="AK397" t="inlineStr">
        <is>
          <t>DEMAIS</t>
        </is>
      </c>
      <c r="AL397" t="inlineStr">
        <is>
          <t>ATIVA</t>
        </is>
      </c>
      <c r="AM397" s="17" t="inlineStr">
        <is>
          <t>https://diligence.adm.br/wp-content/uploads/2025/06/Edital-1a-Lista-de-Credores.pdf</t>
        </is>
      </c>
      <c r="AN397" s="18" t="inlineStr">
        <is>
          <t>p5 r78; p5 r79</t>
        </is>
      </c>
      <c r="AO397" s="18" t="inlineStr">
        <is>
          <t>p5: R$ 184.223,97; p5: R$ 150.055,04</t>
        </is>
      </c>
      <c r="AP397" s="18" t="inlineStr">
        <is>
          <t>DEBTOR_LIST</t>
        </is>
      </c>
      <c r="AQ397" s="18" t="inlineStr">
        <is>
          <t>2025-06-10</t>
        </is>
      </c>
      <c r="AR397" s="18" t="inlineStr">
        <is>
          <t>OK</t>
        </is>
      </c>
      <c r="AS397" s="18" t="inlineStr">
        <is>
          <t>LONG_CHUNK ROWS:p5r78,p5r79</t>
        </is>
      </c>
      <c r="AT397" s="18" t="inlineStr">
        <is>
          <t>1658892fa167</t>
        </is>
      </c>
    </row>
    <row r="398">
      <c r="A398" s="9" t="n">
        <v>397</v>
      </c>
      <c r="B398" s="9" t="inlineStr">
        <is>
          <t>NEW</t>
        </is>
      </c>
      <c r="C398" s="9" t="inlineStr"/>
      <c r="D398" s="9" t="n">
        <v>0</v>
      </c>
      <c r="E398" s="9" t="inlineStr"/>
      <c r="F398" s="9" t="inlineStr"/>
      <c r="G398" s="9" t="inlineStr"/>
      <c r="H398" s="9" t="inlineStr"/>
      <c r="I398" t="inlineStr">
        <is>
          <t>GJM INDUSTRIA DE COUROS LTDA</t>
        </is>
      </c>
      <c r="J398" t="inlineStr">
        <is>
          <t>GJM INDUSTRIA DE COUROS EIRELI</t>
        </is>
      </c>
      <c r="K398" t="inlineStr">
        <is>
          <t>28809368</t>
        </is>
      </c>
      <c r="L398" t="inlineStr">
        <is>
          <t>28809368000114</t>
        </is>
      </c>
      <c r="M398" s="10" t="n">
        <v>332923.32</v>
      </c>
      <c r="N398" t="n">
        <v>1</v>
      </c>
      <c r="O398" s="11" t="inlineStr">
        <is>
          <t>B</t>
        </is>
      </c>
      <c r="P398" s="11" t="inlineStr">
        <is>
          <t>ACTIVE</t>
        </is>
      </c>
      <c r="Q398" s="12" t="n">
        <v>45425</v>
      </c>
      <c r="R398" s="11">
        <f>IF(Q398="","",ROUND((TODAY()-Q398)/365.25,1))</f>
        <v/>
      </c>
      <c r="S398" s="13">
        <f>IFERROR(VLOOKUP(O398,Assumptions!$A$7:$F$11,2,FALSE),0.25)</f>
        <v/>
      </c>
      <c r="T398" s="14">
        <f>IF(O398="A",MAX(1,IFERROR(VLOOKUP(O398,Assumptions!$A$7:$F$11,3,FALSE),3)+IFERROR(VLOOKUP(O398,Assumptions!$A$7:$F$11,4,FALSE),8)/2-MAX(0,IF(R398="",0,R398)-IFERROR(VLOOKUP(O398,Assumptions!$A$7:$F$11,5,FALSE),1.5))),IFERROR(VLOOKUP(O398,Assumptions!$A$7:$F$11,5,FALSE),2.5)+IFERROR(VLOOKUP(O398,Assumptions!$A$7:$F$11,3,FALSE),3)+IFERROR(VLOOKUP(O398,Assumptions!$A$7:$F$11,4,FALSE),8)/2)</f>
        <v/>
      </c>
      <c r="U398" s="15">
        <f>M398*S398/(1+Assumptions!$B$3)^T398</f>
        <v/>
      </c>
      <c r="V398" s="11">
        <f>IF(M398=0,"",ROUND(U398/M398*100,1))</f>
        <v/>
      </c>
      <c r="W398" s="16">
        <f>U398*Assumptions!$B$4</f>
        <v/>
      </c>
      <c r="X398" s="11">
        <f>IF(M398=0,"",ROUND(W398/M398*100,1))</f>
        <v/>
      </c>
      <c r="Y398" t="inlineStr">
        <is>
          <t>GRUPO DIVINA</t>
        </is>
      </c>
      <c r="Z398" t="inlineStr">
        <is>
          <t>0000721-61.2024.8.17.2620</t>
        </is>
      </c>
      <c r="AA398" t="inlineStr">
        <is>
          <t>TJPE</t>
        </is>
      </c>
      <c r="AB398" t="inlineStr">
        <is>
          <t>lrflideres.com.br</t>
        </is>
      </c>
      <c r="AC398" t="inlineStr">
        <is>
          <t>GUSTAVO LUIZ PEREIRA MACHADO</t>
        </is>
      </c>
      <c r="AD398" t="inlineStr">
        <is>
          <t>Sócio-Administrador</t>
        </is>
      </c>
      <c r="AE398" t="inlineStr">
        <is>
          <t>(75) 3221-2769</t>
        </is>
      </c>
      <c r="AF398" t="inlineStr"/>
      <c r="AG398" t="inlineStr"/>
      <c r="AH398" t="inlineStr">
        <is>
          <t>BA</t>
        </is>
      </c>
      <c r="AI398" t="inlineStr">
        <is>
          <t>ALAGOINHAS</t>
        </is>
      </c>
      <c r="AJ398" t="inlineStr">
        <is>
          <t>Curtimento e outras preparações de couro</t>
        </is>
      </c>
      <c r="AK398" t="inlineStr">
        <is>
          <t>DEMAIS</t>
        </is>
      </c>
      <c r="AL398" t="inlineStr">
        <is>
          <t>ATIVA</t>
        </is>
      </c>
      <c r="AM398" s="17" t="inlineStr">
        <is>
          <t>https://lrflideres.com.br/wp-content/plugins/download-attachments/includes/download.php?id=6252</t>
        </is>
      </c>
      <c r="AN398" s="18" t="inlineStr">
        <is>
          <t>p2 r47</t>
        </is>
      </c>
      <c r="AO398" s="18" t="inlineStr">
        <is>
          <t>p2: R$ 332.923,32</t>
        </is>
      </c>
      <c r="AP398" s="18" t="inlineStr">
        <is>
          <t>AJ_LIST</t>
        </is>
      </c>
      <c r="AQ398" s="18" t="inlineStr">
        <is>
          <t>2024-11-27</t>
        </is>
      </c>
      <c r="AR398" s="18" t="inlineStr">
        <is>
          <t>QUARANTINED</t>
        </is>
      </c>
      <c r="AS398" s="18" t="inlineStr">
        <is>
          <t>PARTIAL_DOC_CLASS_III_RECONCILED ROWS:p2r47</t>
        </is>
      </c>
      <c r="AT398" s="18" t="inlineStr">
        <is>
          <t>38f0c15b8a2d</t>
        </is>
      </c>
    </row>
    <row r="399">
      <c r="A399" s="9" t="n">
        <v>398</v>
      </c>
      <c r="B399" s="9" t="inlineStr">
        <is>
          <t>NEW</t>
        </is>
      </c>
      <c r="C399" s="9" t="inlineStr"/>
      <c r="D399" s="9" t="n">
        <v>0</v>
      </c>
      <c r="E399" s="9" t="inlineStr"/>
      <c r="F399" s="9" t="inlineStr"/>
      <c r="G399" s="9" t="inlineStr"/>
      <c r="H399" s="9" t="inlineStr"/>
      <c r="I399" t="inlineStr">
        <is>
          <t>PERFILAGES COMERCIO VAREJISTA E ATACADISTA DE ALUMINIO LTDA</t>
        </is>
      </c>
      <c r="J399" t="inlineStr">
        <is>
          <t>PERFILAGES COMERCIO VAREJISTA E ATACADISTA DE ALUMINIO LTDA</t>
        </is>
      </c>
      <c r="K399" t="inlineStr">
        <is>
          <t>21421785</t>
        </is>
      </c>
      <c r="L399" t="inlineStr">
        <is>
          <t>21421785000146</t>
        </is>
      </c>
      <c r="M399" s="10" t="n">
        <v>332469.93</v>
      </c>
      <c r="N399" t="n">
        <v>1</v>
      </c>
      <c r="O399" s="11" t="inlineStr">
        <is>
          <t>D</t>
        </is>
      </c>
      <c r="P399" s="11" t="inlineStr"/>
      <c r="Q399" s="12" t="inlineStr"/>
      <c r="R399" s="11">
        <f>IF(Q399="","",ROUND((TODAY()-Q399)/365.25,1))</f>
        <v/>
      </c>
      <c r="S399" s="13">
        <f>IFERROR(VLOOKUP(O399,Assumptions!$A$7:$F$11,2,FALSE),0.25)</f>
        <v/>
      </c>
      <c r="T399" s="14">
        <f>IF(O399="A",MAX(1,IFERROR(VLOOKUP(O399,Assumptions!$A$7:$F$11,3,FALSE),3)+IFERROR(VLOOKUP(O399,Assumptions!$A$7:$F$11,4,FALSE),8)/2-MAX(0,IF(R399="",0,R399)-IFERROR(VLOOKUP(O399,Assumptions!$A$7:$F$11,5,FALSE),1.5))),IFERROR(VLOOKUP(O399,Assumptions!$A$7:$F$11,5,FALSE),2.5)+IFERROR(VLOOKUP(O399,Assumptions!$A$7:$F$11,3,FALSE),3)+IFERROR(VLOOKUP(O399,Assumptions!$A$7:$F$11,4,FALSE),8)/2)</f>
        <v/>
      </c>
      <c r="U399" s="15">
        <f>M399*S399/(1+Assumptions!$B$3)^T399</f>
        <v/>
      </c>
      <c r="V399" s="11">
        <f>IF(M399=0,"",ROUND(U399/M399*100,1))</f>
        <v/>
      </c>
      <c r="W399" s="16">
        <f>U399*Assumptions!$B$4</f>
        <v/>
      </c>
      <c r="X399" s="11">
        <f>IF(M399=0,"",ROUND(W399/M399*100,1))</f>
        <v/>
      </c>
      <c r="Y399" t="inlineStr">
        <is>
          <t>AGIMAX ESQUADRIAS METALICAS LTDA</t>
        </is>
      </c>
      <c r="Z399" t="inlineStr">
        <is>
          <t>5009529-81.2025.8.24.0019</t>
        </is>
      </c>
      <c r="AA399" t="inlineStr"/>
      <c r="AB399" t="inlineStr">
        <is>
          <t>scalzilliaj.com.br</t>
        </is>
      </c>
      <c r="AC399" t="inlineStr">
        <is>
          <t>MARCEL BIANCO RICARDO</t>
        </is>
      </c>
      <c r="AD399" t="inlineStr">
        <is>
          <t>Sócio-Administrador</t>
        </is>
      </c>
      <c r="AE399" t="inlineStr">
        <is>
          <t>(49) 3225-0075</t>
        </is>
      </c>
      <c r="AF399" t="inlineStr"/>
      <c r="AG399" t="inlineStr"/>
      <c r="AH399" t="inlineStr">
        <is>
          <t>SC</t>
        </is>
      </c>
      <c r="AI399" t="inlineStr">
        <is>
          <t>LAGES</t>
        </is>
      </c>
      <c r="AJ399" t="inlineStr">
        <is>
          <t>Comércio varejista de ferragens e ferramentas</t>
        </is>
      </c>
      <c r="AK399" t="inlineStr">
        <is>
          <t>MICRO EMPRESA</t>
        </is>
      </c>
      <c r="AL399" t="inlineStr">
        <is>
          <t>ATIVA</t>
        </is>
      </c>
      <c r="AM399" s="17" t="inlineStr">
        <is>
          <t>https://scalzilliaj.com.br/sgc/download.php?file=files/processo_documento/processo_documento15180810062026_1_.pdf&amp;nome=10 - Relação de credores do art. 7º, §2º, da Lei 11.101/2005</t>
        </is>
      </c>
      <c r="AN399" s="18" t="inlineStr">
        <is>
          <t>p2 r20</t>
        </is>
      </c>
      <c r="AO399" s="18" t="inlineStr">
        <is>
          <t>p2: R$ 332.469,93</t>
        </is>
      </c>
      <c r="AP399" s="18" t="inlineStr">
        <is>
          <t>AJ_LIST</t>
        </is>
      </c>
      <c r="AQ399" s="18" t="inlineStr"/>
      <c r="AR399" s="18" t="inlineStr">
        <is>
          <t>OK_NO_TOTALS</t>
        </is>
      </c>
      <c r="AS399" s="18" t="inlineStr">
        <is>
          <t>ROWS:p2r20 UNRECONCILED_SOURCE</t>
        </is>
      </c>
      <c r="AT399" s="18" t="inlineStr">
        <is>
          <t>2e4641168857</t>
        </is>
      </c>
    </row>
    <row r="400">
      <c r="A400" s="9" t="n">
        <v>399</v>
      </c>
      <c r="B400" s="9" t="inlineStr">
        <is>
          <t>NEW</t>
        </is>
      </c>
      <c r="C400" s="9" t="inlineStr"/>
      <c r="D400" s="9" t="n">
        <v>0</v>
      </c>
      <c r="E400" s="9" t="inlineStr"/>
      <c r="F400" s="9" t="inlineStr"/>
      <c r="G400" s="9" t="inlineStr"/>
      <c r="H400" s="9" t="inlineStr"/>
      <c r="I400" t="inlineStr">
        <is>
          <t>LOGIKA DISTRIBUIDORA DE COSMETICOS LTDA</t>
        </is>
      </c>
      <c r="J400" t="inlineStr">
        <is>
          <t>Logika Distribuidora De Cosmeticos Ltda</t>
        </is>
      </c>
      <c r="K400" t="inlineStr">
        <is>
          <t>06222722</t>
        </is>
      </c>
      <c r="L400" t="inlineStr">
        <is>
          <t>06222722000843</t>
        </is>
      </c>
      <c r="M400" s="10" t="n">
        <v>332242.27</v>
      </c>
      <c r="N400" t="n">
        <v>1</v>
      </c>
      <c r="O400" s="11" t="inlineStr">
        <is>
          <t>C</t>
        </is>
      </c>
      <c r="P400" s="11" t="inlineStr">
        <is>
          <t>ACTIVE</t>
        </is>
      </c>
      <c r="Q400" s="12" t="n">
        <v>44987</v>
      </c>
      <c r="R400" s="11">
        <f>IF(Q400="","",ROUND((TODAY()-Q400)/365.25,1))</f>
        <v/>
      </c>
      <c r="S400" s="13">
        <f>IFERROR(VLOOKUP(O400,Assumptions!$A$7:$F$11,2,FALSE),0.25)</f>
        <v/>
      </c>
      <c r="T400" s="14">
        <f>IF(O400="A",MAX(1,IFERROR(VLOOKUP(O400,Assumptions!$A$7:$F$11,3,FALSE),3)+IFERROR(VLOOKUP(O400,Assumptions!$A$7:$F$11,4,FALSE),8)/2-MAX(0,IF(R400="",0,R400)-IFERROR(VLOOKUP(O400,Assumptions!$A$7:$F$11,5,FALSE),1.5))),IFERROR(VLOOKUP(O400,Assumptions!$A$7:$F$11,5,FALSE),2.5)+IFERROR(VLOOKUP(O400,Assumptions!$A$7:$F$11,3,FALSE),3)+IFERROR(VLOOKUP(O400,Assumptions!$A$7:$F$11,4,FALSE),8)/2)</f>
        <v/>
      </c>
      <c r="U400" s="15">
        <f>M400*S400/(1+Assumptions!$B$3)^T400</f>
        <v/>
      </c>
      <c r="V400" s="11">
        <f>IF(M400=0,"",ROUND(U400/M400*100,1))</f>
        <v/>
      </c>
      <c r="W400" s="16">
        <f>U400*Assumptions!$B$4</f>
        <v/>
      </c>
      <c r="X400" s="11">
        <f>IF(M400=0,"",ROUND(W400/M400*100,1))</f>
        <v/>
      </c>
      <c r="Y400" t="inlineStr">
        <is>
          <t>GRUPO DP4</t>
        </is>
      </c>
      <c r="Z400" t="inlineStr">
        <is>
          <t>0005010-98.2023.8.16.0001</t>
        </is>
      </c>
      <c r="AA400" t="inlineStr">
        <is>
          <t>TJPR</t>
        </is>
      </c>
      <c r="AB400" t="inlineStr">
        <is>
          <t>marquesadmjudicial.com.br</t>
        </is>
      </c>
      <c r="AC400" t="inlineStr">
        <is>
          <t>NEWTON BONIN</t>
        </is>
      </c>
      <c r="AD400" t="inlineStr">
        <is>
          <t>Administrador</t>
        </is>
      </c>
      <c r="AE400" t="inlineStr">
        <is>
          <t>(41) 3375-2000</t>
        </is>
      </c>
      <c r="AF400" t="inlineStr"/>
      <c r="AG400" t="inlineStr"/>
      <c r="AH400" t="inlineStr">
        <is>
          <t>PR</t>
        </is>
      </c>
      <c r="AI400" t="inlineStr">
        <is>
          <t>SAO JOSE DOS PINHAIS</t>
        </is>
      </c>
      <c r="AJ400" t="inlineStr">
        <is>
          <t>Comércio atacadista de cosméticos e produtos de perfumaria</t>
        </is>
      </c>
      <c r="AK400" t="inlineStr">
        <is>
          <t>DEMAIS</t>
        </is>
      </c>
      <c r="AL400" t="inlineStr">
        <is>
          <t>ATIVA</t>
        </is>
      </c>
      <c r="AM400" s="17" t="inlineStr">
        <is>
          <t>https://marquesadmjudicial.com.br/sgc/download.php?file=files/processo_documento/processo_documento15293208032024_1_.pdf&amp;nome=Relação Nominal de Credores da AJ-Sintética</t>
        </is>
      </c>
      <c r="AN400" s="18" t="inlineStr">
        <is>
          <t>p28 r8</t>
        </is>
      </c>
      <c r="AO400" s="18" t="inlineStr">
        <is>
          <t>p28: R$ 332.242,27</t>
        </is>
      </c>
      <c r="AP400" s="18" t="inlineStr">
        <is>
          <t>AJ_LIST</t>
        </is>
      </c>
      <c r="AQ400" s="18" t="inlineStr">
        <is>
          <t>2023-03-02</t>
        </is>
      </c>
      <c r="AR400" s="18" t="inlineStr">
        <is>
          <t>QUARANTINED</t>
        </is>
      </c>
      <c r="AS400" s="18" t="inlineStr">
        <is>
          <t>PARTIAL_DOC_CLASS_III_RECONCILED ROWS:p28r8</t>
        </is>
      </c>
      <c r="AT400" s="18" t="inlineStr">
        <is>
          <t>b465a5d11eec</t>
        </is>
      </c>
    </row>
    <row r="401">
      <c r="A401" s="9" t="n">
        <v>400</v>
      </c>
      <c r="B401" s="9" t="inlineStr">
        <is>
          <t>NEW</t>
        </is>
      </c>
      <c r="C401" s="9" t="inlineStr"/>
      <c r="D401" s="9" t="n">
        <v>0</v>
      </c>
      <c r="E401" s="9" t="inlineStr"/>
      <c r="F401" s="9" t="inlineStr"/>
      <c r="G401" s="9" t="inlineStr"/>
      <c r="H401" s="9" t="inlineStr"/>
      <c r="I401" t="inlineStr">
        <is>
          <t>MOVAL MOVEIS ARAPONGAS LTDA</t>
        </is>
      </c>
      <c r="J401" t="inlineStr">
        <is>
          <t>75.400.903/0001-69</t>
        </is>
      </c>
      <c r="K401" t="inlineStr">
        <is>
          <t>75400903</t>
        </is>
      </c>
      <c r="L401" t="inlineStr">
        <is>
          <t>75400903000169</t>
        </is>
      </c>
      <c r="M401" s="10" t="n">
        <v>331696.27</v>
      </c>
      <c r="N401" t="n">
        <v>1</v>
      </c>
      <c r="O401" s="11" t="inlineStr">
        <is>
          <t>C</t>
        </is>
      </c>
      <c r="P401" s="11" t="inlineStr">
        <is>
          <t>ACTIVE</t>
        </is>
      </c>
      <c r="Q401" s="12" t="n">
        <v>43894</v>
      </c>
      <c r="R401" s="11">
        <f>IF(Q401="","",ROUND((TODAY()-Q401)/365.25,1))</f>
        <v/>
      </c>
      <c r="S401" s="13">
        <f>IFERROR(VLOOKUP(O401,Assumptions!$A$7:$F$11,2,FALSE),0.25)</f>
        <v/>
      </c>
      <c r="T401" s="14">
        <f>IF(O401="A",MAX(1,IFERROR(VLOOKUP(O401,Assumptions!$A$7:$F$11,3,FALSE),3)+IFERROR(VLOOKUP(O401,Assumptions!$A$7:$F$11,4,FALSE),8)/2-MAX(0,IF(R401="",0,R401)-IFERROR(VLOOKUP(O401,Assumptions!$A$7:$F$11,5,FALSE),1.5))),IFERROR(VLOOKUP(O401,Assumptions!$A$7:$F$11,5,FALSE),2.5)+IFERROR(VLOOKUP(O401,Assumptions!$A$7:$F$11,3,FALSE),3)+IFERROR(VLOOKUP(O401,Assumptions!$A$7:$F$11,4,FALSE),8)/2)</f>
        <v/>
      </c>
      <c r="U401" s="15">
        <f>M401*S401/(1+Assumptions!$B$3)^T401</f>
        <v/>
      </c>
      <c r="V401" s="11">
        <f>IF(M401=0,"",ROUND(U401/M401*100,1))</f>
        <v/>
      </c>
      <c r="W401" s="16">
        <f>U401*Assumptions!$B$4</f>
        <v/>
      </c>
      <c r="X401" s="11">
        <f>IF(M401=0,"",ROUND(W401/M401*100,1))</f>
        <v/>
      </c>
      <c r="Y401" t="inlineStr">
        <is>
          <t>CREDIMÓVEIS NOVOLAR LTDA.</t>
        </is>
      </c>
      <c r="Z401" t="inlineStr">
        <is>
          <t>0007565-40.2020.8.17.2370</t>
        </is>
      </c>
      <c r="AA401" t="inlineStr">
        <is>
          <t>TJPE</t>
        </is>
      </c>
      <c r="AB401" t="inlineStr">
        <is>
          <t>recuperacaojudicial.squarespace.com</t>
        </is>
      </c>
      <c r="AC401" t="inlineStr">
        <is>
          <t>EVANDRO MARCOS MARTINS E OLIVEIRA</t>
        </is>
      </c>
      <c r="AD401" t="inlineStr">
        <is>
          <t>Sócio-Administrador</t>
        </is>
      </c>
      <c r="AE401" t="inlineStr"/>
      <c r="AF401" t="inlineStr"/>
      <c r="AG401" t="inlineStr"/>
      <c r="AH401" t="inlineStr">
        <is>
          <t>PR</t>
        </is>
      </c>
      <c r="AI401" t="inlineStr">
        <is>
          <t>ARAPONGAS</t>
        </is>
      </c>
      <c r="AJ401" t="inlineStr">
        <is>
          <t>Fabricação de móveis com predominância de madeira</t>
        </is>
      </c>
      <c r="AK401" t="inlineStr">
        <is>
          <t>DEMAIS</t>
        </is>
      </c>
      <c r="AL401" t="inlineStr">
        <is>
          <t>ATIVA</t>
        </is>
      </c>
      <c r="AM401" s="17" t="inlineStr">
        <is>
          <t>https://recuperacaojudicial.squarespace.com/s/RJ-Credimoveis-QGC-01082025.pdf</t>
        </is>
      </c>
      <c r="AN401" s="18" t="inlineStr">
        <is>
          <t>p16 r22</t>
        </is>
      </c>
      <c r="AO401" s="18" t="inlineStr">
        <is>
          <t>p16: R$ 331.696,27</t>
        </is>
      </c>
      <c r="AP401" s="18" t="inlineStr">
        <is>
          <t>QGC</t>
        </is>
      </c>
      <c r="AQ401" s="18" t="inlineStr">
        <is>
          <t>2026-01-28</t>
        </is>
      </c>
      <c r="AR401" s="18" t="inlineStr">
        <is>
          <t>OK</t>
        </is>
      </c>
      <c r="AS401" s="18" t="inlineStr">
        <is>
          <t>ROWS:p16r22</t>
        </is>
      </c>
      <c r="AT401" s="18" t="inlineStr">
        <is>
          <t>849d4fe5adce</t>
        </is>
      </c>
    </row>
    <row r="402">
      <c r="A402" s="9" t="n">
        <v>401</v>
      </c>
      <c r="B402" s="9" t="inlineStr">
        <is>
          <t>NEW</t>
        </is>
      </c>
      <c r="C402" s="9" t="inlineStr"/>
      <c r="D402" s="9" t="n">
        <v>0</v>
      </c>
      <c r="E402" s="9" t="inlineStr"/>
      <c r="F402" s="9" t="inlineStr"/>
      <c r="G402" s="9" t="inlineStr"/>
      <c r="H402" s="9" t="inlineStr"/>
      <c r="I402" t="inlineStr">
        <is>
          <t>INCOFIOS INDUSTRIA E COMERCIO DE FIOS LTDA</t>
        </is>
      </c>
      <c r="J402" t="inlineStr">
        <is>
          <t>INCOFIOS INDUSTRIA DE FIOS E MALHAS LTDA</t>
        </is>
      </c>
      <c r="K402" t="inlineStr">
        <is>
          <t>04432327</t>
        </is>
      </c>
      <c r="L402" t="inlineStr">
        <is>
          <t>04432327000193</t>
        </is>
      </c>
      <c r="M402" s="10" t="n">
        <v>330759.56</v>
      </c>
      <c r="N402" t="n">
        <v>1</v>
      </c>
      <c r="O402" s="11" t="inlineStr">
        <is>
          <t>C</t>
        </is>
      </c>
      <c r="P402" s="11" t="inlineStr"/>
      <c r="Q402" s="12" t="inlineStr"/>
      <c r="R402" s="11">
        <f>IF(Q402="","",ROUND((TODAY()-Q402)/365.25,1))</f>
        <v/>
      </c>
      <c r="S402" s="13">
        <f>IFERROR(VLOOKUP(O402,Assumptions!$A$7:$F$11,2,FALSE),0.25)</f>
        <v/>
      </c>
      <c r="T402" s="14">
        <f>IF(O402="A",MAX(1,IFERROR(VLOOKUP(O402,Assumptions!$A$7:$F$11,3,FALSE),3)+IFERROR(VLOOKUP(O402,Assumptions!$A$7:$F$11,4,FALSE),8)/2-MAX(0,IF(R402="",0,R402)-IFERROR(VLOOKUP(O402,Assumptions!$A$7:$F$11,5,FALSE),1.5))),IFERROR(VLOOKUP(O402,Assumptions!$A$7:$F$11,5,FALSE),2.5)+IFERROR(VLOOKUP(O402,Assumptions!$A$7:$F$11,3,FALSE),3)+IFERROR(VLOOKUP(O402,Assumptions!$A$7:$F$11,4,FALSE),8)/2)</f>
        <v/>
      </c>
      <c r="U402" s="15">
        <f>M402*S402/(1+Assumptions!$B$3)^T402</f>
        <v/>
      </c>
      <c r="V402" s="11">
        <f>IF(M402=0,"",ROUND(U402/M402*100,1))</f>
        <v/>
      </c>
      <c r="W402" s="16">
        <f>U402*Assumptions!$B$4</f>
        <v/>
      </c>
      <c r="X402" s="11">
        <f>IF(M402=0,"",ROUND(W402/M402*100,1))</f>
        <v/>
      </c>
      <c r="Y402" t="inlineStr">
        <is>
          <t>CONFECÇÕES ANDRIMALHAS LTDA</t>
        </is>
      </c>
      <c r="Z402" t="inlineStr">
        <is>
          <t>0302174-63.2015.8.24.0025</t>
        </is>
      </c>
      <c r="AA402" t="inlineStr"/>
      <c r="AB402" t="inlineStr">
        <is>
          <t>administradorajudicialgs.com.br</t>
        </is>
      </c>
      <c r="AC402" t="inlineStr">
        <is>
          <t>VITOR LUIZ RAMBO JUNIOR</t>
        </is>
      </c>
      <c r="AD402" t="inlineStr">
        <is>
          <t>Administrador</t>
        </is>
      </c>
      <c r="AE402" t="inlineStr">
        <is>
          <t>(47) 3377-8000</t>
        </is>
      </c>
      <c r="AF402" t="inlineStr"/>
      <c r="AG402" t="inlineStr"/>
      <c r="AH402" t="inlineStr">
        <is>
          <t>SC</t>
        </is>
      </c>
      <c r="AI402" t="inlineStr">
        <is>
          <t>INDAIAL</t>
        </is>
      </c>
      <c r="AJ402" t="inlineStr">
        <is>
          <t>Preparação e fiação de fibras de algodão</t>
        </is>
      </c>
      <c r="AK402" t="inlineStr">
        <is>
          <t>DEMAIS</t>
        </is>
      </c>
      <c r="AL402" t="inlineStr">
        <is>
          <t>ATIVA</t>
        </is>
      </c>
      <c r="AM402" s="17" t="inlineStr">
        <is>
          <t>https://administradorajudicialgs.com.br/wp-content/uploads/2023/08/doc-06-relacao-credores-do-administrador-judicial-10-02-2015.pdf</t>
        </is>
      </c>
      <c r="AN402" s="18" t="inlineStr">
        <is>
          <t>p2 r17</t>
        </is>
      </c>
      <c r="AO402" s="18" t="inlineStr">
        <is>
          <t>p2: R$ 330.759,56</t>
        </is>
      </c>
      <c r="AP402" s="18" t="inlineStr">
        <is>
          <t>AJ_LIST</t>
        </is>
      </c>
      <c r="AQ402" s="18" t="inlineStr"/>
      <c r="AR402" s="18" t="inlineStr">
        <is>
          <t>QUARANTINED</t>
        </is>
      </c>
      <c r="AS402" s="18" t="inlineStr">
        <is>
          <t>PARTIAL_DOC_CLASS_III_RECONCILED ROWS:p2r17</t>
        </is>
      </c>
      <c r="AT402" s="18" t="inlineStr">
        <is>
          <t>d403116b357d</t>
        </is>
      </c>
    </row>
    <row r="403">
      <c r="A403" s="9" t="n">
        <v>402</v>
      </c>
      <c r="B403" s="9" t="inlineStr">
        <is>
          <t>NEW</t>
        </is>
      </c>
      <c r="C403" s="9" t="inlineStr"/>
      <c r="D403" s="9" t="n">
        <v>0</v>
      </c>
      <c r="E403" s="9" t="inlineStr"/>
      <c r="F403" s="9" t="inlineStr"/>
      <c r="G403" s="9" t="inlineStr"/>
      <c r="H403" s="9" t="inlineStr"/>
      <c r="I403" t="inlineStr">
        <is>
          <t>TELEFONICA BRASIL S.A.</t>
        </is>
      </c>
      <c r="J403" t="inlineStr">
        <is>
          <t>TELEFONICA BRASIL S.A. (</t>
        </is>
      </c>
      <c r="K403" t="inlineStr">
        <is>
          <t>02558157</t>
        </is>
      </c>
      <c r="L403" t="inlineStr">
        <is>
          <t>02558157001720</t>
        </is>
      </c>
      <c r="M403" s="10" t="n">
        <v>330264.64</v>
      </c>
      <c r="N403" t="n">
        <v>1</v>
      </c>
      <c r="O403" s="11" t="inlineStr">
        <is>
          <t>C</t>
        </is>
      </c>
      <c r="P403" s="11" t="inlineStr">
        <is>
          <t>ACTIVE</t>
        </is>
      </c>
      <c r="Q403" s="12" t="n">
        <v>44735</v>
      </c>
      <c r="R403" s="11">
        <f>IF(Q403="","",ROUND((TODAY()-Q403)/365.25,1))</f>
        <v/>
      </c>
      <c r="S403" s="13">
        <f>IFERROR(VLOOKUP(O403,Assumptions!$A$7:$F$11,2,FALSE),0.25)</f>
        <v/>
      </c>
      <c r="T403" s="14">
        <f>IF(O403="A",MAX(1,IFERROR(VLOOKUP(O403,Assumptions!$A$7:$F$11,3,FALSE),3)+IFERROR(VLOOKUP(O403,Assumptions!$A$7:$F$11,4,FALSE),8)/2-MAX(0,IF(R403="",0,R403)-IFERROR(VLOOKUP(O403,Assumptions!$A$7:$F$11,5,FALSE),1.5))),IFERROR(VLOOKUP(O403,Assumptions!$A$7:$F$11,5,FALSE),2.5)+IFERROR(VLOOKUP(O403,Assumptions!$A$7:$F$11,3,FALSE),3)+IFERROR(VLOOKUP(O403,Assumptions!$A$7:$F$11,4,FALSE),8)/2)</f>
        <v/>
      </c>
      <c r="U403" s="15">
        <f>M403*S403/(1+Assumptions!$B$3)^T403</f>
        <v/>
      </c>
      <c r="V403" s="11">
        <f>IF(M403=0,"",ROUND(U403/M403*100,1))</f>
        <v/>
      </c>
      <c r="W403" s="16">
        <f>U403*Assumptions!$B$4</f>
        <v/>
      </c>
      <c r="X403" s="11">
        <f>IF(M403=0,"",ROUND(W403/M403*100,1))</f>
        <v/>
      </c>
      <c r="Y403" t="inlineStr">
        <is>
          <t>ASSOCIAÇÃO DE CARIDADE SANTA CASA DO RIO GRANDE</t>
        </is>
      </c>
      <c r="Z403" t="inlineStr">
        <is>
          <t>5012306-16.2022.8.21.0023</t>
        </is>
      </c>
      <c r="AA403" t="inlineStr">
        <is>
          <t>TJRS</t>
        </is>
      </c>
      <c r="AB403" t="inlineStr">
        <is>
          <t>scalzilliaj.com.br</t>
        </is>
      </c>
      <c r="AC403" t="inlineStr">
        <is>
          <t>CHRISTIAN MAUAD GEBARA</t>
        </is>
      </c>
      <c r="AD403" t="inlineStr">
        <is>
          <t>Presidente</t>
        </is>
      </c>
      <c r="AE403" t="inlineStr">
        <is>
          <t>(11) 3430-4532</t>
        </is>
      </c>
      <c r="AF403" t="inlineStr"/>
      <c r="AG403" t="inlineStr"/>
      <c r="AH403" t="inlineStr">
        <is>
          <t>SP</t>
        </is>
      </c>
      <c r="AI403" t="inlineStr">
        <is>
          <t>SAO PAULO</t>
        </is>
      </c>
      <c r="AJ403" t="inlineStr">
        <is>
          <t>Serviços de telecomunicações sem fio não especificados anteriormente</t>
        </is>
      </c>
      <c r="AK403" t="inlineStr">
        <is>
          <t>DEMAIS</t>
        </is>
      </c>
      <c r="AL403" t="inlineStr">
        <is>
          <t>ATIVA</t>
        </is>
      </c>
      <c r="AM403" s="17" t="inlineStr">
        <is>
          <t>https://scalzilliaj.com.br/sgc/download.php?file=files/processo_documento/processo_documento09120721032023_1_.pdf&amp;nome=15 - Edital do art. 7º, §2º e 53 da Lei 11.101/2005 (segunda lista de credores e recebimento do plano))</t>
        </is>
      </c>
      <c r="AN403" s="18" t="inlineStr">
        <is>
          <t>p30 r13</t>
        </is>
      </c>
      <c r="AO403" s="18" t="inlineStr">
        <is>
          <t>p30: R$ 330.264,64</t>
        </is>
      </c>
      <c r="AP403" s="18" t="inlineStr">
        <is>
          <t>AJ_LIST</t>
        </is>
      </c>
      <c r="AQ403" s="18" t="inlineStr">
        <is>
          <t>2023-03-21</t>
        </is>
      </c>
      <c r="AR403" s="18" t="inlineStr">
        <is>
          <t>OK_NO_TOTALS</t>
        </is>
      </c>
      <c r="AS403" s="18" t="inlineStr">
        <is>
          <t>ROWS:p30r13 UNRECONCILED_SOURCE</t>
        </is>
      </c>
      <c r="AT403" s="18" t="inlineStr">
        <is>
          <t>ebfb999b457c</t>
        </is>
      </c>
    </row>
    <row r="404">
      <c r="A404" s="9" t="n">
        <v>403</v>
      </c>
      <c r="B404" s="9" t="inlineStr">
        <is>
          <t>NEW</t>
        </is>
      </c>
      <c r="C404" s="9" t="inlineStr"/>
      <c r="D404" s="9" t="n">
        <v>0</v>
      </c>
      <c r="E404" s="9" t="inlineStr"/>
      <c r="F404" s="9" t="inlineStr"/>
      <c r="G404" s="9" t="inlineStr"/>
      <c r="H404" s="9" t="inlineStr"/>
      <c r="I404" t="inlineStr">
        <is>
          <t>MARTINS COMERCIO E SERVICOS DE DISTRIBUICAO S/A</t>
        </is>
      </c>
      <c r="J404" t="inlineStr">
        <is>
          <t>Martins Almais</t>
        </is>
      </c>
      <c r="K404" t="inlineStr">
        <is>
          <t>43214055</t>
        </is>
      </c>
      <c r="L404" t="inlineStr">
        <is>
          <t>43214055000107, 43214055004013</t>
        </is>
      </c>
      <c r="M404" s="10" t="n">
        <v>329842.98</v>
      </c>
      <c r="N404" t="n">
        <v>2</v>
      </c>
      <c r="O404" s="11" t="inlineStr">
        <is>
          <t>B</t>
        </is>
      </c>
      <c r="P404" s="11" t="inlineStr">
        <is>
          <t>ACTIVE</t>
        </is>
      </c>
      <c r="Q404" s="12" t="n">
        <v>46130</v>
      </c>
      <c r="R404" s="11">
        <f>IF(Q404="","",ROUND((TODAY()-Q404)/365.25,1))</f>
        <v/>
      </c>
      <c r="S404" s="13">
        <f>IFERROR(VLOOKUP(O404,Assumptions!$A$7:$F$11,2,FALSE),0.25)</f>
        <v/>
      </c>
      <c r="T404" s="14">
        <f>IF(O404="A",MAX(1,IFERROR(VLOOKUP(O404,Assumptions!$A$7:$F$11,3,FALSE),3)+IFERROR(VLOOKUP(O404,Assumptions!$A$7:$F$11,4,FALSE),8)/2-MAX(0,IF(R404="",0,R404)-IFERROR(VLOOKUP(O404,Assumptions!$A$7:$F$11,5,FALSE),1.5))),IFERROR(VLOOKUP(O404,Assumptions!$A$7:$F$11,5,FALSE),2.5)+IFERROR(VLOOKUP(O404,Assumptions!$A$7:$F$11,3,FALSE),3)+IFERROR(VLOOKUP(O404,Assumptions!$A$7:$F$11,4,FALSE),8)/2)</f>
        <v/>
      </c>
      <c r="U404" s="15">
        <f>M404*S404/(1+Assumptions!$B$3)^T404</f>
        <v/>
      </c>
      <c r="V404" s="11">
        <f>IF(M404=0,"",ROUND(U404/M404*100,1))</f>
        <v/>
      </c>
      <c r="W404" s="16">
        <f>U404*Assumptions!$B$4</f>
        <v/>
      </c>
      <c r="X404" s="11">
        <f>IF(M404=0,"",ROUND(W404/M404*100,1))</f>
        <v/>
      </c>
      <c r="Y404" t="inlineStr">
        <is>
          <t>GRUPO 3E</t>
        </is>
      </c>
      <c r="Z404" t="inlineStr">
        <is>
          <t>5341375-33.2026.8.09.0049</t>
        </is>
      </c>
      <c r="AA404" t="inlineStr">
        <is>
          <t>TJGO</t>
        </is>
      </c>
      <c r="AB404" t="inlineStr">
        <is>
          <t>stenius.com.br</t>
        </is>
      </c>
      <c r="AC404" t="inlineStr">
        <is>
          <t>LEANDRO HENRIQUE DE PADUA</t>
        </is>
      </c>
      <c r="AD404" t="inlineStr">
        <is>
          <t>Diretor</t>
        </is>
      </c>
      <c r="AE404" t="inlineStr">
        <is>
          <t>(34) 3218-1500</t>
        </is>
      </c>
      <c r="AF404" t="inlineStr"/>
      <c r="AG404" t="inlineStr"/>
      <c r="AH404" t="inlineStr">
        <is>
          <t>MG</t>
        </is>
      </c>
      <c r="AI404" t="inlineStr">
        <is>
          <t>UBERLANDIA</t>
        </is>
      </c>
      <c r="AJ404" t="inlineStr">
        <is>
          <t>Comércio atacadista de mercadorias em geral, sem predominância de alimentos ou de insumos agropecuários</t>
        </is>
      </c>
      <c r="AK404" t="inlineStr">
        <is>
          <t>DEMAIS</t>
        </is>
      </c>
      <c r="AL404" t="inlineStr">
        <is>
          <t>ATIVA</t>
        </is>
      </c>
      <c r="AM404" s="17" t="inlineStr">
        <is>
          <t>https://stenius.com.br/wp-content/uploads/2026/06/EDITAL-GRUPO-3E.pdf</t>
        </is>
      </c>
      <c r="AN404" s="18" t="inlineStr">
        <is>
          <t>p15 r55; p15 r56</t>
        </is>
      </c>
      <c r="AO404" s="18" t="inlineStr">
        <is>
          <t>p15: R$ 198.490,01; p15: R$ 131.352,97</t>
        </is>
      </c>
      <c r="AP404" s="18" t="inlineStr">
        <is>
          <t>DEBTOR_LIST</t>
        </is>
      </c>
      <c r="AQ404" s="18" t="inlineStr">
        <is>
          <t>2026-06-22</t>
        </is>
      </c>
      <c r="AR404" s="18" t="inlineStr">
        <is>
          <t>OK_NO_TOTALS</t>
        </is>
      </c>
      <c r="AS404" s="18" t="inlineStr">
        <is>
          <t>ROWS:p15r55,p15r56 UNRECONCILED_SOURCE</t>
        </is>
      </c>
      <c r="AT404" s="18" t="inlineStr">
        <is>
          <t>8e8832093a15</t>
        </is>
      </c>
    </row>
    <row r="405">
      <c r="A405" s="9" t="n">
        <v>404</v>
      </c>
      <c r="B405" s="9" t="inlineStr">
        <is>
          <t>NEW</t>
        </is>
      </c>
      <c r="C405" s="9" t="inlineStr"/>
      <c r="D405" s="9" t="n">
        <v>0</v>
      </c>
      <c r="E405" s="9" t="inlineStr"/>
      <c r="F405" s="9" t="inlineStr"/>
      <c r="G405" s="9" t="inlineStr"/>
      <c r="H405" s="9" t="inlineStr"/>
      <c r="I405" t="inlineStr">
        <is>
          <t>AIR LIQUIDE BRASIL LTDA</t>
        </is>
      </c>
      <c r="J405" t="inlineStr">
        <is>
          <t>AIR LIQUIDE BRASIL LTDA (</t>
        </is>
      </c>
      <c r="K405" t="inlineStr">
        <is>
          <t>00331788</t>
        </is>
      </c>
      <c r="L405" t="inlineStr">
        <is>
          <t>00331788005269</t>
        </is>
      </c>
      <c r="M405" s="10" t="n">
        <v>329122.66</v>
      </c>
      <c r="N405" t="n">
        <v>1</v>
      </c>
      <c r="O405" s="11" t="inlineStr">
        <is>
          <t>C</t>
        </is>
      </c>
      <c r="P405" s="11" t="inlineStr">
        <is>
          <t>ACTIVE</t>
        </is>
      </c>
      <c r="Q405" s="12" t="n">
        <v>44735</v>
      </c>
      <c r="R405" s="11">
        <f>IF(Q405="","",ROUND((TODAY()-Q405)/365.25,1))</f>
        <v/>
      </c>
      <c r="S405" s="13">
        <f>IFERROR(VLOOKUP(O405,Assumptions!$A$7:$F$11,2,FALSE),0.25)</f>
        <v/>
      </c>
      <c r="T405" s="14">
        <f>IF(O405="A",MAX(1,IFERROR(VLOOKUP(O405,Assumptions!$A$7:$F$11,3,FALSE),3)+IFERROR(VLOOKUP(O405,Assumptions!$A$7:$F$11,4,FALSE),8)/2-MAX(0,IF(R405="",0,R405)-IFERROR(VLOOKUP(O405,Assumptions!$A$7:$F$11,5,FALSE),1.5))),IFERROR(VLOOKUP(O405,Assumptions!$A$7:$F$11,5,FALSE),2.5)+IFERROR(VLOOKUP(O405,Assumptions!$A$7:$F$11,3,FALSE),3)+IFERROR(VLOOKUP(O405,Assumptions!$A$7:$F$11,4,FALSE),8)/2)</f>
        <v/>
      </c>
      <c r="U405" s="15">
        <f>M405*S405/(1+Assumptions!$B$3)^T405</f>
        <v/>
      </c>
      <c r="V405" s="11">
        <f>IF(M405=0,"",ROUND(U405/M405*100,1))</f>
        <v/>
      </c>
      <c r="W405" s="16">
        <f>U405*Assumptions!$B$4</f>
        <v/>
      </c>
      <c r="X405" s="11">
        <f>IF(M405=0,"",ROUND(W405/M405*100,1))</f>
        <v/>
      </c>
      <c r="Y405" t="inlineStr">
        <is>
          <t>ASSOCIAÇÃO DE CARIDADE SANTA CASA DO RIO GRANDE</t>
        </is>
      </c>
      <c r="Z405" t="inlineStr">
        <is>
          <t>5012306-16.2022.8.21.0023</t>
        </is>
      </c>
      <c r="AA405" t="inlineStr">
        <is>
          <t>TJRS</t>
        </is>
      </c>
      <c r="AB405" t="inlineStr">
        <is>
          <t>scalzilliaj.com.br</t>
        </is>
      </c>
      <c r="AC405" t="inlineStr">
        <is>
          <t>JEMIMA BARBOSA MORANDI</t>
        </is>
      </c>
      <c r="AD405" t="inlineStr">
        <is>
          <t>Administrador</t>
        </is>
      </c>
      <c r="AE405" t="inlineStr">
        <is>
          <t>(11) 5509-8300</t>
        </is>
      </c>
      <c r="AF405" t="inlineStr"/>
      <c r="AG405" t="inlineStr"/>
      <c r="AH405" t="inlineStr">
        <is>
          <t>SP</t>
        </is>
      </c>
      <c r="AI405" t="inlineStr">
        <is>
          <t>SAO PAULO</t>
        </is>
      </c>
      <c r="AJ405" t="inlineStr">
        <is>
          <t>Fabricação de gases industriais</t>
        </is>
      </c>
      <c r="AK405" t="inlineStr">
        <is>
          <t>DEMAIS</t>
        </is>
      </c>
      <c r="AL405" t="inlineStr">
        <is>
          <t>ATIVA</t>
        </is>
      </c>
      <c r="AM405" s="17" t="inlineStr">
        <is>
          <t>https://scalzilliaj.com.br/sgc/download.php?file=files/processo_documento/processo_documento09120721032023_1_.pdf&amp;nome=15 - Edital do art. 7º, §2º e 53 da Lei 11.101/2005 (segunda lista de credores e recebimento do plano))</t>
        </is>
      </c>
      <c r="AN405" s="18" t="inlineStr">
        <is>
          <t>p25 r45</t>
        </is>
      </c>
      <c r="AO405" s="18" t="inlineStr">
        <is>
          <t>p25: R$ 329.122,66</t>
        </is>
      </c>
      <c r="AP405" s="18" t="inlineStr">
        <is>
          <t>AJ_LIST</t>
        </is>
      </c>
      <c r="AQ405" s="18" t="inlineStr">
        <is>
          <t>2023-03-21</t>
        </is>
      </c>
      <c r="AR405" s="18" t="inlineStr">
        <is>
          <t>OK_NO_TOTALS</t>
        </is>
      </c>
      <c r="AS405" s="18" t="inlineStr">
        <is>
          <t>ROWS:p25r45 UNRECONCILED_SOURCE</t>
        </is>
      </c>
      <c r="AT405" s="18" t="inlineStr">
        <is>
          <t>ebfb999b457c</t>
        </is>
      </c>
    </row>
    <row r="406">
      <c r="A406" s="9" t="n">
        <v>405</v>
      </c>
      <c r="B406" s="9" t="inlineStr">
        <is>
          <t>NEW</t>
        </is>
      </c>
      <c r="C406" s="9" t="inlineStr"/>
      <c r="D406" s="9" t="n">
        <v>0</v>
      </c>
      <c r="E406" s="9" t="inlineStr"/>
      <c r="F406" s="9" t="inlineStr"/>
      <c r="G406" s="9" t="inlineStr"/>
      <c r="H406" s="9" t="inlineStr"/>
      <c r="I406" t="inlineStr">
        <is>
          <t>CAMESA INDUSTRIA TEXTIL LTDA</t>
        </is>
      </c>
      <c r="J406" t="inlineStr">
        <is>
          <t>CAMESA INDUSTRIA TEXTIL LTDA</t>
        </is>
      </c>
      <c r="K406" t="inlineStr">
        <is>
          <t>43672716</t>
        </is>
      </c>
      <c r="L406" t="inlineStr">
        <is>
          <t>43672716000814</t>
        </is>
      </c>
      <c r="M406" s="10" t="n">
        <v>328879.9</v>
      </c>
      <c r="N406" t="n">
        <v>3</v>
      </c>
      <c r="O406" s="11" t="inlineStr">
        <is>
          <t>C</t>
        </is>
      </c>
      <c r="P406" s="11" t="inlineStr">
        <is>
          <t>ACTIVE</t>
        </is>
      </c>
      <c r="Q406" s="12" t="n">
        <v>44571</v>
      </c>
      <c r="R406" s="11">
        <f>IF(Q406="","",ROUND((TODAY()-Q406)/365.25,1))</f>
        <v/>
      </c>
      <c r="S406" s="13">
        <f>IFERROR(VLOOKUP(O406,Assumptions!$A$7:$F$11,2,FALSE),0.25)</f>
        <v/>
      </c>
      <c r="T406" s="14">
        <f>IF(O406="A",MAX(1,IFERROR(VLOOKUP(O406,Assumptions!$A$7:$F$11,3,FALSE),3)+IFERROR(VLOOKUP(O406,Assumptions!$A$7:$F$11,4,FALSE),8)/2-MAX(0,IF(R406="",0,R406)-IFERROR(VLOOKUP(O406,Assumptions!$A$7:$F$11,5,FALSE),1.5))),IFERROR(VLOOKUP(O406,Assumptions!$A$7:$F$11,5,FALSE),2.5)+IFERROR(VLOOKUP(O406,Assumptions!$A$7:$F$11,3,FALSE),3)+IFERROR(VLOOKUP(O406,Assumptions!$A$7:$F$11,4,FALSE),8)/2)</f>
        <v/>
      </c>
      <c r="U406" s="15">
        <f>M406*S406/(1+Assumptions!$B$3)^T406</f>
        <v/>
      </c>
      <c r="V406" s="11">
        <f>IF(M406=0,"",ROUND(U406/M406*100,1))</f>
        <v/>
      </c>
      <c r="W406" s="16">
        <f>U406*Assumptions!$B$4</f>
        <v/>
      </c>
      <c r="X406" s="11">
        <f>IF(M406=0,"",ROUND(W406/M406*100,1))</f>
        <v/>
      </c>
      <c r="Y406" t="inlineStr">
        <is>
          <t>GRUPO CATTAN</t>
        </is>
      </c>
      <c r="Z406" t="inlineStr">
        <is>
          <t>0002484-82.2022.8.17.2001</t>
        </is>
      </c>
      <c r="AA406" t="inlineStr">
        <is>
          <t>TJPE</t>
        </is>
      </c>
      <c r="AB406" t="inlineStr">
        <is>
          <t>lrflideres.com.br</t>
        </is>
      </c>
      <c r="AC406" t="inlineStr">
        <is>
          <t>ALBERTO HAKIM</t>
        </is>
      </c>
      <c r="AD406" t="inlineStr">
        <is>
          <t>Sócio-Administrador</t>
        </is>
      </c>
      <c r="AE406" t="inlineStr">
        <is>
          <t>(11) 2431-5000</t>
        </is>
      </c>
      <c r="AF406" t="inlineStr"/>
      <c r="AG406" t="inlineStr"/>
      <c r="AH406" t="inlineStr">
        <is>
          <t>SP</t>
        </is>
      </c>
      <c r="AI406" t="inlineStr">
        <is>
          <t>GUARULHOS</t>
        </is>
      </c>
      <c r="AJ406" t="inlineStr">
        <is>
          <t>Fabricação de tecidos de malha</t>
        </is>
      </c>
      <c r="AK406" t="inlineStr">
        <is>
          <t>DEMAIS</t>
        </is>
      </c>
      <c r="AL406" t="inlineStr">
        <is>
          <t>ATIVA</t>
        </is>
      </c>
      <c r="AM406" s="17" t="inlineStr">
        <is>
          <t>https://lrflideres.com.br/wp-content/plugins/download-attachments/includes/download.php?id=4023</t>
        </is>
      </c>
      <c r="AN406" s="18" t="inlineStr">
        <is>
          <t>p4 r59; p7 r83; p9 r61</t>
        </is>
      </c>
      <c r="AO406" s="18" t="inlineStr">
        <is>
          <t>p4: R$ 96.102,78; p7: R$ 208.821,37; p9: R$ 23.955,75</t>
        </is>
      </c>
      <c r="AP406" s="18" t="inlineStr">
        <is>
          <t>DEBTOR_LIST</t>
        </is>
      </c>
      <c r="AQ406" s="18" t="inlineStr"/>
      <c r="AR406" s="18" t="inlineStr">
        <is>
          <t>QUARANTINED</t>
        </is>
      </c>
      <c r="AS406" s="18" t="inlineStr">
        <is>
          <t>PARTIAL_DOC_CLASS_III_RECONCILED ROWS:p4r59,p7r83,p9r61</t>
        </is>
      </c>
      <c r="AT406" s="18" t="inlineStr">
        <is>
          <t>f3b6182e3aa2</t>
        </is>
      </c>
    </row>
    <row r="407">
      <c r="A407" s="9" t="n">
        <v>406</v>
      </c>
      <c r="B407" s="9" t="inlineStr">
        <is>
          <t>NEW</t>
        </is>
      </c>
      <c r="C407" s="9" t="inlineStr"/>
      <c r="D407" s="9" t="n">
        <v>0</v>
      </c>
      <c r="E407" s="9" t="inlineStr"/>
      <c r="F407" s="9" t="inlineStr"/>
      <c r="G407" s="9" t="inlineStr"/>
      <c r="H407" s="9" t="inlineStr"/>
      <c r="I407" t="inlineStr">
        <is>
          <t>URTIGAO COMERCIO REPRESENTACOES E TRANSPORTES LTDA</t>
        </is>
      </c>
      <c r="J407" t="inlineStr">
        <is>
          <t>AO JUIZ IMPUGNAÇÃO CONTRA A RELAÇÃO DE CREDORES A SEGUIR. AGRÍCOLA URTIGÃO COMÉRCIO REPRESENTAÇÕES E TRANSPORTES SALIENTA QUE OS DOCUMENTOS QUE DERAM ENSEJO AO PRESENTE LTDA (</t>
        </is>
      </c>
      <c r="K407" t="inlineStr">
        <is>
          <t>04647810</t>
        </is>
      </c>
      <c r="L407" t="inlineStr">
        <is>
          <t>04647810000195</t>
        </is>
      </c>
      <c r="M407" s="10" t="n">
        <v>328800</v>
      </c>
      <c r="N407" t="n">
        <v>1</v>
      </c>
      <c r="O407" s="11" t="inlineStr">
        <is>
          <t>B</t>
        </is>
      </c>
      <c r="P407" s="11" t="inlineStr">
        <is>
          <t>ACTIVE</t>
        </is>
      </c>
      <c r="Q407" s="12" t="n">
        <v>45594</v>
      </c>
      <c r="R407" s="11">
        <f>IF(Q407="","",ROUND((TODAY()-Q407)/365.25,1))</f>
        <v/>
      </c>
      <c r="S407" s="13">
        <f>IFERROR(VLOOKUP(O407,Assumptions!$A$7:$F$11,2,FALSE),0.25)</f>
        <v/>
      </c>
      <c r="T407" s="14">
        <f>IF(O407="A",MAX(1,IFERROR(VLOOKUP(O407,Assumptions!$A$7:$F$11,3,FALSE),3)+IFERROR(VLOOKUP(O407,Assumptions!$A$7:$F$11,4,FALSE),8)/2-MAX(0,IF(R407="",0,R407)-IFERROR(VLOOKUP(O407,Assumptions!$A$7:$F$11,5,FALSE),1.5))),IFERROR(VLOOKUP(O407,Assumptions!$A$7:$F$11,5,FALSE),2.5)+IFERROR(VLOOKUP(O407,Assumptions!$A$7:$F$11,3,FALSE),3)+IFERROR(VLOOKUP(O407,Assumptions!$A$7:$F$11,4,FALSE),8)/2)</f>
        <v/>
      </c>
      <c r="U407" s="15">
        <f>M407*S407/(1+Assumptions!$B$3)^T407</f>
        <v/>
      </c>
      <c r="V407" s="11">
        <f>IF(M407=0,"",ROUND(U407/M407*100,1))</f>
        <v/>
      </c>
      <c r="W407" s="16">
        <f>U407*Assumptions!$B$4</f>
        <v/>
      </c>
      <c r="X407" s="11">
        <f>IF(M407=0,"",ROUND(W407/M407*100,1))</f>
        <v/>
      </c>
      <c r="Y407" t="inlineStr">
        <is>
          <t>ENIVALDO BARELLA TIRONI, MATEUS MANHANI BARELLA, LEILA REGINA MANHANI BARELLA, B&amp;F AGRO COMÉRCIO DE GRÃOS E INSUMOS AGRÍCOLAS LTDA, BARELLA &amp; FILHOS LTDA E M M LOCAÇÃO EIRELI</t>
        </is>
      </c>
      <c r="Z407" t="inlineStr">
        <is>
          <t>0028131-73.2024.8.16.0017</t>
        </is>
      </c>
      <c r="AA407" t="inlineStr">
        <is>
          <t>TJPR</t>
        </is>
      </c>
      <c r="AB407" t="inlineStr">
        <is>
          <t>scalzilliaj.com.br</t>
        </is>
      </c>
      <c r="AC407" t="inlineStr">
        <is>
          <t>ADEMAR ANTONIO FRANCISCONI</t>
        </is>
      </c>
      <c r="AD407" t="inlineStr">
        <is>
          <t>Sócio-Administrador</t>
        </is>
      </c>
      <c r="AE407" t="inlineStr">
        <is>
          <t>(67) 3423-0045</t>
        </is>
      </c>
      <c r="AF407" t="inlineStr"/>
      <c r="AG407" t="inlineStr"/>
      <c r="AH407" t="inlineStr">
        <is>
          <t>MS</t>
        </is>
      </c>
      <c r="AI407" t="inlineStr">
        <is>
          <t>CAARAPO</t>
        </is>
      </c>
      <c r="AJ407" t="inlineStr">
        <is>
          <t>Representantes comerciais e agentes do comércio de matérias-primas agrícolas e animais vivos</t>
        </is>
      </c>
      <c r="AK407" t="inlineStr">
        <is>
          <t>DEMAIS</t>
        </is>
      </c>
      <c r="AL407" t="inlineStr">
        <is>
          <t>ATIVA</t>
        </is>
      </c>
      <c r="AM407" s="17" t="inlineStr">
        <is>
          <t>https://scalzilliaj.com.br/sgc/download.php?file=files/processo_documento/processo_documento15542620022025_1_.pdf&amp;nome=11 - Relação de credores - art. 7º, §2º, da LREF</t>
        </is>
      </c>
      <c r="AN407" s="18" t="inlineStr">
        <is>
          <t>p1 r14</t>
        </is>
      </c>
      <c r="AO407" s="18" t="inlineStr">
        <is>
          <t>p1: R$ 328.800,00</t>
        </is>
      </c>
      <c r="AP407" s="18" t="inlineStr">
        <is>
          <t>AJ_LIST</t>
        </is>
      </c>
      <c r="AQ407" s="18" t="inlineStr">
        <is>
          <t>2025-02-19</t>
        </is>
      </c>
      <c r="AR407" s="18" t="inlineStr">
        <is>
          <t>OK_NO_TOTALS</t>
        </is>
      </c>
      <c r="AS407" s="18" t="inlineStr">
        <is>
          <t>ROWS:p1r14 UNRECONCILED_SOURCE</t>
        </is>
      </c>
      <c r="AT407" s="18" t="inlineStr">
        <is>
          <t>70eb7014739f</t>
        </is>
      </c>
    </row>
    <row r="408">
      <c r="A408" s="9" t="n">
        <v>407</v>
      </c>
      <c r="B408" s="9" t="inlineStr">
        <is>
          <t>NEW</t>
        </is>
      </c>
      <c r="C408" s="9" t="inlineStr"/>
      <c r="D408" s="9" t="n">
        <v>0</v>
      </c>
      <c r="E408" s="9" t="inlineStr"/>
      <c r="F408" s="9" t="inlineStr"/>
      <c r="G408" s="9" t="inlineStr"/>
      <c r="H408" s="9" t="inlineStr"/>
      <c r="I408" t="inlineStr">
        <is>
          <t>WHITE MARTINS GASES INDUSTRIAIS LTDA</t>
        </is>
      </c>
      <c r="J408" t="inlineStr">
        <is>
          <t>WHITE MARTINS GASES INDUSTRIAIS LTDA</t>
        </is>
      </c>
      <c r="K408" t="inlineStr">
        <is>
          <t>35820448</t>
        </is>
      </c>
      <c r="L408" t="inlineStr">
        <is>
          <t>35820448001965</t>
        </is>
      </c>
      <c r="M408" s="10" t="n">
        <v>328667.29</v>
      </c>
      <c r="N408" t="n">
        <v>1</v>
      </c>
      <c r="O408" s="11" t="inlineStr">
        <is>
          <t>C</t>
        </is>
      </c>
      <c r="P408" s="11" t="inlineStr"/>
      <c r="Q408" s="12" t="inlineStr"/>
      <c r="R408" s="11">
        <f>IF(Q408="","",ROUND((TODAY()-Q408)/365.25,1))</f>
        <v/>
      </c>
      <c r="S408" s="13">
        <f>IFERROR(VLOOKUP(O408,Assumptions!$A$7:$F$11,2,FALSE),0.25)</f>
        <v/>
      </c>
      <c r="T408" s="14">
        <f>IF(O408="A",MAX(1,IFERROR(VLOOKUP(O408,Assumptions!$A$7:$F$11,3,FALSE),3)+IFERROR(VLOOKUP(O408,Assumptions!$A$7:$F$11,4,FALSE),8)/2-MAX(0,IF(R408="",0,R408)-IFERROR(VLOOKUP(O408,Assumptions!$A$7:$F$11,5,FALSE),1.5))),IFERROR(VLOOKUP(O408,Assumptions!$A$7:$F$11,5,FALSE),2.5)+IFERROR(VLOOKUP(O408,Assumptions!$A$7:$F$11,3,FALSE),3)+IFERROR(VLOOKUP(O408,Assumptions!$A$7:$F$11,4,FALSE),8)/2)</f>
        <v/>
      </c>
      <c r="U408" s="15">
        <f>M408*S408/(1+Assumptions!$B$3)^T408</f>
        <v/>
      </c>
      <c r="V408" s="11">
        <f>IF(M408=0,"",ROUND(U408/M408*100,1))</f>
        <v/>
      </c>
      <c r="W408" s="16">
        <f>U408*Assumptions!$B$4</f>
        <v/>
      </c>
      <c r="X408" s="11">
        <f>IF(M408=0,"",ROUND(W408/M408*100,1))</f>
        <v/>
      </c>
      <c r="Y408" t="inlineStr">
        <is>
          <t>HOSPITAL SANTA MÔNICA LTDA</t>
        </is>
      </c>
      <c r="Z408" t="inlineStr">
        <is>
          <t>0041309-42.2014.8.08.0024</t>
        </is>
      </c>
      <c r="AA408" t="inlineStr"/>
      <c r="AB408" t="inlineStr">
        <is>
          <t>ricardobiancardi.com.br</t>
        </is>
      </c>
      <c r="AC408" t="inlineStr">
        <is>
          <t>CARLOS FERREIRA DE MARCO</t>
        </is>
      </c>
      <c r="AD408" t="inlineStr">
        <is>
          <t>Administrador</t>
        </is>
      </c>
      <c r="AE408" t="inlineStr">
        <is>
          <t>(21) 3279-9000</t>
        </is>
      </c>
      <c r="AF408" t="inlineStr"/>
      <c r="AG408" t="inlineStr"/>
      <c r="AH408" t="inlineStr">
        <is>
          <t>RJ</t>
        </is>
      </c>
      <c r="AI408" t="inlineStr">
        <is>
          <t>RIO DE JANEIRO</t>
        </is>
      </c>
      <c r="AJ408" t="inlineStr">
        <is>
          <t>Atividades de consultoria em gestão empresarial, exceto consultoria técnica específica</t>
        </is>
      </c>
      <c r="AK408" t="inlineStr">
        <is>
          <t>DEMAIS</t>
        </is>
      </c>
      <c r="AL408" t="inlineStr">
        <is>
          <t>ATIVA</t>
        </is>
      </c>
      <c r="AM408" s="17" t="inlineStr">
        <is>
          <t>https://ricardobiancardi.com.br/wp-content/uploads/2024/12/Edital-1-relacao-de-credores-pub.-02.12.24-.pdf</t>
        </is>
      </c>
      <c r="AN408" s="18" t="inlineStr">
        <is>
          <t>p5 r24</t>
        </is>
      </c>
      <c r="AO408" s="18" t="inlineStr">
        <is>
          <t>p5: R$ 328.667,29</t>
        </is>
      </c>
      <c r="AP408" s="18" t="inlineStr">
        <is>
          <t>DEBTOR_LIST</t>
        </is>
      </c>
      <c r="AQ408" s="18" t="inlineStr">
        <is>
          <t>2024-12-02</t>
        </is>
      </c>
      <c r="AR408" s="18" t="inlineStr">
        <is>
          <t>OK_NO_TOTALS</t>
        </is>
      </c>
      <c r="AS408" s="18" t="inlineStr">
        <is>
          <t>ROWS:p5r24 UNRECONCILED_SOURCE</t>
        </is>
      </c>
      <c r="AT408" s="18" t="inlineStr">
        <is>
          <t>bf96785f7a4e</t>
        </is>
      </c>
    </row>
    <row r="409">
      <c r="A409" s="9" t="n">
        <v>408</v>
      </c>
      <c r="B409" s="9" t="inlineStr">
        <is>
          <t>NEW</t>
        </is>
      </c>
      <c r="C409" s="9" t="inlineStr"/>
      <c r="D409" s="9" t="n">
        <v>0</v>
      </c>
      <c r="E409" s="9" t="inlineStr"/>
      <c r="F409" s="9" t="inlineStr"/>
      <c r="G409" s="9" t="inlineStr"/>
      <c r="H409" s="9" t="inlineStr"/>
      <c r="I409" t="inlineStr">
        <is>
          <t>INDUSTRIA E COMERCIO DE CARNES E DERIVADOS BOI BRASIL LTDA - EM RECUPERACAO JUDICIAL</t>
        </is>
      </c>
      <c r="J409" t="inlineStr">
        <is>
          <t>Frigorifico Boi Brasil</t>
        </is>
      </c>
      <c r="K409" t="inlineStr">
        <is>
          <t>04603630</t>
        </is>
      </c>
      <c r="L409" t="inlineStr">
        <is>
          <t>04603630000373</t>
        </is>
      </c>
      <c r="M409" s="10" t="n">
        <v>327994.4</v>
      </c>
      <c r="N409" t="n">
        <v>1</v>
      </c>
      <c r="O409" s="11" t="inlineStr">
        <is>
          <t>B</t>
        </is>
      </c>
      <c r="P409" s="11" t="inlineStr">
        <is>
          <t>ACTIVE</t>
        </is>
      </c>
      <c r="Q409" s="12" t="n">
        <v>46130</v>
      </c>
      <c r="R409" s="11">
        <f>IF(Q409="","",ROUND((TODAY()-Q409)/365.25,1))</f>
        <v/>
      </c>
      <c r="S409" s="13">
        <f>IFERROR(VLOOKUP(O409,Assumptions!$A$7:$F$11,2,FALSE),0.25)</f>
        <v/>
      </c>
      <c r="T409" s="14">
        <f>IF(O409="A",MAX(1,IFERROR(VLOOKUP(O409,Assumptions!$A$7:$F$11,3,FALSE),3)+IFERROR(VLOOKUP(O409,Assumptions!$A$7:$F$11,4,FALSE),8)/2-MAX(0,IF(R409="",0,R409)-IFERROR(VLOOKUP(O409,Assumptions!$A$7:$F$11,5,FALSE),1.5))),IFERROR(VLOOKUP(O409,Assumptions!$A$7:$F$11,5,FALSE),2.5)+IFERROR(VLOOKUP(O409,Assumptions!$A$7:$F$11,3,FALSE),3)+IFERROR(VLOOKUP(O409,Assumptions!$A$7:$F$11,4,FALSE),8)/2)</f>
        <v/>
      </c>
      <c r="U409" s="15">
        <f>M409*S409/(1+Assumptions!$B$3)^T409</f>
        <v/>
      </c>
      <c r="V409" s="11">
        <f>IF(M409=0,"",ROUND(U409/M409*100,1))</f>
        <v/>
      </c>
      <c r="W409" s="16">
        <f>U409*Assumptions!$B$4</f>
        <v/>
      </c>
      <c r="X409" s="11">
        <f>IF(M409=0,"",ROUND(W409/M409*100,1))</f>
        <v/>
      </c>
      <c r="Y409" t="inlineStr">
        <is>
          <t>GRUPO 3E</t>
        </is>
      </c>
      <c r="Z409" t="inlineStr">
        <is>
          <t>5341375-33.2026.8.09.0049</t>
        </is>
      </c>
      <c r="AA409" t="inlineStr">
        <is>
          <t>TJGO</t>
        </is>
      </c>
      <c r="AB409" t="inlineStr">
        <is>
          <t>stenius.com.br</t>
        </is>
      </c>
      <c r="AC409" t="inlineStr">
        <is>
          <t>GERALDO HELENO DE FARIA</t>
        </is>
      </c>
      <c r="AD409" t="inlineStr">
        <is>
          <t>Sócio-Administrador</t>
        </is>
      </c>
      <c r="AE409" t="inlineStr">
        <is>
          <t>(27) 3300-9000</t>
        </is>
      </c>
      <c r="AF409" t="inlineStr"/>
      <c r="AG409" t="inlineStr"/>
      <c r="AH409" t="inlineStr">
        <is>
          <t>GO</t>
        </is>
      </c>
      <c r="AI409" t="inlineStr">
        <is>
          <t>APARECIDA DE GOIANIA</t>
        </is>
      </c>
      <c r="AJ409" t="inlineStr">
        <is>
          <t>Frigorífico - abate de bovinos</t>
        </is>
      </c>
      <c r="AK409" t="inlineStr">
        <is>
          <t>DEMAIS</t>
        </is>
      </c>
      <c r="AL409" t="inlineStr">
        <is>
          <t>ATIVA</t>
        </is>
      </c>
      <c r="AM409" s="17" t="inlineStr">
        <is>
          <t>https://stenius.com.br/wp-content/uploads/2026/06/EDITAL-GRUPO-3E.pdf</t>
        </is>
      </c>
      <c r="AN409" s="18" t="inlineStr">
        <is>
          <t>p13 r55</t>
        </is>
      </c>
      <c r="AO409" s="18" t="inlineStr">
        <is>
          <t>p13: R$ 327.994,40</t>
        </is>
      </c>
      <c r="AP409" s="18" t="inlineStr">
        <is>
          <t>DEBTOR_LIST</t>
        </is>
      </c>
      <c r="AQ409" s="18" t="inlineStr">
        <is>
          <t>2026-06-22</t>
        </is>
      </c>
      <c r="AR409" s="18" t="inlineStr">
        <is>
          <t>OK_NO_TOTALS</t>
        </is>
      </c>
      <c r="AS409" s="18" t="inlineStr">
        <is>
          <t>ROWS:p13r55 UNRECONCILED_SOURCE</t>
        </is>
      </c>
      <c r="AT409" s="18" t="inlineStr">
        <is>
          <t>8e8832093a15</t>
        </is>
      </c>
    </row>
    <row r="410">
      <c r="A410" s="9" t="n">
        <v>409</v>
      </c>
      <c r="B410" s="9" t="inlineStr">
        <is>
          <t>NEW</t>
        </is>
      </c>
      <c r="C410" s="9" t="inlineStr"/>
      <c r="D410" s="9" t="n">
        <v>0</v>
      </c>
      <c r="E410" s="9" t="inlineStr"/>
      <c r="F410" s="9" t="inlineStr"/>
      <c r="G410" s="9" t="inlineStr"/>
      <c r="H410" s="9" t="inlineStr"/>
      <c r="I410" t="inlineStr">
        <is>
          <t>USECAR LOCADORA DE VEICULOS S/A</t>
        </is>
      </c>
      <c r="J410" t="inlineStr">
        <is>
          <t>Braserv Rent a Car Ltda</t>
        </is>
      </c>
      <c r="K410" t="inlineStr">
        <is>
          <t>02274615</t>
        </is>
      </c>
      <c r="L410" t="inlineStr">
        <is>
          <t>02274615000131</t>
        </is>
      </c>
      <c r="M410" s="10" t="n">
        <v>326730.53</v>
      </c>
      <c r="N410" t="n">
        <v>1</v>
      </c>
      <c r="O410" s="11" t="inlineStr">
        <is>
          <t>B</t>
        </is>
      </c>
      <c r="P410" s="11" t="inlineStr"/>
      <c r="Q410" s="12" t="n">
        <v>45756</v>
      </c>
      <c r="R410" s="11">
        <f>IF(Q410="","",ROUND((TODAY()-Q410)/365.25,1))</f>
        <v/>
      </c>
      <c r="S410" s="13">
        <f>IFERROR(VLOOKUP(O410,Assumptions!$A$7:$F$11,2,FALSE),0.25)</f>
        <v/>
      </c>
      <c r="T410" s="14">
        <f>IF(O410="A",MAX(1,IFERROR(VLOOKUP(O410,Assumptions!$A$7:$F$11,3,FALSE),3)+IFERROR(VLOOKUP(O410,Assumptions!$A$7:$F$11,4,FALSE),8)/2-MAX(0,IF(R410="",0,R410)-IFERROR(VLOOKUP(O410,Assumptions!$A$7:$F$11,5,FALSE),1.5))),IFERROR(VLOOKUP(O410,Assumptions!$A$7:$F$11,5,FALSE),2.5)+IFERROR(VLOOKUP(O410,Assumptions!$A$7:$F$11,3,FALSE),3)+IFERROR(VLOOKUP(O410,Assumptions!$A$7:$F$11,4,FALSE),8)/2)</f>
        <v/>
      </c>
      <c r="U410" s="15">
        <f>M410*S410/(1+Assumptions!$B$3)^T410</f>
        <v/>
      </c>
      <c r="V410" s="11">
        <f>IF(M410=0,"",ROUND(U410/M410*100,1))</f>
        <v/>
      </c>
      <c r="W410" s="16">
        <f>U410*Assumptions!$B$4</f>
        <v/>
      </c>
      <c r="X410" s="11">
        <f>IF(M410=0,"",ROUND(W410/M410*100,1))</f>
        <v/>
      </c>
      <c r="Y410" t="inlineStr">
        <is>
          <t>GRUPO EGESA (EGESA ENG S.A, EGESUR PART E EMP S.A, MATRIX INFRA LTDA, BEMVIVER ENG AMBIENTAL E SERV LTDA, DKF CONST E EMP LTDA, EGEPEL LTDA, ETR ASSESSORIA EMP E PART LTDA, MVT ENG E SERV LTDA, PARQUES DO VALE LTDA, ELMO RIBEIRO E ANA RIBEIRO)</t>
        </is>
      </c>
      <c r="Z410" t="inlineStr">
        <is>
          <t>5088952-81.2025.8.13.0024</t>
        </is>
      </c>
      <c r="AA410" t="inlineStr">
        <is>
          <t>TJMG</t>
        </is>
      </c>
      <c r="AB410" t="inlineStr">
        <is>
          <t>scalzilliaj.com.br</t>
        </is>
      </c>
      <c r="AC410" t="inlineStr">
        <is>
          <t>LUIZ FLAVIO PENTAGNA GUIMARAES</t>
        </is>
      </c>
      <c r="AD410" t="inlineStr">
        <is>
          <t>Presidente</t>
        </is>
      </c>
      <c r="AE410" t="inlineStr">
        <is>
          <t>(31) 4001-1408</t>
        </is>
      </c>
      <c r="AF410" t="inlineStr"/>
      <c r="AG410" t="inlineStr"/>
      <c r="AH410" t="inlineStr">
        <is>
          <t>MG</t>
        </is>
      </c>
      <c r="AI410" t="inlineStr">
        <is>
          <t>BELO HORIZONTE</t>
        </is>
      </c>
      <c r="AJ410" t="inlineStr">
        <is>
          <t>Locação de automóveis sem condutor</t>
        </is>
      </c>
      <c r="AK410" t="inlineStr">
        <is>
          <t>DEMAIS</t>
        </is>
      </c>
      <c r="AL410" t="inlineStr">
        <is>
          <t>ATIVA</t>
        </is>
      </c>
      <c r="AM410" s="17" t="inlineStr">
        <is>
          <t>https://scalzilliaj.com.br/sgc/download.php?file=files/processo_documento/processo_documento09514021082025_1_.pdf&amp;nome=04 - Relação de credores das Recuperandas</t>
        </is>
      </c>
      <c r="AN410" s="18" t="inlineStr">
        <is>
          <t>p63 r13</t>
        </is>
      </c>
      <c r="AO410" s="18" t="inlineStr">
        <is>
          <t>p63: R$ 326.730,53</t>
        </is>
      </c>
      <c r="AP410" s="18" t="inlineStr">
        <is>
          <t>DEBTOR_LIST</t>
        </is>
      </c>
      <c r="AQ410" s="18" t="inlineStr"/>
      <c r="AR410" s="18" t="inlineStr">
        <is>
          <t>OK</t>
        </is>
      </c>
      <c r="AS410" s="18" t="inlineStr">
        <is>
          <t>ROWS:p63r13 VALUE_COL:Valor_Atualizado CASE_NUMBER_CORRECTED CASE_FROM_PORTAL</t>
        </is>
      </c>
      <c r="AT410" s="18" t="inlineStr">
        <is>
          <t>24ed98480a57</t>
        </is>
      </c>
    </row>
    <row r="411">
      <c r="A411" s="9" t="n">
        <v>410</v>
      </c>
      <c r="B411" s="9" t="inlineStr">
        <is>
          <t>NEW</t>
        </is>
      </c>
      <c r="C411" s="9" t="inlineStr"/>
      <c r="D411" s="9" t="n">
        <v>0</v>
      </c>
      <c r="E411" s="9" t="inlineStr"/>
      <c r="F411" s="9" t="inlineStr"/>
      <c r="G411" s="9" t="inlineStr"/>
      <c r="H411" s="9" t="inlineStr"/>
      <c r="I411" t="inlineStr">
        <is>
          <t>RANCHEIRO S.A.</t>
        </is>
      </c>
      <c r="J411" t="inlineStr">
        <is>
          <t>Cafe Rancheiro</t>
        </is>
      </c>
      <c r="K411" t="inlineStr">
        <is>
          <t>02924249</t>
        </is>
      </c>
      <c r="L411" t="inlineStr">
        <is>
          <t>02924249000119</t>
        </is>
      </c>
      <c r="M411" s="10" t="n">
        <v>326527.45</v>
      </c>
      <c r="N411" t="n">
        <v>1</v>
      </c>
      <c r="O411" s="11" t="inlineStr">
        <is>
          <t>B</t>
        </is>
      </c>
      <c r="P411" s="11" t="inlineStr">
        <is>
          <t>ACTIVE</t>
        </is>
      </c>
      <c r="Q411" s="12" t="n">
        <v>46130</v>
      </c>
      <c r="R411" s="11">
        <f>IF(Q411="","",ROUND((TODAY()-Q411)/365.25,1))</f>
        <v/>
      </c>
      <c r="S411" s="13">
        <f>IFERROR(VLOOKUP(O411,Assumptions!$A$7:$F$11,2,FALSE),0.25)</f>
        <v/>
      </c>
      <c r="T411" s="14">
        <f>IF(O411="A",MAX(1,IFERROR(VLOOKUP(O411,Assumptions!$A$7:$F$11,3,FALSE),3)+IFERROR(VLOOKUP(O411,Assumptions!$A$7:$F$11,4,FALSE),8)/2-MAX(0,IF(R411="",0,R411)-IFERROR(VLOOKUP(O411,Assumptions!$A$7:$F$11,5,FALSE),1.5))),IFERROR(VLOOKUP(O411,Assumptions!$A$7:$F$11,5,FALSE),2.5)+IFERROR(VLOOKUP(O411,Assumptions!$A$7:$F$11,3,FALSE),3)+IFERROR(VLOOKUP(O411,Assumptions!$A$7:$F$11,4,FALSE),8)/2)</f>
        <v/>
      </c>
      <c r="U411" s="15">
        <f>M411*S411/(1+Assumptions!$B$3)^T411</f>
        <v/>
      </c>
      <c r="V411" s="11">
        <f>IF(M411=0,"",ROUND(U411/M411*100,1))</f>
        <v/>
      </c>
      <c r="W411" s="16">
        <f>U411*Assumptions!$B$4</f>
        <v/>
      </c>
      <c r="X411" s="11">
        <f>IF(M411=0,"",ROUND(W411/M411*100,1))</f>
        <v/>
      </c>
      <c r="Y411" t="inlineStr">
        <is>
          <t>GRUPO 3E</t>
        </is>
      </c>
      <c r="Z411" t="inlineStr">
        <is>
          <t>5341375-33.2026.8.09.0049</t>
        </is>
      </c>
      <c r="AA411" t="inlineStr">
        <is>
          <t>TJGO</t>
        </is>
      </c>
      <c r="AB411" t="inlineStr">
        <is>
          <t>stenius.com.br</t>
        </is>
      </c>
      <c r="AC411" t="inlineStr">
        <is>
          <t>RICARDO ANDER DE OLIVEIRA</t>
        </is>
      </c>
      <c r="AD411" t="inlineStr">
        <is>
          <t>Presidente</t>
        </is>
      </c>
      <c r="AE411" t="inlineStr">
        <is>
          <t>(62) 4015-8955</t>
        </is>
      </c>
      <c r="AF411" t="inlineStr"/>
      <c r="AG411" t="inlineStr"/>
      <c r="AH411" t="inlineStr">
        <is>
          <t>GO</t>
        </is>
      </c>
      <c r="AI411" t="inlineStr">
        <is>
          <t>ANAPOLIS</t>
        </is>
      </c>
      <c r="AJ411" t="inlineStr">
        <is>
          <t>Fabricação de biscoitos e bolachas</t>
        </is>
      </c>
      <c r="AK411" t="inlineStr">
        <is>
          <t>DEMAIS</t>
        </is>
      </c>
      <c r="AL411" t="inlineStr">
        <is>
          <t>ATIVA</t>
        </is>
      </c>
      <c r="AM411" s="17" t="inlineStr">
        <is>
          <t>https://stenius.com.br/wp-content/uploads/2026/06/EDITAL-GRUPO-3E.pdf</t>
        </is>
      </c>
      <c r="AN411" s="18" t="inlineStr">
        <is>
          <t>p11 r23</t>
        </is>
      </c>
      <c r="AO411" s="18" t="inlineStr">
        <is>
          <t>p11: R$ 326.527,45</t>
        </is>
      </c>
      <c r="AP411" s="18" t="inlineStr">
        <is>
          <t>DEBTOR_LIST</t>
        </is>
      </c>
      <c r="AQ411" s="18" t="inlineStr">
        <is>
          <t>2026-06-22</t>
        </is>
      </c>
      <c r="AR411" s="18" t="inlineStr">
        <is>
          <t>OK_NO_TOTALS</t>
        </is>
      </c>
      <c r="AS411" s="18" t="inlineStr">
        <is>
          <t>ROWS:p11r23 UNRECONCILED_SOURCE</t>
        </is>
      </c>
      <c r="AT411" s="18" t="inlineStr">
        <is>
          <t>8e8832093a15</t>
        </is>
      </c>
    </row>
    <row r="412">
      <c r="A412" s="9" t="n">
        <v>411</v>
      </c>
      <c r="B412" s="9" t="inlineStr">
        <is>
          <t>NEW</t>
        </is>
      </c>
      <c r="C412" s="9" t="inlineStr"/>
      <c r="D412" s="9" t="n">
        <v>0</v>
      </c>
      <c r="E412" s="9" t="inlineStr"/>
      <c r="F412" s="9" t="inlineStr"/>
      <c r="G412" s="9" t="inlineStr"/>
      <c r="H412" s="9" t="inlineStr"/>
      <c r="I412" t="inlineStr">
        <is>
          <t>GSI CREOS BRASIL LTDA</t>
        </is>
      </c>
      <c r="J412" t="inlineStr">
        <is>
          <t>GSI CREOS BRASIL LTDA-REF COMPRA MAQUINA HEMODIALISE</t>
        </is>
      </c>
      <c r="K412" t="inlineStr">
        <is>
          <t>43718469</t>
        </is>
      </c>
      <c r="L412" t="inlineStr">
        <is>
          <t>43718469000335</t>
        </is>
      </c>
      <c r="M412" s="10" t="n">
        <v>325850.6</v>
      </c>
      <c r="N412" t="n">
        <v>1</v>
      </c>
      <c r="O412" s="11" t="inlineStr">
        <is>
          <t>C</t>
        </is>
      </c>
      <c r="P412" s="11" t="inlineStr"/>
      <c r="Q412" s="12" t="inlineStr"/>
      <c r="R412" s="11">
        <f>IF(Q412="","",ROUND((TODAY()-Q412)/365.25,1))</f>
        <v/>
      </c>
      <c r="S412" s="13">
        <f>IFERROR(VLOOKUP(O412,Assumptions!$A$7:$F$11,2,FALSE),0.25)</f>
        <v/>
      </c>
      <c r="T412" s="14">
        <f>IF(O412="A",MAX(1,IFERROR(VLOOKUP(O412,Assumptions!$A$7:$F$11,3,FALSE),3)+IFERROR(VLOOKUP(O412,Assumptions!$A$7:$F$11,4,FALSE),8)/2-MAX(0,IF(R412="",0,R412)-IFERROR(VLOOKUP(O412,Assumptions!$A$7:$F$11,5,FALSE),1.5))),IFERROR(VLOOKUP(O412,Assumptions!$A$7:$F$11,5,FALSE),2.5)+IFERROR(VLOOKUP(O412,Assumptions!$A$7:$F$11,3,FALSE),3)+IFERROR(VLOOKUP(O412,Assumptions!$A$7:$F$11,4,FALSE),8)/2)</f>
        <v/>
      </c>
      <c r="U412" s="15">
        <f>M412*S412/(1+Assumptions!$B$3)^T412</f>
        <v/>
      </c>
      <c r="V412" s="11">
        <f>IF(M412=0,"",ROUND(U412/M412*100,1))</f>
        <v/>
      </c>
      <c r="W412" s="16">
        <f>U412*Assumptions!$B$4</f>
        <v/>
      </c>
      <c r="X412" s="11">
        <f>IF(M412=0,"",ROUND(W412/M412*100,1))</f>
        <v/>
      </c>
      <c r="Y412" t="inlineStr">
        <is>
          <t>CENTRO DE TRATAMENTO RENAL ZONA SUL LTDA</t>
        </is>
      </c>
      <c r="Z412" t="inlineStr">
        <is>
          <t>0015488-29.2018.8.17.2810</t>
        </is>
      </c>
      <c r="AA412" t="inlineStr"/>
      <c r="AB412" t="inlineStr">
        <is>
          <t>recuperacaojudicial.squarespace.com</t>
        </is>
      </c>
      <c r="AC412" t="inlineStr">
        <is>
          <t>DANIELA BRODY YAMAUTI JULIAN</t>
        </is>
      </c>
      <c r="AD412" t="inlineStr">
        <is>
          <t>Administrador</t>
        </is>
      </c>
      <c r="AE412" t="inlineStr">
        <is>
          <t>(11) 3266-4133</t>
        </is>
      </c>
      <c r="AF412" t="inlineStr"/>
      <c r="AG412" t="inlineStr"/>
      <c r="AH412" t="inlineStr">
        <is>
          <t>SP</t>
        </is>
      </c>
      <c r="AI412" t="inlineStr">
        <is>
          <t>SAO PAULO</t>
        </is>
      </c>
      <c r="AJ412" t="inlineStr">
        <is>
          <t>Comércio atacadista de máquinas, aparelhos e equipamentos para uso agropecuário; partes e peças</t>
        </is>
      </c>
      <c r="AK412" t="inlineStr">
        <is>
          <t>DEMAIS</t>
        </is>
      </c>
      <c r="AL412" t="inlineStr">
        <is>
          <t>ATIVA</t>
        </is>
      </c>
      <c r="AM412" s="17" t="inlineStr">
        <is>
          <t>https://recuperacaojudicial.squarespace.com/s/4-RJCTREditalda2ListadeCredoresnovembro2019.pdf</t>
        </is>
      </c>
      <c r="AN412" s="18" t="inlineStr">
        <is>
          <t>p3 r24</t>
        </is>
      </c>
      <c r="AO412" s="18" t="inlineStr">
        <is>
          <t>p3: R$ 325.850,60</t>
        </is>
      </c>
      <c r="AP412" s="18" t="inlineStr">
        <is>
          <t>AJ_LIST</t>
        </is>
      </c>
      <c r="AQ412" s="18" t="inlineStr">
        <is>
          <t>2019-11-25</t>
        </is>
      </c>
      <c r="AR412" s="18" t="inlineStr">
        <is>
          <t>OK</t>
        </is>
      </c>
      <c r="AS412" s="18" t="inlineStr">
        <is>
          <t>ROWS:p3r24</t>
        </is>
      </c>
      <c r="AT412" s="18" t="inlineStr">
        <is>
          <t>05e15e3ab097</t>
        </is>
      </c>
    </row>
    <row r="413">
      <c r="A413" s="9" t="n">
        <v>412</v>
      </c>
      <c r="B413" s="9" t="inlineStr">
        <is>
          <t>NEW</t>
        </is>
      </c>
      <c r="C413" s="9" t="inlineStr"/>
      <c r="D413" s="9" t="n">
        <v>0</v>
      </c>
      <c r="E413" s="9" t="inlineStr"/>
      <c r="F413" s="9" t="inlineStr"/>
      <c r="G413" s="9" t="inlineStr"/>
      <c r="H413" s="9" t="inlineStr"/>
      <c r="I413" t="inlineStr">
        <is>
          <t>PRO-COLOR QUIMICA SUL LTDA</t>
        </is>
      </c>
      <c r="J413" t="inlineStr">
        <is>
          <t>PRO-COLOR QUIMICA SUL LTDA</t>
        </is>
      </c>
      <c r="K413" t="inlineStr">
        <is>
          <t>19966141</t>
        </is>
      </c>
      <c r="L413" t="inlineStr">
        <is>
          <t>19966141000191</t>
        </is>
      </c>
      <c r="M413" s="10" t="n">
        <v>325517.44</v>
      </c>
      <c r="N413" t="n">
        <v>1</v>
      </c>
      <c r="O413" s="11" t="inlineStr">
        <is>
          <t>C</t>
        </is>
      </c>
      <c r="P413" s="11" t="inlineStr">
        <is>
          <t>ACTIVE</t>
        </is>
      </c>
      <c r="Q413" s="12" t="n">
        <v>45154</v>
      </c>
      <c r="R413" s="11">
        <f>IF(Q413="","",ROUND((TODAY()-Q413)/365.25,1))</f>
        <v/>
      </c>
      <c r="S413" s="13">
        <f>IFERROR(VLOOKUP(O413,Assumptions!$A$7:$F$11,2,FALSE),0.25)</f>
        <v/>
      </c>
      <c r="T413" s="14">
        <f>IF(O413="A",MAX(1,IFERROR(VLOOKUP(O413,Assumptions!$A$7:$F$11,3,FALSE),3)+IFERROR(VLOOKUP(O413,Assumptions!$A$7:$F$11,4,FALSE),8)/2-MAX(0,IF(R413="",0,R413)-IFERROR(VLOOKUP(O413,Assumptions!$A$7:$F$11,5,FALSE),1.5))),IFERROR(VLOOKUP(O413,Assumptions!$A$7:$F$11,5,FALSE),2.5)+IFERROR(VLOOKUP(O413,Assumptions!$A$7:$F$11,3,FALSE),3)+IFERROR(VLOOKUP(O413,Assumptions!$A$7:$F$11,4,FALSE),8)/2)</f>
        <v/>
      </c>
      <c r="U413" s="15">
        <f>M413*S413/(1+Assumptions!$B$3)^T413</f>
        <v/>
      </c>
      <c r="V413" s="11">
        <f>IF(M413=0,"",ROUND(U413/M413*100,1))</f>
        <v/>
      </c>
      <c r="W413" s="16">
        <f>U413*Assumptions!$B$4</f>
        <v/>
      </c>
      <c r="X413" s="11">
        <f>IF(M413=0,"",ROUND(W413/M413*100,1))</f>
        <v/>
      </c>
      <c r="Y413" t="inlineStr">
        <is>
          <t>AZEPLAST INDÚSTRIA E COMÉRCIO LTDA</t>
        </is>
      </c>
      <c r="Z413" t="inlineStr">
        <is>
          <t>5008793-34.2023.8.24.0019</t>
        </is>
      </c>
      <c r="AA413" t="inlineStr">
        <is>
          <t>TJSC</t>
        </is>
      </c>
      <c r="AB413" t="inlineStr">
        <is>
          <t>ajruiz.com.br</t>
        </is>
      </c>
      <c r="AC413" t="inlineStr">
        <is>
          <t>ROBERTO CLAUSS</t>
        </is>
      </c>
      <c r="AD413" t="inlineStr">
        <is>
          <t>Sócio-Administrador</t>
        </is>
      </c>
      <c r="AE413" t="inlineStr">
        <is>
          <t>(47) 8814-9733</t>
        </is>
      </c>
      <c r="AF413" t="inlineStr"/>
      <c r="AG413" t="inlineStr"/>
      <c r="AH413" t="inlineStr">
        <is>
          <t>SC</t>
        </is>
      </c>
      <c r="AI413" t="inlineStr">
        <is>
          <t>JARAGUA DO SUL</t>
        </is>
      </c>
      <c r="AJ413" t="inlineStr">
        <is>
          <t>Comércio atacadista de resinas e elastômeros</t>
        </is>
      </c>
      <c r="AK413" t="inlineStr">
        <is>
          <t>DEMAIS</t>
        </is>
      </c>
      <c r="AL413" t="inlineStr">
        <is>
          <t>ATIVA</t>
        </is>
      </c>
      <c r="AM413" s="17" t="inlineStr">
        <is>
          <t>https://ajruiz.com.br/sites/default/files/public/arquivos-processos/2026-08/qgc_azeplast_julho_2026.pdf</t>
        </is>
      </c>
      <c r="AN413" s="18" t="inlineStr">
        <is>
          <t>p2 r7</t>
        </is>
      </c>
      <c r="AO413" s="18" t="inlineStr">
        <is>
          <t>p2: R$ 325.517,44</t>
        </is>
      </c>
      <c r="AP413" s="18" t="inlineStr">
        <is>
          <t>QGC</t>
        </is>
      </c>
      <c r="AQ413" s="18" t="inlineStr"/>
      <c r="AR413" s="18" t="inlineStr">
        <is>
          <t>QUARANTINED</t>
        </is>
      </c>
      <c r="AS413" s="18" t="inlineStr">
        <is>
          <t>PARTIAL_DOC_CLASS_III_RECONCILED ROWS:p2r7</t>
        </is>
      </c>
      <c r="AT413" s="18" t="inlineStr">
        <is>
          <t>229081edb0ea</t>
        </is>
      </c>
    </row>
    <row r="414">
      <c r="A414" s="9" t="n">
        <v>413</v>
      </c>
      <c r="B414" s="9" t="inlineStr">
        <is>
          <t>NEW</t>
        </is>
      </c>
      <c r="C414" s="9" t="inlineStr"/>
      <c r="D414" s="9" t="n">
        <v>0</v>
      </c>
      <c r="E414" s="9" t="inlineStr"/>
      <c r="F414" s="9" t="inlineStr"/>
      <c r="G414" s="9" t="inlineStr"/>
      <c r="H414" s="9" t="inlineStr"/>
      <c r="I414" t="inlineStr">
        <is>
          <t>TEXMAR CONFECCOES E MALHAS LTDA</t>
        </is>
      </c>
      <c r="J414" t="inlineStr">
        <is>
          <t>TEXMAR CONFECCOES E MALHAS LTDA</t>
        </is>
      </c>
      <c r="K414" t="inlineStr">
        <is>
          <t>43342153</t>
        </is>
      </c>
      <c r="L414" t="inlineStr">
        <is>
          <t>43342153000120</t>
        </is>
      </c>
      <c r="M414" s="10" t="n">
        <v>324707</v>
      </c>
      <c r="N414" t="n">
        <v>3</v>
      </c>
      <c r="O414" s="11" t="inlineStr">
        <is>
          <t>C</t>
        </is>
      </c>
      <c r="P414" s="11" t="inlineStr">
        <is>
          <t>ACTIVE</t>
        </is>
      </c>
      <c r="Q414" s="12" t="n">
        <v>44571</v>
      </c>
      <c r="R414" s="11">
        <f>IF(Q414="","",ROUND((TODAY()-Q414)/365.25,1))</f>
        <v/>
      </c>
      <c r="S414" s="13">
        <f>IFERROR(VLOOKUP(O414,Assumptions!$A$7:$F$11,2,FALSE),0.25)</f>
        <v/>
      </c>
      <c r="T414" s="14">
        <f>IF(O414="A",MAX(1,IFERROR(VLOOKUP(O414,Assumptions!$A$7:$F$11,3,FALSE),3)+IFERROR(VLOOKUP(O414,Assumptions!$A$7:$F$11,4,FALSE),8)/2-MAX(0,IF(R414="",0,R414)-IFERROR(VLOOKUP(O414,Assumptions!$A$7:$F$11,5,FALSE),1.5))),IFERROR(VLOOKUP(O414,Assumptions!$A$7:$F$11,5,FALSE),2.5)+IFERROR(VLOOKUP(O414,Assumptions!$A$7:$F$11,3,FALSE),3)+IFERROR(VLOOKUP(O414,Assumptions!$A$7:$F$11,4,FALSE),8)/2)</f>
        <v/>
      </c>
      <c r="U414" s="15">
        <f>M414*S414/(1+Assumptions!$B$3)^T414</f>
        <v/>
      </c>
      <c r="V414" s="11">
        <f>IF(M414=0,"",ROUND(U414/M414*100,1))</f>
        <v/>
      </c>
      <c r="W414" s="16">
        <f>U414*Assumptions!$B$4</f>
        <v/>
      </c>
      <c r="X414" s="11">
        <f>IF(M414=0,"",ROUND(W414/M414*100,1))</f>
        <v/>
      </c>
      <c r="Y414" t="inlineStr">
        <is>
          <t>GRUPO CATTAN</t>
        </is>
      </c>
      <c r="Z414" t="inlineStr">
        <is>
          <t>0002484-82.2022.8.17.2001</t>
        </is>
      </c>
      <c r="AA414" t="inlineStr">
        <is>
          <t>TJPE</t>
        </is>
      </c>
      <c r="AB414" t="inlineStr">
        <is>
          <t>lrflideres.com.br</t>
        </is>
      </c>
      <c r="AC414" t="inlineStr">
        <is>
          <t>MARCOS TADEU WADIH HIAR</t>
        </is>
      </c>
      <c r="AD414" t="inlineStr">
        <is>
          <t>Sócio-Administrador</t>
        </is>
      </c>
      <c r="AE414" t="inlineStr">
        <is>
          <t>(11) 2696-2020</t>
        </is>
      </c>
      <c r="AF414" t="inlineStr"/>
      <c r="AG414" t="inlineStr"/>
      <c r="AH414" t="inlineStr">
        <is>
          <t>SP</t>
        </is>
      </c>
      <c r="AI414" t="inlineStr">
        <is>
          <t>SAO PAULO</t>
        </is>
      </c>
      <c r="AJ414" t="inlineStr">
        <is>
          <t>Confecção de peças de vestuário, exceto roupas íntimas e as confeccionadas sob medida</t>
        </is>
      </c>
      <c r="AK414" t="inlineStr">
        <is>
          <t>DEMAIS</t>
        </is>
      </c>
      <c r="AL414" t="inlineStr">
        <is>
          <t>ATIVA</t>
        </is>
      </c>
      <c r="AM414" s="17" t="inlineStr">
        <is>
          <t>https://lrflideres.com.br/wp-content/plugins/download-attachments/includes/download.php?id=4023</t>
        </is>
      </c>
      <c r="AN414" s="18" t="inlineStr">
        <is>
          <t>p4 r93; p7 r124; p9 r90</t>
        </is>
      </c>
      <c r="AO414" s="18" t="inlineStr">
        <is>
          <t>p4: R$ 80.697,40; p7: R$ 194.032,20; p9: R$ 49.977,40</t>
        </is>
      </c>
      <c r="AP414" s="18" t="inlineStr">
        <is>
          <t>DEBTOR_LIST</t>
        </is>
      </c>
      <c r="AQ414" s="18" t="inlineStr"/>
      <c r="AR414" s="18" t="inlineStr">
        <is>
          <t>QUARANTINED</t>
        </is>
      </c>
      <c r="AS414" s="18" t="inlineStr">
        <is>
          <t>PARTIAL_DOC_CLASS_III_RECONCILED ROWS:p4r93,p7r124,p9r90</t>
        </is>
      </c>
      <c r="AT414" s="18" t="inlineStr">
        <is>
          <t>f3b6182e3aa2</t>
        </is>
      </c>
    </row>
    <row r="415">
      <c r="A415" s="9" t="n">
        <v>414</v>
      </c>
      <c r="B415" s="9" t="inlineStr">
        <is>
          <t>NEW</t>
        </is>
      </c>
      <c r="C415" s="9" t="inlineStr"/>
      <c r="D415" s="9" t="n">
        <v>0</v>
      </c>
      <c r="E415" s="9" t="inlineStr"/>
      <c r="F415" s="9" t="inlineStr"/>
      <c r="G415" s="9" t="inlineStr"/>
      <c r="H415" s="9" t="inlineStr"/>
      <c r="I415" t="inlineStr">
        <is>
          <t>RENTALBRAS LOCACAO DE BENS MOVEIS PARA CONSTRUCAO CIVIL LTDA</t>
        </is>
      </c>
      <c r="J415" t="inlineStr">
        <is>
          <t>Rentalbras Locação de Móveis para Construção Civil Ltda</t>
        </is>
      </c>
      <c r="K415" t="inlineStr">
        <is>
          <t>07153791</t>
        </is>
      </c>
      <c r="L415" t="inlineStr">
        <is>
          <t>07153791000139</t>
        </is>
      </c>
      <c r="M415" s="10" t="n">
        <v>324549.2</v>
      </c>
      <c r="N415" t="n">
        <v>1</v>
      </c>
      <c r="O415" s="11" t="inlineStr">
        <is>
          <t>B</t>
        </is>
      </c>
      <c r="P415" s="11" t="inlineStr"/>
      <c r="Q415" s="12" t="n">
        <v>45756</v>
      </c>
      <c r="R415" s="11">
        <f>IF(Q415="","",ROUND((TODAY()-Q415)/365.25,1))</f>
        <v/>
      </c>
      <c r="S415" s="13">
        <f>IFERROR(VLOOKUP(O415,Assumptions!$A$7:$F$11,2,FALSE),0.25)</f>
        <v/>
      </c>
      <c r="T415" s="14">
        <f>IF(O415="A",MAX(1,IFERROR(VLOOKUP(O415,Assumptions!$A$7:$F$11,3,FALSE),3)+IFERROR(VLOOKUP(O415,Assumptions!$A$7:$F$11,4,FALSE),8)/2-MAX(0,IF(R415="",0,R415)-IFERROR(VLOOKUP(O415,Assumptions!$A$7:$F$11,5,FALSE),1.5))),IFERROR(VLOOKUP(O415,Assumptions!$A$7:$F$11,5,FALSE),2.5)+IFERROR(VLOOKUP(O415,Assumptions!$A$7:$F$11,3,FALSE),3)+IFERROR(VLOOKUP(O415,Assumptions!$A$7:$F$11,4,FALSE),8)/2)</f>
        <v/>
      </c>
      <c r="U415" s="15">
        <f>M415*S415/(1+Assumptions!$B$3)^T415</f>
        <v/>
      </c>
      <c r="V415" s="11">
        <f>IF(M415=0,"",ROUND(U415/M415*100,1))</f>
        <v/>
      </c>
      <c r="W415" s="16">
        <f>U415*Assumptions!$B$4</f>
        <v/>
      </c>
      <c r="X415" s="11">
        <f>IF(M415=0,"",ROUND(W415/M415*100,1))</f>
        <v/>
      </c>
      <c r="Y415" t="inlineStr">
        <is>
          <t>GRUPO EGESA (EGESA ENG S.A, EGESUR PART E EMP S.A, MATRIX INFRA LTDA, BEMVIVER ENG AMBIENTAL E SERV LTDA, DKF CONST E EMP LTDA, EGEPEL LTDA, ETR ASSESSORIA EMP E PART LTDA, MVT ENG E SERV LTDA, PARQUES DO VALE LTDA, ELMO RIBEIRO E ANA RIBEIRO)</t>
        </is>
      </c>
      <c r="Z415" t="inlineStr">
        <is>
          <t>5088952-81.2025.8.13.0024</t>
        </is>
      </c>
      <c r="AA415" t="inlineStr">
        <is>
          <t>TJMG</t>
        </is>
      </c>
      <c r="AB415" t="inlineStr">
        <is>
          <t>scalzilliaj.com.br</t>
        </is>
      </c>
      <c r="AC415" t="inlineStr">
        <is>
          <t>ALUISIO GOMES DE ALENCAR</t>
        </is>
      </c>
      <c r="AD415" t="inlineStr">
        <is>
          <t>Sócio-Administrador</t>
        </is>
      </c>
      <c r="AE415" t="inlineStr">
        <is>
          <t>(19) 3227-0373</t>
        </is>
      </c>
      <c r="AF415" t="inlineStr"/>
      <c r="AG415" t="inlineStr"/>
      <c r="AH415" t="inlineStr">
        <is>
          <t>SP</t>
        </is>
      </c>
      <c r="AI415" t="inlineStr">
        <is>
          <t>CAMPINAS</t>
        </is>
      </c>
      <c r="AJ415" t="inlineStr">
        <is>
          <t>Aluguel de máquinas e equipamentos para construção sem operador, exceto andaimes</t>
        </is>
      </c>
      <c r="AK415" t="inlineStr">
        <is>
          <t>DEMAIS</t>
        </is>
      </c>
      <c r="AL415" t="inlineStr">
        <is>
          <t>ATIVA</t>
        </is>
      </c>
      <c r="AM415" s="17" t="inlineStr">
        <is>
          <t>https://scalzilliaj.com.br/sgc/download.php?file=files/processo_documento/processo_documento09514021082025_1_.pdf&amp;nome=04 - Relação de credores das Recuperandas</t>
        </is>
      </c>
      <c r="AN415" s="18" t="inlineStr">
        <is>
          <t>p72 r7</t>
        </is>
      </c>
      <c r="AO415" s="18" t="inlineStr">
        <is>
          <t>p72: R$ 324.549,20</t>
        </is>
      </c>
      <c r="AP415" s="18" t="inlineStr">
        <is>
          <t>DEBTOR_LIST</t>
        </is>
      </c>
      <c r="AQ415" s="18" t="inlineStr"/>
      <c r="AR415" s="18" t="inlineStr">
        <is>
          <t>OK</t>
        </is>
      </c>
      <c r="AS415" s="18" t="inlineStr">
        <is>
          <t>ROWS:p72r7 VALUE_COL:Valor_Atualizado CASE_NUMBER_CORRECTED CASE_FROM_PORTAL</t>
        </is>
      </c>
      <c r="AT415" s="18" t="inlineStr">
        <is>
          <t>24ed98480a57</t>
        </is>
      </c>
    </row>
    <row r="416">
      <c r="A416" s="9" t="n">
        <v>415</v>
      </c>
      <c r="B416" s="9" t="inlineStr">
        <is>
          <t>NEW</t>
        </is>
      </c>
      <c r="C416" s="9" t="inlineStr"/>
      <c r="D416" s="9" t="n">
        <v>0</v>
      </c>
      <c r="E416" s="9" t="inlineStr"/>
      <c r="F416" s="9" t="inlineStr"/>
      <c r="G416" s="9" t="inlineStr"/>
      <c r="H416" s="9" t="inlineStr"/>
      <c r="I416" t="inlineStr">
        <is>
          <t>CALDEX CONEXOES E EQUIPAMENTOS LTDA</t>
        </is>
      </c>
      <c r="J416" t="inlineStr">
        <is>
          <t>Caldex Conexões e Equipamentos Ltda</t>
        </is>
      </c>
      <c r="K416" t="inlineStr">
        <is>
          <t>44151413</t>
        </is>
      </c>
      <c r="L416" t="inlineStr">
        <is>
          <t>44151413000142</t>
        </is>
      </c>
      <c r="M416" s="10" t="n">
        <v>322964.99</v>
      </c>
      <c r="N416" t="n">
        <v>1</v>
      </c>
      <c r="O416" s="11" t="inlineStr">
        <is>
          <t>B</t>
        </is>
      </c>
      <c r="P416" s="11" t="inlineStr"/>
      <c r="Q416" s="12" t="n">
        <v>45756</v>
      </c>
      <c r="R416" s="11">
        <f>IF(Q416="","",ROUND((TODAY()-Q416)/365.25,1))</f>
        <v/>
      </c>
      <c r="S416" s="13">
        <f>IFERROR(VLOOKUP(O416,Assumptions!$A$7:$F$11,2,FALSE),0.25)</f>
        <v/>
      </c>
      <c r="T416" s="14">
        <f>IF(O416="A",MAX(1,IFERROR(VLOOKUP(O416,Assumptions!$A$7:$F$11,3,FALSE),3)+IFERROR(VLOOKUP(O416,Assumptions!$A$7:$F$11,4,FALSE),8)/2-MAX(0,IF(R416="",0,R416)-IFERROR(VLOOKUP(O416,Assumptions!$A$7:$F$11,5,FALSE),1.5))),IFERROR(VLOOKUP(O416,Assumptions!$A$7:$F$11,5,FALSE),2.5)+IFERROR(VLOOKUP(O416,Assumptions!$A$7:$F$11,3,FALSE),3)+IFERROR(VLOOKUP(O416,Assumptions!$A$7:$F$11,4,FALSE),8)/2)</f>
        <v/>
      </c>
      <c r="U416" s="15">
        <f>M416*S416/(1+Assumptions!$B$3)^T416</f>
        <v/>
      </c>
      <c r="V416" s="11">
        <f>IF(M416=0,"",ROUND(U416/M416*100,1))</f>
        <v/>
      </c>
      <c r="W416" s="16">
        <f>U416*Assumptions!$B$4</f>
        <v/>
      </c>
      <c r="X416" s="11">
        <f>IF(M416=0,"",ROUND(W416/M416*100,1))</f>
        <v/>
      </c>
      <c r="Y416" t="inlineStr">
        <is>
          <t>GRUPO EGESA (EGESA ENG S.A, EGESUR PART E EMP S.A, MATRIX INFRA LTDA, BEMVIVER ENG AMBIENTAL E SERV LTDA, DKF CONST E EMP LTDA, EGEPEL LTDA, ETR ASSESSORIA EMP E PART LTDA, MVT ENG E SERV LTDA, PARQUES DO VALE LTDA, ELMO RIBEIRO E ANA RIBEIRO)</t>
        </is>
      </c>
      <c r="Z416" t="inlineStr">
        <is>
          <t>5088952-81.2025.8.13.0024</t>
        </is>
      </c>
      <c r="AA416" t="inlineStr">
        <is>
          <t>TJMG</t>
        </is>
      </c>
      <c r="AB416" t="inlineStr">
        <is>
          <t>scalzilliaj.com.br</t>
        </is>
      </c>
      <c r="AC416" t="inlineStr">
        <is>
          <t>ALESSANDRO MARIO BONOMETTO</t>
        </is>
      </c>
      <c r="AD416" t="inlineStr">
        <is>
          <t>Administrador</t>
        </is>
      </c>
      <c r="AE416" t="inlineStr">
        <is>
          <t>(11) 4061-2799</t>
        </is>
      </c>
      <c r="AF416" t="inlineStr"/>
      <c r="AG416" t="inlineStr"/>
      <c r="AH416" t="inlineStr">
        <is>
          <t>SP</t>
        </is>
      </c>
      <c r="AI416" t="inlineStr">
        <is>
          <t>DIADEMA</t>
        </is>
      </c>
      <c r="AJ416" t="inlineStr">
        <is>
          <t>Fabricação de outros produtos de metal não especificados anteriormente</t>
        </is>
      </c>
      <c r="AK416" t="inlineStr">
        <is>
          <t>DEMAIS</t>
        </is>
      </c>
      <c r="AL416" t="inlineStr">
        <is>
          <t>ATIVA</t>
        </is>
      </c>
      <c r="AM416" s="17" t="inlineStr">
        <is>
          <t>https://scalzilliaj.com.br/sgc/download.php?file=files/processo_documento/processo_documento09514021082025_1_.pdf&amp;nome=04 - Relação de credores das Recuperandas</t>
        </is>
      </c>
      <c r="AN416" s="18" t="inlineStr">
        <is>
          <t>p63 r18</t>
        </is>
      </c>
      <c r="AO416" s="18" t="inlineStr">
        <is>
          <t>p63: R$ 322.964,99</t>
        </is>
      </c>
      <c r="AP416" s="18" t="inlineStr">
        <is>
          <t>DEBTOR_LIST</t>
        </is>
      </c>
      <c r="AQ416" s="18" t="inlineStr"/>
      <c r="AR416" s="18" t="inlineStr">
        <is>
          <t>OK</t>
        </is>
      </c>
      <c r="AS416" s="18" t="inlineStr">
        <is>
          <t>ROWS:p63r18 VALUE_COL:Valor_Atualizado CASE_NUMBER_CORRECTED CASE_FROM_PORTAL</t>
        </is>
      </c>
      <c r="AT416" s="18" t="inlineStr">
        <is>
          <t>24ed98480a57</t>
        </is>
      </c>
    </row>
    <row r="417">
      <c r="A417" s="9" t="n">
        <v>416</v>
      </c>
      <c r="B417" s="9" t="inlineStr">
        <is>
          <t>NEW</t>
        </is>
      </c>
      <c r="C417" s="9" t="inlineStr"/>
      <c r="D417" s="9" t="n">
        <v>0</v>
      </c>
      <c r="E417" s="9" t="inlineStr"/>
      <c r="F417" s="9" t="inlineStr"/>
      <c r="G417" s="9" t="inlineStr"/>
      <c r="H417" s="9" t="inlineStr"/>
      <c r="I417" t="inlineStr">
        <is>
          <t>MC-JU INDUSTRIA E COMERCIO DE CONFECCOES LTDA EM RECUPERACAO JUDICIAL</t>
        </is>
      </c>
      <c r="J417" t="inlineStr">
        <is>
          <t>MC-JU INDUSTRIA E COMERCIO DE CONFECCOES LTDA</t>
        </is>
      </c>
      <c r="K417" t="inlineStr">
        <is>
          <t>83201111</t>
        </is>
      </c>
      <c r="L417" t="inlineStr">
        <is>
          <t>83201111000193</t>
        </is>
      </c>
      <c r="M417" s="10" t="n">
        <v>322411.79</v>
      </c>
      <c r="N417" t="n">
        <v>3</v>
      </c>
      <c r="O417" s="11" t="inlineStr">
        <is>
          <t>C</t>
        </is>
      </c>
      <c r="P417" s="11" t="inlineStr">
        <is>
          <t>ACTIVE</t>
        </is>
      </c>
      <c r="Q417" s="12" t="n">
        <v>44571</v>
      </c>
      <c r="R417" s="11">
        <f>IF(Q417="","",ROUND((TODAY()-Q417)/365.25,1))</f>
        <v/>
      </c>
      <c r="S417" s="13">
        <f>IFERROR(VLOOKUP(O417,Assumptions!$A$7:$F$11,2,FALSE),0.25)</f>
        <v/>
      </c>
      <c r="T417" s="14">
        <f>IF(O417="A",MAX(1,IFERROR(VLOOKUP(O417,Assumptions!$A$7:$F$11,3,FALSE),3)+IFERROR(VLOOKUP(O417,Assumptions!$A$7:$F$11,4,FALSE),8)/2-MAX(0,IF(R417="",0,R417)-IFERROR(VLOOKUP(O417,Assumptions!$A$7:$F$11,5,FALSE),1.5))),IFERROR(VLOOKUP(O417,Assumptions!$A$7:$F$11,5,FALSE),2.5)+IFERROR(VLOOKUP(O417,Assumptions!$A$7:$F$11,3,FALSE),3)+IFERROR(VLOOKUP(O417,Assumptions!$A$7:$F$11,4,FALSE),8)/2)</f>
        <v/>
      </c>
      <c r="U417" s="15">
        <f>M417*S417/(1+Assumptions!$B$3)^T417</f>
        <v/>
      </c>
      <c r="V417" s="11">
        <f>IF(M417=0,"",ROUND(U417/M417*100,1))</f>
        <v/>
      </c>
      <c r="W417" s="16">
        <f>U417*Assumptions!$B$4</f>
        <v/>
      </c>
      <c r="X417" s="11">
        <f>IF(M417=0,"",ROUND(W417/M417*100,1))</f>
        <v/>
      </c>
      <c r="Y417" t="inlineStr">
        <is>
          <t>GRUPO CATTAN</t>
        </is>
      </c>
      <c r="Z417" t="inlineStr">
        <is>
          <t>0002484-82.2022.8.17.2001</t>
        </is>
      </c>
      <c r="AA417" t="inlineStr">
        <is>
          <t>TJPE</t>
        </is>
      </c>
      <c r="AB417" t="inlineStr">
        <is>
          <t>lrflideres.com.br</t>
        </is>
      </c>
      <c r="AC417" t="inlineStr">
        <is>
          <t>MARCELO KOHLER</t>
        </is>
      </c>
      <c r="AD417" t="inlineStr">
        <is>
          <t>Sócio-Administrador</t>
        </is>
      </c>
      <c r="AE417" t="inlineStr">
        <is>
          <t>(47) 3354-0377</t>
        </is>
      </c>
      <c r="AF417" t="inlineStr"/>
      <c r="AG417" t="inlineStr"/>
      <c r="AH417" t="inlineStr">
        <is>
          <t>SC</t>
        </is>
      </c>
      <c r="AI417" t="inlineStr">
        <is>
          <t>GUABIRUBA</t>
        </is>
      </c>
      <c r="AJ417" t="inlineStr">
        <is>
          <t>Confecção de peças de vestuário, exceto roupas íntimas e as confeccionadas sob medida</t>
        </is>
      </c>
      <c r="AK417" t="inlineStr">
        <is>
          <t>DEMAIS</t>
        </is>
      </c>
      <c r="AL417" t="inlineStr">
        <is>
          <t>ATIVA</t>
        </is>
      </c>
      <c r="AM417" s="17" t="inlineStr">
        <is>
          <t>https://lrflideres.com.br/wp-content/plugins/download-attachments/includes/download.php?id=4023</t>
        </is>
      </c>
      <c r="AN417" s="18" t="inlineStr">
        <is>
          <t>p4 r88; p7 r112; p9 r85</t>
        </is>
      </c>
      <c r="AO417" s="18" t="inlineStr">
        <is>
          <t>p4: R$ 49.601,55; p7: R$ 224.858,54; p9: R$ 47.951,70</t>
        </is>
      </c>
      <c r="AP417" s="18" t="inlineStr">
        <is>
          <t>DEBTOR_LIST</t>
        </is>
      </c>
      <c r="AQ417" s="18" t="inlineStr"/>
      <c r="AR417" s="18" t="inlineStr">
        <is>
          <t>QUARANTINED</t>
        </is>
      </c>
      <c r="AS417" s="18" t="inlineStr">
        <is>
          <t>PARTIAL_DOC_CLASS_III_RECONCILED ROWS:p4r88,p7r112,p9r85</t>
        </is>
      </c>
      <c r="AT417" s="18" t="inlineStr">
        <is>
          <t>f3b6182e3aa2</t>
        </is>
      </c>
    </row>
    <row r="418">
      <c r="A418" s="9" t="n">
        <v>417</v>
      </c>
      <c r="B418" s="9" t="inlineStr">
        <is>
          <t>NEW</t>
        </is>
      </c>
      <c r="C418" s="9" t="inlineStr"/>
      <c r="D418" s="9" t="n">
        <v>0</v>
      </c>
      <c r="E418" s="9" t="inlineStr"/>
      <c r="F418" s="9" t="inlineStr"/>
      <c r="G418" s="9" t="inlineStr"/>
      <c r="H418" s="9" t="inlineStr"/>
      <c r="I418" t="inlineStr">
        <is>
          <t>VENTISOL NORDESTE INDUSTRIA E COMERCIO DE VENTILADORES LTDA</t>
        </is>
      </c>
      <c r="J418" t="inlineStr">
        <is>
          <t>08.934.225/0001-27</t>
        </is>
      </c>
      <c r="K418" t="inlineStr">
        <is>
          <t>08934225</t>
        </is>
      </c>
      <c r="L418" t="inlineStr">
        <is>
          <t>08934225000127</t>
        </is>
      </c>
      <c r="M418" s="10" t="n">
        <v>321724.2</v>
      </c>
      <c r="N418" t="n">
        <v>1</v>
      </c>
      <c r="O418" s="11" t="inlineStr">
        <is>
          <t>C</t>
        </is>
      </c>
      <c r="P418" s="11" t="inlineStr">
        <is>
          <t>ACTIVE</t>
        </is>
      </c>
      <c r="Q418" s="12" t="n">
        <v>43894</v>
      </c>
      <c r="R418" s="11">
        <f>IF(Q418="","",ROUND((TODAY()-Q418)/365.25,1))</f>
        <v/>
      </c>
      <c r="S418" s="13">
        <f>IFERROR(VLOOKUP(O418,Assumptions!$A$7:$F$11,2,FALSE),0.25)</f>
        <v/>
      </c>
      <c r="T418" s="14">
        <f>IF(O418="A",MAX(1,IFERROR(VLOOKUP(O418,Assumptions!$A$7:$F$11,3,FALSE),3)+IFERROR(VLOOKUP(O418,Assumptions!$A$7:$F$11,4,FALSE),8)/2-MAX(0,IF(R418="",0,R418)-IFERROR(VLOOKUP(O418,Assumptions!$A$7:$F$11,5,FALSE),1.5))),IFERROR(VLOOKUP(O418,Assumptions!$A$7:$F$11,5,FALSE),2.5)+IFERROR(VLOOKUP(O418,Assumptions!$A$7:$F$11,3,FALSE),3)+IFERROR(VLOOKUP(O418,Assumptions!$A$7:$F$11,4,FALSE),8)/2)</f>
        <v/>
      </c>
      <c r="U418" s="15">
        <f>M418*S418/(1+Assumptions!$B$3)^T418</f>
        <v/>
      </c>
      <c r="V418" s="11">
        <f>IF(M418=0,"",ROUND(U418/M418*100,1))</f>
        <v/>
      </c>
      <c r="W418" s="16">
        <f>U418*Assumptions!$B$4</f>
        <v/>
      </c>
      <c r="X418" s="11">
        <f>IF(M418=0,"",ROUND(W418/M418*100,1))</f>
        <v/>
      </c>
      <c r="Y418" t="inlineStr">
        <is>
          <t>CREDIMÓVEIS NOVOLAR LTDA.</t>
        </is>
      </c>
      <c r="Z418" t="inlineStr">
        <is>
          <t>0007565-40.2020.8.17.2370</t>
        </is>
      </c>
      <c r="AA418" t="inlineStr">
        <is>
          <t>TJPE</t>
        </is>
      </c>
      <c r="AB418" t="inlineStr">
        <is>
          <t>recuperacaojudicial.squarespace.com</t>
        </is>
      </c>
      <c r="AC418" t="inlineStr">
        <is>
          <t>ALEXIS SUREN TCHOLAKIAN MORALES</t>
        </is>
      </c>
      <c r="AD418" t="inlineStr">
        <is>
          <t>Administrador</t>
        </is>
      </c>
      <c r="AE418" t="inlineStr">
        <is>
          <t>(81) 3523-1169</t>
        </is>
      </c>
      <c r="AF418" t="inlineStr">
        <is>
          <t>(81) 3222-4350</t>
        </is>
      </c>
      <c r="AG418" t="inlineStr"/>
      <c r="AH418" t="inlineStr">
        <is>
          <t>PE</t>
        </is>
      </c>
      <c r="AI418" t="inlineStr">
        <is>
          <t>VITORIA DE SANTO ANTAO</t>
        </is>
      </c>
      <c r="AJ418" t="inlineStr">
        <is>
          <t>Fabricação de outros aparelhos eletrodomésticos não especificados anteriormente, peças e acessórios</t>
        </is>
      </c>
      <c r="AK418" t="inlineStr">
        <is>
          <t>DEMAIS</t>
        </is>
      </c>
      <c r="AL418" t="inlineStr">
        <is>
          <t>ATIVA</t>
        </is>
      </c>
      <c r="AM418" s="17" t="inlineStr">
        <is>
          <t>https://recuperacaojudicial.squarespace.com/s/RJ-Credimoveis-QGC-01082025.pdf</t>
        </is>
      </c>
      <c r="AN418" s="18" t="inlineStr">
        <is>
          <t>p17 r9</t>
        </is>
      </c>
      <c r="AO418" s="18" t="inlineStr">
        <is>
          <t>p17: R$ 321.724,20</t>
        </is>
      </c>
      <c r="AP418" s="18" t="inlineStr">
        <is>
          <t>QGC</t>
        </is>
      </c>
      <c r="AQ418" s="18" t="inlineStr">
        <is>
          <t>2026-01-28</t>
        </is>
      </c>
      <c r="AR418" s="18" t="inlineStr">
        <is>
          <t>OK</t>
        </is>
      </c>
      <c r="AS418" s="18" t="inlineStr">
        <is>
          <t>ROWS:p17r9</t>
        </is>
      </c>
      <c r="AT418" s="18" t="inlineStr">
        <is>
          <t>849d4fe5adce</t>
        </is>
      </c>
    </row>
    <row r="419">
      <c r="A419" s="9" t="n">
        <v>418</v>
      </c>
      <c r="B419" s="9" t="inlineStr">
        <is>
          <t>NEW</t>
        </is>
      </c>
      <c r="C419" s="9" t="inlineStr"/>
      <c r="D419" s="9" t="n">
        <v>0</v>
      </c>
      <c r="E419" s="9" t="inlineStr"/>
      <c r="F419" s="9" t="inlineStr"/>
      <c r="G419" s="9" t="inlineStr"/>
      <c r="H419" s="9" t="inlineStr"/>
      <c r="I419" t="inlineStr">
        <is>
          <t>POLIJUTA INDUSTRIA E COMERCIO DE EMBALAGENS LTDA</t>
        </is>
      </c>
      <c r="J419" t="inlineStr">
        <is>
          <t>POLIJUTA INDUSTRIA E COMERCIO DE EMBALAGENS LTDA</t>
        </is>
      </c>
      <c r="K419" t="inlineStr">
        <is>
          <t>82270281</t>
        </is>
      </c>
      <c r="L419" t="inlineStr">
        <is>
          <t>82270281000167</t>
        </is>
      </c>
      <c r="M419" s="10" t="n">
        <v>321041.01</v>
      </c>
      <c r="N419" t="n">
        <v>1</v>
      </c>
      <c r="O419" s="11" t="inlineStr">
        <is>
          <t>C</t>
        </is>
      </c>
      <c r="P419" s="11" t="inlineStr">
        <is>
          <t>ACTIVE</t>
        </is>
      </c>
      <c r="Q419" s="12" t="n">
        <v>45057</v>
      </c>
      <c r="R419" s="11">
        <f>IF(Q419="","",ROUND((TODAY()-Q419)/365.25,1))</f>
        <v/>
      </c>
      <c r="S419" s="13">
        <f>IFERROR(VLOOKUP(O419,Assumptions!$A$7:$F$11,2,FALSE),0.25)</f>
        <v/>
      </c>
      <c r="T419" s="14">
        <f>IF(O419="A",MAX(1,IFERROR(VLOOKUP(O419,Assumptions!$A$7:$F$11,3,FALSE),3)+IFERROR(VLOOKUP(O419,Assumptions!$A$7:$F$11,4,FALSE),8)/2-MAX(0,IF(R419="",0,R419)-IFERROR(VLOOKUP(O419,Assumptions!$A$7:$F$11,5,FALSE),1.5))),IFERROR(VLOOKUP(O419,Assumptions!$A$7:$F$11,5,FALSE),2.5)+IFERROR(VLOOKUP(O419,Assumptions!$A$7:$F$11,3,FALSE),3)+IFERROR(VLOOKUP(O419,Assumptions!$A$7:$F$11,4,FALSE),8)/2)</f>
        <v/>
      </c>
      <c r="U419" s="15">
        <f>M419*S419/(1+Assumptions!$B$3)^T419</f>
        <v/>
      </c>
      <c r="V419" s="11">
        <f>IF(M419=0,"",ROUND(U419/M419*100,1))</f>
        <v/>
      </c>
      <c r="W419" s="16">
        <f>U419*Assumptions!$B$4</f>
        <v/>
      </c>
      <c r="X419" s="11">
        <f>IF(M419=0,"",ROUND(W419/M419*100,1))</f>
        <v/>
      </c>
      <c r="Y419" t="inlineStr">
        <is>
          <t>TOP TEXTIL EMBALAGENS LTDA</t>
        </is>
      </c>
      <c r="Z419" t="inlineStr">
        <is>
          <t>5011460-87.2023.8.24.0020</t>
        </is>
      </c>
      <c r="AA419" t="inlineStr">
        <is>
          <t>TJSC</t>
        </is>
      </c>
      <c r="AB419" t="inlineStr">
        <is>
          <t>cataliseaj.com.br</t>
        </is>
      </c>
      <c r="AC419" t="inlineStr">
        <is>
          <t>EDILSON ARAUJO MARTINS</t>
        </is>
      </c>
      <c r="AD419" t="inlineStr">
        <is>
          <t>Sócio-Administrador</t>
        </is>
      </c>
      <c r="AE419" t="inlineStr">
        <is>
          <t>(42) 3627-7722</t>
        </is>
      </c>
      <c r="AF419" t="inlineStr"/>
      <c r="AG419" t="inlineStr"/>
      <c r="AH419" t="inlineStr">
        <is>
          <t>PR</t>
        </is>
      </c>
      <c r="AI419" t="inlineStr">
        <is>
          <t>GUARAPUAVA</t>
        </is>
      </c>
      <c r="AJ419" t="inlineStr">
        <is>
          <t>Fabricação de embalagens de material plástico</t>
        </is>
      </c>
      <c r="AK419" t="inlineStr">
        <is>
          <t>DEMAIS</t>
        </is>
      </c>
      <c r="AL419" t="inlineStr">
        <is>
          <t>ATIVA</t>
        </is>
      </c>
      <c r="AM419" s="17" t="inlineStr">
        <is>
          <t>https://cataliseaj.com.br/sgc/download.php?file=files/processo_documento/processo_documento15092204102024_1_.pdf&amp;nome=02. RELAÇÃO DE CREDORES</t>
        </is>
      </c>
      <c r="AN419" s="18" t="inlineStr">
        <is>
          <t>p3 r4</t>
        </is>
      </c>
      <c r="AO419" s="18" t="inlineStr">
        <is>
          <t>p3: R$ 321.041,01</t>
        </is>
      </c>
      <c r="AP419" s="18" t="inlineStr">
        <is>
          <t>DEBTOR_LIST</t>
        </is>
      </c>
      <c r="AQ419" s="18" t="inlineStr"/>
      <c r="AR419" s="18" t="inlineStr">
        <is>
          <t>OK_NO_TOTALS</t>
        </is>
      </c>
      <c r="AS419" s="18" t="inlineStr">
        <is>
          <t>ROWS:p3r4 UNRECONCILED_SOURCE</t>
        </is>
      </c>
      <c r="AT419" s="18" t="inlineStr">
        <is>
          <t>741aed48dd00</t>
        </is>
      </c>
    </row>
    <row r="420">
      <c r="A420" s="9" t="n">
        <v>419</v>
      </c>
      <c r="B420" s="9" t="inlineStr">
        <is>
          <t>NEW</t>
        </is>
      </c>
      <c r="C420" s="9" t="inlineStr"/>
      <c r="D420" s="9" t="n">
        <v>0</v>
      </c>
      <c r="E420" s="9" t="inlineStr"/>
      <c r="F420" s="9" t="inlineStr"/>
      <c r="G420" s="9" t="inlineStr"/>
      <c r="H420" s="9" t="inlineStr"/>
      <c r="I420" t="inlineStr">
        <is>
          <t>HORUS DO BRASIL INDUSTRIA DE IMPLEMENTOS E PECAS AGRICOLAS LTDA</t>
        </is>
      </c>
      <c r="J420" t="inlineStr">
        <is>
          <t>SIM</t>
        </is>
      </c>
      <c r="K420" t="inlineStr">
        <is>
          <t>46495282</t>
        </is>
      </c>
      <c r="L420" t="inlineStr">
        <is>
          <t>46495282000146</t>
        </is>
      </c>
      <c r="M420" s="10" t="n">
        <v>320280.42</v>
      </c>
      <c r="N420" t="n">
        <v>1</v>
      </c>
      <c r="O420" s="11" t="inlineStr">
        <is>
          <t>B</t>
        </is>
      </c>
      <c r="P420" s="11" t="inlineStr"/>
      <c r="Q420" s="12" t="inlineStr"/>
      <c r="R420" s="11">
        <f>IF(Q420="","",ROUND((TODAY()-Q420)/365.25,1))</f>
        <v/>
      </c>
      <c r="S420" s="13">
        <f>IFERROR(VLOOKUP(O420,Assumptions!$A$7:$F$11,2,FALSE),0.25)</f>
        <v/>
      </c>
      <c r="T420" s="14">
        <f>IF(O420="A",MAX(1,IFERROR(VLOOKUP(O420,Assumptions!$A$7:$F$11,3,FALSE),3)+IFERROR(VLOOKUP(O420,Assumptions!$A$7:$F$11,4,FALSE),8)/2-MAX(0,IF(R420="",0,R420)-IFERROR(VLOOKUP(O420,Assumptions!$A$7:$F$11,5,FALSE),1.5))),IFERROR(VLOOKUP(O420,Assumptions!$A$7:$F$11,5,FALSE),2.5)+IFERROR(VLOOKUP(O420,Assumptions!$A$7:$F$11,3,FALSE),3)+IFERROR(VLOOKUP(O420,Assumptions!$A$7:$F$11,4,FALSE),8)/2)</f>
        <v/>
      </c>
      <c r="U420" s="15">
        <f>M420*S420/(1+Assumptions!$B$3)^T420</f>
        <v/>
      </c>
      <c r="V420" s="11">
        <f>IF(M420=0,"",ROUND(U420/M420*100,1))</f>
        <v/>
      </c>
      <c r="W420" s="16">
        <f>U420*Assumptions!$B$4</f>
        <v/>
      </c>
      <c r="X420" s="11">
        <f>IF(M420=0,"",ROUND(W420/M420*100,1))</f>
        <v/>
      </c>
      <c r="Y420" t="inlineStr">
        <is>
          <t>Grupo Rech</t>
        </is>
      </c>
      <c r="Z420" t="inlineStr">
        <is>
          <t>5057720-48.2025.8.24.0023</t>
        </is>
      </c>
      <c r="AA420" t="inlineStr"/>
      <c r="AB420" t="inlineStr">
        <is>
          <t>credibilita.com.br</t>
        </is>
      </c>
      <c r="AC420" t="inlineStr">
        <is>
          <t>BRUNO PEREIRA DUARTE</t>
        </is>
      </c>
      <c r="AD420" t="inlineStr">
        <is>
          <t>Sócio-Administrador</t>
        </is>
      </c>
      <c r="AE420" t="inlineStr">
        <is>
          <t>(55) 8122-1378</t>
        </is>
      </c>
      <c r="AF420" t="inlineStr"/>
      <c r="AG420" t="inlineStr"/>
      <c r="AH420" t="inlineStr">
        <is>
          <t>RS</t>
        </is>
      </c>
      <c r="AI420" t="inlineStr">
        <is>
          <t>SANTA ROSA</t>
        </is>
      </c>
      <c r="AJ420" t="inlineStr">
        <is>
          <t>Fabricação de máquinas e equipamentos para a agricultura e pecuária, peças e acessórios, exceto para irrigação</t>
        </is>
      </c>
      <c r="AK420" t="inlineStr">
        <is>
          <t>EMPRESA DE PEQUENO PORTE</t>
        </is>
      </c>
      <c r="AL420" t="inlineStr">
        <is>
          <t>ATIVA</t>
        </is>
      </c>
      <c r="AM420" s="17" t="inlineStr">
        <is>
          <t>https://credibilita.com.br/wp-content/uploads/2025/09/Relacao-Credores-29.04.2026.pdf</t>
        </is>
      </c>
      <c r="AN420" s="18" t="inlineStr">
        <is>
          <t>p1 r25</t>
        </is>
      </c>
      <c r="AO420" s="18" t="inlineStr">
        <is>
          <t>p1: R$ 320.280,42</t>
        </is>
      </c>
      <c r="AP420" s="18" t="inlineStr">
        <is>
          <t>QUORUM_LIST</t>
        </is>
      </c>
      <c r="AQ420" s="18" t="inlineStr"/>
      <c r="AR420" s="18" t="inlineStr">
        <is>
          <t>OK_NO_TOTALS</t>
        </is>
      </c>
      <c r="AS420" s="18" t="inlineStr">
        <is>
          <t>ROWS:p1r25 UNRECONCILED_SOURCE VALUE_COL:Valor_Após_Analise CASE_NUMBER_CORRECTED</t>
        </is>
      </c>
      <c r="AT420" s="18" t="inlineStr">
        <is>
          <t>cf92cff797d2</t>
        </is>
      </c>
    </row>
    <row r="421">
      <c r="A421" s="9" t="n">
        <v>420</v>
      </c>
      <c r="B421" s="9" t="inlineStr">
        <is>
          <t>NEW</t>
        </is>
      </c>
      <c r="C421" s="9" t="inlineStr"/>
      <c r="D421" s="9" t="n">
        <v>0</v>
      </c>
      <c r="E421" s="9" t="inlineStr"/>
      <c r="F421" s="9" t="inlineStr"/>
      <c r="G421" s="9" t="inlineStr"/>
      <c r="H421" s="9" t="inlineStr"/>
      <c r="I421" t="inlineStr">
        <is>
          <t>GRAXARIA BB LTDA</t>
        </is>
      </c>
      <c r="J421" t="inlineStr">
        <is>
          <t>Graxaria Bem Bom</t>
        </is>
      </c>
      <c r="K421" t="inlineStr">
        <is>
          <t>61773646</t>
        </is>
      </c>
      <c r="L421" t="inlineStr">
        <is>
          <t>61773646000104</t>
        </is>
      </c>
      <c r="M421" s="10" t="n">
        <v>319660.2</v>
      </c>
      <c r="N421" t="n">
        <v>1</v>
      </c>
      <c r="O421" s="11" t="inlineStr">
        <is>
          <t>B</t>
        </is>
      </c>
      <c r="P421" s="11" t="inlineStr">
        <is>
          <t>ACTIVE</t>
        </is>
      </c>
      <c r="Q421" s="12" t="n">
        <v>46130</v>
      </c>
      <c r="R421" s="11">
        <f>IF(Q421="","",ROUND((TODAY()-Q421)/365.25,1))</f>
        <v/>
      </c>
      <c r="S421" s="13">
        <f>IFERROR(VLOOKUP(O421,Assumptions!$A$7:$F$11,2,FALSE),0.25)</f>
        <v/>
      </c>
      <c r="T421" s="14">
        <f>IF(O421="A",MAX(1,IFERROR(VLOOKUP(O421,Assumptions!$A$7:$F$11,3,FALSE),3)+IFERROR(VLOOKUP(O421,Assumptions!$A$7:$F$11,4,FALSE),8)/2-MAX(0,IF(R421="",0,R421)-IFERROR(VLOOKUP(O421,Assumptions!$A$7:$F$11,5,FALSE),1.5))),IFERROR(VLOOKUP(O421,Assumptions!$A$7:$F$11,5,FALSE),2.5)+IFERROR(VLOOKUP(O421,Assumptions!$A$7:$F$11,3,FALSE),3)+IFERROR(VLOOKUP(O421,Assumptions!$A$7:$F$11,4,FALSE),8)/2)</f>
        <v/>
      </c>
      <c r="U421" s="15">
        <f>M421*S421/(1+Assumptions!$B$3)^T421</f>
        <v/>
      </c>
      <c r="V421" s="11">
        <f>IF(M421=0,"",ROUND(U421/M421*100,1))</f>
        <v/>
      </c>
      <c r="W421" s="16">
        <f>U421*Assumptions!$B$4</f>
        <v/>
      </c>
      <c r="X421" s="11">
        <f>IF(M421=0,"",ROUND(W421/M421*100,1))</f>
        <v/>
      </c>
      <c r="Y421" t="inlineStr">
        <is>
          <t>GRUPO 3E</t>
        </is>
      </c>
      <c r="Z421" t="inlineStr">
        <is>
          <t>5341375-33.2026.8.09.0049</t>
        </is>
      </c>
      <c r="AA421" t="inlineStr">
        <is>
          <t>TJGO</t>
        </is>
      </c>
      <c r="AB421" t="inlineStr">
        <is>
          <t>stenius.com.br</t>
        </is>
      </c>
      <c r="AC421" t="inlineStr">
        <is>
          <t>ELSON JOSE LOPES</t>
        </is>
      </c>
      <c r="AD421" t="inlineStr">
        <is>
          <t>Administrador</t>
        </is>
      </c>
      <c r="AE421" t="inlineStr">
        <is>
          <t>(62) 8115-0283</t>
        </is>
      </c>
      <c r="AF421" t="inlineStr">
        <is>
          <t>000000000000</t>
        </is>
      </c>
      <c r="AG421" t="inlineStr"/>
      <c r="AH421" t="inlineStr">
        <is>
          <t>GO</t>
        </is>
      </c>
      <c r="AI421" t="inlineStr">
        <is>
          <t>NIQUELANDIA</t>
        </is>
      </c>
      <c r="AJ421" t="inlineStr">
        <is>
          <t>Preparação de subprodutos do abate</t>
        </is>
      </c>
      <c r="AK421" t="inlineStr">
        <is>
          <t>DEMAIS</t>
        </is>
      </c>
      <c r="AL421" t="inlineStr">
        <is>
          <t>ATIVA</t>
        </is>
      </c>
      <c r="AM421" s="17" t="inlineStr">
        <is>
          <t>https://stenius.com.br/wp-content/uploads/2026/06/EDITAL-GRUPO-3E.pdf</t>
        </is>
      </c>
      <c r="AN421" s="18" t="inlineStr">
        <is>
          <t>p14 r19</t>
        </is>
      </c>
      <c r="AO421" s="18" t="inlineStr">
        <is>
          <t>p14: R$ 319.660,20</t>
        </is>
      </c>
      <c r="AP421" s="18" t="inlineStr">
        <is>
          <t>DEBTOR_LIST</t>
        </is>
      </c>
      <c r="AQ421" s="18" t="inlineStr">
        <is>
          <t>2026-06-22</t>
        </is>
      </c>
      <c r="AR421" s="18" t="inlineStr">
        <is>
          <t>OK_NO_TOTALS</t>
        </is>
      </c>
      <c r="AS421" s="18" t="inlineStr">
        <is>
          <t>ROWS:p14r19 UNRECONCILED_SOURCE</t>
        </is>
      </c>
      <c r="AT421" s="18" t="inlineStr">
        <is>
          <t>8e8832093a15</t>
        </is>
      </c>
    </row>
    <row r="422">
      <c r="A422" s="9" t="n">
        <v>421</v>
      </c>
      <c r="B422" s="9" t="inlineStr">
        <is>
          <t>NEW</t>
        </is>
      </c>
      <c r="C422" s="9" t="inlineStr"/>
      <c r="D422" s="9" t="n">
        <v>0</v>
      </c>
      <c r="E422" s="9" t="inlineStr"/>
      <c r="F422" s="9" t="inlineStr"/>
      <c r="G422" s="9" t="inlineStr"/>
      <c r="H422" s="9" t="inlineStr"/>
      <c r="I422" t="inlineStr">
        <is>
          <t>DELICIOUS FISH AGROINDUSTRIA E COMERCIO DE PESCADOS LTDA</t>
        </is>
      </c>
      <c r="J422" t="inlineStr">
        <is>
          <t>Delicious Fish Agroind. e Com. De Pescados Ltda</t>
        </is>
      </c>
      <c r="K422" t="inlineStr">
        <is>
          <t>70494828</t>
        </is>
      </c>
      <c r="L422" t="inlineStr">
        <is>
          <t>70494828001109</t>
        </is>
      </c>
      <c r="M422" s="10" t="n">
        <v>318000</v>
      </c>
      <c r="N422" t="n">
        <v>1</v>
      </c>
      <c r="O422" s="11" t="inlineStr">
        <is>
          <t>B</t>
        </is>
      </c>
      <c r="P422" s="11" t="inlineStr">
        <is>
          <t>ACTIVE</t>
        </is>
      </c>
      <c r="Q422" s="12" t="n">
        <v>46130</v>
      </c>
      <c r="R422" s="11">
        <f>IF(Q422="","",ROUND((TODAY()-Q422)/365.25,1))</f>
        <v/>
      </c>
      <c r="S422" s="13">
        <f>IFERROR(VLOOKUP(O422,Assumptions!$A$7:$F$11,2,FALSE),0.25)</f>
        <v/>
      </c>
      <c r="T422" s="14">
        <f>IF(O422="A",MAX(1,IFERROR(VLOOKUP(O422,Assumptions!$A$7:$F$11,3,FALSE),3)+IFERROR(VLOOKUP(O422,Assumptions!$A$7:$F$11,4,FALSE),8)/2-MAX(0,IF(R422="",0,R422)-IFERROR(VLOOKUP(O422,Assumptions!$A$7:$F$11,5,FALSE),1.5))),IFERROR(VLOOKUP(O422,Assumptions!$A$7:$F$11,5,FALSE),2.5)+IFERROR(VLOOKUP(O422,Assumptions!$A$7:$F$11,3,FALSE),3)+IFERROR(VLOOKUP(O422,Assumptions!$A$7:$F$11,4,FALSE),8)/2)</f>
        <v/>
      </c>
      <c r="U422" s="15">
        <f>M422*S422/(1+Assumptions!$B$3)^T422</f>
        <v/>
      </c>
      <c r="V422" s="11">
        <f>IF(M422=0,"",ROUND(U422/M422*100,1))</f>
        <v/>
      </c>
      <c r="W422" s="16">
        <f>U422*Assumptions!$B$4</f>
        <v/>
      </c>
      <c r="X422" s="11">
        <f>IF(M422=0,"",ROUND(W422/M422*100,1))</f>
        <v/>
      </c>
      <c r="Y422" t="inlineStr">
        <is>
          <t>GRUPO 3E</t>
        </is>
      </c>
      <c r="Z422" t="inlineStr">
        <is>
          <t>5341375-33.2026.8.09.0049</t>
        </is>
      </c>
      <c r="AA422" t="inlineStr">
        <is>
          <t>TJGO</t>
        </is>
      </c>
      <c r="AB422" t="inlineStr">
        <is>
          <t>stenius.com.br</t>
        </is>
      </c>
      <c r="AC422" t="inlineStr">
        <is>
          <t>JOAO PEDRO DA SILVA</t>
        </is>
      </c>
      <c r="AD422" t="inlineStr">
        <is>
          <t>Sócio-Administrador</t>
        </is>
      </c>
      <c r="AE422" t="inlineStr">
        <is>
          <t>(66) 3584-1000</t>
        </is>
      </c>
      <c r="AF422" t="inlineStr"/>
      <c r="AG422" t="inlineStr"/>
      <c r="AH422" t="inlineStr">
        <is>
          <t>MT</t>
        </is>
      </c>
      <c r="AI422" t="inlineStr">
        <is>
          <t>SORRISO</t>
        </is>
      </c>
      <c r="AJ422" t="inlineStr">
        <is>
          <t>Fabricação de conservas de peixes, crustáceos e moluscos</t>
        </is>
      </c>
      <c r="AK422" t="inlineStr">
        <is>
          <t>DEMAIS</t>
        </is>
      </c>
      <c r="AL422" t="inlineStr">
        <is>
          <t>ATIVA</t>
        </is>
      </c>
      <c r="AM422" s="17" t="inlineStr">
        <is>
          <t>https://stenius.com.br/wp-content/uploads/2026/06/EDITAL-GRUPO-3E.pdf</t>
        </is>
      </c>
      <c r="AN422" s="18" t="inlineStr">
        <is>
          <t>p12 r30</t>
        </is>
      </c>
      <c r="AO422" s="18" t="inlineStr">
        <is>
          <t>p12: R$ 318.000,00</t>
        </is>
      </c>
      <c r="AP422" s="18" t="inlineStr">
        <is>
          <t>DEBTOR_LIST</t>
        </is>
      </c>
      <c r="AQ422" s="18" t="inlineStr">
        <is>
          <t>2026-06-22</t>
        </is>
      </c>
      <c r="AR422" s="18" t="inlineStr">
        <is>
          <t>OK_NO_TOTALS</t>
        </is>
      </c>
      <c r="AS422" s="18" t="inlineStr">
        <is>
          <t>ROWS:p12r30 UNRECONCILED_SOURCE</t>
        </is>
      </c>
      <c r="AT422" s="18" t="inlineStr">
        <is>
          <t>8e8832093a15</t>
        </is>
      </c>
    </row>
    <row r="423">
      <c r="A423" s="9" t="n">
        <v>422</v>
      </c>
      <c r="B423" s="9" t="inlineStr">
        <is>
          <t>NEW</t>
        </is>
      </c>
      <c r="C423" s="9" t="inlineStr"/>
      <c r="D423" s="9" t="n">
        <v>0</v>
      </c>
      <c r="E423" s="9" t="inlineStr"/>
      <c r="F423" s="9" t="inlineStr"/>
      <c r="G423" s="9" t="inlineStr"/>
      <c r="H423" s="9" t="inlineStr"/>
      <c r="I423" t="inlineStr">
        <is>
          <t>LAPONIA SUDESTE LTDA.</t>
        </is>
      </c>
      <c r="J423" t="inlineStr">
        <is>
          <t>ROD RAPOSO TAVARES, S/N KM 104 PARTE - SOROCABA-SP - CEP 18025-171</t>
        </is>
      </c>
      <c r="K423" t="inlineStr">
        <is>
          <t>04422548</t>
        </is>
      </c>
      <c r="L423" t="inlineStr">
        <is>
          <t>04422548000180, 04422548000504</t>
        </is>
      </c>
      <c r="M423" s="10" t="n">
        <v>316198.79</v>
      </c>
      <c r="N423" t="n">
        <v>2</v>
      </c>
      <c r="O423" s="11" t="inlineStr">
        <is>
          <t>U</t>
        </is>
      </c>
      <c r="P423" s="11" t="inlineStr"/>
      <c r="Q423" s="12" t="inlineStr"/>
      <c r="R423" s="11">
        <f>IF(Q423="","",ROUND((TODAY()-Q423)/365.25,1))</f>
        <v/>
      </c>
      <c r="S423" s="13">
        <f>IFERROR(VLOOKUP(O423,Assumptions!$A$7:$F$11,2,FALSE),0.25)</f>
        <v/>
      </c>
      <c r="T423" s="14">
        <f>IF(O423="A",MAX(1,IFERROR(VLOOKUP(O423,Assumptions!$A$7:$F$11,3,FALSE),3)+IFERROR(VLOOKUP(O423,Assumptions!$A$7:$F$11,4,FALSE),8)/2-MAX(0,IF(R423="",0,R423)-IFERROR(VLOOKUP(O423,Assumptions!$A$7:$F$11,5,FALSE),1.5))),IFERROR(VLOOKUP(O423,Assumptions!$A$7:$F$11,5,FALSE),2.5)+IFERROR(VLOOKUP(O423,Assumptions!$A$7:$F$11,3,FALSE),3)+IFERROR(VLOOKUP(O423,Assumptions!$A$7:$F$11,4,FALSE),8)/2)</f>
        <v/>
      </c>
      <c r="U423" s="15">
        <f>M423*S423/(1+Assumptions!$B$3)^T423</f>
        <v/>
      </c>
      <c r="V423" s="11">
        <f>IF(M423=0,"",ROUND(U423/M423*100,1))</f>
        <v/>
      </c>
      <c r="W423" s="16">
        <f>U423*Assumptions!$B$4</f>
        <v/>
      </c>
      <c r="X423" s="11">
        <f>IF(M423=0,"",ROUND(W423/M423*100,1))</f>
        <v/>
      </c>
      <c r="Y423" t="inlineStr">
        <is>
          <t>Base</t>
        </is>
      </c>
      <c r="Z423" t="inlineStr">
        <is>
          <t>(not found in document)</t>
        </is>
      </c>
      <c r="AA423" t="inlineStr"/>
      <c r="AB423" t="inlineStr">
        <is>
          <t>ajruiz.com.br</t>
        </is>
      </c>
      <c r="AC423" t="inlineStr">
        <is>
          <t>DOUGLAS NAKANO</t>
        </is>
      </c>
      <c r="AD423" t="inlineStr">
        <is>
          <t>Sócio-Administrador</t>
        </is>
      </c>
      <c r="AE423" t="inlineStr">
        <is>
          <t>(11) 4026-9800</t>
        </is>
      </c>
      <c r="AF423" t="inlineStr">
        <is>
          <t>(11) 4026-9810</t>
        </is>
      </c>
      <c r="AG423" t="inlineStr"/>
      <c r="AH423" t="inlineStr">
        <is>
          <t>SP</t>
        </is>
      </c>
      <c r="AI423" t="inlineStr">
        <is>
          <t>ITU</t>
        </is>
      </c>
      <c r="AJ423" t="inlineStr">
        <is>
          <t>Comércio por atacado de caminhões novos e usados</t>
        </is>
      </c>
      <c r="AK423" t="inlineStr">
        <is>
          <t>DEMAIS</t>
        </is>
      </c>
      <c r="AL423" t="inlineStr">
        <is>
          <t>ATIVA</t>
        </is>
      </c>
      <c r="AM423" s="17" t="inlineStr">
        <is>
          <t>https://ajruiz.com.br/sites/default/files/public/arquivos-processos/2023-11/4_relacao_de_credores_analitica_art._51_iii_da_lre.pdf</t>
        </is>
      </c>
      <c r="AN423" s="18" t="inlineStr">
        <is>
          <t>p3 r24; p3 r25</t>
        </is>
      </c>
      <c r="AO423" s="18" t="inlineStr">
        <is>
          <t>p3: R$ 111.893,80; p3: R$ 204.304,99</t>
        </is>
      </c>
      <c r="AP423" s="18" t="inlineStr">
        <is>
          <t>UNKNOWN</t>
        </is>
      </c>
      <c r="AQ423" s="18" t="inlineStr"/>
      <c r="AR423" s="18" t="inlineStr">
        <is>
          <t>OK</t>
        </is>
      </c>
      <c r="AS423" s="18" t="inlineStr">
        <is>
          <t>ROWS:p3r24,p3r25 CASE_NUMBER_CORRECTED</t>
        </is>
      </c>
      <c r="AT423" s="18" t="inlineStr">
        <is>
          <t>2407a56c3502</t>
        </is>
      </c>
    </row>
    <row r="424">
      <c r="A424" s="9" t="n">
        <v>423</v>
      </c>
      <c r="B424" s="9" t="inlineStr">
        <is>
          <t>NEW</t>
        </is>
      </c>
      <c r="C424" s="9" t="inlineStr"/>
      <c r="D424" s="9" t="n">
        <v>0</v>
      </c>
      <c r="E424" s="9" t="inlineStr"/>
      <c r="F424" s="9" t="inlineStr"/>
      <c r="G424" s="9" t="inlineStr"/>
      <c r="H424" s="9" t="inlineStr"/>
      <c r="I424" t="inlineStr">
        <is>
          <t>MARTINS CRUZ SOLUCOES AGRICOLAS LTDA</t>
        </is>
      </c>
      <c r="J424" t="inlineStr">
        <is>
          <t>SIM</t>
        </is>
      </c>
      <c r="K424" t="inlineStr">
        <is>
          <t>50378389</t>
        </is>
      </c>
      <c r="L424" t="inlineStr">
        <is>
          <t>50378389000181</t>
        </is>
      </c>
      <c r="M424" s="10" t="n">
        <v>314029.75</v>
      </c>
      <c r="N424" t="n">
        <v>1</v>
      </c>
      <c r="O424" s="11" t="inlineStr">
        <is>
          <t>B</t>
        </is>
      </c>
      <c r="P424" s="11" t="inlineStr"/>
      <c r="Q424" s="12" t="inlineStr"/>
      <c r="R424" s="11">
        <f>IF(Q424="","",ROUND((TODAY()-Q424)/365.25,1))</f>
        <v/>
      </c>
      <c r="S424" s="13">
        <f>IFERROR(VLOOKUP(O424,Assumptions!$A$7:$F$11,2,FALSE),0.25)</f>
        <v/>
      </c>
      <c r="T424" s="14">
        <f>IF(O424="A",MAX(1,IFERROR(VLOOKUP(O424,Assumptions!$A$7:$F$11,3,FALSE),3)+IFERROR(VLOOKUP(O424,Assumptions!$A$7:$F$11,4,FALSE),8)/2-MAX(0,IF(R424="",0,R424)-IFERROR(VLOOKUP(O424,Assumptions!$A$7:$F$11,5,FALSE),1.5))),IFERROR(VLOOKUP(O424,Assumptions!$A$7:$F$11,5,FALSE),2.5)+IFERROR(VLOOKUP(O424,Assumptions!$A$7:$F$11,3,FALSE),3)+IFERROR(VLOOKUP(O424,Assumptions!$A$7:$F$11,4,FALSE),8)/2)</f>
        <v/>
      </c>
      <c r="U424" s="15">
        <f>M424*S424/(1+Assumptions!$B$3)^T424</f>
        <v/>
      </c>
      <c r="V424" s="11">
        <f>IF(M424=0,"",ROUND(U424/M424*100,1))</f>
        <v/>
      </c>
      <c r="W424" s="16">
        <f>U424*Assumptions!$B$4</f>
        <v/>
      </c>
      <c r="X424" s="11">
        <f>IF(M424=0,"",ROUND(W424/M424*100,1))</f>
        <v/>
      </c>
      <c r="Y424" t="inlineStr">
        <is>
          <t>Grupo Rech</t>
        </is>
      </c>
      <c r="Z424" t="inlineStr">
        <is>
          <t>5057720-48.2025.8.24.0023</t>
        </is>
      </c>
      <c r="AA424" t="inlineStr"/>
      <c r="AB424" t="inlineStr">
        <is>
          <t>credibilita.com.br</t>
        </is>
      </c>
      <c r="AC424" t="inlineStr">
        <is>
          <t>EGBERT KOHLER</t>
        </is>
      </c>
      <c r="AD424" t="inlineStr">
        <is>
          <t>Administrador</t>
        </is>
      </c>
      <c r="AE424" t="inlineStr">
        <is>
          <t>(16) 3203-1800</t>
        </is>
      </c>
      <c r="AF424" t="inlineStr"/>
      <c r="AG424" t="inlineStr"/>
      <c r="AH424" t="inlineStr">
        <is>
          <t>SP</t>
        </is>
      </c>
      <c r="AI424" t="inlineStr">
        <is>
          <t>JABOTICABAL</t>
        </is>
      </c>
      <c r="AJ424" t="inlineStr">
        <is>
          <t>Fabricação de máquinas e equipamentos para a agricultura e pecuária, peças e acessórios, exceto para irrigação</t>
        </is>
      </c>
      <c r="AK424" t="inlineStr">
        <is>
          <t>DEMAIS</t>
        </is>
      </c>
      <c r="AL424" t="inlineStr">
        <is>
          <t>ATIVA</t>
        </is>
      </c>
      <c r="AM424" s="17" t="inlineStr">
        <is>
          <t>https://credibilita.com.br/wp-content/uploads/2025/09/Relacao-Credores-29.04.2026.pdf</t>
        </is>
      </c>
      <c r="AN424" s="18" t="inlineStr">
        <is>
          <t>p2 r3</t>
        </is>
      </c>
      <c r="AO424" s="18" t="inlineStr">
        <is>
          <t>p2: R$ 314.029,75</t>
        </is>
      </c>
      <c r="AP424" s="18" t="inlineStr">
        <is>
          <t>QUORUM_LIST</t>
        </is>
      </c>
      <c r="AQ424" s="18" t="inlineStr"/>
      <c r="AR424" s="18" t="inlineStr">
        <is>
          <t>OK_NO_TOTALS</t>
        </is>
      </c>
      <c r="AS424" s="18" t="inlineStr">
        <is>
          <t>ROWS:p2r3 UNRECONCILED_SOURCE VALUE_COL:Valor_Após_Analise CASE_NUMBER_CORRECTED</t>
        </is>
      </c>
      <c r="AT424" s="18" t="inlineStr">
        <is>
          <t>cf92cff797d2</t>
        </is>
      </c>
    </row>
    <row r="425">
      <c r="A425" s="9" t="n">
        <v>424</v>
      </c>
      <c r="B425" s="9" t="inlineStr">
        <is>
          <t>NEW</t>
        </is>
      </c>
      <c r="C425" s="9" t="inlineStr"/>
      <c r="D425" s="9" t="n">
        <v>0</v>
      </c>
      <c r="E425" s="9" t="inlineStr"/>
      <c r="F425" s="9" t="inlineStr"/>
      <c r="G425" s="9" t="inlineStr"/>
      <c r="H425" s="9" t="inlineStr"/>
      <c r="I425" t="inlineStr">
        <is>
          <t>PARVI LOCADORA S.A</t>
        </is>
      </c>
      <c r="J425" t="inlineStr">
        <is>
          <t>Locadora Fiori LTDA</t>
        </is>
      </c>
      <c r="K425" t="inlineStr">
        <is>
          <t>08228146</t>
        </is>
      </c>
      <c r="L425" t="inlineStr">
        <is>
          <t>08228146000109</t>
        </is>
      </c>
      <c r="M425" s="10" t="n">
        <v>311892.18</v>
      </c>
      <c r="N425" t="n">
        <v>2</v>
      </c>
      <c r="O425" s="11" t="inlineStr">
        <is>
          <t>B</t>
        </is>
      </c>
      <c r="P425" s="11" t="inlineStr"/>
      <c r="Q425" s="12" t="n">
        <v>45756</v>
      </c>
      <c r="R425" s="11">
        <f>IF(Q425="","",ROUND((TODAY()-Q425)/365.25,1))</f>
        <v/>
      </c>
      <c r="S425" s="13">
        <f>IFERROR(VLOOKUP(O425,Assumptions!$A$7:$F$11,2,FALSE),0.25)</f>
        <v/>
      </c>
      <c r="T425" s="14">
        <f>IF(O425="A",MAX(1,IFERROR(VLOOKUP(O425,Assumptions!$A$7:$F$11,3,FALSE),3)+IFERROR(VLOOKUP(O425,Assumptions!$A$7:$F$11,4,FALSE),8)/2-MAX(0,IF(R425="",0,R425)-IFERROR(VLOOKUP(O425,Assumptions!$A$7:$F$11,5,FALSE),1.5))),IFERROR(VLOOKUP(O425,Assumptions!$A$7:$F$11,5,FALSE),2.5)+IFERROR(VLOOKUP(O425,Assumptions!$A$7:$F$11,3,FALSE),3)+IFERROR(VLOOKUP(O425,Assumptions!$A$7:$F$11,4,FALSE),8)/2)</f>
        <v/>
      </c>
      <c r="U425" s="15">
        <f>M425*S425/(1+Assumptions!$B$3)^T425</f>
        <v/>
      </c>
      <c r="V425" s="11">
        <f>IF(M425=0,"",ROUND(U425/M425*100,1))</f>
        <v/>
      </c>
      <c r="W425" s="16">
        <f>U425*Assumptions!$B$4</f>
        <v/>
      </c>
      <c r="X425" s="11">
        <f>IF(M425=0,"",ROUND(W425/M425*100,1))</f>
        <v/>
      </c>
      <c r="Y425" t="inlineStr">
        <is>
          <t>GRUPO EGESA (EGESA ENG S.A, EGESUR PART E EMP S.A, MATRIX INFRA LTDA, BEMVIVER ENG AMBIENTAL E SERV LTDA, DKF CONST E EMP LTDA, EGEPEL LTDA, ETR ASSESSORIA EMP E PART LTDA, MVT ENG E SERV LTDA, PARQUES DO VALE LTDA, ELMO RIBEIRO E ANA RIBEIRO)</t>
        </is>
      </c>
      <c r="Z425" t="inlineStr">
        <is>
          <t>5088952-81.2025.8.13.0024</t>
        </is>
      </c>
      <c r="AA425" t="inlineStr">
        <is>
          <t>TJMG</t>
        </is>
      </c>
      <c r="AB425" t="inlineStr">
        <is>
          <t>scalzilliaj.com.br</t>
        </is>
      </c>
      <c r="AC425" t="inlineStr">
        <is>
          <t>PEDRO EVERTON SCHWAMBACH</t>
        </is>
      </c>
      <c r="AD425" t="inlineStr">
        <is>
          <t>Presidente</t>
        </is>
      </c>
      <c r="AE425" t="inlineStr">
        <is>
          <t>(81) 3256-6100</t>
        </is>
      </c>
      <c r="AF425" t="inlineStr"/>
      <c r="AG425" t="inlineStr"/>
      <c r="AH425" t="inlineStr">
        <is>
          <t>PE</t>
        </is>
      </c>
      <c r="AI425" t="inlineStr">
        <is>
          <t>RECIFE</t>
        </is>
      </c>
      <c r="AJ425" t="inlineStr">
        <is>
          <t>Locação de automóveis sem condutor</t>
        </is>
      </c>
      <c r="AK425" t="inlineStr">
        <is>
          <t>DEMAIS</t>
        </is>
      </c>
      <c r="AL425" t="inlineStr">
        <is>
          <t>ATIVA</t>
        </is>
      </c>
      <c r="AM425" s="17" t="inlineStr">
        <is>
          <t>https://scalzilliaj.com.br/sgc/download.php?file=files/processo_documento/processo_documento09514021082025_1_.pdf&amp;nome=04 - Relação de credores das Recuperandas</t>
        </is>
      </c>
      <c r="AN425" s="18" t="inlineStr">
        <is>
          <t>p69 r5; p69 r6</t>
        </is>
      </c>
      <c r="AO425" s="18" t="inlineStr">
        <is>
          <t>p69: R$ 225.397,01; p69: R$ 86.495,17</t>
        </is>
      </c>
      <c r="AP425" s="18" t="inlineStr">
        <is>
          <t>DEBTOR_LIST</t>
        </is>
      </c>
      <c r="AQ425" s="18" t="inlineStr"/>
      <c r="AR425" s="18" t="inlineStr">
        <is>
          <t>OK</t>
        </is>
      </c>
      <c r="AS425" s="18" t="inlineStr">
        <is>
          <t>ROWS:p69r5,p69r6 VALUE_COL:Valor_Atualizado CASE_NUMBER_CORRECTED CASE_FROM_PORTAL</t>
        </is>
      </c>
      <c r="AT425" s="18" t="inlineStr">
        <is>
          <t>24ed98480a57</t>
        </is>
      </c>
    </row>
    <row r="426">
      <c r="A426" s="9" t="n">
        <v>425</v>
      </c>
      <c r="B426" s="9" t="inlineStr">
        <is>
          <t>NEW</t>
        </is>
      </c>
      <c r="C426" s="9" t="inlineStr"/>
      <c r="D426" s="9" t="n">
        <v>0</v>
      </c>
      <c r="E426" s="9" t="inlineStr"/>
      <c r="F426" s="9" t="inlineStr"/>
      <c r="G426" s="9" t="inlineStr"/>
      <c r="H426" s="9" t="inlineStr"/>
      <c r="I426" t="inlineStr">
        <is>
          <t>DALMOLIN CONSTRUTORA E ADMINISTRADORA DE BENS PROPRIOS LTDA</t>
        </is>
      </c>
      <c r="J426" t="inlineStr">
        <is>
          <t>DALMOLIN ARQUITETURA E CONSTRUÇÃO</t>
        </is>
      </c>
      <c r="K426" t="inlineStr">
        <is>
          <t>49644505</t>
        </is>
      </c>
      <c r="L426" t="inlineStr">
        <is>
          <t>49644505000188</t>
        </is>
      </c>
      <c r="M426" s="10" t="n">
        <v>311424</v>
      </c>
      <c r="N426" t="n">
        <v>1</v>
      </c>
      <c r="O426" s="11" t="inlineStr">
        <is>
          <t>D</t>
        </is>
      </c>
      <c r="P426" s="11" t="inlineStr"/>
      <c r="Q426" s="12" t="inlineStr"/>
      <c r="R426" s="11">
        <f>IF(Q426="","",ROUND((TODAY()-Q426)/365.25,1))</f>
        <v/>
      </c>
      <c r="S426" s="13">
        <f>IFERROR(VLOOKUP(O426,Assumptions!$A$7:$F$11,2,FALSE),0.25)</f>
        <v/>
      </c>
      <c r="T426" s="14">
        <f>IF(O426="A",MAX(1,IFERROR(VLOOKUP(O426,Assumptions!$A$7:$F$11,3,FALSE),3)+IFERROR(VLOOKUP(O426,Assumptions!$A$7:$F$11,4,FALSE),8)/2-MAX(0,IF(R426="",0,R426)-IFERROR(VLOOKUP(O426,Assumptions!$A$7:$F$11,5,FALSE),1.5))),IFERROR(VLOOKUP(O426,Assumptions!$A$7:$F$11,5,FALSE),2.5)+IFERROR(VLOOKUP(O426,Assumptions!$A$7:$F$11,3,FALSE),3)+IFERROR(VLOOKUP(O426,Assumptions!$A$7:$F$11,4,FALSE),8)/2)</f>
        <v/>
      </c>
      <c r="U426" s="15">
        <f>M426*S426/(1+Assumptions!$B$3)^T426</f>
        <v/>
      </c>
      <c r="V426" s="11">
        <f>IF(M426=0,"",ROUND(U426/M426*100,1))</f>
        <v/>
      </c>
      <c r="W426" s="16">
        <f>U426*Assumptions!$B$4</f>
        <v/>
      </c>
      <c r="X426" s="11">
        <f>IF(M426=0,"",ROUND(W426/M426*100,1))</f>
        <v/>
      </c>
      <c r="Y426" t="inlineStr">
        <is>
          <t>AGIMAX ESQUADRIAS METALICAS LTDA</t>
        </is>
      </c>
      <c r="Z426" t="inlineStr">
        <is>
          <t>5009529-81.2025.8.24.0019</t>
        </is>
      </c>
      <c r="AA426" t="inlineStr"/>
      <c r="AB426" t="inlineStr">
        <is>
          <t>scalzilliaj.com.br</t>
        </is>
      </c>
      <c r="AC426" t="inlineStr">
        <is>
          <t>EDIO LUIS DALMOLIN</t>
        </is>
      </c>
      <c r="AD426" t="inlineStr">
        <is>
          <t>Sócio-Administrador</t>
        </is>
      </c>
      <c r="AE426" t="inlineStr">
        <is>
          <t>(49) 8801-2826</t>
        </is>
      </c>
      <c r="AF426" t="inlineStr"/>
      <c r="AG426" t="inlineStr"/>
      <c r="AH426" t="inlineStr">
        <is>
          <t>SC</t>
        </is>
      </c>
      <c r="AI426" t="inlineStr">
        <is>
          <t>CONCORDIA</t>
        </is>
      </c>
      <c r="AJ426" t="inlineStr">
        <is>
          <t>Construção de edifícios</t>
        </is>
      </c>
      <c r="AK426" t="inlineStr">
        <is>
          <t>MICRO EMPRESA</t>
        </is>
      </c>
      <c r="AL426" t="inlineStr">
        <is>
          <t>ATIVA</t>
        </is>
      </c>
      <c r="AM426" s="17" t="inlineStr">
        <is>
          <t>https://scalzilliaj.com.br/sgc/download.php?file=files/processo_documento/processo_documento15180810062026_1_.pdf&amp;nome=10 - Relação de credores do art. 7º, §2º, da Lei 11.101/2005</t>
        </is>
      </c>
      <c r="AN426" s="18" t="inlineStr">
        <is>
          <t>p1 r41</t>
        </is>
      </c>
      <c r="AO426" s="18" t="inlineStr">
        <is>
          <t>p1: R$ 311.424,00</t>
        </is>
      </c>
      <c r="AP426" s="18" t="inlineStr">
        <is>
          <t>AJ_LIST</t>
        </is>
      </c>
      <c r="AQ426" s="18" t="inlineStr"/>
      <c r="AR426" s="18" t="inlineStr">
        <is>
          <t>OK_NO_TOTALS</t>
        </is>
      </c>
      <c r="AS426" s="18" t="inlineStr">
        <is>
          <t>ROWS:p1r41 UNRECONCILED_SOURCE VALUE_COL:Valor_(Art._7º,_§2º)</t>
        </is>
      </c>
      <c r="AT426" s="18" t="inlineStr">
        <is>
          <t>2e4641168857</t>
        </is>
      </c>
    </row>
    <row r="427">
      <c r="A427" s="9" t="n">
        <v>426</v>
      </c>
      <c r="B427" s="9" t="inlineStr">
        <is>
          <t>NEW</t>
        </is>
      </c>
      <c r="C427" s="9" t="inlineStr"/>
      <c r="D427" s="9" t="n">
        <v>0</v>
      </c>
      <c r="E427" s="9" t="inlineStr"/>
      <c r="F427" s="9" t="inlineStr"/>
      <c r="G427" s="9" t="inlineStr"/>
      <c r="H427" s="9" t="inlineStr"/>
      <c r="I427" t="inlineStr">
        <is>
          <t>NATIVA PRODUTOS AGRICOLAS LTDA</t>
        </is>
      </c>
      <c r="J427" t="inlineStr">
        <is>
          <t>2.20NATIVA PRODUTOS AGRICOLAS LTDA</t>
        </is>
      </c>
      <c r="K427" t="inlineStr">
        <is>
          <t>01911761</t>
        </is>
      </c>
      <c r="L427" t="inlineStr">
        <is>
          <t>01911761000320</t>
        </is>
      </c>
      <c r="M427" s="10" t="n">
        <v>310314.83</v>
      </c>
      <c r="N427" t="n">
        <v>1</v>
      </c>
      <c r="O427" s="11" t="inlineStr">
        <is>
          <t>B</t>
        </is>
      </c>
      <c r="P427" s="11" t="inlineStr">
        <is>
          <t>ACTIVE</t>
        </is>
      </c>
      <c r="Q427" s="12" t="n">
        <v>45534</v>
      </c>
      <c r="R427" s="11">
        <f>IF(Q427="","",ROUND((TODAY()-Q427)/365.25,1))</f>
        <v/>
      </c>
      <c r="S427" s="13">
        <f>IFERROR(VLOOKUP(O427,Assumptions!$A$7:$F$11,2,FALSE),0.25)</f>
        <v/>
      </c>
      <c r="T427" s="14">
        <f>IF(O427="A",MAX(1,IFERROR(VLOOKUP(O427,Assumptions!$A$7:$F$11,3,FALSE),3)+IFERROR(VLOOKUP(O427,Assumptions!$A$7:$F$11,4,FALSE),8)/2-MAX(0,IF(R427="",0,R427)-IFERROR(VLOOKUP(O427,Assumptions!$A$7:$F$11,5,FALSE),1.5))),IFERROR(VLOOKUP(O427,Assumptions!$A$7:$F$11,5,FALSE),2.5)+IFERROR(VLOOKUP(O427,Assumptions!$A$7:$F$11,3,FALSE),3)+IFERROR(VLOOKUP(O427,Assumptions!$A$7:$F$11,4,FALSE),8)/2)</f>
        <v/>
      </c>
      <c r="U427" s="15">
        <f>M427*S427/(1+Assumptions!$B$3)^T427</f>
        <v/>
      </c>
      <c r="V427" s="11">
        <f>IF(M427=0,"",ROUND(U427/M427*100,1))</f>
        <v/>
      </c>
      <c r="W427" s="16">
        <f>U427*Assumptions!$B$4</f>
        <v/>
      </c>
      <c r="X427" s="11">
        <f>IF(M427=0,"",ROUND(W427/M427*100,1))</f>
        <v/>
      </c>
      <c r="Y427" t="inlineStr">
        <is>
          <t>SUINOCULTURA KUNZLER</t>
        </is>
      </c>
      <c r="Z427" t="inlineStr">
        <is>
          <t>5009149-92.2024.8.24.0019</t>
        </is>
      </c>
      <c r="AA427" t="inlineStr">
        <is>
          <t>TJSC</t>
        </is>
      </c>
      <c r="AB427" t="inlineStr">
        <is>
          <t>rlg-aj.com.br</t>
        </is>
      </c>
      <c r="AC427" t="inlineStr">
        <is>
          <t>ALTAIR ZANELLA</t>
        </is>
      </c>
      <c r="AD427" t="inlineStr">
        <is>
          <t>Sócio-Administrador</t>
        </is>
      </c>
      <c r="AE427" t="inlineStr">
        <is>
          <t>(46) 3220-2442</t>
        </is>
      </c>
      <c r="AF427" t="inlineStr"/>
      <c r="AG427" t="inlineStr"/>
      <c r="AH427" t="inlineStr">
        <is>
          <t>PR</t>
        </is>
      </c>
      <c r="AI427" t="inlineStr">
        <is>
          <t>PATO BRANCO</t>
        </is>
      </c>
      <c r="AJ427" t="inlineStr">
        <is>
          <t>Comércio atacadista de defensivos agrícolas, adubos, fertilizantes e corretivos do solo</t>
        </is>
      </c>
      <c r="AK427" t="inlineStr">
        <is>
          <t>DEMAIS</t>
        </is>
      </c>
      <c r="AL427" t="inlineStr">
        <is>
          <t>ATIVA</t>
        </is>
      </c>
      <c r="AM427" s="17" t="inlineStr">
        <is>
          <t>https://rlg-aj.com.br/wp-content/uploads/2024/11/07.-Relação-de-credores.pdf</t>
        </is>
      </c>
      <c r="AN427" s="18" t="inlineStr">
        <is>
          <t>p1 r26</t>
        </is>
      </c>
      <c r="AO427" s="18" t="inlineStr">
        <is>
          <t>p1: R$ 310.314,83</t>
        </is>
      </c>
      <c r="AP427" s="18" t="inlineStr">
        <is>
          <t>UNKNOWN</t>
        </is>
      </c>
      <c r="AQ427" s="18" t="inlineStr"/>
      <c r="AR427" s="18" t="inlineStr">
        <is>
          <t>OK_NO_TOTALS</t>
        </is>
      </c>
      <c r="AS427" s="18" t="inlineStr">
        <is>
          <t>ROWS:p1r26 UNRECONCILED_SOURCE</t>
        </is>
      </c>
      <c r="AT427" s="18" t="inlineStr">
        <is>
          <t>a62ac8ee0458</t>
        </is>
      </c>
    </row>
    <row r="428">
      <c r="A428" s="9" t="n">
        <v>427</v>
      </c>
      <c r="B428" s="9" t="inlineStr">
        <is>
          <t>NEW</t>
        </is>
      </c>
      <c r="C428" s="9" t="inlineStr"/>
      <c r="D428" s="9" t="n">
        <v>0</v>
      </c>
      <c r="E428" s="9" t="inlineStr"/>
      <c r="F428" s="9" t="inlineStr"/>
      <c r="G428" s="9" t="inlineStr"/>
      <c r="H428" s="9" t="inlineStr"/>
      <c r="I428" t="inlineStr">
        <is>
          <t>ALBUQUERQUE SOCCER ATIVIDADES ESPORTIVAS LTDA</t>
        </is>
      </c>
      <c r="J428" t="inlineStr">
        <is>
          <t>ALBUQUERQUE SOCCER ATIVIDADES ESPORTIVAS LTDA, CPF/CNPJ Nº</t>
        </is>
      </c>
      <c r="K428" t="inlineStr">
        <is>
          <t>16620321</t>
        </is>
      </c>
      <c r="L428" t="inlineStr">
        <is>
          <t>16620321000129</t>
        </is>
      </c>
      <c r="M428" s="10" t="n">
        <v>310000</v>
      </c>
      <c r="N428" t="n">
        <v>1</v>
      </c>
      <c r="O428" s="11" t="inlineStr">
        <is>
          <t>C</t>
        </is>
      </c>
      <c r="P428" s="11" t="inlineStr">
        <is>
          <t>ACTIVE</t>
        </is>
      </c>
      <c r="Q428" s="12" t="n">
        <v>44966</v>
      </c>
      <c r="R428" s="11">
        <f>IF(Q428="","",ROUND((TODAY()-Q428)/365.25,1))</f>
        <v/>
      </c>
      <c r="S428" s="13">
        <f>IFERROR(VLOOKUP(O428,Assumptions!$A$7:$F$11,2,FALSE),0.25)</f>
        <v/>
      </c>
      <c r="T428" s="14">
        <f>IF(O428="A",MAX(1,IFERROR(VLOOKUP(O428,Assumptions!$A$7:$F$11,3,FALSE),3)+IFERROR(VLOOKUP(O428,Assumptions!$A$7:$F$11,4,FALSE),8)/2-MAX(0,IF(R428="",0,R428)-IFERROR(VLOOKUP(O428,Assumptions!$A$7:$F$11,5,FALSE),1.5))),IFERROR(VLOOKUP(O428,Assumptions!$A$7:$F$11,5,FALSE),2.5)+IFERROR(VLOOKUP(O428,Assumptions!$A$7:$F$11,3,FALSE),3)+IFERROR(VLOOKUP(O428,Assumptions!$A$7:$F$11,4,FALSE),8)/2)</f>
        <v/>
      </c>
      <c r="U428" s="15">
        <f>M428*S428/(1+Assumptions!$B$3)^T428</f>
        <v/>
      </c>
      <c r="V428" s="11">
        <f>IF(M428=0,"",ROUND(U428/M428*100,1))</f>
        <v/>
      </c>
      <c r="W428" s="16">
        <f>U428*Assumptions!$B$4</f>
        <v/>
      </c>
      <c r="X428" s="11">
        <f>IF(M428=0,"",ROUND(W428/M428*100,1))</f>
        <v/>
      </c>
      <c r="Y428" t="inlineStr">
        <is>
          <t>CLUBE NÁUTICO CAPIBARIBE</t>
        </is>
      </c>
      <c r="Z428" t="inlineStr">
        <is>
          <t>0011283-80.2023.8.17.2001</t>
        </is>
      </c>
      <c r="AA428" t="inlineStr">
        <is>
          <t>TJPE</t>
        </is>
      </c>
      <c r="AB428" t="inlineStr">
        <is>
          <t>lrflideres.com.br</t>
        </is>
      </c>
      <c r="AC428" t="inlineStr">
        <is>
          <t>IGOR JOSE DE SA BARRETO ALBUQUERQUE</t>
        </is>
      </c>
      <c r="AD428" t="inlineStr">
        <is>
          <t>Sócio-Administrador</t>
        </is>
      </c>
      <c r="AE428" t="inlineStr">
        <is>
          <t>(81) 9994-1904</t>
        </is>
      </c>
      <c r="AF428" t="inlineStr"/>
      <c r="AG428" t="inlineStr"/>
      <c r="AH428" t="inlineStr">
        <is>
          <t>PE</t>
        </is>
      </c>
      <c r="AI428" t="inlineStr">
        <is>
          <t>OLINDA</t>
        </is>
      </c>
      <c r="AJ428" t="inlineStr">
        <is>
          <t>Produção e promoção de eventos esportivos</t>
        </is>
      </c>
      <c r="AK428" t="inlineStr">
        <is>
          <t>DEMAIS</t>
        </is>
      </c>
      <c r="AL428" t="inlineStr">
        <is>
          <t>ATIVA</t>
        </is>
      </c>
      <c r="AM428" s="17" t="inlineStr">
        <is>
          <t>https://lrflideres.com.br/wp-content/plugins/download-attachments/includes/download.php?id=5589</t>
        </is>
      </c>
      <c r="AN428" s="18" t="inlineStr">
        <is>
          <t>p11 r61</t>
        </is>
      </c>
      <c r="AO428" s="18" t="inlineStr">
        <is>
          <t>p11: R$ 310.000,00</t>
        </is>
      </c>
      <c r="AP428" s="18" t="inlineStr">
        <is>
          <t>AJ_LIST</t>
        </is>
      </c>
      <c r="AQ428" s="18" t="inlineStr">
        <is>
          <t>2023-11-27</t>
        </is>
      </c>
      <c r="AR428" s="18" t="inlineStr">
        <is>
          <t>QUARANTINED</t>
        </is>
      </c>
      <c r="AS428" s="18" t="inlineStr">
        <is>
          <t>PARTIAL_DOC_CLASS_III_RECONCILED ROWS:p11r61</t>
        </is>
      </c>
      <c r="AT428" s="18" t="inlineStr">
        <is>
          <t>677be5783c06</t>
        </is>
      </c>
    </row>
    <row r="429">
      <c r="A429" s="9" t="n">
        <v>428</v>
      </c>
      <c r="B429" s="9" t="inlineStr">
        <is>
          <t>NEW</t>
        </is>
      </c>
      <c r="C429" s="9" t="inlineStr"/>
      <c r="D429" s="9" t="n">
        <v>0</v>
      </c>
      <c r="E429" s="9" t="inlineStr"/>
      <c r="F429" s="9" t="inlineStr"/>
      <c r="G429" s="9" t="inlineStr"/>
      <c r="H429" s="9" t="inlineStr"/>
      <c r="I429" t="inlineStr">
        <is>
          <t>FLUMINENSE FOOTBALL CLUB</t>
        </is>
      </c>
      <c r="J429" t="inlineStr">
        <is>
          <t>FLUMINENSE FOOTBA LL CLUB</t>
        </is>
      </c>
      <c r="K429" t="inlineStr">
        <is>
          <t>33647553</t>
        </is>
      </c>
      <c r="L429" t="inlineStr">
        <is>
          <t>33647553000190</t>
        </is>
      </c>
      <c r="M429" s="10" t="n">
        <v>309484.78</v>
      </c>
      <c r="N429" t="n">
        <v>1</v>
      </c>
      <c r="O429" s="11" t="inlineStr">
        <is>
          <t>B</t>
        </is>
      </c>
      <c r="P429" s="11" t="inlineStr">
        <is>
          <t>ACTIVE</t>
        </is>
      </c>
      <c r="Q429" s="12" t="n">
        <v>46065</v>
      </c>
      <c r="R429" s="11">
        <f>IF(Q429="","",ROUND((TODAY()-Q429)/365.25,1))</f>
        <v/>
      </c>
      <c r="S429" s="13">
        <f>IFERROR(VLOOKUP(O429,Assumptions!$A$7:$F$11,2,FALSE),0.25)</f>
        <v/>
      </c>
      <c r="T429" s="14">
        <f>IF(O429="A",MAX(1,IFERROR(VLOOKUP(O429,Assumptions!$A$7:$F$11,3,FALSE),3)+IFERROR(VLOOKUP(O429,Assumptions!$A$7:$F$11,4,FALSE),8)/2-MAX(0,IF(R429="",0,R429)-IFERROR(VLOOKUP(O429,Assumptions!$A$7:$F$11,5,FALSE),1.5))),IFERROR(VLOOKUP(O429,Assumptions!$A$7:$F$11,5,FALSE),2.5)+IFERROR(VLOOKUP(O429,Assumptions!$A$7:$F$11,3,FALSE),3)+IFERROR(VLOOKUP(O429,Assumptions!$A$7:$F$11,4,FALSE),8)/2)</f>
        <v/>
      </c>
      <c r="U429" s="15">
        <f>M429*S429/(1+Assumptions!$B$3)^T429</f>
        <v/>
      </c>
      <c r="V429" s="11">
        <f>IF(M429=0,"",ROUND(U429/M429*100,1))</f>
        <v/>
      </c>
      <c r="W429" s="16">
        <f>U429*Assumptions!$B$4</f>
        <v/>
      </c>
      <c r="X429" s="11">
        <f>IF(M429=0,"",ROUND(W429/M429*100,1))</f>
        <v/>
      </c>
      <c r="Y429" t="inlineStr">
        <is>
          <t>PAYSANDU SPORT CLUB</t>
        </is>
      </c>
      <c r="Z429" t="inlineStr">
        <is>
          <t>0820780-23.2026.8.14.0301</t>
        </is>
      </c>
      <c r="AA429" t="inlineStr">
        <is>
          <t>TJPA</t>
        </is>
      </c>
      <c r="AB429" t="inlineStr">
        <is>
          <t>cdn.dol.com.br</t>
        </is>
      </c>
      <c r="AC429" t="inlineStr">
        <is>
          <t>MATTHEUS REIS E MONTENEGRO</t>
        </is>
      </c>
      <c r="AD429" t="inlineStr">
        <is>
          <t>Presidente</t>
        </is>
      </c>
      <c r="AE429" t="inlineStr"/>
      <c r="AF429" t="inlineStr"/>
      <c r="AG429" t="inlineStr"/>
      <c r="AH429" t="inlineStr">
        <is>
          <t>RJ</t>
        </is>
      </c>
      <c r="AI429" t="inlineStr">
        <is>
          <t>RIO DE JANEIRO</t>
        </is>
      </c>
      <c r="AJ429" t="inlineStr">
        <is>
          <t>Clubes sociais, esportivos e similares</t>
        </is>
      </c>
      <c r="AK429" t="inlineStr">
        <is>
          <t>DEMAIS</t>
        </is>
      </c>
      <c r="AL429" t="inlineStr">
        <is>
          <t>ATIVA</t>
        </is>
      </c>
      <c r="AM429" s="17" t="inlineStr">
        <is>
          <t>https://cdn.dol.com.br/img/attachmentinline/940000/6publicacao-2-edital-art-7-parag-2-da-lei-11101-20009467060.pdf?xid=3272528</t>
        </is>
      </c>
      <c r="AN429" s="18" t="inlineStr">
        <is>
          <t>p3 r19</t>
        </is>
      </c>
      <c r="AO429" s="18" t="inlineStr">
        <is>
          <t>p3: R$ 309.484,78</t>
        </is>
      </c>
      <c r="AP429" s="18" t="inlineStr">
        <is>
          <t>AJ_LIST</t>
        </is>
      </c>
      <c r="AQ429" s="18" t="inlineStr">
        <is>
          <t>2026-07-07</t>
        </is>
      </c>
      <c r="AR429" s="18" t="inlineStr">
        <is>
          <t>QUARANTINED</t>
        </is>
      </c>
      <c r="AS429" s="18" t="inlineStr">
        <is>
          <t>PARTIAL_DOC_CLASS_III_RECONCILED ROWS:p3r19</t>
        </is>
      </c>
      <c r="AT429" s="18" t="inlineStr">
        <is>
          <t>38d930ab1caa</t>
        </is>
      </c>
    </row>
    <row r="430">
      <c r="A430" s="9" t="n">
        <v>429</v>
      </c>
      <c r="B430" s="9" t="inlineStr">
        <is>
          <t>NEW</t>
        </is>
      </c>
      <c r="C430" s="9" t="inlineStr"/>
      <c r="D430" s="9" t="n">
        <v>0</v>
      </c>
      <c r="E430" s="9" t="inlineStr"/>
      <c r="F430" s="9" t="inlineStr"/>
      <c r="G430" s="9" t="inlineStr"/>
      <c r="H430" s="9" t="inlineStr"/>
      <c r="I430" t="inlineStr">
        <is>
          <t>MTC INCORPORACOES IMOBILIARIAS LTDA</t>
        </is>
      </c>
      <c r="J430" t="inlineStr">
        <is>
          <t>MTC INCORPORAÇÕES IMOBILIARIAS LTDA. (</t>
        </is>
      </c>
      <c r="K430" t="inlineStr">
        <is>
          <t>12749549</t>
        </is>
      </c>
      <c r="L430" t="inlineStr">
        <is>
          <t>12749549000162</t>
        </is>
      </c>
      <c r="M430" s="10" t="n">
        <v>309000</v>
      </c>
      <c r="N430" t="n">
        <v>1</v>
      </c>
      <c r="O430" s="11" t="inlineStr">
        <is>
          <t>C</t>
        </is>
      </c>
      <c r="P430" s="11" t="inlineStr">
        <is>
          <t>ACTIVE</t>
        </is>
      </c>
      <c r="Q430" s="12" t="n">
        <v>44354</v>
      </c>
      <c r="R430" s="11">
        <f>IF(Q430="","",ROUND((TODAY()-Q430)/365.25,1))</f>
        <v/>
      </c>
      <c r="S430" s="13">
        <f>IFERROR(VLOOKUP(O430,Assumptions!$A$7:$F$11,2,FALSE),0.25)</f>
        <v/>
      </c>
      <c r="T430" s="14">
        <f>IF(O430="A",MAX(1,IFERROR(VLOOKUP(O430,Assumptions!$A$7:$F$11,3,FALSE),3)+IFERROR(VLOOKUP(O430,Assumptions!$A$7:$F$11,4,FALSE),8)/2-MAX(0,IF(R430="",0,R430)-IFERROR(VLOOKUP(O430,Assumptions!$A$7:$F$11,5,FALSE),1.5))),IFERROR(VLOOKUP(O430,Assumptions!$A$7:$F$11,5,FALSE),2.5)+IFERROR(VLOOKUP(O430,Assumptions!$A$7:$F$11,3,FALSE),3)+IFERROR(VLOOKUP(O430,Assumptions!$A$7:$F$11,4,FALSE),8)/2)</f>
        <v/>
      </c>
      <c r="U430" s="15">
        <f>M430*S430/(1+Assumptions!$B$3)^T430</f>
        <v/>
      </c>
      <c r="V430" s="11">
        <f>IF(M430=0,"",ROUND(U430/M430*100,1))</f>
        <v/>
      </c>
      <c r="W430" s="16">
        <f>U430*Assumptions!$B$4</f>
        <v/>
      </c>
      <c r="X430" s="11">
        <f>IF(M430=0,"",ROUND(W430/M430*100,1))</f>
        <v/>
      </c>
      <c r="Y430" t="inlineStr">
        <is>
          <t>VECTOR INDÚSTRIA DE PRODUTOS METALÚRGICOS LTDA.</t>
        </is>
      </c>
      <c r="Z430" t="inlineStr">
        <is>
          <t>5014104-85.2021.8.21.0010</t>
        </is>
      </c>
      <c r="AA430" t="inlineStr">
        <is>
          <t>TJRS</t>
        </is>
      </c>
      <c r="AB430" t="inlineStr">
        <is>
          <t>scalzilliaj.com.br</t>
        </is>
      </c>
      <c r="AC430" t="inlineStr">
        <is>
          <t>IVAN LUIZ CHEMELLO</t>
        </is>
      </c>
      <c r="AD430" t="inlineStr">
        <is>
          <t>Sócio-Administrador</t>
        </is>
      </c>
      <c r="AE430" t="inlineStr">
        <is>
          <t>(54) 3028-1551</t>
        </is>
      </c>
      <c r="AF430" t="inlineStr"/>
      <c r="AG430" t="inlineStr"/>
      <c r="AH430" t="inlineStr">
        <is>
          <t>RS</t>
        </is>
      </c>
      <c r="AI430" t="inlineStr">
        <is>
          <t>CAXIAS DO SUL</t>
        </is>
      </c>
      <c r="AJ430" t="inlineStr">
        <is>
          <t>Incorporação de empreendimentos imobiliários</t>
        </is>
      </c>
      <c r="AK430" t="inlineStr">
        <is>
          <t>DEMAIS</t>
        </is>
      </c>
      <c r="AL430" t="inlineStr">
        <is>
          <t>ATIVA</t>
        </is>
      </c>
      <c r="AM430" s="17" t="inlineStr">
        <is>
          <t>https://scalzilliaj.com.br/sgc/download.php?file=files/processo_documento/processo_documento15513401112022_1_.pdf&amp;nome=15 - Edital do art. 7º, §2º (segunda lista de credores) e do art. 53 da Lei 11.101/2005 (recebimento do plano)</t>
        </is>
      </c>
      <c r="AN430" s="18" t="inlineStr">
        <is>
          <t>p8 r26</t>
        </is>
      </c>
      <c r="AO430" s="18" t="inlineStr">
        <is>
          <t>p8: R$ 309.000,00</t>
        </is>
      </c>
      <c r="AP430" s="18" t="inlineStr">
        <is>
          <t>AJ_LIST</t>
        </is>
      </c>
      <c r="AQ430" s="18" t="inlineStr">
        <is>
          <t>2022-11-01</t>
        </is>
      </c>
      <c r="AR430" s="18" t="inlineStr">
        <is>
          <t>OK_NO_TOTALS</t>
        </is>
      </c>
      <c r="AS430" s="18" t="inlineStr">
        <is>
          <t>ROWS:p8r26 UNRECONCILED_SOURCE</t>
        </is>
      </c>
      <c r="AT430" s="18" t="inlineStr">
        <is>
          <t>84c586360a66</t>
        </is>
      </c>
    </row>
    <row r="431">
      <c r="A431" s="9" t="n">
        <v>430</v>
      </c>
      <c r="B431" s="9" t="inlineStr">
        <is>
          <t>NEW</t>
        </is>
      </c>
      <c r="C431" s="9" t="inlineStr"/>
      <c r="D431" s="9" t="n">
        <v>0</v>
      </c>
      <c r="E431" s="9" t="inlineStr"/>
      <c r="F431" s="9" t="inlineStr"/>
      <c r="G431" s="9" t="inlineStr"/>
      <c r="H431" s="9" t="inlineStr"/>
      <c r="I431" t="inlineStr">
        <is>
          <t>CRBS S/A</t>
        </is>
      </c>
      <c r="J431" t="inlineStr">
        <is>
          <t>Ambev</t>
        </is>
      </c>
      <c r="K431" t="inlineStr">
        <is>
          <t>56228356</t>
        </is>
      </c>
      <c r="L431" t="inlineStr">
        <is>
          <t>56228356018006</t>
        </is>
      </c>
      <c r="M431" s="10" t="n">
        <v>308761.42</v>
      </c>
      <c r="N431" t="n">
        <v>1</v>
      </c>
      <c r="O431" s="11" t="inlineStr">
        <is>
          <t>B</t>
        </is>
      </c>
      <c r="P431" s="11" t="inlineStr">
        <is>
          <t>ACTIVE</t>
        </is>
      </c>
      <c r="Q431" s="12" t="n">
        <v>46130</v>
      </c>
      <c r="R431" s="11">
        <f>IF(Q431="","",ROUND((TODAY()-Q431)/365.25,1))</f>
        <v/>
      </c>
      <c r="S431" s="13">
        <f>IFERROR(VLOOKUP(O431,Assumptions!$A$7:$F$11,2,FALSE),0.25)</f>
        <v/>
      </c>
      <c r="T431" s="14">
        <f>IF(O431="A",MAX(1,IFERROR(VLOOKUP(O431,Assumptions!$A$7:$F$11,3,FALSE),3)+IFERROR(VLOOKUP(O431,Assumptions!$A$7:$F$11,4,FALSE),8)/2-MAX(0,IF(R431="",0,R431)-IFERROR(VLOOKUP(O431,Assumptions!$A$7:$F$11,5,FALSE),1.5))),IFERROR(VLOOKUP(O431,Assumptions!$A$7:$F$11,5,FALSE),2.5)+IFERROR(VLOOKUP(O431,Assumptions!$A$7:$F$11,3,FALSE),3)+IFERROR(VLOOKUP(O431,Assumptions!$A$7:$F$11,4,FALSE),8)/2)</f>
        <v/>
      </c>
      <c r="U431" s="15">
        <f>M431*S431/(1+Assumptions!$B$3)^T431</f>
        <v/>
      </c>
      <c r="V431" s="11">
        <f>IF(M431=0,"",ROUND(U431/M431*100,1))</f>
        <v/>
      </c>
      <c r="W431" s="16">
        <f>U431*Assumptions!$B$4</f>
        <v/>
      </c>
      <c r="X431" s="11">
        <f>IF(M431=0,"",ROUND(W431/M431*100,1))</f>
        <v/>
      </c>
      <c r="Y431" t="inlineStr">
        <is>
          <t>GRUPO 3E</t>
        </is>
      </c>
      <c r="Z431" t="inlineStr">
        <is>
          <t>5341375-33.2026.8.09.0049</t>
        </is>
      </c>
      <c r="AA431" t="inlineStr">
        <is>
          <t>TJGO</t>
        </is>
      </c>
      <c r="AB431" t="inlineStr">
        <is>
          <t>stenius.com.br</t>
        </is>
      </c>
      <c r="AC431" t="inlineStr">
        <is>
          <t>AUGUSTO GABRIEL ANDRADE GARCIA CATTANEO</t>
        </is>
      </c>
      <c r="AD431" t="inlineStr">
        <is>
          <t>Diretor</t>
        </is>
      </c>
      <c r="AE431" t="inlineStr">
        <is>
          <t>(19) 3313-5680</t>
        </is>
      </c>
      <c r="AF431" t="inlineStr">
        <is>
          <t>(19) 3313-6000</t>
        </is>
      </c>
      <c r="AG431" t="inlineStr"/>
      <c r="AH431" t="inlineStr">
        <is>
          <t>SP</t>
        </is>
      </c>
      <c r="AI431" t="inlineStr">
        <is>
          <t>JAGUARIUNA</t>
        </is>
      </c>
      <c r="AJ431" t="inlineStr">
        <is>
          <t>Comércio atacadista de cerveja, chope e refrigerante</t>
        </is>
      </c>
      <c r="AK431" t="inlineStr">
        <is>
          <t>DEMAIS</t>
        </is>
      </c>
      <c r="AL431" t="inlineStr">
        <is>
          <t>ATIVA</t>
        </is>
      </c>
      <c r="AM431" s="17" t="inlineStr">
        <is>
          <t>https://stenius.com.br/wp-content/uploads/2026/06/EDITAL-GRUPO-3E.pdf</t>
        </is>
      </c>
      <c r="AN431" s="18" t="inlineStr">
        <is>
          <t>p9 r31</t>
        </is>
      </c>
      <c r="AO431" s="18" t="inlineStr">
        <is>
          <t>p9: R$ 308.761,42</t>
        </is>
      </c>
      <c r="AP431" s="18" t="inlineStr">
        <is>
          <t>DEBTOR_LIST</t>
        </is>
      </c>
      <c r="AQ431" s="18" t="inlineStr">
        <is>
          <t>2026-06-22</t>
        </is>
      </c>
      <c r="AR431" s="18" t="inlineStr">
        <is>
          <t>OK_NO_TOTALS</t>
        </is>
      </c>
      <c r="AS431" s="18" t="inlineStr">
        <is>
          <t>ROWS:p9r31 UNRECONCILED_SOURCE</t>
        </is>
      </c>
      <c r="AT431" s="18" t="inlineStr">
        <is>
          <t>8e8832093a15</t>
        </is>
      </c>
    </row>
    <row r="432">
      <c r="A432" s="9" t="n">
        <v>431</v>
      </c>
      <c r="B432" s="9" t="inlineStr">
        <is>
          <t>NEW</t>
        </is>
      </c>
      <c r="C432" s="9" t="inlineStr"/>
      <c r="D432" s="9" t="n">
        <v>0</v>
      </c>
      <c r="E432" s="9" t="inlineStr"/>
      <c r="F432" s="9" t="inlineStr"/>
      <c r="G432" s="9" t="inlineStr"/>
      <c r="H432" s="9" t="inlineStr"/>
      <c r="I432" t="inlineStr">
        <is>
          <t>MADSON ELETROMETALURGICA LTDA</t>
        </is>
      </c>
      <c r="J432" t="inlineStr">
        <is>
          <t>20.520.367/0002-24</t>
        </is>
      </c>
      <c r="K432" t="inlineStr">
        <is>
          <t>20520367</t>
        </is>
      </c>
      <c r="L432" t="inlineStr">
        <is>
          <t>20520367000224</t>
        </is>
      </c>
      <c r="M432" s="10" t="n">
        <v>308189.05</v>
      </c>
      <c r="N432" t="n">
        <v>1</v>
      </c>
      <c r="O432" s="11" t="inlineStr">
        <is>
          <t>C</t>
        </is>
      </c>
      <c r="P432" s="11" t="inlineStr">
        <is>
          <t>ACTIVE</t>
        </is>
      </c>
      <c r="Q432" s="12" t="n">
        <v>43894</v>
      </c>
      <c r="R432" s="11">
        <f>IF(Q432="","",ROUND((TODAY()-Q432)/365.25,1))</f>
        <v/>
      </c>
      <c r="S432" s="13">
        <f>IFERROR(VLOOKUP(O432,Assumptions!$A$7:$F$11,2,FALSE),0.25)</f>
        <v/>
      </c>
      <c r="T432" s="14">
        <f>IF(O432="A",MAX(1,IFERROR(VLOOKUP(O432,Assumptions!$A$7:$F$11,3,FALSE),3)+IFERROR(VLOOKUP(O432,Assumptions!$A$7:$F$11,4,FALSE),8)/2-MAX(0,IF(R432="",0,R432)-IFERROR(VLOOKUP(O432,Assumptions!$A$7:$F$11,5,FALSE),1.5))),IFERROR(VLOOKUP(O432,Assumptions!$A$7:$F$11,5,FALSE),2.5)+IFERROR(VLOOKUP(O432,Assumptions!$A$7:$F$11,3,FALSE),3)+IFERROR(VLOOKUP(O432,Assumptions!$A$7:$F$11,4,FALSE),8)/2)</f>
        <v/>
      </c>
      <c r="U432" s="15">
        <f>M432*S432/(1+Assumptions!$B$3)^T432</f>
        <v/>
      </c>
      <c r="V432" s="11">
        <f>IF(M432=0,"",ROUND(U432/M432*100,1))</f>
        <v/>
      </c>
      <c r="W432" s="16">
        <f>U432*Assumptions!$B$4</f>
        <v/>
      </c>
      <c r="X432" s="11">
        <f>IF(M432=0,"",ROUND(W432/M432*100,1))</f>
        <v/>
      </c>
      <c r="Y432" t="inlineStr">
        <is>
          <t>CREDIMÓVEIS NOVOLAR LTDA.</t>
        </is>
      </c>
      <c r="Z432" t="inlineStr">
        <is>
          <t>0007565-40.2020.8.17.2370</t>
        </is>
      </c>
      <c r="AA432" t="inlineStr">
        <is>
          <t>TJPE</t>
        </is>
      </c>
      <c r="AB432" t="inlineStr">
        <is>
          <t>recuperacaojudicial.squarespace.com</t>
        </is>
      </c>
      <c r="AC432" t="inlineStr">
        <is>
          <t>FERNANDO CELSO GRASSI FERREIRA XAVIER</t>
        </is>
      </c>
      <c r="AD432" t="inlineStr">
        <is>
          <t>Sócio-Administrador</t>
        </is>
      </c>
      <c r="AE432" t="inlineStr">
        <is>
          <t>(31) 2125-5236</t>
        </is>
      </c>
      <c r="AF432" t="inlineStr">
        <is>
          <t>(31) 2125-5237</t>
        </is>
      </c>
      <c r="AG432" t="inlineStr"/>
      <c r="AH432" t="inlineStr">
        <is>
          <t>MG</t>
        </is>
      </c>
      <c r="AI432" t="inlineStr">
        <is>
          <t>BELO HORIZONTE</t>
        </is>
      </c>
      <c r="AJ432" t="inlineStr">
        <is>
          <t>Fabricação de fogões, refrigeradores e máquinas de lavar e secar para uso doméstico, peças e acessórios</t>
        </is>
      </c>
      <c r="AK432" t="inlineStr">
        <is>
          <t>DEMAIS</t>
        </is>
      </c>
      <c r="AL432" t="inlineStr">
        <is>
          <t>ATIVA</t>
        </is>
      </c>
      <c r="AM432" s="17" t="inlineStr">
        <is>
          <t>https://recuperacaojudicial.squarespace.com/s/RJ-Credimoveis-QGC-01082025.pdf</t>
        </is>
      </c>
      <c r="AN432" s="18" t="inlineStr">
        <is>
          <t>p16 r13</t>
        </is>
      </c>
      <c r="AO432" s="18" t="inlineStr">
        <is>
          <t>p16: R$ 308.189,05</t>
        </is>
      </c>
      <c r="AP432" s="18" t="inlineStr">
        <is>
          <t>QGC</t>
        </is>
      </c>
      <c r="AQ432" s="18" t="inlineStr">
        <is>
          <t>2026-01-28</t>
        </is>
      </c>
      <c r="AR432" s="18" t="inlineStr">
        <is>
          <t>OK</t>
        </is>
      </c>
      <c r="AS432" s="18" t="inlineStr">
        <is>
          <t>ROWS:p16r13</t>
        </is>
      </c>
      <c r="AT432" s="18" t="inlineStr">
        <is>
          <t>849d4fe5adce</t>
        </is>
      </c>
    </row>
    <row r="433">
      <c r="A433" s="9" t="n">
        <v>432</v>
      </c>
      <c r="B433" s="9" t="inlineStr">
        <is>
          <t>NEW</t>
        </is>
      </c>
      <c r="C433" s="9" t="inlineStr"/>
      <c r="D433" s="9" t="n">
        <v>0</v>
      </c>
      <c r="E433" s="9" t="inlineStr"/>
      <c r="F433" s="9" t="inlineStr"/>
      <c r="G433" s="9" t="inlineStr"/>
      <c r="H433" s="9" t="inlineStr"/>
      <c r="I433" t="inlineStr">
        <is>
          <t>MEGATEAM CONSULTORIA LTDA</t>
        </is>
      </c>
      <c r="J433" t="inlineStr">
        <is>
          <t>MEGATEAM CONSULTORIA LTDA, CPF/CNPJ Nº</t>
        </is>
      </c>
      <c r="K433" t="inlineStr">
        <is>
          <t>05603186</t>
        </is>
      </c>
      <c r="L433" t="inlineStr">
        <is>
          <t>05603186000197</t>
        </is>
      </c>
      <c r="M433" s="10" t="n">
        <v>307262.69</v>
      </c>
      <c r="N433" t="n">
        <v>1</v>
      </c>
      <c r="O433" s="11" t="inlineStr">
        <is>
          <t>C</t>
        </is>
      </c>
      <c r="P433" s="11" t="inlineStr">
        <is>
          <t>ACTIVE</t>
        </is>
      </c>
      <c r="Q433" s="12" t="n">
        <v>44966</v>
      </c>
      <c r="R433" s="11">
        <f>IF(Q433="","",ROUND((TODAY()-Q433)/365.25,1))</f>
        <v/>
      </c>
      <c r="S433" s="13">
        <f>IFERROR(VLOOKUP(O433,Assumptions!$A$7:$F$11,2,FALSE),0.25)</f>
        <v/>
      </c>
      <c r="T433" s="14">
        <f>IF(O433="A",MAX(1,IFERROR(VLOOKUP(O433,Assumptions!$A$7:$F$11,3,FALSE),3)+IFERROR(VLOOKUP(O433,Assumptions!$A$7:$F$11,4,FALSE),8)/2-MAX(0,IF(R433="",0,R433)-IFERROR(VLOOKUP(O433,Assumptions!$A$7:$F$11,5,FALSE),1.5))),IFERROR(VLOOKUP(O433,Assumptions!$A$7:$F$11,5,FALSE),2.5)+IFERROR(VLOOKUP(O433,Assumptions!$A$7:$F$11,3,FALSE),3)+IFERROR(VLOOKUP(O433,Assumptions!$A$7:$F$11,4,FALSE),8)/2)</f>
        <v/>
      </c>
      <c r="U433" s="15">
        <f>M433*S433/(1+Assumptions!$B$3)^T433</f>
        <v/>
      </c>
      <c r="V433" s="11">
        <f>IF(M433=0,"",ROUND(U433/M433*100,1))</f>
        <v/>
      </c>
      <c r="W433" s="16">
        <f>U433*Assumptions!$B$4</f>
        <v/>
      </c>
      <c r="X433" s="11">
        <f>IF(M433=0,"",ROUND(W433/M433*100,1))</f>
        <v/>
      </c>
      <c r="Y433" t="inlineStr">
        <is>
          <t>CLUBE NÁUTICO CAPIBARIBE</t>
        </is>
      </c>
      <c r="Z433" t="inlineStr">
        <is>
          <t>0011283-80.2023.8.17.2001</t>
        </is>
      </c>
      <c r="AA433" t="inlineStr">
        <is>
          <t>TJPE</t>
        </is>
      </c>
      <c r="AB433" t="inlineStr">
        <is>
          <t>lrflideres.com.br</t>
        </is>
      </c>
      <c r="AC433" t="inlineStr">
        <is>
          <t>PAULO ESTEVAO BRAGA NEHMY</t>
        </is>
      </c>
      <c r="AD433" t="inlineStr">
        <is>
          <t>Sócio-Administrador</t>
        </is>
      </c>
      <c r="AE433" t="inlineStr">
        <is>
          <t>(31) 9982-4747</t>
        </is>
      </c>
      <c r="AF433" t="inlineStr"/>
      <c r="AG433" t="inlineStr"/>
      <c r="AH433" t="inlineStr">
        <is>
          <t>MG</t>
        </is>
      </c>
      <c r="AI433" t="inlineStr">
        <is>
          <t>BELO HORIZONTE</t>
        </is>
      </c>
      <c r="AJ433" t="inlineStr">
        <is>
          <t>Atividades de intermediação e agenciamento de serviços e negócios em geral, exceto imobiliários</t>
        </is>
      </c>
      <c r="AK433" t="inlineStr">
        <is>
          <t>DEMAIS</t>
        </is>
      </c>
      <c r="AL433" t="inlineStr">
        <is>
          <t>ATIVA</t>
        </is>
      </c>
      <c r="AM433" s="17" t="inlineStr">
        <is>
          <t>https://lrflideres.com.br/wp-content/plugins/download-attachments/includes/download.php?id=5589</t>
        </is>
      </c>
      <c r="AN433" s="18" t="inlineStr">
        <is>
          <t>p12 r33</t>
        </is>
      </c>
      <c r="AO433" s="18" t="inlineStr">
        <is>
          <t>p12: R$ 307.262,69</t>
        </is>
      </c>
      <c r="AP433" s="18" t="inlineStr">
        <is>
          <t>AJ_LIST</t>
        </is>
      </c>
      <c r="AQ433" s="18" t="inlineStr">
        <is>
          <t>2023-11-27</t>
        </is>
      </c>
      <c r="AR433" s="18" t="inlineStr">
        <is>
          <t>QUARANTINED</t>
        </is>
      </c>
      <c r="AS433" s="18" t="inlineStr">
        <is>
          <t>PARTIAL_DOC_CLASS_III_RECONCILED ROWS:p12r33</t>
        </is>
      </c>
      <c r="AT433" s="18" t="inlineStr">
        <is>
          <t>677be5783c06</t>
        </is>
      </c>
    </row>
    <row r="434">
      <c r="A434" s="9" t="n">
        <v>433</v>
      </c>
      <c r="B434" s="9" t="inlineStr">
        <is>
          <t>NEW</t>
        </is>
      </c>
      <c r="C434" s="9" t="inlineStr"/>
      <c r="D434" s="9" t="n">
        <v>0</v>
      </c>
      <c r="E434" s="9" t="inlineStr"/>
      <c r="F434" s="9" t="inlineStr"/>
      <c r="G434" s="9" t="inlineStr"/>
      <c r="H434" s="9" t="inlineStr"/>
      <c r="I434" t="inlineStr">
        <is>
          <t>GR SERVICOS E ALIMENTACAO LTDA.</t>
        </is>
      </c>
      <c r="J434" t="inlineStr">
        <is>
          <t>GR SERVICOS E ALIMENTACAO LTDA</t>
        </is>
      </c>
      <c r="K434" t="inlineStr">
        <is>
          <t>02905110</t>
        </is>
      </c>
      <c r="L434" t="inlineStr">
        <is>
          <t>02905110002252</t>
        </is>
      </c>
      <c r="M434" s="10" t="n">
        <v>306115.81</v>
      </c>
      <c r="N434" t="n">
        <v>1</v>
      </c>
      <c r="O434" s="11" t="inlineStr">
        <is>
          <t>C</t>
        </is>
      </c>
      <c r="P434" s="11" t="inlineStr"/>
      <c r="Q434" s="12" t="inlineStr"/>
      <c r="R434" s="11">
        <f>IF(Q434="","",ROUND((TODAY()-Q434)/365.25,1))</f>
        <v/>
      </c>
      <c r="S434" s="13">
        <f>IFERROR(VLOOKUP(O434,Assumptions!$A$7:$F$11,2,FALSE),0.25)</f>
        <v/>
      </c>
      <c r="T434" s="14">
        <f>IF(O434="A",MAX(1,IFERROR(VLOOKUP(O434,Assumptions!$A$7:$F$11,3,FALSE),3)+IFERROR(VLOOKUP(O434,Assumptions!$A$7:$F$11,4,FALSE),8)/2-MAX(0,IF(R434="",0,R434)-IFERROR(VLOOKUP(O434,Assumptions!$A$7:$F$11,5,FALSE),1.5))),IFERROR(VLOOKUP(O434,Assumptions!$A$7:$F$11,5,FALSE),2.5)+IFERROR(VLOOKUP(O434,Assumptions!$A$7:$F$11,3,FALSE),3)+IFERROR(VLOOKUP(O434,Assumptions!$A$7:$F$11,4,FALSE),8)/2)</f>
        <v/>
      </c>
      <c r="U434" s="15">
        <f>M434*S434/(1+Assumptions!$B$3)^T434</f>
        <v/>
      </c>
      <c r="V434" s="11">
        <f>IF(M434=0,"",ROUND(U434/M434*100,1))</f>
        <v/>
      </c>
      <c r="W434" s="16">
        <f>U434*Assumptions!$B$4</f>
        <v/>
      </c>
      <c r="X434" s="11">
        <f>IF(M434=0,"",ROUND(W434/M434*100,1))</f>
        <v/>
      </c>
      <c r="Y434" t="inlineStr">
        <is>
          <t>HOSPITAL SANTA MÔNICA LTDA</t>
        </is>
      </c>
      <c r="Z434" t="inlineStr">
        <is>
          <t>0041309-42.2014.8.08.0024</t>
        </is>
      </c>
      <c r="AA434" t="inlineStr"/>
      <c r="AB434" t="inlineStr">
        <is>
          <t>ricardobiancardi.com.br</t>
        </is>
      </c>
      <c r="AC434" t="inlineStr">
        <is>
          <t>ANDERSON NUNES DA SILVA</t>
        </is>
      </c>
      <c r="AD434" t="inlineStr">
        <is>
          <t>Administrador</t>
        </is>
      </c>
      <c r="AE434" t="inlineStr">
        <is>
          <t>(11) 2135-3000</t>
        </is>
      </c>
      <c r="AF434" t="inlineStr"/>
      <c r="AG434" t="inlineStr"/>
      <c r="AH434" t="inlineStr">
        <is>
          <t>SP</t>
        </is>
      </c>
      <c r="AI434" t="inlineStr">
        <is>
          <t>SAO PAULO</t>
        </is>
      </c>
      <c r="AJ434" t="inlineStr">
        <is>
          <t>Fornecimento de alimentos preparados preponderantemente para empresas</t>
        </is>
      </c>
      <c r="AK434" t="inlineStr">
        <is>
          <t>DEMAIS</t>
        </is>
      </c>
      <c r="AL434" t="inlineStr">
        <is>
          <t>ATIVA</t>
        </is>
      </c>
      <c r="AM434" s="17" t="inlineStr">
        <is>
          <t>https://ricardobiancardi.com.br/wp-content/uploads/2024/12/Edital-1-relacao-de-credores-pub.-02.12.24-.pdf</t>
        </is>
      </c>
      <c r="AN434" s="18" t="inlineStr">
        <is>
          <t>p4 r16</t>
        </is>
      </c>
      <c r="AO434" s="18" t="inlineStr">
        <is>
          <t>p4: R$ 306.115,81</t>
        </is>
      </c>
      <c r="AP434" s="18" t="inlineStr">
        <is>
          <t>DEBTOR_LIST</t>
        </is>
      </c>
      <c r="AQ434" s="18" t="inlineStr">
        <is>
          <t>2024-12-02</t>
        </is>
      </c>
      <c r="AR434" s="18" t="inlineStr">
        <is>
          <t>OK_NO_TOTALS</t>
        </is>
      </c>
      <c r="AS434" s="18" t="inlineStr">
        <is>
          <t>ROWS:p4r16 UNRECONCILED_SOURCE</t>
        </is>
      </c>
      <c r="AT434" s="18" t="inlineStr">
        <is>
          <t>bf96785f7a4e</t>
        </is>
      </c>
    </row>
    <row r="435">
      <c r="A435" s="9" t="n">
        <v>434</v>
      </c>
      <c r="B435" s="9" t="inlineStr">
        <is>
          <t>NEW</t>
        </is>
      </c>
      <c r="C435" s="9" t="inlineStr"/>
      <c r="D435" s="9" t="n">
        <v>0</v>
      </c>
      <c r="E435" s="9" t="inlineStr"/>
      <c r="F435" s="9" t="inlineStr"/>
      <c r="G435" s="9" t="inlineStr"/>
      <c r="H435" s="9" t="inlineStr"/>
      <c r="I435" t="inlineStr">
        <is>
          <t>ACOTUBO SOLUCOES EM ACOS LTDA</t>
        </is>
      </c>
      <c r="J435" t="inlineStr">
        <is>
          <t>ACO INOXIDAVEL ARTEX LTDA (</t>
        </is>
      </c>
      <c r="K435" t="inlineStr">
        <is>
          <t>33150053</t>
        </is>
      </c>
      <c r="L435" t="inlineStr">
        <is>
          <t>33150053000652</t>
        </is>
      </c>
      <c r="M435" s="10" t="n">
        <v>303544.67</v>
      </c>
      <c r="N435" t="n">
        <v>1</v>
      </c>
      <c r="O435" s="11" t="inlineStr">
        <is>
          <t>C</t>
        </is>
      </c>
      <c r="P435" s="11" t="inlineStr">
        <is>
          <t>ACTIVE</t>
        </is>
      </c>
      <c r="Q435" s="12" t="n">
        <v>44354</v>
      </c>
      <c r="R435" s="11">
        <f>IF(Q435="","",ROUND((TODAY()-Q435)/365.25,1))</f>
        <v/>
      </c>
      <c r="S435" s="13">
        <f>IFERROR(VLOOKUP(O435,Assumptions!$A$7:$F$11,2,FALSE),0.25)</f>
        <v/>
      </c>
      <c r="T435" s="14">
        <f>IF(O435="A",MAX(1,IFERROR(VLOOKUP(O435,Assumptions!$A$7:$F$11,3,FALSE),3)+IFERROR(VLOOKUP(O435,Assumptions!$A$7:$F$11,4,FALSE),8)/2-MAX(0,IF(R435="",0,R435)-IFERROR(VLOOKUP(O435,Assumptions!$A$7:$F$11,5,FALSE),1.5))),IFERROR(VLOOKUP(O435,Assumptions!$A$7:$F$11,5,FALSE),2.5)+IFERROR(VLOOKUP(O435,Assumptions!$A$7:$F$11,3,FALSE),3)+IFERROR(VLOOKUP(O435,Assumptions!$A$7:$F$11,4,FALSE),8)/2)</f>
        <v/>
      </c>
      <c r="U435" s="15">
        <f>M435*S435/(1+Assumptions!$B$3)^T435</f>
        <v/>
      </c>
      <c r="V435" s="11">
        <f>IF(M435=0,"",ROUND(U435/M435*100,1))</f>
        <v/>
      </c>
      <c r="W435" s="16">
        <f>U435*Assumptions!$B$4</f>
        <v/>
      </c>
      <c r="X435" s="11">
        <f>IF(M435=0,"",ROUND(W435/M435*100,1))</f>
        <v/>
      </c>
      <c r="Y435" t="inlineStr">
        <is>
          <t>VECTOR INDÚSTRIA DE PRODUTOS METALÚRGICOS LTDA.</t>
        </is>
      </c>
      <c r="Z435" t="inlineStr">
        <is>
          <t>5014104-85.2021.8.21.0010</t>
        </is>
      </c>
      <c r="AA435" t="inlineStr">
        <is>
          <t>TJRS</t>
        </is>
      </c>
      <c r="AB435" t="inlineStr">
        <is>
          <t>scalzilliaj.com.br</t>
        </is>
      </c>
      <c r="AC435" t="inlineStr">
        <is>
          <t>BRUNO BASSI</t>
        </is>
      </c>
      <c r="AD435" t="inlineStr">
        <is>
          <t>Administrador</t>
        </is>
      </c>
      <c r="AE435" t="inlineStr">
        <is>
          <t>(11) 2413-2000</t>
        </is>
      </c>
      <c r="AF435" t="inlineStr"/>
      <c r="AG435" t="inlineStr"/>
      <c r="AH435" t="inlineStr">
        <is>
          <t>SP</t>
        </is>
      </c>
      <c r="AI435" t="inlineStr">
        <is>
          <t>GUARULHOS</t>
        </is>
      </c>
      <c r="AJ435" t="inlineStr">
        <is>
          <t>Comércio atacadista de produtos siderúrgicos e metalúrgicos, exceto para construção</t>
        </is>
      </c>
      <c r="AK435" t="inlineStr">
        <is>
          <t>DEMAIS</t>
        </is>
      </c>
      <c r="AL435" t="inlineStr">
        <is>
          <t>ATIVA</t>
        </is>
      </c>
      <c r="AM435" s="17" t="inlineStr">
        <is>
          <t>https://scalzilliaj.com.br/sgc/download.php?file=files/processo_documento/processo_documento15513401112022_1_.pdf&amp;nome=15 - Edital do art. 7º, §2º (segunda lista de credores) e do art. 53 da Lei 11.101/2005 (recebimento do plano)</t>
        </is>
      </c>
      <c r="AN435" s="18" t="inlineStr">
        <is>
          <t>p5 r18</t>
        </is>
      </c>
      <c r="AO435" s="18" t="inlineStr">
        <is>
          <t>p5: R$ 303.544,67</t>
        </is>
      </c>
      <c r="AP435" s="18" t="inlineStr">
        <is>
          <t>AJ_LIST</t>
        </is>
      </c>
      <c r="AQ435" s="18" t="inlineStr">
        <is>
          <t>2022-11-01</t>
        </is>
      </c>
      <c r="AR435" s="18" t="inlineStr">
        <is>
          <t>OK_NO_TOTALS</t>
        </is>
      </c>
      <c r="AS435" s="18" t="inlineStr">
        <is>
          <t>ROWS:p5r18 UNRECONCILED_SOURCE</t>
        </is>
      </c>
      <c r="AT435" s="18" t="inlineStr">
        <is>
          <t>84c586360a66</t>
        </is>
      </c>
    </row>
    <row r="436">
      <c r="A436" s="9" t="n">
        <v>435</v>
      </c>
      <c r="B436" s="9" t="inlineStr">
        <is>
          <t>NEW</t>
        </is>
      </c>
      <c r="C436" s="9" t="inlineStr"/>
      <c r="D436" s="9" t="n">
        <v>0</v>
      </c>
      <c r="E436" s="9" t="inlineStr"/>
      <c r="F436" s="9" t="inlineStr"/>
      <c r="G436" s="9" t="inlineStr"/>
      <c r="H436" s="9" t="inlineStr"/>
      <c r="I436" t="inlineStr">
        <is>
          <t>I. F. DOS SANTOS &amp; CIA LTDA</t>
        </is>
      </c>
      <c r="J436" t="inlineStr">
        <is>
          <t>10.758.022/0001-79</t>
        </is>
      </c>
      <c r="K436" t="inlineStr">
        <is>
          <t>10758022</t>
        </is>
      </c>
      <c r="L436" t="inlineStr">
        <is>
          <t>10758022000179</t>
        </is>
      </c>
      <c r="M436" s="10" t="n">
        <v>301720.99</v>
      </c>
      <c r="N436" t="n">
        <v>1</v>
      </c>
      <c r="O436" s="11" t="inlineStr">
        <is>
          <t>C</t>
        </is>
      </c>
      <c r="P436" s="11" t="inlineStr">
        <is>
          <t>ACTIVE</t>
        </is>
      </c>
      <c r="Q436" s="12" t="n">
        <v>43894</v>
      </c>
      <c r="R436" s="11">
        <f>IF(Q436="","",ROUND((TODAY()-Q436)/365.25,1))</f>
        <v/>
      </c>
      <c r="S436" s="13">
        <f>IFERROR(VLOOKUP(O436,Assumptions!$A$7:$F$11,2,FALSE),0.25)</f>
        <v/>
      </c>
      <c r="T436" s="14">
        <f>IF(O436="A",MAX(1,IFERROR(VLOOKUP(O436,Assumptions!$A$7:$F$11,3,FALSE),3)+IFERROR(VLOOKUP(O436,Assumptions!$A$7:$F$11,4,FALSE),8)/2-MAX(0,IF(R436="",0,R436)-IFERROR(VLOOKUP(O436,Assumptions!$A$7:$F$11,5,FALSE),1.5))),IFERROR(VLOOKUP(O436,Assumptions!$A$7:$F$11,5,FALSE),2.5)+IFERROR(VLOOKUP(O436,Assumptions!$A$7:$F$11,3,FALSE),3)+IFERROR(VLOOKUP(O436,Assumptions!$A$7:$F$11,4,FALSE),8)/2)</f>
        <v/>
      </c>
      <c r="U436" s="15">
        <f>M436*S436/(1+Assumptions!$B$3)^T436</f>
        <v/>
      </c>
      <c r="V436" s="11">
        <f>IF(M436=0,"",ROUND(U436/M436*100,1))</f>
        <v/>
      </c>
      <c r="W436" s="16">
        <f>U436*Assumptions!$B$4</f>
        <v/>
      </c>
      <c r="X436" s="11">
        <f>IF(M436=0,"",ROUND(W436/M436*100,1))</f>
        <v/>
      </c>
      <c r="Y436" t="inlineStr">
        <is>
          <t>CREDIMÓVEIS NOVOLAR LTDA.</t>
        </is>
      </c>
      <c r="Z436" t="inlineStr">
        <is>
          <t>0007565-40.2020.8.17.2370</t>
        </is>
      </c>
      <c r="AA436" t="inlineStr">
        <is>
          <t>TJPE</t>
        </is>
      </c>
      <c r="AB436" t="inlineStr">
        <is>
          <t>recuperacaojudicial.squarespace.com</t>
        </is>
      </c>
      <c r="AC436" t="inlineStr">
        <is>
          <t>IVAN FERREIRA DOS SANTOS</t>
        </is>
      </c>
      <c r="AD436" t="inlineStr">
        <is>
          <t>Sócio-Administrador</t>
        </is>
      </c>
      <c r="AE436" t="inlineStr">
        <is>
          <t>(81) 9649-1169</t>
        </is>
      </c>
      <c r="AF436" t="inlineStr"/>
      <c r="AG436" t="inlineStr"/>
      <c r="AH436" t="inlineStr">
        <is>
          <t>PE</t>
        </is>
      </c>
      <c r="AI436" t="inlineStr">
        <is>
          <t>JOAO ALFREDO</t>
        </is>
      </c>
      <c r="AJ436" t="inlineStr">
        <is>
          <t>Fabricação de móveis com predominância de madeira</t>
        </is>
      </c>
      <c r="AK436" t="inlineStr">
        <is>
          <t>DEMAIS</t>
        </is>
      </c>
      <c r="AL436" t="inlineStr">
        <is>
          <t>ATIVA</t>
        </is>
      </c>
      <c r="AM436" s="17" t="inlineStr">
        <is>
          <t>https://recuperacaojudicial.squarespace.com/s/RJ-Credimoveis-QGC-01082025.pdf</t>
        </is>
      </c>
      <c r="AN436" s="18" t="inlineStr">
        <is>
          <t>p15 r51</t>
        </is>
      </c>
      <c r="AO436" s="18" t="inlineStr">
        <is>
          <t>p15: R$ 301.720,99</t>
        </is>
      </c>
      <c r="AP436" s="18" t="inlineStr">
        <is>
          <t>QGC</t>
        </is>
      </c>
      <c r="AQ436" s="18" t="inlineStr">
        <is>
          <t>2026-01-28</t>
        </is>
      </c>
      <c r="AR436" s="18" t="inlineStr">
        <is>
          <t>OK</t>
        </is>
      </c>
      <c r="AS436" s="18" t="inlineStr">
        <is>
          <t>ROWS:p15r51</t>
        </is>
      </c>
      <c r="AT436" s="18" t="inlineStr">
        <is>
          <t>849d4fe5adce</t>
        </is>
      </c>
    </row>
    <row r="437">
      <c r="A437" s="9" t="n">
        <v>436</v>
      </c>
      <c r="B437" s="9" t="inlineStr">
        <is>
          <t>NEW</t>
        </is>
      </c>
      <c r="C437" s="9" t="inlineStr"/>
      <c r="D437" s="9" t="n">
        <v>0</v>
      </c>
      <c r="E437" s="9" t="inlineStr"/>
      <c r="F437" s="9" t="inlineStr"/>
      <c r="G437" s="9" t="inlineStr"/>
      <c r="H437" s="9" t="inlineStr"/>
      <c r="I437" t="inlineStr">
        <is>
          <t>A.S.E. DISTRIBUICAO LTDA.</t>
        </is>
      </c>
      <c r="J437" t="inlineStr">
        <is>
          <t>Atacado Eldorado</t>
        </is>
      </c>
      <c r="K437" t="inlineStr">
        <is>
          <t>01644931</t>
        </is>
      </c>
      <c r="L437" t="inlineStr">
        <is>
          <t>01644931000608</t>
        </is>
      </c>
      <c r="M437" s="10" t="n">
        <v>301633.9</v>
      </c>
      <c r="N437" t="n">
        <v>1</v>
      </c>
      <c r="O437" s="11" t="inlineStr">
        <is>
          <t>B</t>
        </is>
      </c>
      <c r="P437" s="11" t="inlineStr">
        <is>
          <t>ACTIVE</t>
        </is>
      </c>
      <c r="Q437" s="12" t="n">
        <v>46130</v>
      </c>
      <c r="R437" s="11">
        <f>IF(Q437="","",ROUND((TODAY()-Q437)/365.25,1))</f>
        <v/>
      </c>
      <c r="S437" s="13">
        <f>IFERROR(VLOOKUP(O437,Assumptions!$A$7:$F$11,2,FALSE),0.25)</f>
        <v/>
      </c>
      <c r="T437" s="14">
        <f>IF(O437="A",MAX(1,IFERROR(VLOOKUP(O437,Assumptions!$A$7:$F$11,3,FALSE),3)+IFERROR(VLOOKUP(O437,Assumptions!$A$7:$F$11,4,FALSE),8)/2-MAX(0,IF(R437="",0,R437)-IFERROR(VLOOKUP(O437,Assumptions!$A$7:$F$11,5,FALSE),1.5))),IFERROR(VLOOKUP(O437,Assumptions!$A$7:$F$11,5,FALSE),2.5)+IFERROR(VLOOKUP(O437,Assumptions!$A$7:$F$11,3,FALSE),3)+IFERROR(VLOOKUP(O437,Assumptions!$A$7:$F$11,4,FALSE),8)/2)</f>
        <v/>
      </c>
      <c r="U437" s="15">
        <f>M437*S437/(1+Assumptions!$B$3)^T437</f>
        <v/>
      </c>
      <c r="V437" s="11">
        <f>IF(M437=0,"",ROUND(U437/M437*100,1))</f>
        <v/>
      </c>
      <c r="W437" s="16">
        <f>U437*Assumptions!$B$4</f>
        <v/>
      </c>
      <c r="X437" s="11">
        <f>IF(M437=0,"",ROUND(W437/M437*100,1))</f>
        <v/>
      </c>
      <c r="Y437" t="inlineStr">
        <is>
          <t>GRUPO 3E</t>
        </is>
      </c>
      <c r="Z437" t="inlineStr">
        <is>
          <t>5341375-33.2026.8.09.0049</t>
        </is>
      </c>
      <c r="AA437" t="inlineStr">
        <is>
          <t>TJGO</t>
        </is>
      </c>
      <c r="AB437" t="inlineStr">
        <is>
          <t>stenius.com.br</t>
        </is>
      </c>
      <c r="AC437" t="inlineStr">
        <is>
          <t>NEGE ABRAHAO</t>
        </is>
      </c>
      <c r="AD437" t="inlineStr">
        <is>
          <t>Administrador</t>
        </is>
      </c>
      <c r="AE437" t="inlineStr">
        <is>
          <t>(62) 3311-4130</t>
        </is>
      </c>
      <c r="AF437" t="inlineStr"/>
      <c r="AG437" t="inlineStr"/>
      <c r="AH437" t="inlineStr">
        <is>
          <t>GO</t>
        </is>
      </c>
      <c r="AI437" t="inlineStr">
        <is>
          <t>ANAPOLIS</t>
        </is>
      </c>
      <c r="AJ437" t="inlineStr">
        <is>
          <t>Preparação de documentos e serviços especializados de apoio administrativo não especificados anteriormente</t>
        </is>
      </c>
      <c r="AK437" t="inlineStr">
        <is>
          <t>MICRO EMPRESA</t>
        </is>
      </c>
      <c r="AL437" t="inlineStr">
        <is>
          <t>ATIVA</t>
        </is>
      </c>
      <c r="AM437" s="17" t="inlineStr">
        <is>
          <t>https://stenius.com.br/wp-content/uploads/2026/06/EDITAL-GRUPO-3E.pdf</t>
        </is>
      </c>
      <c r="AN437" s="18" t="inlineStr">
        <is>
          <t>p10 r15</t>
        </is>
      </c>
      <c r="AO437" s="18" t="inlineStr">
        <is>
          <t>p10: R$ 301.633,90</t>
        </is>
      </c>
      <c r="AP437" s="18" t="inlineStr">
        <is>
          <t>DEBTOR_LIST</t>
        </is>
      </c>
      <c r="AQ437" s="18" t="inlineStr">
        <is>
          <t>2026-06-22</t>
        </is>
      </c>
      <c r="AR437" s="18" t="inlineStr">
        <is>
          <t>OK_NO_TOTALS</t>
        </is>
      </c>
      <c r="AS437" s="18" t="inlineStr">
        <is>
          <t>ROWS:p10r15 UNRECONCILED_SOURCE</t>
        </is>
      </c>
      <c r="AT437" s="18" t="inlineStr">
        <is>
          <t>8e8832093a15</t>
        </is>
      </c>
    </row>
    <row r="438">
      <c r="A438" s="9" t="n">
        <v>437</v>
      </c>
      <c r="B438" s="9" t="inlineStr">
        <is>
          <t>NEW</t>
        </is>
      </c>
      <c r="C438" s="9" t="inlineStr"/>
      <c r="D438" s="9" t="n">
        <v>0</v>
      </c>
      <c r="E438" s="9" t="inlineStr"/>
      <c r="F438" s="9" t="inlineStr"/>
      <c r="G438" s="9" t="inlineStr"/>
      <c r="H438" s="9" t="inlineStr"/>
      <c r="I438" t="inlineStr">
        <is>
          <t>FTI CONSULTORIA LTDA</t>
        </is>
      </c>
      <c r="J438" t="inlineStr">
        <is>
          <t>NÃO</t>
        </is>
      </c>
      <c r="K438" t="inlineStr">
        <is>
          <t>07174869</t>
        </is>
      </c>
      <c r="L438" t="inlineStr">
        <is>
          <t>07174869000100</t>
        </is>
      </c>
      <c r="M438" s="10" t="n">
        <v>301076.07</v>
      </c>
      <c r="N438" t="n">
        <v>1</v>
      </c>
      <c r="O438" s="11" t="inlineStr">
        <is>
          <t>B</t>
        </is>
      </c>
      <c r="P438" s="11" t="inlineStr"/>
      <c r="Q438" s="12" t="inlineStr"/>
      <c r="R438" s="11">
        <f>IF(Q438="","",ROUND((TODAY()-Q438)/365.25,1))</f>
        <v/>
      </c>
      <c r="S438" s="13">
        <f>IFERROR(VLOOKUP(O438,Assumptions!$A$7:$F$11,2,FALSE),0.25)</f>
        <v/>
      </c>
      <c r="T438" s="14">
        <f>IF(O438="A",MAX(1,IFERROR(VLOOKUP(O438,Assumptions!$A$7:$F$11,3,FALSE),3)+IFERROR(VLOOKUP(O438,Assumptions!$A$7:$F$11,4,FALSE),8)/2-MAX(0,IF(R438="",0,R438)-IFERROR(VLOOKUP(O438,Assumptions!$A$7:$F$11,5,FALSE),1.5))),IFERROR(VLOOKUP(O438,Assumptions!$A$7:$F$11,5,FALSE),2.5)+IFERROR(VLOOKUP(O438,Assumptions!$A$7:$F$11,3,FALSE),3)+IFERROR(VLOOKUP(O438,Assumptions!$A$7:$F$11,4,FALSE),8)/2)</f>
        <v/>
      </c>
      <c r="U438" s="15">
        <f>M438*S438/(1+Assumptions!$B$3)^T438</f>
        <v/>
      </c>
      <c r="V438" s="11">
        <f>IF(M438=0,"",ROUND(U438/M438*100,1))</f>
        <v/>
      </c>
      <c r="W438" s="16">
        <f>U438*Assumptions!$B$4</f>
        <v/>
      </c>
      <c r="X438" s="11">
        <f>IF(M438=0,"",ROUND(W438/M438*100,1))</f>
        <v/>
      </c>
      <c r="Y438" t="inlineStr">
        <is>
          <t>Grupo Rech</t>
        </is>
      </c>
      <c r="Z438" t="inlineStr">
        <is>
          <t>5057720-48.2025.8.24.0023</t>
        </is>
      </c>
      <c r="AA438" t="inlineStr"/>
      <c r="AB438" t="inlineStr">
        <is>
          <t>credibilita.com.br</t>
        </is>
      </c>
      <c r="AC438" t="inlineStr">
        <is>
          <t>MARIA PAULA RIBEIRO BORDIN</t>
        </is>
      </c>
      <c r="AD438" t="inlineStr">
        <is>
          <t>Administrador</t>
        </is>
      </c>
      <c r="AE438" t="inlineStr">
        <is>
          <t>(11) 3150-7000</t>
        </is>
      </c>
      <c r="AF438" t="inlineStr"/>
      <c r="AG438" t="inlineStr"/>
      <c r="AH438" t="inlineStr">
        <is>
          <t>SP</t>
        </is>
      </c>
      <c r="AI438" t="inlineStr">
        <is>
          <t>SAO PAULO</t>
        </is>
      </c>
      <c r="AJ438" t="inlineStr">
        <is>
          <t>Atividades de consultoria em gestão empresarial, exceto consultoria técnica específica</t>
        </is>
      </c>
      <c r="AK438" t="inlineStr">
        <is>
          <t>DEMAIS</t>
        </is>
      </c>
      <c r="AL438" t="inlineStr">
        <is>
          <t>ATIVA</t>
        </is>
      </c>
      <c r="AM438" s="17" t="inlineStr">
        <is>
          <t>https://credibilita.com.br/wp-content/uploads/2025/09/Relacao-Credores-29.04.2026.pdf</t>
        </is>
      </c>
      <c r="AN438" s="18" t="inlineStr">
        <is>
          <t>p1 r24</t>
        </is>
      </c>
      <c r="AO438" s="18" t="inlineStr">
        <is>
          <t>p1: R$ 301.076,07</t>
        </is>
      </c>
      <c r="AP438" s="18" t="inlineStr">
        <is>
          <t>QUORUM_LIST</t>
        </is>
      </c>
      <c r="AQ438" s="18" t="inlineStr"/>
      <c r="AR438" s="18" t="inlineStr">
        <is>
          <t>OK_NO_TOTALS</t>
        </is>
      </c>
      <c r="AS438" s="18" t="inlineStr">
        <is>
          <t>ROWS:p1r24 UNRECONCILED_SOURCE VALUE_COL:Valor_Após_Analise CASE_NUMBER_CORRECTED</t>
        </is>
      </c>
      <c r="AT438" s="18" t="inlineStr">
        <is>
          <t>cf92cff797d2</t>
        </is>
      </c>
    </row>
    <row r="439">
      <c r="A439" s="9" t="n">
        <v>438</v>
      </c>
      <c r="B439" s="9" t="inlineStr">
        <is>
          <t>NEW</t>
        </is>
      </c>
      <c r="C439" s="9" t="inlineStr"/>
      <c r="D439" s="9" t="n">
        <v>0</v>
      </c>
      <c r="E439" s="9" t="inlineStr"/>
      <c r="F439" s="9" t="inlineStr"/>
      <c r="G439" s="9" t="inlineStr"/>
      <c r="H439" s="9" t="inlineStr"/>
      <c r="I439" t="inlineStr">
        <is>
          <t>J. CONFORT FABRICACAO DE MOVEIS E ESTOFADOS LTDA</t>
        </is>
      </c>
      <c r="J439" t="inlineStr">
        <is>
          <t>11.324.540/0001-47</t>
        </is>
      </c>
      <c r="K439" t="inlineStr">
        <is>
          <t>11324540</t>
        </is>
      </c>
      <c r="L439" t="inlineStr">
        <is>
          <t>11324540000147</t>
        </is>
      </c>
      <c r="M439" s="10" t="n">
        <v>300559.34</v>
      </c>
      <c r="N439" t="n">
        <v>1</v>
      </c>
      <c r="O439" s="11" t="inlineStr">
        <is>
          <t>C</t>
        </is>
      </c>
      <c r="P439" s="11" t="inlineStr">
        <is>
          <t>ACTIVE</t>
        </is>
      </c>
      <c r="Q439" s="12" t="n">
        <v>43894</v>
      </c>
      <c r="R439" s="11">
        <f>IF(Q439="","",ROUND((TODAY()-Q439)/365.25,1))</f>
        <v/>
      </c>
      <c r="S439" s="13">
        <f>IFERROR(VLOOKUP(O439,Assumptions!$A$7:$F$11,2,FALSE),0.25)</f>
        <v/>
      </c>
      <c r="T439" s="14">
        <f>IF(O439="A",MAX(1,IFERROR(VLOOKUP(O439,Assumptions!$A$7:$F$11,3,FALSE),3)+IFERROR(VLOOKUP(O439,Assumptions!$A$7:$F$11,4,FALSE),8)/2-MAX(0,IF(R439="",0,R439)-IFERROR(VLOOKUP(O439,Assumptions!$A$7:$F$11,5,FALSE),1.5))),IFERROR(VLOOKUP(O439,Assumptions!$A$7:$F$11,5,FALSE),2.5)+IFERROR(VLOOKUP(O439,Assumptions!$A$7:$F$11,3,FALSE),3)+IFERROR(VLOOKUP(O439,Assumptions!$A$7:$F$11,4,FALSE),8)/2)</f>
        <v/>
      </c>
      <c r="U439" s="15">
        <f>M439*S439/(1+Assumptions!$B$3)^T439</f>
        <v/>
      </c>
      <c r="V439" s="11">
        <f>IF(M439=0,"",ROUND(U439/M439*100,1))</f>
        <v/>
      </c>
      <c r="W439" s="16">
        <f>U439*Assumptions!$B$4</f>
        <v/>
      </c>
      <c r="X439" s="11">
        <f>IF(M439=0,"",ROUND(W439/M439*100,1))</f>
        <v/>
      </c>
      <c r="Y439" t="inlineStr">
        <is>
          <t>CREDIMÓVEIS NOVOLAR LTDA.</t>
        </is>
      </c>
      <c r="Z439" t="inlineStr">
        <is>
          <t>0007565-40.2020.8.17.2370</t>
        </is>
      </c>
      <c r="AA439" t="inlineStr">
        <is>
          <t>TJPE</t>
        </is>
      </c>
      <c r="AB439" t="inlineStr">
        <is>
          <t>recuperacaojudicial.squarespace.com</t>
        </is>
      </c>
      <c r="AC439" t="inlineStr">
        <is>
          <t>JOSE SILVINO DA SILVA FILHO</t>
        </is>
      </c>
      <c r="AD439" t="inlineStr">
        <is>
          <t>Sócio-Administrador</t>
        </is>
      </c>
      <c r="AE439" t="inlineStr">
        <is>
          <t>(81) 3628-1296</t>
        </is>
      </c>
      <c r="AF439" t="inlineStr"/>
      <c r="AG439" t="inlineStr"/>
      <c r="AH439" t="inlineStr">
        <is>
          <t>PE</t>
        </is>
      </c>
      <c r="AI439" t="inlineStr">
        <is>
          <t>JOAO ALFREDO</t>
        </is>
      </c>
      <c r="AJ439" t="inlineStr">
        <is>
          <t>Fabricação de móveis com predominância de madeira</t>
        </is>
      </c>
      <c r="AK439" t="inlineStr">
        <is>
          <t>DEMAIS</t>
        </is>
      </c>
      <c r="AL439" t="inlineStr">
        <is>
          <t>ATIVA</t>
        </is>
      </c>
      <c r="AM439" s="17" t="inlineStr">
        <is>
          <t>https://recuperacaojudicial.squarespace.com/s/RJ-Credimoveis-QGC-01082025.pdf</t>
        </is>
      </c>
      <c r="AN439" s="18" t="inlineStr">
        <is>
          <t>p16 r1</t>
        </is>
      </c>
      <c r="AO439" s="18" t="inlineStr">
        <is>
          <t>p16: R$ 300.559,34</t>
        </is>
      </c>
      <c r="AP439" s="18" t="inlineStr">
        <is>
          <t>QGC</t>
        </is>
      </c>
      <c r="AQ439" s="18" t="inlineStr">
        <is>
          <t>2026-01-28</t>
        </is>
      </c>
      <c r="AR439" s="18" t="inlineStr">
        <is>
          <t>OK</t>
        </is>
      </c>
      <c r="AS439" s="18" t="inlineStr">
        <is>
          <t>ROWS:p16r1</t>
        </is>
      </c>
      <c r="AT439" s="18" t="inlineStr">
        <is>
          <t>849d4fe5adce</t>
        </is>
      </c>
    </row>
    <row r="440">
      <c r="A440" s="9" t="n">
        <v>439</v>
      </c>
      <c r="B440" s="9" t="inlineStr">
        <is>
          <t>NEW</t>
        </is>
      </c>
      <c r="C440" s="9" t="inlineStr"/>
      <c r="D440" s="9" t="n">
        <v>0</v>
      </c>
      <c r="E440" s="9" t="inlineStr"/>
      <c r="F440" s="9" t="inlineStr"/>
      <c r="G440" s="9" t="inlineStr"/>
      <c r="H440" s="9" t="inlineStr"/>
      <c r="I440" t="inlineStr">
        <is>
          <t>DOCK TECNOLOGIA S.A.</t>
        </is>
      </c>
      <c r="J440" t="inlineStr">
        <is>
          <t>CONDUCTOR TECNOLOGIA S.A</t>
        </is>
      </c>
      <c r="K440" t="inlineStr">
        <is>
          <t>03645772</t>
        </is>
      </c>
      <c r="L440" t="inlineStr">
        <is>
          <t>03645772000179</t>
        </is>
      </c>
      <c r="M440" s="10" t="n">
        <v>300283.06</v>
      </c>
      <c r="N440" t="n">
        <v>1</v>
      </c>
      <c r="O440" s="11" t="inlineStr">
        <is>
          <t>C</t>
        </is>
      </c>
      <c r="P440" s="11" t="inlineStr">
        <is>
          <t>ACTIVE</t>
        </is>
      </c>
      <c r="Q440" s="12" t="n">
        <v>44571</v>
      </c>
      <c r="R440" s="11">
        <f>IF(Q440="","",ROUND((TODAY()-Q440)/365.25,1))</f>
        <v/>
      </c>
      <c r="S440" s="13">
        <f>IFERROR(VLOOKUP(O440,Assumptions!$A$7:$F$11,2,FALSE),0.25)</f>
        <v/>
      </c>
      <c r="T440" s="14">
        <f>IF(O440="A",MAX(1,IFERROR(VLOOKUP(O440,Assumptions!$A$7:$F$11,3,FALSE),3)+IFERROR(VLOOKUP(O440,Assumptions!$A$7:$F$11,4,FALSE),8)/2-MAX(0,IF(R440="",0,R440)-IFERROR(VLOOKUP(O440,Assumptions!$A$7:$F$11,5,FALSE),1.5))),IFERROR(VLOOKUP(O440,Assumptions!$A$7:$F$11,5,FALSE),2.5)+IFERROR(VLOOKUP(O440,Assumptions!$A$7:$F$11,3,FALSE),3)+IFERROR(VLOOKUP(O440,Assumptions!$A$7:$F$11,4,FALSE),8)/2)</f>
        <v/>
      </c>
      <c r="U440" s="15">
        <f>M440*S440/(1+Assumptions!$B$3)^T440</f>
        <v/>
      </c>
      <c r="V440" s="11">
        <f>IF(M440=0,"",ROUND(U440/M440*100,1))</f>
        <v/>
      </c>
      <c r="W440" s="16">
        <f>U440*Assumptions!$B$4</f>
        <v/>
      </c>
      <c r="X440" s="11">
        <f>IF(M440=0,"",ROUND(W440/M440*100,1))</f>
        <v/>
      </c>
      <c r="Y440" t="inlineStr">
        <is>
          <t>GRUPO CATTAN</t>
        </is>
      </c>
      <c r="Z440" t="inlineStr">
        <is>
          <t>0002484-82.2022.8.17.2001</t>
        </is>
      </c>
      <c r="AA440" t="inlineStr">
        <is>
          <t>TJPE</t>
        </is>
      </c>
      <c r="AB440" t="inlineStr">
        <is>
          <t>lrflideres.com.br</t>
        </is>
      </c>
      <c r="AC440" t="inlineStr">
        <is>
          <t>ANTONIO CARLOS SOARES JUNIOR</t>
        </is>
      </c>
      <c r="AD440" t="inlineStr">
        <is>
          <t>Presidente</t>
        </is>
      </c>
      <c r="AE440" t="inlineStr">
        <is>
          <t>(11) 3889-1800</t>
        </is>
      </c>
      <c r="AF440" t="inlineStr"/>
      <c r="AG440" t="inlineStr"/>
      <c r="AH440" t="inlineStr">
        <is>
          <t>SP</t>
        </is>
      </c>
      <c r="AI440" t="inlineStr">
        <is>
          <t>BARUERI</t>
        </is>
      </c>
      <c r="AJ440" t="inlineStr">
        <is>
          <t>Atividades de consultoria em gestão empresarial, exceto consultoria técnica específica</t>
        </is>
      </c>
      <c r="AK440" t="inlineStr">
        <is>
          <t>DEMAIS</t>
        </is>
      </c>
      <c r="AL440" t="inlineStr">
        <is>
          <t>ATIVA</t>
        </is>
      </c>
      <c r="AM440" s="17" t="inlineStr">
        <is>
          <t>https://lrflideres.com.br/wp-content/plugins/download-attachments/includes/download.php?id=4023</t>
        </is>
      </c>
      <c r="AN440" s="18" t="inlineStr">
        <is>
          <t>p7 r85</t>
        </is>
      </c>
      <c r="AO440" s="18" t="inlineStr">
        <is>
          <t>p7: R$ 300.283,06</t>
        </is>
      </c>
      <c r="AP440" s="18" t="inlineStr">
        <is>
          <t>DEBTOR_LIST</t>
        </is>
      </c>
      <c r="AQ440" s="18" t="inlineStr"/>
      <c r="AR440" s="18" t="inlineStr">
        <is>
          <t>QUARANTINED</t>
        </is>
      </c>
      <c r="AS440" s="18" t="inlineStr">
        <is>
          <t>PARTIAL_DOC_CLASS_III_RECONCILED ROWS:p7r85</t>
        </is>
      </c>
      <c r="AT440" s="18" t="inlineStr">
        <is>
          <t>f3b6182e3aa2</t>
        </is>
      </c>
    </row>
    <row r="441">
      <c r="A441" s="9" t="n">
        <v>440</v>
      </c>
      <c r="B441" s="9" t="inlineStr">
        <is>
          <t>NEW</t>
        </is>
      </c>
      <c r="C441" s="9" t="inlineStr"/>
      <c r="D441" s="9" t="n">
        <v>0</v>
      </c>
      <c r="E441" s="9" t="inlineStr"/>
      <c r="F441" s="9" t="inlineStr"/>
      <c r="G441" s="9" t="inlineStr"/>
      <c r="H441" s="9" t="inlineStr"/>
      <c r="I441" t="inlineStr">
        <is>
          <t>ERPLASTI INDUSTRIA E COMERCIO DE PLASTICOS LTDA</t>
        </is>
      </c>
      <c r="J441" t="inlineStr">
        <is>
          <t>92185008000198</t>
        </is>
      </c>
      <c r="K441" t="inlineStr">
        <is>
          <t>92185008</t>
        </is>
      </c>
      <c r="L441" t="inlineStr">
        <is>
          <t>92185008000198</t>
        </is>
      </c>
      <c r="M441" s="10" t="n">
        <v>299861.9</v>
      </c>
      <c r="N441" t="n">
        <v>1</v>
      </c>
      <c r="O441" s="11" t="inlineStr">
        <is>
          <t>C</t>
        </is>
      </c>
      <c r="P441" s="11" t="inlineStr">
        <is>
          <t>ACTIVE</t>
        </is>
      </c>
      <c r="Q441" s="12" t="n">
        <v>45057</v>
      </c>
      <c r="R441" s="11">
        <f>IF(Q441="","",ROUND((TODAY()-Q441)/365.25,1))</f>
        <v/>
      </c>
      <c r="S441" s="13">
        <f>IFERROR(VLOOKUP(O441,Assumptions!$A$7:$F$11,2,FALSE),0.25)</f>
        <v/>
      </c>
      <c r="T441" s="14">
        <f>IF(O441="A",MAX(1,IFERROR(VLOOKUP(O441,Assumptions!$A$7:$F$11,3,FALSE),3)+IFERROR(VLOOKUP(O441,Assumptions!$A$7:$F$11,4,FALSE),8)/2-MAX(0,IF(R441="",0,R441)-IFERROR(VLOOKUP(O441,Assumptions!$A$7:$F$11,5,FALSE),1.5))),IFERROR(VLOOKUP(O441,Assumptions!$A$7:$F$11,5,FALSE),2.5)+IFERROR(VLOOKUP(O441,Assumptions!$A$7:$F$11,3,FALSE),3)+IFERROR(VLOOKUP(O441,Assumptions!$A$7:$F$11,4,FALSE),8)/2)</f>
        <v/>
      </c>
      <c r="U441" s="15">
        <f>M441*S441/(1+Assumptions!$B$3)^T441</f>
        <v/>
      </c>
      <c r="V441" s="11">
        <f>IF(M441=0,"",ROUND(U441/M441*100,1))</f>
        <v/>
      </c>
      <c r="W441" s="16">
        <f>U441*Assumptions!$B$4</f>
        <v/>
      </c>
      <c r="X441" s="11">
        <f>IF(M441=0,"",ROUND(W441/M441*100,1))</f>
        <v/>
      </c>
      <c r="Y441" t="inlineStr">
        <is>
          <t>TOP TEXTIL EMBALAGENS LTDA</t>
        </is>
      </c>
      <c r="Z441" t="inlineStr">
        <is>
          <t>5011460-87.2023.8.24.0020</t>
        </is>
      </c>
      <c r="AA441" t="inlineStr">
        <is>
          <t>TJSC</t>
        </is>
      </c>
      <c r="AB441" t="inlineStr">
        <is>
          <t>cataliseaj.com.br</t>
        </is>
      </c>
      <c r="AC441" t="inlineStr">
        <is>
          <t>VALDIR ERTHAL</t>
        </is>
      </c>
      <c r="AD441" t="inlineStr">
        <is>
          <t>Sócio-Administrador</t>
        </is>
      </c>
      <c r="AE441" t="inlineStr">
        <is>
          <t>(51) 8163-9936</t>
        </is>
      </c>
      <c r="AF441" t="inlineStr"/>
      <c r="AG441" t="inlineStr"/>
      <c r="AH441" t="inlineStr">
        <is>
          <t>RS</t>
        </is>
      </c>
      <c r="AI441" t="inlineStr">
        <is>
          <t>MONTENEGRO</t>
        </is>
      </c>
      <c r="AJ441" t="inlineStr">
        <is>
          <t>Fabricação de laminados planos e tubulares de material plástico</t>
        </is>
      </c>
      <c r="AK441" t="inlineStr">
        <is>
          <t>DEMAIS</t>
        </is>
      </c>
      <c r="AL441" t="inlineStr">
        <is>
          <t>ATIVA</t>
        </is>
      </c>
      <c r="AM441" s="17" t="inlineStr">
        <is>
          <t>https://cataliseaj.com.br/sgc/download.php?file=files/processo_documento/processo_documento15092204102024_1_.pdf&amp;nome=02. RELAÇÃO DE CREDORES</t>
        </is>
      </c>
      <c r="AN441" s="18" t="inlineStr">
        <is>
          <t>p2 r36</t>
        </is>
      </c>
      <c r="AO441" s="18" t="inlineStr">
        <is>
          <t>p2: R$ 299.861,90</t>
        </is>
      </c>
      <c r="AP441" s="18" t="inlineStr">
        <is>
          <t>DEBTOR_LIST</t>
        </is>
      </c>
      <c r="AQ441" s="18" t="inlineStr"/>
      <c r="AR441" s="18" t="inlineStr">
        <is>
          <t>OK_NO_TOTALS</t>
        </is>
      </c>
      <c r="AS441" s="18" t="inlineStr">
        <is>
          <t>ROWS:p2r36 UNRECONCILED_SOURCE</t>
        </is>
      </c>
      <c r="AT441" s="18" t="inlineStr">
        <is>
          <t>741aed48dd00</t>
        </is>
      </c>
    </row>
    <row r="442">
      <c r="A442" s="9" t="n">
        <v>441</v>
      </c>
      <c r="B442" s="9" t="inlineStr">
        <is>
          <t>NEW</t>
        </is>
      </c>
      <c r="C442" s="9" t="inlineStr"/>
      <c r="D442" s="9" t="n">
        <v>0</v>
      </c>
      <c r="E442" s="9" t="inlineStr"/>
      <c r="F442" s="9" t="inlineStr"/>
      <c r="G442" s="9" t="inlineStr"/>
      <c r="H442" s="9" t="inlineStr"/>
      <c r="I442" t="inlineStr">
        <is>
          <t>EMPRESA DE TERMOPLASTICOS DO NORDESTE ETENO LTDA</t>
        </is>
      </c>
      <c r="J442" t="inlineStr">
        <is>
          <t>EMP DE TERMOPLASTICOS DO NE ETENO LTDA</t>
        </is>
      </c>
      <c r="K442" t="inlineStr">
        <is>
          <t>08516950</t>
        </is>
      </c>
      <c r="L442" t="inlineStr">
        <is>
          <t>08516950000185</t>
        </is>
      </c>
      <c r="M442" s="10" t="n">
        <v>296123.94</v>
      </c>
      <c r="N442" t="n">
        <v>1</v>
      </c>
      <c r="O442" s="11" t="inlineStr">
        <is>
          <t>C</t>
        </is>
      </c>
      <c r="P442" s="11" t="inlineStr">
        <is>
          <t>ACTIVE</t>
        </is>
      </c>
      <c r="Q442" s="12" t="n">
        <v>45016</v>
      </c>
      <c r="R442" s="11">
        <f>IF(Q442="","",ROUND((TODAY()-Q442)/365.25,1))</f>
        <v/>
      </c>
      <c r="S442" s="13">
        <f>IFERROR(VLOOKUP(O442,Assumptions!$A$7:$F$11,2,FALSE),0.25)</f>
        <v/>
      </c>
      <c r="T442" s="14">
        <f>IF(O442="A",MAX(1,IFERROR(VLOOKUP(O442,Assumptions!$A$7:$F$11,3,FALSE),3)+IFERROR(VLOOKUP(O442,Assumptions!$A$7:$F$11,4,FALSE),8)/2-MAX(0,IF(R442="",0,R442)-IFERROR(VLOOKUP(O442,Assumptions!$A$7:$F$11,5,FALSE),1.5))),IFERROR(VLOOKUP(O442,Assumptions!$A$7:$F$11,5,FALSE),2.5)+IFERROR(VLOOKUP(O442,Assumptions!$A$7:$F$11,3,FALSE),3)+IFERROR(VLOOKUP(O442,Assumptions!$A$7:$F$11,4,FALSE),8)/2)</f>
        <v/>
      </c>
      <c r="U442" s="15">
        <f>M442*S442/(1+Assumptions!$B$3)^T442</f>
        <v/>
      </c>
      <c r="V442" s="11">
        <f>IF(M442=0,"",ROUND(U442/M442*100,1))</f>
        <v/>
      </c>
      <c r="W442" s="16">
        <f>U442*Assumptions!$B$4</f>
        <v/>
      </c>
      <c r="X442" s="11">
        <f>IF(M442=0,"",ROUND(W442/M442*100,1))</f>
        <v/>
      </c>
      <c r="Y442" t="inlineStr">
        <is>
          <t>GRUPO IMPLASVERDE</t>
        </is>
      </c>
      <c r="Z442" t="inlineStr">
        <is>
          <t>0800778-16.2023.8.20.5104</t>
        </is>
      </c>
      <c r="AA442" t="inlineStr">
        <is>
          <t>TJRN</t>
        </is>
      </c>
      <c r="AB442" t="inlineStr">
        <is>
          <t>recuperacaojudicial.squarespace.com</t>
        </is>
      </c>
      <c r="AC442" t="inlineStr">
        <is>
          <t>LARISSA BRAYNER FERNANDES</t>
        </is>
      </c>
      <c r="AD442" t="inlineStr">
        <is>
          <t>Sócio-Administrador</t>
        </is>
      </c>
      <c r="AE442" t="inlineStr">
        <is>
          <t>(81) 3342-2323</t>
        </is>
      </c>
      <c r="AF442" t="inlineStr"/>
      <c r="AG442" t="inlineStr"/>
      <c r="AH442" t="inlineStr">
        <is>
          <t>PE</t>
        </is>
      </c>
      <c r="AI442" t="inlineStr">
        <is>
          <t>RECIFE</t>
        </is>
      </c>
      <c r="AJ442" t="inlineStr">
        <is>
          <t>Fabricação de resinas termoplásticas</t>
        </is>
      </c>
      <c r="AK442" t="inlineStr">
        <is>
          <t>DEMAIS</t>
        </is>
      </c>
      <c r="AL442" t="inlineStr">
        <is>
          <t>ATIVA</t>
        </is>
      </c>
      <c r="AM442" s="17" t="inlineStr">
        <is>
          <t>http://recuperacaojudicial.squarespace.com/s/LISTA-DE-CREDORES-CONSOLIDADA-ATE-04102024.pdf</t>
        </is>
      </c>
      <c r="AN442" s="18" t="inlineStr">
        <is>
          <t>p6 r12</t>
        </is>
      </c>
      <c r="AO442" s="18" t="inlineStr">
        <is>
          <t>p6: R$ 296.123,94</t>
        </is>
      </c>
      <c r="AP442" s="18" t="inlineStr">
        <is>
          <t>AJ_LIST</t>
        </is>
      </c>
      <c r="AQ442" s="18" t="inlineStr">
        <is>
          <t>2024-10-04</t>
        </is>
      </c>
      <c r="AR442" s="18" t="inlineStr">
        <is>
          <t>OK</t>
        </is>
      </c>
      <c r="AS442" s="18" t="inlineStr">
        <is>
          <t>ROWS:p6r12 VALUE_COL:Valor_Do_Crédito</t>
        </is>
      </c>
      <c r="AT442" s="18" t="inlineStr">
        <is>
          <t>7501ec99fc8e</t>
        </is>
      </c>
    </row>
    <row r="443">
      <c r="A443" s="9" t="n">
        <v>442</v>
      </c>
      <c r="B443" s="9" t="inlineStr">
        <is>
          <t>NEW</t>
        </is>
      </c>
      <c r="C443" s="9" t="inlineStr"/>
      <c r="D443" s="9" t="n">
        <v>0</v>
      </c>
      <c r="E443" s="9" t="inlineStr"/>
      <c r="F443" s="9" t="inlineStr"/>
      <c r="G443" s="9" t="inlineStr"/>
      <c r="H443" s="9" t="inlineStr"/>
      <c r="I443" t="inlineStr">
        <is>
          <t>BUNGE ALIMENTOS S/A</t>
        </is>
      </c>
      <c r="J443" t="inlineStr">
        <is>
          <t>Rod BR-163, 548 - km-548, Zona Rural, São Gabriel D'Oeste - MS - CEP: 79490-000</t>
        </is>
      </c>
      <c r="K443" t="inlineStr">
        <is>
          <t>84046101</t>
        </is>
      </c>
      <c r="L443" t="inlineStr">
        <is>
          <t>84046101013503</t>
        </is>
      </c>
      <c r="M443" s="10" t="n">
        <v>295774.65</v>
      </c>
      <c r="N443" t="n">
        <v>1</v>
      </c>
      <c r="O443" s="11" t="inlineStr">
        <is>
          <t>C</t>
        </is>
      </c>
      <c r="P443" s="11" t="inlineStr"/>
      <c r="Q443" s="12" t="inlineStr"/>
      <c r="R443" s="11">
        <f>IF(Q443="","",ROUND((TODAY()-Q443)/365.25,1))</f>
        <v/>
      </c>
      <c r="S443" s="13">
        <f>IFERROR(VLOOKUP(O443,Assumptions!$A$7:$F$11,2,FALSE),0.25)</f>
        <v/>
      </c>
      <c r="T443" s="14">
        <f>IF(O443="A",MAX(1,IFERROR(VLOOKUP(O443,Assumptions!$A$7:$F$11,3,FALSE),3)+IFERROR(VLOOKUP(O443,Assumptions!$A$7:$F$11,4,FALSE),8)/2-MAX(0,IF(R443="",0,R443)-IFERROR(VLOOKUP(O443,Assumptions!$A$7:$F$11,5,FALSE),1.5))),IFERROR(VLOOKUP(O443,Assumptions!$A$7:$F$11,5,FALSE),2.5)+IFERROR(VLOOKUP(O443,Assumptions!$A$7:$F$11,3,FALSE),3)+IFERROR(VLOOKUP(O443,Assumptions!$A$7:$F$11,4,FALSE),8)/2)</f>
        <v/>
      </c>
      <c r="U443" s="15">
        <f>M443*S443/(1+Assumptions!$B$3)^T443</f>
        <v/>
      </c>
      <c r="V443" s="11">
        <f>IF(M443=0,"",ROUND(U443/M443*100,1))</f>
        <v/>
      </c>
      <c r="W443" s="16">
        <f>U443*Assumptions!$B$4</f>
        <v/>
      </c>
      <c r="X443" s="11">
        <f>IF(M443=0,"",ROUND(W443/M443*100,1))</f>
        <v/>
      </c>
      <c r="Y443" t="inlineStr">
        <is>
          <t>Grupo Mastter</t>
        </is>
      </c>
      <c r="Z443" t="inlineStr">
        <is>
          <t>0801893-91.2016.8.12.0011</t>
        </is>
      </c>
      <c r="AA443" t="inlineStr"/>
      <c r="AB443" t="inlineStr">
        <is>
          <t>realbrasil.com.br</t>
        </is>
      </c>
      <c r="AC443" t="inlineStr">
        <is>
          <t>FERNANDO HENRIQUE RAMOS ZANETTI</t>
        </is>
      </c>
      <c r="AD443" t="inlineStr">
        <is>
          <t>Diretor</t>
        </is>
      </c>
      <c r="AE443" t="inlineStr">
        <is>
          <t>(47) 3703-2500</t>
        </is>
      </c>
      <c r="AF443" t="inlineStr">
        <is>
          <t>(47) 3703-2200</t>
        </is>
      </c>
      <c r="AG443" t="inlineStr"/>
      <c r="AH443" t="inlineStr">
        <is>
          <t>SC</t>
        </is>
      </c>
      <c r="AI443" t="inlineStr">
        <is>
          <t>GASPAR</t>
        </is>
      </c>
      <c r="AJ443" t="inlineStr">
        <is>
          <t>Fabricação de óleos vegetais em bruto, exceto óleo de milho</t>
        </is>
      </c>
      <c r="AK443" t="inlineStr">
        <is>
          <t>DEMAIS</t>
        </is>
      </c>
      <c r="AL443" t="inlineStr">
        <is>
          <t>ATIVA</t>
        </is>
      </c>
      <c r="AM443" s="17" t="inlineStr">
        <is>
          <t>https://realbrasil.com.br/wp-content/uploads/2017/05/Relação-de-Credores_-Mastter-1.pdf</t>
        </is>
      </c>
      <c r="AN443" s="18" t="inlineStr">
        <is>
          <t>p13 r14</t>
        </is>
      </c>
      <c r="AO443" s="18" t="inlineStr">
        <is>
          <t>p13: R$ 295.774,65</t>
        </is>
      </c>
      <c r="AP443" s="18" t="inlineStr">
        <is>
          <t>DEBTOR_LIST</t>
        </is>
      </c>
      <c r="AQ443" s="18" t="inlineStr">
        <is>
          <t>2016-02-10</t>
        </is>
      </c>
      <c r="AR443" s="18" t="inlineStr">
        <is>
          <t>OK_NO_TOTALS</t>
        </is>
      </c>
      <c r="AS443" s="18" t="inlineStr">
        <is>
          <t>ALT_VALUE:*** ALT_VALUE:R$700.000,00 ROWS:p13r14 UNRECONCILED_SOURCE</t>
        </is>
      </c>
      <c r="AT443" s="18" t="inlineStr">
        <is>
          <t>cdf3c4d14861</t>
        </is>
      </c>
    </row>
    <row r="444">
      <c r="A444" s="9" t="n">
        <v>443</v>
      </c>
      <c r="B444" s="9" t="inlineStr">
        <is>
          <t>NEW</t>
        </is>
      </c>
      <c r="C444" s="9" t="inlineStr"/>
      <c r="D444" s="9" t="n">
        <v>0</v>
      </c>
      <c r="E444" s="9" t="inlineStr"/>
      <c r="F444" s="9" t="inlineStr"/>
      <c r="G444" s="9" t="inlineStr"/>
      <c r="H444" s="9" t="inlineStr"/>
      <c r="I444" t="inlineStr">
        <is>
          <t>TECFLUX LTDA.</t>
        </is>
      </c>
      <c r="J444" t="inlineStr">
        <is>
          <t>Tecflux Ltda</t>
        </is>
      </c>
      <c r="K444" t="inlineStr">
        <is>
          <t>60933017</t>
        </is>
      </c>
      <c r="L444" t="inlineStr">
        <is>
          <t>60933017000123</t>
        </is>
      </c>
      <c r="M444" s="10" t="n">
        <v>291540.68</v>
      </c>
      <c r="N444" t="n">
        <v>2</v>
      </c>
      <c r="O444" s="11" t="inlineStr">
        <is>
          <t>B</t>
        </is>
      </c>
      <c r="P444" s="11" t="inlineStr"/>
      <c r="Q444" s="12" t="n">
        <v>45756</v>
      </c>
      <c r="R444" s="11">
        <f>IF(Q444="","",ROUND((TODAY()-Q444)/365.25,1))</f>
        <v/>
      </c>
      <c r="S444" s="13">
        <f>IFERROR(VLOOKUP(O444,Assumptions!$A$7:$F$11,2,FALSE),0.25)</f>
        <v/>
      </c>
      <c r="T444" s="14">
        <f>IF(O444="A",MAX(1,IFERROR(VLOOKUP(O444,Assumptions!$A$7:$F$11,3,FALSE),3)+IFERROR(VLOOKUP(O444,Assumptions!$A$7:$F$11,4,FALSE),8)/2-MAX(0,IF(R444="",0,R444)-IFERROR(VLOOKUP(O444,Assumptions!$A$7:$F$11,5,FALSE),1.5))),IFERROR(VLOOKUP(O444,Assumptions!$A$7:$F$11,5,FALSE),2.5)+IFERROR(VLOOKUP(O444,Assumptions!$A$7:$F$11,3,FALSE),3)+IFERROR(VLOOKUP(O444,Assumptions!$A$7:$F$11,4,FALSE),8)/2)</f>
        <v/>
      </c>
      <c r="U444" s="15">
        <f>M444*S444/(1+Assumptions!$B$3)^T444</f>
        <v/>
      </c>
      <c r="V444" s="11">
        <f>IF(M444=0,"",ROUND(U444/M444*100,1))</f>
        <v/>
      </c>
      <c r="W444" s="16">
        <f>U444*Assumptions!$B$4</f>
        <v/>
      </c>
      <c r="X444" s="11">
        <f>IF(M444=0,"",ROUND(W444/M444*100,1))</f>
        <v/>
      </c>
      <c r="Y444" t="inlineStr">
        <is>
          <t>GRUPO EGESA (EGESA ENG S.A, EGESUR PART E EMP S.A, MATRIX INFRA LTDA, BEMVIVER ENG AMBIENTAL E SERV LTDA, DKF CONST E EMP LTDA, EGEPEL LTDA, ETR ASSESSORIA EMP E PART LTDA, MVT ENG E SERV LTDA, PARQUES DO VALE LTDA, ELMO RIBEIRO E ANA RIBEIRO)</t>
        </is>
      </c>
      <c r="Z444" t="inlineStr">
        <is>
          <t>5088952-81.2025.8.13.0024</t>
        </is>
      </c>
      <c r="AA444" t="inlineStr">
        <is>
          <t>TJMG</t>
        </is>
      </c>
      <c r="AB444" t="inlineStr">
        <is>
          <t>scalzilliaj.com.br</t>
        </is>
      </c>
      <c r="AC444" t="inlineStr">
        <is>
          <t>DANIEL FERROS FAVERY</t>
        </is>
      </c>
      <c r="AD444" t="inlineStr">
        <is>
          <t>Sócio-Administrador</t>
        </is>
      </c>
      <c r="AE444" t="inlineStr">
        <is>
          <t>(11) 2199-6965</t>
        </is>
      </c>
      <c r="AF444" t="inlineStr"/>
      <c r="AG444" t="inlineStr"/>
      <c r="AH444" t="inlineStr">
        <is>
          <t>SP</t>
        </is>
      </c>
      <c r="AI444" t="inlineStr">
        <is>
          <t>CARAPICUIBA</t>
        </is>
      </c>
      <c r="AJ444" t="inlineStr">
        <is>
          <t>Comércio atacadista de Máquinas e equipamentos para uso industrial; partes e peças</t>
        </is>
      </c>
      <c r="AK444" t="inlineStr">
        <is>
          <t>DEMAIS</t>
        </is>
      </c>
      <c r="AL444" t="inlineStr">
        <is>
          <t>ATIVA</t>
        </is>
      </c>
      <c r="AM444" s="17" t="inlineStr">
        <is>
          <t>https://scalzilliaj.com.br/sgc/download.php?file=files/processo_documento/processo_documento09514021082025_1_.pdf&amp;nome=04 - Relação de credores das Recuperandas</t>
        </is>
      </c>
      <c r="AN444" s="18" t="inlineStr">
        <is>
          <t>p74 r3; p74 r4</t>
        </is>
      </c>
      <c r="AO444" s="18" t="inlineStr">
        <is>
          <t>p74: R$ 227.901,38; p74: R$ 63.639,30</t>
        </is>
      </c>
      <c r="AP444" s="18" t="inlineStr">
        <is>
          <t>DEBTOR_LIST</t>
        </is>
      </c>
      <c r="AQ444" s="18" t="inlineStr"/>
      <c r="AR444" s="18" t="inlineStr">
        <is>
          <t>OK</t>
        </is>
      </c>
      <c r="AS444" s="18" t="inlineStr">
        <is>
          <t>ROWS:p74r3,p74r4 VALUE_COL:Valor_Atualizado CASE_NUMBER_CORRECTED CASE_FROM_PORTAL</t>
        </is>
      </c>
      <c r="AT444" s="18" t="inlineStr">
        <is>
          <t>24ed98480a57</t>
        </is>
      </c>
    </row>
    <row r="445">
      <c r="A445" s="9" t="n">
        <v>444</v>
      </c>
      <c r="B445" s="9" t="inlineStr">
        <is>
          <t>NEW</t>
        </is>
      </c>
      <c r="C445" s="9" t="inlineStr"/>
      <c r="D445" s="9" t="n">
        <v>0</v>
      </c>
      <c r="E445" s="9" t="inlineStr"/>
      <c r="F445" s="9" t="inlineStr"/>
      <c r="G445" s="9" t="inlineStr"/>
      <c r="H445" s="9" t="inlineStr"/>
      <c r="I445" t="inlineStr">
        <is>
          <t>MV INFORMATICA NORDESTE LTDA</t>
        </is>
      </c>
      <c r="J445" t="inlineStr">
        <is>
          <t>MV INFORMÁTICA NORDESTE LTDA.</t>
        </is>
      </c>
      <c r="K445" t="inlineStr">
        <is>
          <t>92306257</t>
        </is>
      </c>
      <c r="L445" t="inlineStr">
        <is>
          <t>92306257000194</t>
        </is>
      </c>
      <c r="M445" s="10" t="n">
        <v>290787.94</v>
      </c>
      <c r="N445" t="n">
        <v>1</v>
      </c>
      <c r="O445" s="11" t="inlineStr">
        <is>
          <t>C</t>
        </is>
      </c>
      <c r="P445" s="11" t="inlineStr"/>
      <c r="Q445" s="12" t="inlineStr"/>
      <c r="R445" s="11">
        <f>IF(Q445="","",ROUND((TODAY()-Q445)/365.25,1))</f>
        <v/>
      </c>
      <c r="S445" s="13">
        <f>IFERROR(VLOOKUP(O445,Assumptions!$A$7:$F$11,2,FALSE),0.25)</f>
        <v/>
      </c>
      <c r="T445" s="14">
        <f>IF(O445="A",MAX(1,IFERROR(VLOOKUP(O445,Assumptions!$A$7:$F$11,3,FALSE),3)+IFERROR(VLOOKUP(O445,Assumptions!$A$7:$F$11,4,FALSE),8)/2-MAX(0,IF(R445="",0,R445)-IFERROR(VLOOKUP(O445,Assumptions!$A$7:$F$11,5,FALSE),1.5))),IFERROR(VLOOKUP(O445,Assumptions!$A$7:$F$11,5,FALSE),2.5)+IFERROR(VLOOKUP(O445,Assumptions!$A$7:$F$11,3,FALSE),3)+IFERROR(VLOOKUP(O445,Assumptions!$A$7:$F$11,4,FALSE),8)/2)</f>
        <v/>
      </c>
      <c r="U445" s="15">
        <f>M445*S445/(1+Assumptions!$B$3)^T445</f>
        <v/>
      </c>
      <c r="V445" s="11">
        <f>IF(M445=0,"",ROUND(U445/M445*100,1))</f>
        <v/>
      </c>
      <c r="W445" s="16">
        <f>U445*Assumptions!$B$4</f>
        <v/>
      </c>
      <c r="X445" s="11">
        <f>IF(M445=0,"",ROUND(W445/M445*100,1))</f>
        <v/>
      </c>
      <c r="Y445" t="inlineStr">
        <is>
          <t>HOSPITAL SANTA MÔNICA LTDA</t>
        </is>
      </c>
      <c r="Z445" t="inlineStr">
        <is>
          <t>0041309-42.2014.8.08.0024</t>
        </is>
      </c>
      <c r="AA445" t="inlineStr"/>
      <c r="AB445" t="inlineStr">
        <is>
          <t>ricardobiancardi.com.br</t>
        </is>
      </c>
      <c r="AC445" t="inlineStr">
        <is>
          <t>LUIZ ANDRE DE CARVALHO</t>
        </is>
      </c>
      <c r="AD445" t="inlineStr">
        <is>
          <t>Administrador</t>
        </is>
      </c>
      <c r="AE445" t="inlineStr">
        <is>
          <t>(81) 3972-7028</t>
        </is>
      </c>
      <c r="AF445" t="inlineStr"/>
      <c r="AG445" t="inlineStr"/>
      <c r="AH445" t="inlineStr">
        <is>
          <t>RS</t>
        </is>
      </c>
      <c r="AI445" t="inlineStr">
        <is>
          <t>PORTO ALEGRE</t>
        </is>
      </c>
      <c r="AJ445" t="inlineStr">
        <is>
          <t>Desenvolvimento e licenciamento de programas de computador customizáveis</t>
        </is>
      </c>
      <c r="AK445" t="inlineStr">
        <is>
          <t>DEMAIS</t>
        </is>
      </c>
      <c r="AL445" t="inlineStr">
        <is>
          <t>ATIVA</t>
        </is>
      </c>
      <c r="AM445" s="17" t="inlineStr">
        <is>
          <t>https://ricardobiancardi.com.br/wp-content/uploads/2024/12/Edital-1-relacao-de-credores-pub.-02.12.24-.pdf</t>
        </is>
      </c>
      <c r="AN445" s="18" t="inlineStr">
        <is>
          <t>p5 r3</t>
        </is>
      </c>
      <c r="AO445" s="18" t="inlineStr">
        <is>
          <t>p5: R$ 290.787,94</t>
        </is>
      </c>
      <c r="AP445" s="18" t="inlineStr">
        <is>
          <t>DEBTOR_LIST</t>
        </is>
      </c>
      <c r="AQ445" s="18" t="inlineStr">
        <is>
          <t>2024-12-02</t>
        </is>
      </c>
      <c r="AR445" s="18" t="inlineStr">
        <is>
          <t>OK_NO_TOTALS</t>
        </is>
      </c>
      <c r="AS445" s="18" t="inlineStr">
        <is>
          <t>ROWS:p5r3 UNRECONCILED_SOURCE</t>
        </is>
      </c>
      <c r="AT445" s="18" t="inlineStr">
        <is>
          <t>bf96785f7a4e</t>
        </is>
      </c>
    </row>
    <row r="446">
      <c r="A446" s="9" t="n">
        <v>445</v>
      </c>
      <c r="B446" s="9" t="inlineStr">
        <is>
          <t>NEW</t>
        </is>
      </c>
      <c r="C446" s="9" t="inlineStr"/>
      <c r="D446" s="9" t="n">
        <v>0</v>
      </c>
      <c r="E446" s="9" t="inlineStr"/>
      <c r="F446" s="9" t="inlineStr"/>
      <c r="G446" s="9" t="inlineStr"/>
      <c r="H446" s="9" t="inlineStr"/>
      <c r="I446" t="inlineStr">
        <is>
          <t>MAB - SP SERVICOS ADMINISTRATIVOS LTDA</t>
        </is>
      </c>
      <c r="J446" t="inlineStr">
        <is>
          <t>MAB SP Soluções em Madeira Ltda</t>
        </is>
      </c>
      <c r="K446" t="inlineStr">
        <is>
          <t>01144076</t>
        </is>
      </c>
      <c r="L446" t="inlineStr">
        <is>
          <t>01144076000153</t>
        </is>
      </c>
      <c r="M446" s="10" t="n">
        <v>288822.7</v>
      </c>
      <c r="N446" t="n">
        <v>1</v>
      </c>
      <c r="O446" s="11" t="inlineStr">
        <is>
          <t>B</t>
        </is>
      </c>
      <c r="P446" s="11" t="inlineStr"/>
      <c r="Q446" s="12" t="n">
        <v>45756</v>
      </c>
      <c r="R446" s="11">
        <f>IF(Q446="","",ROUND((TODAY()-Q446)/365.25,1))</f>
        <v/>
      </c>
      <c r="S446" s="13">
        <f>IFERROR(VLOOKUP(O446,Assumptions!$A$7:$F$11,2,FALSE),0.25)</f>
        <v/>
      </c>
      <c r="T446" s="14">
        <f>IF(O446="A",MAX(1,IFERROR(VLOOKUP(O446,Assumptions!$A$7:$F$11,3,FALSE),3)+IFERROR(VLOOKUP(O446,Assumptions!$A$7:$F$11,4,FALSE),8)/2-MAX(0,IF(R446="",0,R446)-IFERROR(VLOOKUP(O446,Assumptions!$A$7:$F$11,5,FALSE),1.5))),IFERROR(VLOOKUP(O446,Assumptions!$A$7:$F$11,5,FALSE),2.5)+IFERROR(VLOOKUP(O446,Assumptions!$A$7:$F$11,3,FALSE),3)+IFERROR(VLOOKUP(O446,Assumptions!$A$7:$F$11,4,FALSE),8)/2)</f>
        <v/>
      </c>
      <c r="U446" s="15">
        <f>M446*S446/(1+Assumptions!$B$3)^T446</f>
        <v/>
      </c>
      <c r="V446" s="11">
        <f>IF(M446=0,"",ROUND(U446/M446*100,1))</f>
        <v/>
      </c>
      <c r="W446" s="16">
        <f>U446*Assumptions!$B$4</f>
        <v/>
      </c>
      <c r="X446" s="11">
        <f>IF(M446=0,"",ROUND(W446/M446*100,1))</f>
        <v/>
      </c>
      <c r="Y446" t="inlineStr">
        <is>
          <t>GRUPO EGESA (EGESA ENG S.A, EGESUR PART E EMP S.A, MATRIX INFRA LTDA, BEMVIVER ENG AMBIENTAL E SERV LTDA, DKF CONST E EMP LTDA, EGEPEL LTDA, ETR ASSESSORIA EMP E PART LTDA, MVT ENG E SERV LTDA, PARQUES DO VALE LTDA, ELMO RIBEIRO E ANA RIBEIRO)</t>
        </is>
      </c>
      <c r="Z446" t="inlineStr">
        <is>
          <t>5088952-81.2025.8.13.0024</t>
        </is>
      </c>
      <c r="AA446" t="inlineStr">
        <is>
          <t>TJMG</t>
        </is>
      </c>
      <c r="AB446" t="inlineStr">
        <is>
          <t>scalzilliaj.com.br</t>
        </is>
      </c>
      <c r="AC446" t="inlineStr">
        <is>
          <t>GISELMA TATIANA DOS SANTOS DE ROSSI</t>
        </is>
      </c>
      <c r="AD446" t="inlineStr">
        <is>
          <t>Sócio-Administrador</t>
        </is>
      </c>
      <c r="AE446" t="inlineStr">
        <is>
          <t>(11) 4436-1775</t>
        </is>
      </c>
      <c r="AF446" t="inlineStr"/>
      <c r="AG446" t="inlineStr"/>
      <c r="AH446" t="inlineStr">
        <is>
          <t>SP</t>
        </is>
      </c>
      <c r="AI446" t="inlineStr">
        <is>
          <t>BARUERI</t>
        </is>
      </c>
      <c r="AJ446" t="inlineStr">
        <is>
          <t>Serviços combinados de escritório e apoio administrativo</t>
        </is>
      </c>
      <c r="AK446" t="inlineStr">
        <is>
          <t>EMPRESA DE PEQUENO PORTE</t>
        </is>
      </c>
      <c r="AL446" t="inlineStr">
        <is>
          <t>ATIVA</t>
        </is>
      </c>
      <c r="AM446" s="17" t="inlineStr">
        <is>
          <t>https://scalzilliaj.com.br/sgc/download.php?file=files/processo_documento/processo_documento09514021082025_1_.pdf&amp;nome=04 - Relação de credores das Recuperandas</t>
        </is>
      </c>
      <c r="AN446" s="18" t="inlineStr">
        <is>
          <t>p69 r8</t>
        </is>
      </c>
      <c r="AO446" s="18" t="inlineStr">
        <is>
          <t>p69: R$ 288.822,70</t>
        </is>
      </c>
      <c r="AP446" s="18" t="inlineStr">
        <is>
          <t>DEBTOR_LIST</t>
        </is>
      </c>
      <c r="AQ446" s="18" t="inlineStr"/>
      <c r="AR446" s="18" t="inlineStr">
        <is>
          <t>OK</t>
        </is>
      </c>
      <c r="AS446" s="18" t="inlineStr">
        <is>
          <t>ROWS:p69r8 VALUE_COL:Valor_Atualizado CASE_NUMBER_CORRECTED CASE_FROM_PORTAL</t>
        </is>
      </c>
      <c r="AT446" s="18" t="inlineStr">
        <is>
          <t>24ed98480a57</t>
        </is>
      </c>
    </row>
    <row r="447">
      <c r="A447" s="9" t="n">
        <v>446</v>
      </c>
      <c r="B447" s="9" t="inlineStr">
        <is>
          <t>NEW</t>
        </is>
      </c>
      <c r="C447" s="9" t="inlineStr"/>
      <c r="D447" s="9" t="n">
        <v>0</v>
      </c>
      <c r="E447" s="9" t="inlineStr"/>
      <c r="F447" s="9" t="inlineStr"/>
      <c r="G447" s="9" t="inlineStr"/>
      <c r="H447" s="9" t="inlineStr"/>
      <c r="I447" t="inlineStr">
        <is>
          <t>TEXTIL J SERRANO LTDA</t>
        </is>
      </c>
      <c r="J447" t="inlineStr">
        <is>
          <t>TEXTIL J SERRANO LTDA</t>
        </is>
      </c>
      <c r="K447" t="inlineStr">
        <is>
          <t>49870173</t>
        </is>
      </c>
      <c r="L447" t="inlineStr">
        <is>
          <t>49870173000230</t>
        </is>
      </c>
      <c r="M447" s="10" t="n">
        <v>288472.7</v>
      </c>
      <c r="N447" t="n">
        <v>1</v>
      </c>
      <c r="O447" s="11" t="inlineStr">
        <is>
          <t>D</t>
        </is>
      </c>
      <c r="P447" s="11" t="inlineStr"/>
      <c r="Q447" s="12" t="inlineStr"/>
      <c r="R447" s="11">
        <f>IF(Q447="","",ROUND((TODAY()-Q447)/365.25,1))</f>
        <v/>
      </c>
      <c r="S447" s="13">
        <f>IFERROR(VLOOKUP(O447,Assumptions!$A$7:$F$11,2,FALSE),0.25)</f>
        <v/>
      </c>
      <c r="T447" s="14">
        <f>IF(O447="A",MAX(1,IFERROR(VLOOKUP(O447,Assumptions!$A$7:$F$11,3,FALSE),3)+IFERROR(VLOOKUP(O447,Assumptions!$A$7:$F$11,4,FALSE),8)/2-MAX(0,IF(R447="",0,R447)-IFERROR(VLOOKUP(O447,Assumptions!$A$7:$F$11,5,FALSE),1.5))),IFERROR(VLOOKUP(O447,Assumptions!$A$7:$F$11,5,FALSE),2.5)+IFERROR(VLOOKUP(O447,Assumptions!$A$7:$F$11,3,FALSE),3)+IFERROR(VLOOKUP(O447,Assumptions!$A$7:$F$11,4,FALSE),8)/2)</f>
        <v/>
      </c>
      <c r="U447" s="15">
        <f>M447*S447/(1+Assumptions!$B$3)^T447</f>
        <v/>
      </c>
      <c r="V447" s="11">
        <f>IF(M447=0,"",ROUND(U447/M447*100,1))</f>
        <v/>
      </c>
      <c r="W447" s="16">
        <f>U447*Assumptions!$B$4</f>
        <v/>
      </c>
      <c r="X447" s="11">
        <f>IF(M447=0,"",ROUND(W447/M447*100,1))</f>
        <v/>
      </c>
      <c r="Y447" t="inlineStr">
        <is>
          <t>Mannes</t>
        </is>
      </c>
      <c r="Z447" t="inlineStr">
        <is>
          <t>0005010-50.2013.8.24.0026</t>
        </is>
      </c>
      <c r="AA447" t="inlineStr"/>
      <c r="AB447" t="inlineStr">
        <is>
          <t>administradorajudicialgs.com.br</t>
        </is>
      </c>
      <c r="AC447" t="inlineStr">
        <is>
          <t>MIGUEL NAFFAH PEREZ</t>
        </is>
      </c>
      <c r="AD447" t="inlineStr">
        <is>
          <t>Administrador</t>
        </is>
      </c>
      <c r="AE447" t="inlineStr">
        <is>
          <t>(11) 3811-4300</t>
        </is>
      </c>
      <c r="AF447" t="inlineStr"/>
      <c r="AG447" t="inlineStr"/>
      <c r="AH447" t="inlineStr">
        <is>
          <t>SP</t>
        </is>
      </c>
      <c r="AI447" t="inlineStr">
        <is>
          <t>SAO PAULO</t>
        </is>
      </c>
      <c r="AJ447" t="inlineStr">
        <is>
          <t>Serviços combinados de escritório e apoio administrativo</t>
        </is>
      </c>
      <c r="AK447" t="inlineStr">
        <is>
          <t>DEMAIS</t>
        </is>
      </c>
      <c r="AL447" t="inlineStr">
        <is>
          <t>ATIVA</t>
        </is>
      </c>
      <c r="AM447" s="17" t="inlineStr">
        <is>
          <t>https://administradorajudicialgs.com.br/wp-content/uploads/2024/12/relacao-de-credores-da-falida.pdf</t>
        </is>
      </c>
      <c r="AN447" s="18" t="inlineStr">
        <is>
          <t>p18 r63</t>
        </is>
      </c>
      <c r="AO447" s="18" t="inlineStr">
        <is>
          <t>p18: R$ 288.472,70</t>
        </is>
      </c>
      <c r="AP447" s="18" t="inlineStr">
        <is>
          <t>OTHER</t>
        </is>
      </c>
      <c r="AQ447" s="18" t="inlineStr">
        <is>
          <t>2025-03-25</t>
        </is>
      </c>
      <c r="AR447" s="18" t="inlineStr">
        <is>
          <t>OK_NO_TOTALS</t>
        </is>
      </c>
      <c r="AS447" s="18" t="inlineStr">
        <is>
          <t>ROWS:p18r63 UNRECONCILED_SOURCE CASE_NUMBER_CORRECTED</t>
        </is>
      </c>
      <c r="AT447" s="18" t="inlineStr">
        <is>
          <t>ea17ba43b261</t>
        </is>
      </c>
    </row>
    <row r="448">
      <c r="A448" s="9" t="n">
        <v>447</v>
      </c>
      <c r="B448" s="9" t="inlineStr">
        <is>
          <t>NEW</t>
        </is>
      </c>
      <c r="C448" s="9" t="inlineStr"/>
      <c r="D448" s="9" t="n">
        <v>0</v>
      </c>
      <c r="E448" s="9" t="inlineStr"/>
      <c r="F448" s="9" t="inlineStr"/>
      <c r="G448" s="9" t="inlineStr"/>
      <c r="H448" s="9" t="inlineStr"/>
      <c r="I448" t="inlineStr">
        <is>
          <t>A X M ADMINISTRACAO E PARTICIPACOES LTDA</t>
        </is>
      </c>
      <c r="J448" t="inlineStr">
        <is>
          <t>AXM ADMINISTRACAO E PARTICIPACOES LTDA</t>
        </is>
      </c>
      <c r="K448" t="inlineStr">
        <is>
          <t>24649441</t>
        </is>
      </c>
      <c r="L448" t="inlineStr">
        <is>
          <t>24649441000187</t>
        </is>
      </c>
      <c r="M448" s="10" t="n">
        <v>288256.26</v>
      </c>
      <c r="N448" t="n">
        <v>1</v>
      </c>
      <c r="O448" s="11" t="inlineStr">
        <is>
          <t>C</t>
        </is>
      </c>
      <c r="P448" s="11" t="inlineStr">
        <is>
          <t>ACTIVE</t>
        </is>
      </c>
      <c r="Q448" s="12" t="n">
        <v>44571</v>
      </c>
      <c r="R448" s="11">
        <f>IF(Q448="","",ROUND((TODAY()-Q448)/365.25,1))</f>
        <v/>
      </c>
      <c r="S448" s="13">
        <f>IFERROR(VLOOKUP(O448,Assumptions!$A$7:$F$11,2,FALSE),0.25)</f>
        <v/>
      </c>
      <c r="T448" s="14">
        <f>IF(O448="A",MAX(1,IFERROR(VLOOKUP(O448,Assumptions!$A$7:$F$11,3,FALSE),3)+IFERROR(VLOOKUP(O448,Assumptions!$A$7:$F$11,4,FALSE),8)/2-MAX(0,IF(R448="",0,R448)-IFERROR(VLOOKUP(O448,Assumptions!$A$7:$F$11,5,FALSE),1.5))),IFERROR(VLOOKUP(O448,Assumptions!$A$7:$F$11,5,FALSE),2.5)+IFERROR(VLOOKUP(O448,Assumptions!$A$7:$F$11,3,FALSE),3)+IFERROR(VLOOKUP(O448,Assumptions!$A$7:$F$11,4,FALSE),8)/2)</f>
        <v/>
      </c>
      <c r="U448" s="15">
        <f>M448*S448/(1+Assumptions!$B$3)^T448</f>
        <v/>
      </c>
      <c r="V448" s="11">
        <f>IF(M448=0,"",ROUND(U448/M448*100,1))</f>
        <v/>
      </c>
      <c r="W448" s="16">
        <f>U448*Assumptions!$B$4</f>
        <v/>
      </c>
      <c r="X448" s="11">
        <f>IF(M448=0,"",ROUND(W448/M448*100,1))</f>
        <v/>
      </c>
      <c r="Y448" t="inlineStr">
        <is>
          <t>GRUPO CATTAN</t>
        </is>
      </c>
      <c r="Z448" t="inlineStr">
        <is>
          <t>0002484-82.2022.8.17.2001</t>
        </is>
      </c>
      <c r="AA448" t="inlineStr">
        <is>
          <t>TJPE</t>
        </is>
      </c>
      <c r="AB448" t="inlineStr">
        <is>
          <t>lrflideres.com.br</t>
        </is>
      </c>
      <c r="AC448" t="inlineStr">
        <is>
          <t>ANA LUCIA LEITE GIACCIO</t>
        </is>
      </c>
      <c r="AD448" t="inlineStr">
        <is>
          <t>Sócio-Administrador</t>
        </is>
      </c>
      <c r="AE448" t="inlineStr">
        <is>
          <t>(41) 3233-9848</t>
        </is>
      </c>
      <c r="AF448" t="inlineStr"/>
      <c r="AG448" t="inlineStr"/>
      <c r="AH448" t="inlineStr">
        <is>
          <t>PR</t>
        </is>
      </c>
      <c r="AI448" t="inlineStr">
        <is>
          <t>CURITIBA</t>
        </is>
      </c>
      <c r="AJ448" t="inlineStr">
        <is>
          <t>Aluguel de imóveis próprios</t>
        </is>
      </c>
      <c r="AK448" t="inlineStr">
        <is>
          <t>DEMAIS</t>
        </is>
      </c>
      <c r="AL448" t="inlineStr">
        <is>
          <t>ATIVA</t>
        </is>
      </c>
      <c r="AM448" s="17" t="inlineStr">
        <is>
          <t>https://lrflideres.com.br/wp-content/plugins/download-attachments/includes/download.php?id=4023</t>
        </is>
      </c>
      <c r="AN448" s="18" t="inlineStr">
        <is>
          <t>p4 r54</t>
        </is>
      </c>
      <c r="AO448" s="18" t="inlineStr">
        <is>
          <t>p4: R$ 288.256,26</t>
        </is>
      </c>
      <c r="AP448" s="18" t="inlineStr">
        <is>
          <t>DEBTOR_LIST</t>
        </is>
      </c>
      <c r="AQ448" s="18" t="inlineStr"/>
      <c r="AR448" s="18" t="inlineStr">
        <is>
          <t>QUARANTINED</t>
        </is>
      </c>
      <c r="AS448" s="18" t="inlineStr">
        <is>
          <t>PARTIAL_DOC_CLASS_III_RECONCILED ROWS:p4r54</t>
        </is>
      </c>
      <c r="AT448" s="18" t="inlineStr">
        <is>
          <t>f3b6182e3aa2</t>
        </is>
      </c>
    </row>
    <row r="449">
      <c r="A449" s="9" t="n">
        <v>448</v>
      </c>
      <c r="B449" s="9" t="inlineStr">
        <is>
          <t>NEW</t>
        </is>
      </c>
      <c r="C449" s="9" t="inlineStr"/>
      <c r="D449" s="9" t="n">
        <v>0</v>
      </c>
      <c r="E449" s="9" t="inlineStr"/>
      <c r="F449" s="9" t="inlineStr"/>
      <c r="G449" s="9" t="inlineStr"/>
      <c r="H449" s="9" t="inlineStr"/>
      <c r="I449" t="inlineStr">
        <is>
          <t>GG ADMINISTRADORA DE BENS S/A</t>
        </is>
      </c>
      <c r="J449" t="inlineStr">
        <is>
          <t>GG ADMINISTRADORA DE BENS S/A</t>
        </is>
      </c>
      <c r="K449" t="inlineStr">
        <is>
          <t>24221282</t>
        </is>
      </c>
      <c r="L449" t="inlineStr">
        <is>
          <t>24221282000115</t>
        </is>
      </c>
      <c r="M449" s="10" t="n">
        <v>288256.26</v>
      </c>
      <c r="N449" t="n">
        <v>1</v>
      </c>
      <c r="O449" s="11" t="inlineStr">
        <is>
          <t>C</t>
        </is>
      </c>
      <c r="P449" s="11" t="inlineStr">
        <is>
          <t>ACTIVE</t>
        </is>
      </c>
      <c r="Q449" s="12" t="n">
        <v>44571</v>
      </c>
      <c r="R449" s="11">
        <f>IF(Q449="","",ROUND((TODAY()-Q449)/365.25,1))</f>
        <v/>
      </c>
      <c r="S449" s="13">
        <f>IFERROR(VLOOKUP(O449,Assumptions!$A$7:$F$11,2,FALSE),0.25)</f>
        <v/>
      </c>
      <c r="T449" s="14">
        <f>IF(O449="A",MAX(1,IFERROR(VLOOKUP(O449,Assumptions!$A$7:$F$11,3,FALSE),3)+IFERROR(VLOOKUP(O449,Assumptions!$A$7:$F$11,4,FALSE),8)/2-MAX(0,IF(R449="",0,R449)-IFERROR(VLOOKUP(O449,Assumptions!$A$7:$F$11,5,FALSE),1.5))),IFERROR(VLOOKUP(O449,Assumptions!$A$7:$F$11,5,FALSE),2.5)+IFERROR(VLOOKUP(O449,Assumptions!$A$7:$F$11,3,FALSE),3)+IFERROR(VLOOKUP(O449,Assumptions!$A$7:$F$11,4,FALSE),8)/2)</f>
        <v/>
      </c>
      <c r="U449" s="15">
        <f>M449*S449/(1+Assumptions!$B$3)^T449</f>
        <v/>
      </c>
      <c r="V449" s="11">
        <f>IF(M449=0,"",ROUND(U449/M449*100,1))</f>
        <v/>
      </c>
      <c r="W449" s="16">
        <f>U449*Assumptions!$B$4</f>
        <v/>
      </c>
      <c r="X449" s="11">
        <f>IF(M449=0,"",ROUND(W449/M449*100,1))</f>
        <v/>
      </c>
      <c r="Y449" t="inlineStr">
        <is>
          <t>GRUPO CATTAN</t>
        </is>
      </c>
      <c r="Z449" t="inlineStr">
        <is>
          <t>0002484-82.2022.8.17.2001</t>
        </is>
      </c>
      <c r="AA449" t="inlineStr">
        <is>
          <t>TJPE</t>
        </is>
      </c>
      <c r="AB449" t="inlineStr">
        <is>
          <t>lrflideres.com.br</t>
        </is>
      </c>
      <c r="AC449" t="inlineStr">
        <is>
          <t>ANA LUCIA LEITE GIACCIO</t>
        </is>
      </c>
      <c r="AD449" t="inlineStr">
        <is>
          <t>Diretor</t>
        </is>
      </c>
      <c r="AE449" t="inlineStr">
        <is>
          <t>(48) 9961-4240</t>
        </is>
      </c>
      <c r="AF449" t="inlineStr"/>
      <c r="AG449" t="inlineStr"/>
      <c r="AH449" t="inlineStr">
        <is>
          <t>PR</t>
        </is>
      </c>
      <c r="AI449" t="inlineStr">
        <is>
          <t>CURITIBA</t>
        </is>
      </c>
      <c r="AJ449" t="inlineStr">
        <is>
          <t>Aluguel de imóveis próprios</t>
        </is>
      </c>
      <c r="AK449" t="inlineStr">
        <is>
          <t>DEMAIS</t>
        </is>
      </c>
      <c r="AL449" t="inlineStr">
        <is>
          <t>ATIVA</t>
        </is>
      </c>
      <c r="AM449" s="17" t="inlineStr">
        <is>
          <t>https://lrflideres.com.br/wp-content/plugins/download-attachments/includes/download.php?id=4023</t>
        </is>
      </c>
      <c r="AN449" s="18" t="inlineStr">
        <is>
          <t>p4 r75</t>
        </is>
      </c>
      <c r="AO449" s="18" t="inlineStr">
        <is>
          <t>p4: R$ 288.256,26</t>
        </is>
      </c>
      <c r="AP449" s="18" t="inlineStr">
        <is>
          <t>DEBTOR_LIST</t>
        </is>
      </c>
      <c r="AQ449" s="18" t="inlineStr"/>
      <c r="AR449" s="18" t="inlineStr">
        <is>
          <t>QUARANTINED</t>
        </is>
      </c>
      <c r="AS449" s="18" t="inlineStr">
        <is>
          <t>PARTIAL_DOC_CLASS_III_RECONCILED ROWS:p4r75</t>
        </is>
      </c>
      <c r="AT449" s="18" t="inlineStr">
        <is>
          <t>f3b6182e3aa2</t>
        </is>
      </c>
    </row>
    <row r="450">
      <c r="A450" s="9" t="n">
        <v>449</v>
      </c>
      <c r="B450" s="9" t="inlineStr">
        <is>
          <t>NEW</t>
        </is>
      </c>
      <c r="C450" s="9" t="inlineStr"/>
      <c r="D450" s="9" t="n">
        <v>0</v>
      </c>
      <c r="E450" s="9" t="inlineStr"/>
      <c r="F450" s="9" t="inlineStr"/>
      <c r="G450" s="9" t="inlineStr"/>
      <c r="H450" s="9" t="inlineStr"/>
      <c r="I450" t="inlineStr">
        <is>
          <t>MAGNO MOVEIS LTDA</t>
        </is>
      </c>
      <c r="J450" t="inlineStr">
        <is>
          <t>40.887.879/0001-50</t>
        </is>
      </c>
      <c r="K450" t="inlineStr">
        <is>
          <t>40887879</t>
        </is>
      </c>
      <c r="L450" t="inlineStr">
        <is>
          <t>40887879000150</t>
        </is>
      </c>
      <c r="M450" s="10" t="n">
        <v>287455.47</v>
      </c>
      <c r="N450" t="n">
        <v>1</v>
      </c>
      <c r="O450" s="11" t="inlineStr">
        <is>
          <t>C</t>
        </is>
      </c>
      <c r="P450" s="11" t="inlineStr">
        <is>
          <t>ACTIVE</t>
        </is>
      </c>
      <c r="Q450" s="12" t="n">
        <v>43894</v>
      </c>
      <c r="R450" s="11">
        <f>IF(Q450="","",ROUND((TODAY()-Q450)/365.25,1))</f>
        <v/>
      </c>
      <c r="S450" s="13">
        <f>IFERROR(VLOOKUP(O450,Assumptions!$A$7:$F$11,2,FALSE),0.25)</f>
        <v/>
      </c>
      <c r="T450" s="14">
        <f>IF(O450="A",MAX(1,IFERROR(VLOOKUP(O450,Assumptions!$A$7:$F$11,3,FALSE),3)+IFERROR(VLOOKUP(O450,Assumptions!$A$7:$F$11,4,FALSE),8)/2-MAX(0,IF(R450="",0,R450)-IFERROR(VLOOKUP(O450,Assumptions!$A$7:$F$11,5,FALSE),1.5))),IFERROR(VLOOKUP(O450,Assumptions!$A$7:$F$11,5,FALSE),2.5)+IFERROR(VLOOKUP(O450,Assumptions!$A$7:$F$11,3,FALSE),3)+IFERROR(VLOOKUP(O450,Assumptions!$A$7:$F$11,4,FALSE),8)/2)</f>
        <v/>
      </c>
      <c r="U450" s="15">
        <f>M450*S450/(1+Assumptions!$B$3)^T450</f>
        <v/>
      </c>
      <c r="V450" s="11">
        <f>IF(M450=0,"",ROUND(U450/M450*100,1))</f>
        <v/>
      </c>
      <c r="W450" s="16">
        <f>U450*Assumptions!$B$4</f>
        <v/>
      </c>
      <c r="X450" s="11">
        <f>IF(M450=0,"",ROUND(W450/M450*100,1))</f>
        <v/>
      </c>
      <c r="Y450" t="inlineStr">
        <is>
          <t>CREDIMÓVEIS NOVOLAR LTDA.</t>
        </is>
      </c>
      <c r="Z450" t="inlineStr">
        <is>
          <t>0007565-40.2020.8.17.2370</t>
        </is>
      </c>
      <c r="AA450" t="inlineStr">
        <is>
          <t>TJPE</t>
        </is>
      </c>
      <c r="AB450" t="inlineStr">
        <is>
          <t>recuperacaojudicial.squarespace.com</t>
        </is>
      </c>
      <c r="AC450" t="inlineStr">
        <is>
          <t>ALEXANDRE MAGNO BARROS DE BRITO</t>
        </is>
      </c>
      <c r="AD450" t="inlineStr">
        <is>
          <t>Sócio-Administrador</t>
        </is>
      </c>
      <c r="AE450" t="inlineStr">
        <is>
          <t>(87) 9908-0035</t>
        </is>
      </c>
      <c r="AF450" t="inlineStr">
        <is>
          <t>(87) 9908-0046</t>
        </is>
      </c>
      <c r="AG450" t="inlineStr"/>
      <c r="AH450" t="inlineStr">
        <is>
          <t>PE</t>
        </is>
      </c>
      <c r="AI450" t="inlineStr">
        <is>
          <t>AFOGADOS DA INGAZEIRA</t>
        </is>
      </c>
      <c r="AJ450" t="inlineStr">
        <is>
          <t>Fabricação de móveis com predominância de madeira</t>
        </is>
      </c>
      <c r="AK450" t="inlineStr">
        <is>
          <t>DEMAIS</t>
        </is>
      </c>
      <c r="AL450" t="inlineStr">
        <is>
          <t>ATIVA</t>
        </is>
      </c>
      <c r="AM450" s="17" t="inlineStr">
        <is>
          <t>https://recuperacaojudicial.squarespace.com/s/RJ-Credimoveis-QGC-01082025.pdf</t>
        </is>
      </c>
      <c r="AN450" s="18" t="inlineStr">
        <is>
          <t>p16 r14</t>
        </is>
      </c>
      <c r="AO450" s="18" t="inlineStr">
        <is>
          <t>p16: R$ 287.455,47</t>
        </is>
      </c>
      <c r="AP450" s="18" t="inlineStr">
        <is>
          <t>QGC</t>
        </is>
      </c>
      <c r="AQ450" s="18" t="inlineStr">
        <is>
          <t>2026-01-28</t>
        </is>
      </c>
      <c r="AR450" s="18" t="inlineStr">
        <is>
          <t>OK</t>
        </is>
      </c>
      <c r="AS450" s="18" t="inlineStr">
        <is>
          <t>ROWS:p16r14</t>
        </is>
      </c>
      <c r="AT450" s="18" t="inlineStr">
        <is>
          <t>849d4fe5adce</t>
        </is>
      </c>
    </row>
    <row r="451">
      <c r="A451" s="9" t="n">
        <v>450</v>
      </c>
      <c r="B451" s="9" t="inlineStr">
        <is>
          <t>NEW</t>
        </is>
      </c>
      <c r="C451" s="9" t="inlineStr"/>
      <c r="D451" s="9" t="n">
        <v>0</v>
      </c>
      <c r="E451" s="9" t="inlineStr"/>
      <c r="F451" s="9" t="inlineStr"/>
      <c r="G451" s="9" t="inlineStr"/>
      <c r="H451" s="9" t="inlineStr"/>
      <c r="I451" t="inlineStr">
        <is>
          <t>PLASKEM EMBALAGENS LTDA</t>
        </is>
      </c>
      <c r="J451" t="inlineStr">
        <is>
          <t>PLASKEM EMBALAGENS LTDA</t>
        </is>
      </c>
      <c r="K451" t="inlineStr">
        <is>
          <t>05052443</t>
        </is>
      </c>
      <c r="L451" t="inlineStr">
        <is>
          <t>05052443000140</t>
        </is>
      </c>
      <c r="M451" s="10" t="n">
        <v>286961.94</v>
      </c>
      <c r="N451" t="n">
        <v>1</v>
      </c>
      <c r="O451" s="11" t="inlineStr">
        <is>
          <t>C</t>
        </is>
      </c>
      <c r="P451" s="11" t="inlineStr"/>
      <c r="Q451" s="12" t="inlineStr"/>
      <c r="R451" s="11">
        <f>IF(Q451="","",ROUND((TODAY()-Q451)/365.25,1))</f>
        <v/>
      </c>
      <c r="S451" s="13">
        <f>IFERROR(VLOOKUP(O451,Assumptions!$A$7:$F$11,2,FALSE),0.25)</f>
        <v/>
      </c>
      <c r="T451" s="14">
        <f>IF(O451="A",MAX(1,IFERROR(VLOOKUP(O451,Assumptions!$A$7:$F$11,3,FALSE),3)+IFERROR(VLOOKUP(O451,Assumptions!$A$7:$F$11,4,FALSE),8)/2-MAX(0,IF(R451="",0,R451)-IFERROR(VLOOKUP(O451,Assumptions!$A$7:$F$11,5,FALSE),1.5))),IFERROR(VLOOKUP(O451,Assumptions!$A$7:$F$11,5,FALSE),2.5)+IFERROR(VLOOKUP(O451,Assumptions!$A$7:$F$11,3,FALSE),3)+IFERROR(VLOOKUP(O451,Assumptions!$A$7:$F$11,4,FALSE),8)/2)</f>
        <v/>
      </c>
      <c r="U451" s="15">
        <f>M451*S451/(1+Assumptions!$B$3)^T451</f>
        <v/>
      </c>
      <c r="V451" s="11">
        <f>IF(M451=0,"",ROUND(U451/M451*100,1))</f>
        <v/>
      </c>
      <c r="W451" s="16">
        <f>U451*Assumptions!$B$4</f>
        <v/>
      </c>
      <c r="X451" s="11">
        <f>IF(M451=0,"",ROUND(W451/M451*100,1))</f>
        <v/>
      </c>
      <c r="Y451" t="inlineStr">
        <is>
          <t>AGROPECUÁRIA SERROTE REDONDO</t>
        </is>
      </c>
      <c r="Z451" t="inlineStr">
        <is>
          <t>0000206-69.2013.8.17.1340</t>
        </is>
      </c>
      <c r="AA451" t="inlineStr"/>
      <c r="AB451" t="inlineStr">
        <is>
          <t>lrflideres.com.br</t>
        </is>
      </c>
      <c r="AC451" t="inlineStr">
        <is>
          <t>AUGUSTO FERNANDO NUNES OLIVEIRA</t>
        </is>
      </c>
      <c r="AD451" t="inlineStr">
        <is>
          <t>Sócio-Administrador</t>
        </is>
      </c>
      <c r="AE451" t="inlineStr">
        <is>
          <t>(71) 3186-0354</t>
        </is>
      </c>
      <c r="AF451" t="inlineStr"/>
      <c r="AG451" t="inlineStr"/>
      <c r="AH451" t="inlineStr">
        <is>
          <t>BA</t>
        </is>
      </c>
      <c r="AI451" t="inlineStr">
        <is>
          <t>LAURO DE FREITAS</t>
        </is>
      </c>
      <c r="AJ451" t="inlineStr">
        <is>
          <t>Fabricação de embalagens de material plástico</t>
        </is>
      </c>
      <c r="AK451" t="inlineStr">
        <is>
          <t>DEMAIS</t>
        </is>
      </c>
      <c r="AL451" t="inlineStr">
        <is>
          <t>ATIVA</t>
        </is>
      </c>
      <c r="AM451" s="17" t="inlineStr">
        <is>
          <t>https://lrflideres.com.br/wp-content/plugins/download-attachments/includes/download.php?id=5001</t>
        </is>
      </c>
      <c r="AN451" s="18" t="inlineStr">
        <is>
          <t>p3 r15</t>
        </is>
      </c>
      <c r="AO451" s="18" t="inlineStr">
        <is>
          <t>p3: R$ 286.961,94</t>
        </is>
      </c>
      <c r="AP451" s="18" t="inlineStr">
        <is>
          <t>UNKNOWN</t>
        </is>
      </c>
      <c r="AQ451" s="18" t="inlineStr"/>
      <c r="AR451" s="18" t="inlineStr">
        <is>
          <t>OK</t>
        </is>
      </c>
      <c r="AS451" s="18" t="inlineStr">
        <is>
          <t>ALT_VALUE:286.961,94 ROWS:p3r15</t>
        </is>
      </c>
      <c r="AT451" s="18" t="inlineStr">
        <is>
          <t>7c0ce2830d0d</t>
        </is>
      </c>
    </row>
    <row r="452">
      <c r="A452" s="9" t="n">
        <v>451</v>
      </c>
      <c r="B452" s="9" t="inlineStr">
        <is>
          <t>NEW</t>
        </is>
      </c>
      <c r="C452" s="9" t="inlineStr"/>
      <c r="D452" s="9" t="n">
        <v>0</v>
      </c>
      <c r="E452" s="9" t="inlineStr"/>
      <c r="F452" s="9" t="inlineStr"/>
      <c r="G452" s="9" t="inlineStr"/>
      <c r="H452" s="9" t="inlineStr"/>
      <c r="I452" t="inlineStr">
        <is>
          <t>CTVA PROTECAO DE CULTIVOS LTDA.</t>
        </is>
      </c>
      <c r="J452" t="inlineStr">
        <is>
          <t>CTVA PTOTEÇÃO DE CULTIVOS LTDA - CORTEVA</t>
        </is>
      </c>
      <c r="K452" t="inlineStr">
        <is>
          <t>47180625</t>
        </is>
      </c>
      <c r="L452" t="inlineStr">
        <is>
          <t>47180625005881</t>
        </is>
      </c>
      <c r="M452" s="10" t="n">
        <v>286835.99</v>
      </c>
      <c r="N452" t="n">
        <v>1</v>
      </c>
      <c r="O452" s="11" t="inlineStr">
        <is>
          <t>B</t>
        </is>
      </c>
      <c r="P452" s="11" t="inlineStr">
        <is>
          <t>ACTIVE</t>
        </is>
      </c>
      <c r="Q452" s="12" t="n">
        <v>46030</v>
      </c>
      <c r="R452" s="11">
        <f>IF(Q452="","",ROUND((TODAY()-Q452)/365.25,1))</f>
        <v/>
      </c>
      <c r="S452" s="13">
        <f>IFERROR(VLOOKUP(O452,Assumptions!$A$7:$F$11,2,FALSE),0.25)</f>
        <v/>
      </c>
      <c r="T452" s="14">
        <f>IF(O452="A",MAX(1,IFERROR(VLOOKUP(O452,Assumptions!$A$7:$F$11,3,FALSE),3)+IFERROR(VLOOKUP(O452,Assumptions!$A$7:$F$11,4,FALSE),8)/2-MAX(0,IF(R452="",0,R452)-IFERROR(VLOOKUP(O452,Assumptions!$A$7:$F$11,5,FALSE),1.5))),IFERROR(VLOOKUP(O452,Assumptions!$A$7:$F$11,5,FALSE),2.5)+IFERROR(VLOOKUP(O452,Assumptions!$A$7:$F$11,3,FALSE),3)+IFERROR(VLOOKUP(O452,Assumptions!$A$7:$F$11,4,FALSE),8)/2)</f>
        <v/>
      </c>
      <c r="U452" s="15">
        <f>M452*S452/(1+Assumptions!$B$3)^T452</f>
        <v/>
      </c>
      <c r="V452" s="11">
        <f>IF(M452=0,"",ROUND(U452/M452*100,1))</f>
        <v/>
      </c>
      <c r="W452" s="16">
        <f>U452*Assumptions!$B$4</f>
        <v/>
      </c>
      <c r="X452" s="11">
        <f>IF(M452=0,"",ROUND(W452/M452*100,1))</f>
        <v/>
      </c>
      <c r="Y452" t="inlineStr">
        <is>
          <t>GRUPO FERRARI (ALEX, ALEXANDRE , ANDRIELLE FERRARI MANTELLI, ARCIR LUIS, ERICA SANTOS ASSIS LIMA, FERNANDO MANTELLI, IDELSI, TALITA LEITE SILVA, AGROPECUARIA FERRARI LTDA E FERRARI ARMAZENS GERAIS)</t>
        </is>
      </c>
      <c r="Z452" t="inlineStr">
        <is>
          <t>5011369-81.2026.8.09.0093</t>
        </is>
      </c>
      <c r="AA452" t="inlineStr">
        <is>
          <t>TJGO</t>
        </is>
      </c>
      <c r="AB452" t="inlineStr">
        <is>
          <t>scalzilliaj.com.br</t>
        </is>
      </c>
      <c r="AC452" t="inlineStr">
        <is>
          <t>ALBERTO ARMAS</t>
        </is>
      </c>
      <c r="AD452" t="inlineStr">
        <is>
          <t>Administrador</t>
        </is>
      </c>
      <c r="AE452" t="inlineStr">
        <is>
          <t>(11) 4166-8122</t>
        </is>
      </c>
      <c r="AF452" t="inlineStr"/>
      <c r="AG452" t="inlineStr"/>
      <c r="AH452" t="inlineStr">
        <is>
          <t>SP</t>
        </is>
      </c>
      <c r="AI452" t="inlineStr">
        <is>
          <t>BARUERI</t>
        </is>
      </c>
      <c r="AJ452" t="inlineStr">
        <is>
          <t>Atividades de consultoria em gestão empresarial, exceto consultoria técnica específica</t>
        </is>
      </c>
      <c r="AK452" t="inlineStr">
        <is>
          <t>DEMAIS</t>
        </is>
      </c>
      <c r="AL452" t="inlineStr">
        <is>
          <t>ATIVA</t>
        </is>
      </c>
      <c r="AM452" s="17" t="inlineStr">
        <is>
          <t>https://scalzilliaj.com.br/sgc/download.php?file=files/processo_documento/processo_documento11421222052026_1_.pdf&amp;nome=08. Lista de credores do edital do art. 52, §1º da LREF</t>
        </is>
      </c>
      <c r="AN452" s="18" t="inlineStr">
        <is>
          <t>p4 r10</t>
        </is>
      </c>
      <c r="AO452" s="18" t="inlineStr">
        <is>
          <t>p4: R$ 286.835,99</t>
        </is>
      </c>
      <c r="AP452" s="18" t="inlineStr">
        <is>
          <t>UNKNOWN</t>
        </is>
      </c>
      <c r="AQ452" s="18" t="inlineStr"/>
      <c r="AR452" s="18" t="inlineStr">
        <is>
          <t>OK_NO_TOTALS</t>
        </is>
      </c>
      <c r="AS452" s="18" t="inlineStr">
        <is>
          <t>ROWS:p4r10 UNRECONCILED_SOURCE</t>
        </is>
      </c>
      <c r="AT452" s="18" t="inlineStr">
        <is>
          <t>c536a2fa4da3</t>
        </is>
      </c>
    </row>
    <row r="453">
      <c r="A453" s="9" t="n">
        <v>452</v>
      </c>
      <c r="B453" s="9" t="inlineStr">
        <is>
          <t>NEW</t>
        </is>
      </c>
      <c r="C453" s="9" t="inlineStr"/>
      <c r="D453" s="9" t="n">
        <v>0</v>
      </c>
      <c r="E453" s="9" t="inlineStr"/>
      <c r="F453" s="9" t="inlineStr"/>
      <c r="G453" s="9" t="inlineStr"/>
      <c r="H453" s="9" t="inlineStr"/>
      <c r="I453" t="inlineStr">
        <is>
          <t>QUINTAL TEXTIL AMERICANA LTDA</t>
        </is>
      </c>
      <c r="J453" t="inlineStr">
        <is>
          <t>QUINTAL TEXTIL AMERICANA LTDA.</t>
        </is>
      </c>
      <c r="K453" t="inlineStr">
        <is>
          <t>03413865</t>
        </is>
      </c>
      <c r="L453" t="inlineStr">
        <is>
          <t>03413865000178</t>
        </is>
      </c>
      <c r="M453" s="10" t="n">
        <v>285719.32</v>
      </c>
      <c r="N453" t="n">
        <v>1</v>
      </c>
      <c r="O453" s="11" t="inlineStr">
        <is>
          <t>D</t>
        </is>
      </c>
      <c r="P453" s="11" t="inlineStr"/>
      <c r="Q453" s="12" t="inlineStr"/>
      <c r="R453" s="11">
        <f>IF(Q453="","",ROUND((TODAY()-Q453)/365.25,1))</f>
        <v/>
      </c>
      <c r="S453" s="13">
        <f>IFERROR(VLOOKUP(O453,Assumptions!$A$7:$F$11,2,FALSE),0.25)</f>
        <v/>
      </c>
      <c r="T453" s="14">
        <f>IF(O453="A",MAX(1,IFERROR(VLOOKUP(O453,Assumptions!$A$7:$F$11,3,FALSE),3)+IFERROR(VLOOKUP(O453,Assumptions!$A$7:$F$11,4,FALSE),8)/2-MAX(0,IF(R453="",0,R453)-IFERROR(VLOOKUP(O453,Assumptions!$A$7:$F$11,5,FALSE),1.5))),IFERROR(VLOOKUP(O453,Assumptions!$A$7:$F$11,5,FALSE),2.5)+IFERROR(VLOOKUP(O453,Assumptions!$A$7:$F$11,3,FALSE),3)+IFERROR(VLOOKUP(O453,Assumptions!$A$7:$F$11,4,FALSE),8)/2)</f>
        <v/>
      </c>
      <c r="U453" s="15">
        <f>M453*S453/(1+Assumptions!$B$3)^T453</f>
        <v/>
      </c>
      <c r="V453" s="11">
        <f>IF(M453=0,"",ROUND(U453/M453*100,1))</f>
        <v/>
      </c>
      <c r="W453" s="16">
        <f>U453*Assumptions!$B$4</f>
        <v/>
      </c>
      <c r="X453" s="11">
        <f>IF(M453=0,"",ROUND(W453/M453*100,1))</f>
        <v/>
      </c>
      <c r="Y453" t="inlineStr">
        <is>
          <t>Mannes</t>
        </is>
      </c>
      <c r="Z453" t="inlineStr">
        <is>
          <t>0005010-50.2013.8.24.0026</t>
        </is>
      </c>
      <c r="AA453" t="inlineStr"/>
      <c r="AB453" t="inlineStr">
        <is>
          <t>administradorajudicialgs.com.br</t>
        </is>
      </c>
      <c r="AC453" t="inlineStr">
        <is>
          <t>BIANCA CAROLINA QUINTAL CHEGATTI</t>
        </is>
      </c>
      <c r="AD453" t="inlineStr">
        <is>
          <t>Sócio-Administrador</t>
        </is>
      </c>
      <c r="AE453" t="inlineStr">
        <is>
          <t>(19) 3012-3083</t>
        </is>
      </c>
      <c r="AF453" t="inlineStr"/>
      <c r="AG453" t="inlineStr"/>
      <c r="AH453" t="inlineStr">
        <is>
          <t>SP</t>
        </is>
      </c>
      <c r="AI453" t="inlineStr">
        <is>
          <t>AMERICANA</t>
        </is>
      </c>
      <c r="AJ453" t="inlineStr">
        <is>
          <t>Fabricação de artefatos têxteis para uso doméstico</t>
        </is>
      </c>
      <c r="AK453" t="inlineStr">
        <is>
          <t>EMPRESA DE PEQUENO PORTE</t>
        </is>
      </c>
      <c r="AL453" t="inlineStr">
        <is>
          <t>ATIVA</t>
        </is>
      </c>
      <c r="AM453" s="17" t="inlineStr">
        <is>
          <t>https://administradorajudicialgs.com.br/wp-content/uploads/2024/12/relacao-de-credores-da-falida.pdf</t>
        </is>
      </c>
      <c r="AN453" s="18" t="inlineStr">
        <is>
          <t>p17 r53</t>
        </is>
      </c>
      <c r="AO453" s="18" t="inlineStr">
        <is>
          <t>p17: R$ 285.719,32</t>
        </is>
      </c>
      <c r="AP453" s="18" t="inlineStr">
        <is>
          <t>OTHER</t>
        </is>
      </c>
      <c r="AQ453" s="18" t="inlineStr">
        <is>
          <t>2025-03-25</t>
        </is>
      </c>
      <c r="AR453" s="18" t="inlineStr">
        <is>
          <t>OK_NO_TOTALS</t>
        </is>
      </c>
      <c r="AS453" s="18" t="inlineStr">
        <is>
          <t>ROWS:p17r53 UNRECONCILED_SOURCE CASE_NUMBER_CORRECTED</t>
        </is>
      </c>
      <c r="AT453" s="18" t="inlineStr">
        <is>
          <t>ea17ba43b261</t>
        </is>
      </c>
    </row>
    <row r="454">
      <c r="A454" s="9" t="n">
        <v>453</v>
      </c>
      <c r="B454" s="9" t="inlineStr">
        <is>
          <t>NEW</t>
        </is>
      </c>
      <c r="C454" s="9" t="inlineStr"/>
      <c r="D454" s="9" t="n">
        <v>0</v>
      </c>
      <c r="E454" s="9" t="inlineStr"/>
      <c r="F454" s="9" t="inlineStr"/>
      <c r="G454" s="9" t="inlineStr"/>
      <c r="H454" s="9" t="inlineStr"/>
      <c r="I454" t="inlineStr">
        <is>
          <t>ALIRIO COMERCIO DE CONFECCOES LTDA</t>
        </is>
      </c>
      <c r="J454" t="inlineStr">
        <is>
          <t>ALIRIO COMERCIO DE CONFECCOES EIRELI</t>
        </is>
      </c>
      <c r="K454" t="inlineStr">
        <is>
          <t>20203358</t>
        </is>
      </c>
      <c r="L454" t="inlineStr">
        <is>
          <t>20203358000129</t>
        </is>
      </c>
      <c r="M454" s="10" t="n">
        <v>284189.67</v>
      </c>
      <c r="N454" t="n">
        <v>2</v>
      </c>
      <c r="O454" s="11" t="inlineStr">
        <is>
          <t>C</t>
        </is>
      </c>
      <c r="P454" s="11" t="inlineStr">
        <is>
          <t>ACTIVE</t>
        </is>
      </c>
      <c r="Q454" s="12" t="n">
        <v>44571</v>
      </c>
      <c r="R454" s="11">
        <f>IF(Q454="","",ROUND((TODAY()-Q454)/365.25,1))</f>
        <v/>
      </c>
      <c r="S454" s="13">
        <f>IFERROR(VLOOKUP(O454,Assumptions!$A$7:$F$11,2,FALSE),0.25)</f>
        <v/>
      </c>
      <c r="T454" s="14">
        <f>IF(O454="A",MAX(1,IFERROR(VLOOKUP(O454,Assumptions!$A$7:$F$11,3,FALSE),3)+IFERROR(VLOOKUP(O454,Assumptions!$A$7:$F$11,4,FALSE),8)/2-MAX(0,IF(R454="",0,R454)-IFERROR(VLOOKUP(O454,Assumptions!$A$7:$F$11,5,FALSE),1.5))),IFERROR(VLOOKUP(O454,Assumptions!$A$7:$F$11,5,FALSE),2.5)+IFERROR(VLOOKUP(O454,Assumptions!$A$7:$F$11,3,FALSE),3)+IFERROR(VLOOKUP(O454,Assumptions!$A$7:$F$11,4,FALSE),8)/2)</f>
        <v/>
      </c>
      <c r="U454" s="15">
        <f>M454*S454/(1+Assumptions!$B$3)^T454</f>
        <v/>
      </c>
      <c r="V454" s="11">
        <f>IF(M454=0,"",ROUND(U454/M454*100,1))</f>
        <v/>
      </c>
      <c r="W454" s="16">
        <f>U454*Assumptions!$B$4</f>
        <v/>
      </c>
      <c r="X454" s="11">
        <f>IF(M454=0,"",ROUND(W454/M454*100,1))</f>
        <v/>
      </c>
      <c r="Y454" t="inlineStr">
        <is>
          <t>GRUPO CATTAN</t>
        </is>
      </c>
      <c r="Z454" t="inlineStr">
        <is>
          <t>0002484-82.2022.8.17.2001</t>
        </is>
      </c>
      <c r="AA454" t="inlineStr">
        <is>
          <t>TJPE</t>
        </is>
      </c>
      <c r="AB454" t="inlineStr">
        <is>
          <t>lrflideres.com.br</t>
        </is>
      </c>
      <c r="AC454" t="inlineStr">
        <is>
          <t>CHARLES NAHRA</t>
        </is>
      </c>
      <c r="AD454" t="inlineStr">
        <is>
          <t>Sócio-Administrador</t>
        </is>
      </c>
      <c r="AE454" t="inlineStr">
        <is>
          <t>(11) 2081-6261</t>
        </is>
      </c>
      <c r="AF454" t="inlineStr"/>
      <c r="AG454" t="inlineStr"/>
      <c r="AH454" t="inlineStr">
        <is>
          <t>SC</t>
        </is>
      </c>
      <c r="AI454" t="inlineStr">
        <is>
          <t>ARAQUARI</t>
        </is>
      </c>
      <c r="AJ454" t="inlineStr">
        <is>
          <t>Comércio atacadista de artigos do vestuário e acessórios, exceto profissionais e de segurança</t>
        </is>
      </c>
      <c r="AK454" t="inlineStr">
        <is>
          <t>DEMAIS</t>
        </is>
      </c>
      <c r="AL454" t="inlineStr">
        <is>
          <t>ATIVA</t>
        </is>
      </c>
      <c r="AM454" s="17" t="inlineStr">
        <is>
          <t>https://lrflideres.com.br/wp-content/plugins/download-attachments/includes/download.php?id=4023</t>
        </is>
      </c>
      <c r="AN454" s="18" t="inlineStr">
        <is>
          <t>p7 r70; p9 r53</t>
        </is>
      </c>
      <c r="AO454" s="18" t="inlineStr">
        <is>
          <t>p7: R$ 241.980,69; p9: R$ 42.208,98</t>
        </is>
      </c>
      <c r="AP454" s="18" t="inlineStr">
        <is>
          <t>DEBTOR_LIST</t>
        </is>
      </c>
      <c r="AQ454" s="18" t="inlineStr"/>
      <c r="AR454" s="18" t="inlineStr">
        <is>
          <t>QUARANTINED</t>
        </is>
      </c>
      <c r="AS454" s="18" t="inlineStr">
        <is>
          <t>PARTIAL_DOC_CLASS_III_RECONCILED ROWS:p7r70,p9r53</t>
        </is>
      </c>
      <c r="AT454" s="18" t="inlineStr">
        <is>
          <t>f3b6182e3aa2</t>
        </is>
      </c>
    </row>
    <row r="455">
      <c r="A455" s="9" t="n">
        <v>454</v>
      </c>
      <c r="B455" s="9" t="inlineStr">
        <is>
          <t>NEW</t>
        </is>
      </c>
      <c r="C455" s="9" t="inlineStr"/>
      <c r="D455" s="9" t="n">
        <v>0</v>
      </c>
      <c r="E455" s="9" t="inlineStr"/>
      <c r="F455" s="9" t="inlineStr"/>
      <c r="G455" s="9" t="inlineStr"/>
      <c r="H455" s="9" t="inlineStr"/>
      <c r="I455" t="inlineStr">
        <is>
          <t>CONTATTI COMERCIO E REPRESENTACOES LTDA</t>
        </is>
      </c>
      <c r="J455" t="inlineStr">
        <is>
          <t>CONTATTI COMERCIO E REPRESENTA (</t>
        </is>
      </c>
      <c r="K455" t="inlineStr">
        <is>
          <t>90108283</t>
        </is>
      </c>
      <c r="L455" t="inlineStr">
        <is>
          <t>90108283000182</t>
        </is>
      </c>
      <c r="M455" s="10" t="n">
        <v>283293.5</v>
      </c>
      <c r="N455" t="n">
        <v>1</v>
      </c>
      <c r="O455" s="11" t="inlineStr">
        <is>
          <t>C</t>
        </is>
      </c>
      <c r="P455" s="11" t="inlineStr">
        <is>
          <t>ACTIVE</t>
        </is>
      </c>
      <c r="Q455" s="12" t="n">
        <v>44735</v>
      </c>
      <c r="R455" s="11">
        <f>IF(Q455="","",ROUND((TODAY()-Q455)/365.25,1))</f>
        <v/>
      </c>
      <c r="S455" s="13">
        <f>IFERROR(VLOOKUP(O455,Assumptions!$A$7:$F$11,2,FALSE),0.25)</f>
        <v/>
      </c>
      <c r="T455" s="14">
        <f>IF(O455="A",MAX(1,IFERROR(VLOOKUP(O455,Assumptions!$A$7:$F$11,3,FALSE),3)+IFERROR(VLOOKUP(O455,Assumptions!$A$7:$F$11,4,FALSE),8)/2-MAX(0,IF(R455="",0,R455)-IFERROR(VLOOKUP(O455,Assumptions!$A$7:$F$11,5,FALSE),1.5))),IFERROR(VLOOKUP(O455,Assumptions!$A$7:$F$11,5,FALSE),2.5)+IFERROR(VLOOKUP(O455,Assumptions!$A$7:$F$11,3,FALSE),3)+IFERROR(VLOOKUP(O455,Assumptions!$A$7:$F$11,4,FALSE),8)/2)</f>
        <v/>
      </c>
      <c r="U455" s="15">
        <f>M455*S455/(1+Assumptions!$B$3)^T455</f>
        <v/>
      </c>
      <c r="V455" s="11">
        <f>IF(M455=0,"",ROUND(U455/M455*100,1))</f>
        <v/>
      </c>
      <c r="W455" s="16">
        <f>U455*Assumptions!$B$4</f>
        <v/>
      </c>
      <c r="X455" s="11">
        <f>IF(M455=0,"",ROUND(W455/M455*100,1))</f>
        <v/>
      </c>
      <c r="Y455" t="inlineStr">
        <is>
          <t>ASSOCIAÇÃO DE CARIDADE SANTA CASA DO RIO GRANDE</t>
        </is>
      </c>
      <c r="Z455" t="inlineStr">
        <is>
          <t>5012306-16.2022.8.21.0023</t>
        </is>
      </c>
      <c r="AA455" t="inlineStr">
        <is>
          <t>TJRS</t>
        </is>
      </c>
      <c r="AB455" t="inlineStr">
        <is>
          <t>scalzilliaj.com.br</t>
        </is>
      </c>
      <c r="AC455" t="inlineStr">
        <is>
          <t>ALESSANDRO DOMENICO PALLAMOLLA</t>
        </is>
      </c>
      <c r="AD455" t="inlineStr">
        <is>
          <t>Sócio-Administrador</t>
        </is>
      </c>
      <c r="AE455" t="inlineStr">
        <is>
          <t>(51) 2104-9500</t>
        </is>
      </c>
      <c r="AF455" t="inlineStr"/>
      <c r="AG455" t="inlineStr"/>
      <c r="AH455" t="inlineStr">
        <is>
          <t>RS</t>
        </is>
      </c>
      <c r="AI455" t="inlineStr">
        <is>
          <t>PORTO ALEGRE</t>
        </is>
      </c>
      <c r="AJ455" t="inlineStr">
        <is>
          <t>Comércio atacadista de instrumentos e materiais para uso médico, cirúrgico, hospitalar e de laboratórios</t>
        </is>
      </c>
      <c r="AK455" t="inlineStr">
        <is>
          <t>DEMAIS</t>
        </is>
      </c>
      <c r="AL455" t="inlineStr">
        <is>
          <t>ATIVA</t>
        </is>
      </c>
      <c r="AM455" s="17" t="inlineStr">
        <is>
          <t>https://scalzilliaj.com.br/sgc/download.php?file=files/processo_documento/processo_documento09120721032023_1_.pdf&amp;nome=15 - Edital do art. 7º, §2º e 53 da Lei 11.101/2005 (segunda lista de credores e recebimento do plano))</t>
        </is>
      </c>
      <c r="AN455" s="18" t="inlineStr">
        <is>
          <t>p26 r46</t>
        </is>
      </c>
      <c r="AO455" s="18" t="inlineStr">
        <is>
          <t>p26: R$ 283.293,50</t>
        </is>
      </c>
      <c r="AP455" s="18" t="inlineStr">
        <is>
          <t>AJ_LIST</t>
        </is>
      </c>
      <c r="AQ455" s="18" t="inlineStr">
        <is>
          <t>2023-03-21</t>
        </is>
      </c>
      <c r="AR455" s="18" t="inlineStr">
        <is>
          <t>OK_NO_TOTALS</t>
        </is>
      </c>
      <c r="AS455" s="18" t="inlineStr">
        <is>
          <t>ROWS:p26r46 UNRECONCILED_SOURCE</t>
        </is>
      </c>
      <c r="AT455" s="18" t="inlineStr">
        <is>
          <t>ebfb999b457c</t>
        </is>
      </c>
    </row>
    <row r="456">
      <c r="A456" s="9" t="n">
        <v>455</v>
      </c>
      <c r="B456" s="9" t="inlineStr">
        <is>
          <t>NEW</t>
        </is>
      </c>
      <c r="C456" s="9" t="inlineStr"/>
      <c r="D456" s="9" t="n">
        <v>0</v>
      </c>
      <c r="E456" s="9" t="inlineStr"/>
      <c r="F456" s="9" t="inlineStr"/>
      <c r="G456" s="9" t="inlineStr"/>
      <c r="H456" s="9" t="inlineStr"/>
      <c r="I456" t="inlineStr">
        <is>
          <t>BRANDT SOLUCOES EM AGRICULTURA LTDA</t>
        </is>
      </c>
      <c r="J456" t="inlineStr">
        <is>
          <t>BRANDT SOLUCOES EM AGRICULTURA LTDA</t>
        </is>
      </c>
      <c r="K456" t="inlineStr">
        <is>
          <t>11516792</t>
        </is>
      </c>
      <c r="L456" t="inlineStr">
        <is>
          <t>11516792000178</t>
        </is>
      </c>
      <c r="M456" s="10" t="n">
        <v>282047</v>
      </c>
      <c r="N456" t="n">
        <v>1</v>
      </c>
      <c r="O456" s="11" t="inlineStr">
        <is>
          <t>B</t>
        </is>
      </c>
      <c r="P456" s="11" t="inlineStr">
        <is>
          <t>ACTIVE</t>
        </is>
      </c>
      <c r="Q456" s="12" t="n">
        <v>45845</v>
      </c>
      <c r="R456" s="11">
        <f>IF(Q456="","",ROUND((TODAY()-Q456)/365.25,1))</f>
        <v/>
      </c>
      <c r="S456" s="13">
        <f>IFERROR(VLOOKUP(O456,Assumptions!$A$7:$F$11,2,FALSE),0.25)</f>
        <v/>
      </c>
      <c r="T456" s="14">
        <f>IF(O456="A",MAX(1,IFERROR(VLOOKUP(O456,Assumptions!$A$7:$F$11,3,FALSE),3)+IFERROR(VLOOKUP(O456,Assumptions!$A$7:$F$11,4,FALSE),8)/2-MAX(0,IF(R456="",0,R456)-IFERROR(VLOOKUP(O456,Assumptions!$A$7:$F$11,5,FALSE),1.5))),IFERROR(VLOOKUP(O456,Assumptions!$A$7:$F$11,5,FALSE),2.5)+IFERROR(VLOOKUP(O456,Assumptions!$A$7:$F$11,3,FALSE),3)+IFERROR(VLOOKUP(O456,Assumptions!$A$7:$F$11,4,FALSE),8)/2)</f>
        <v/>
      </c>
      <c r="U456" s="15">
        <f>M456*S456/(1+Assumptions!$B$3)^T456</f>
        <v/>
      </c>
      <c r="V456" s="11">
        <f>IF(M456=0,"",ROUND(U456/M456*100,1))</f>
        <v/>
      </c>
      <c r="W456" s="16">
        <f>U456*Assumptions!$B$4</f>
        <v/>
      </c>
      <c r="X456" s="11">
        <f>IF(M456=0,"",ROUND(W456/M456*100,1))</f>
        <v/>
      </c>
      <c r="Y456" t="inlineStr">
        <is>
          <t>SOJAL COMERCIAL AGRICOLA LTDA e OUTROS</t>
        </is>
      </c>
      <c r="Z456" t="inlineStr">
        <is>
          <t>0804401-51.2025.8.14.0039</t>
        </is>
      </c>
      <c r="AA456" t="inlineStr">
        <is>
          <t>TJPA</t>
        </is>
      </c>
      <c r="AB456" t="inlineStr">
        <is>
          <t>lrflideres.com.br</t>
        </is>
      </c>
      <c r="AC456" t="inlineStr">
        <is>
          <t>WLADIMIR MASCHIO CARDOZO CHAGA</t>
        </is>
      </c>
      <c r="AD456" t="inlineStr">
        <is>
          <t>Sócio-Administrador</t>
        </is>
      </c>
      <c r="AE456" t="inlineStr">
        <is>
          <t>(43) 3345-2323</t>
        </is>
      </c>
      <c r="AF456" t="inlineStr"/>
      <c r="AG456" t="inlineStr"/>
      <c r="AH456" t="inlineStr">
        <is>
          <t>PR</t>
        </is>
      </c>
      <c r="AI456" t="inlineStr">
        <is>
          <t>CAMBE</t>
        </is>
      </c>
      <c r="AJ456" t="inlineStr">
        <is>
          <t>Fabricação de adubos e fertilizantes, exceto organo-minerais</t>
        </is>
      </c>
      <c r="AK456" t="inlineStr">
        <is>
          <t>DEMAIS</t>
        </is>
      </c>
      <c r="AL456" t="inlineStr">
        <is>
          <t>ATIVA</t>
        </is>
      </c>
      <c r="AM456" s="17" t="inlineStr">
        <is>
          <t>https://lrflideres.com.br/wp-content/plugins/download-attachments/includes/download.php?id=6879</t>
        </is>
      </c>
      <c r="AN456" s="18" t="inlineStr">
        <is>
          <t>p1 r7</t>
        </is>
      </c>
      <c r="AO456" s="18" t="inlineStr">
        <is>
          <t>p1: R$ 282.047,00</t>
        </is>
      </c>
      <c r="AP456" s="18" t="inlineStr">
        <is>
          <t>AJ_LIST</t>
        </is>
      </c>
      <c r="AQ456" s="18" t="inlineStr">
        <is>
          <t>2026-01-15</t>
        </is>
      </c>
      <c r="AR456" s="18" t="inlineStr">
        <is>
          <t>OK</t>
        </is>
      </c>
      <c r="AS456" s="18" t="inlineStr">
        <is>
          <t>ROWS:p1r7</t>
        </is>
      </c>
      <c r="AT456" s="18" t="inlineStr">
        <is>
          <t>c56751547323</t>
        </is>
      </c>
    </row>
    <row r="457">
      <c r="A457" s="9" t="n">
        <v>456</v>
      </c>
      <c r="B457" s="9" t="inlineStr">
        <is>
          <t>NEW</t>
        </is>
      </c>
      <c r="C457" s="9" t="inlineStr"/>
      <c r="D457" s="9" t="n">
        <v>0</v>
      </c>
      <c r="E457" s="9" t="inlineStr"/>
      <c r="F457" s="9" t="inlineStr"/>
      <c r="G457" s="9" t="inlineStr"/>
      <c r="H457" s="9" t="inlineStr"/>
      <c r="I457" t="inlineStr">
        <is>
          <t>RCA CONSTRUTORA LTDA EM RECUPERACAO JUDICIAL</t>
        </is>
      </c>
      <c r="J457" t="inlineStr">
        <is>
          <t>RCA Construtora Ltda</t>
        </is>
      </c>
      <c r="K457" t="inlineStr">
        <is>
          <t>86559960</t>
        </is>
      </c>
      <c r="L457" t="inlineStr">
        <is>
          <t>86559960000101</t>
        </is>
      </c>
      <c r="M457" s="10" t="n">
        <v>280030.53</v>
      </c>
      <c r="N457" t="n">
        <v>1</v>
      </c>
      <c r="O457" s="11" t="inlineStr">
        <is>
          <t>B</t>
        </is>
      </c>
      <c r="P457" s="11" t="inlineStr"/>
      <c r="Q457" s="12" t="n">
        <v>45756</v>
      </c>
      <c r="R457" s="11">
        <f>IF(Q457="","",ROUND((TODAY()-Q457)/365.25,1))</f>
        <v/>
      </c>
      <c r="S457" s="13">
        <f>IFERROR(VLOOKUP(O457,Assumptions!$A$7:$F$11,2,FALSE),0.25)</f>
        <v/>
      </c>
      <c r="T457" s="14">
        <f>IF(O457="A",MAX(1,IFERROR(VLOOKUP(O457,Assumptions!$A$7:$F$11,3,FALSE),3)+IFERROR(VLOOKUP(O457,Assumptions!$A$7:$F$11,4,FALSE),8)/2-MAX(0,IF(R457="",0,R457)-IFERROR(VLOOKUP(O457,Assumptions!$A$7:$F$11,5,FALSE),1.5))),IFERROR(VLOOKUP(O457,Assumptions!$A$7:$F$11,5,FALSE),2.5)+IFERROR(VLOOKUP(O457,Assumptions!$A$7:$F$11,3,FALSE),3)+IFERROR(VLOOKUP(O457,Assumptions!$A$7:$F$11,4,FALSE),8)/2)</f>
        <v/>
      </c>
      <c r="U457" s="15">
        <f>M457*S457/(1+Assumptions!$B$3)^T457</f>
        <v/>
      </c>
      <c r="V457" s="11">
        <f>IF(M457=0,"",ROUND(U457/M457*100,1))</f>
        <v/>
      </c>
      <c r="W457" s="16">
        <f>U457*Assumptions!$B$4</f>
        <v/>
      </c>
      <c r="X457" s="11">
        <f>IF(M457=0,"",ROUND(W457/M457*100,1))</f>
        <v/>
      </c>
      <c r="Y457" t="inlineStr">
        <is>
          <t>GRUPO EGESA (EGESA ENG S.A, EGESUR PART E EMP S.A, MATRIX INFRA LTDA, BEMVIVER ENG AMBIENTAL E SERV LTDA, DKF CONST E EMP LTDA, EGEPEL LTDA, ETR ASSESSORIA EMP E PART LTDA, MVT ENG E SERV LTDA, PARQUES DO VALE LTDA, ELMO RIBEIRO E ANA RIBEIRO)</t>
        </is>
      </c>
      <c r="Z457" t="inlineStr">
        <is>
          <t>5088952-81.2025.8.13.0024</t>
        </is>
      </c>
      <c r="AA457" t="inlineStr">
        <is>
          <t>TJMG</t>
        </is>
      </c>
      <c r="AB457" t="inlineStr">
        <is>
          <t>scalzilliaj.com.br</t>
        </is>
      </c>
      <c r="AC457" t="inlineStr">
        <is>
          <t>ALTAMIR DE ARAUJO ROSO FILHO</t>
        </is>
      </c>
      <c r="AD457" t="inlineStr">
        <is>
          <t>Sócio-Administrador</t>
        </is>
      </c>
      <c r="AE457" t="inlineStr">
        <is>
          <t>(34) 3334-6600</t>
        </is>
      </c>
      <c r="AF457" t="inlineStr"/>
      <c r="AG457" t="inlineStr"/>
      <c r="AH457" t="inlineStr">
        <is>
          <t>MG</t>
        </is>
      </c>
      <c r="AI457" t="inlineStr">
        <is>
          <t>UBERABA</t>
        </is>
      </c>
      <c r="AJ457" t="inlineStr">
        <is>
          <t>Construção de edifícios</t>
        </is>
      </c>
      <c r="AK457" t="inlineStr">
        <is>
          <t>DEMAIS</t>
        </is>
      </c>
      <c r="AL457" t="inlineStr">
        <is>
          <t>ATIVA</t>
        </is>
      </c>
      <c r="AM457" s="17" t="inlineStr">
        <is>
          <t>https://scalzilliaj.com.br/sgc/download.php?file=files/processo_documento/processo_documento09514021082025_1_.pdf&amp;nome=04 - Relação de credores das Recuperandas</t>
        </is>
      </c>
      <c r="AN457" s="18" t="inlineStr">
        <is>
          <t>p72 r3</t>
        </is>
      </c>
      <c r="AO457" s="18" t="inlineStr">
        <is>
          <t>p72: R$ 280.030,53</t>
        </is>
      </c>
      <c r="AP457" s="18" t="inlineStr">
        <is>
          <t>DEBTOR_LIST</t>
        </is>
      </c>
      <c r="AQ457" s="18" t="inlineStr"/>
      <c r="AR457" s="18" t="inlineStr">
        <is>
          <t>OK</t>
        </is>
      </c>
      <c r="AS457" s="18" t="inlineStr">
        <is>
          <t>ROWS:p72r3 VALUE_COL:Valor_Atualizado CASE_NUMBER_CORRECTED CASE_FROM_PORTAL</t>
        </is>
      </c>
      <c r="AT457" s="18" t="inlineStr">
        <is>
          <t>24ed98480a57</t>
        </is>
      </c>
    </row>
    <row r="458">
      <c r="A458" s="9" t="n">
        <v>457</v>
      </c>
      <c r="B458" s="9" t="inlineStr">
        <is>
          <t>NEW</t>
        </is>
      </c>
      <c r="C458" s="9" t="inlineStr"/>
      <c r="D458" s="9" t="n">
        <v>0</v>
      </c>
      <c r="E458" s="9" t="inlineStr"/>
      <c r="F458" s="9" t="inlineStr"/>
      <c r="G458" s="9" t="inlineStr"/>
      <c r="H458" s="9" t="inlineStr"/>
      <c r="I458" t="inlineStr">
        <is>
          <t>DANTAS CONFECCOES E COMERCIO LTDA - EM RECUPERACAO JUDICIAL</t>
        </is>
      </c>
      <c r="J458" t="inlineStr">
        <is>
          <t>DANTAS CONFECCOES E COMERCIO LTDA</t>
        </is>
      </c>
      <c r="K458" t="inlineStr">
        <is>
          <t>08627082</t>
        </is>
      </c>
      <c r="L458" t="inlineStr">
        <is>
          <t>08627082000100</t>
        </is>
      </c>
      <c r="M458" s="10" t="n">
        <v>280000</v>
      </c>
      <c r="N458" t="n">
        <v>2</v>
      </c>
      <c r="O458" s="11" t="inlineStr">
        <is>
          <t>C</t>
        </is>
      </c>
      <c r="P458" s="11" t="inlineStr">
        <is>
          <t>ACTIVE</t>
        </is>
      </c>
      <c r="Q458" s="12" t="n">
        <v>44571</v>
      </c>
      <c r="R458" s="11">
        <f>IF(Q458="","",ROUND((TODAY()-Q458)/365.25,1))</f>
        <v/>
      </c>
      <c r="S458" s="13">
        <f>IFERROR(VLOOKUP(O458,Assumptions!$A$7:$F$11,2,FALSE),0.25)</f>
        <v/>
      </c>
      <c r="T458" s="14">
        <f>IF(O458="A",MAX(1,IFERROR(VLOOKUP(O458,Assumptions!$A$7:$F$11,3,FALSE),3)+IFERROR(VLOOKUP(O458,Assumptions!$A$7:$F$11,4,FALSE),8)/2-MAX(0,IF(R458="",0,R458)-IFERROR(VLOOKUP(O458,Assumptions!$A$7:$F$11,5,FALSE),1.5))),IFERROR(VLOOKUP(O458,Assumptions!$A$7:$F$11,5,FALSE),2.5)+IFERROR(VLOOKUP(O458,Assumptions!$A$7:$F$11,3,FALSE),3)+IFERROR(VLOOKUP(O458,Assumptions!$A$7:$F$11,4,FALSE),8)/2)</f>
        <v/>
      </c>
      <c r="U458" s="15">
        <f>M458*S458/(1+Assumptions!$B$3)^T458</f>
        <v/>
      </c>
      <c r="V458" s="11">
        <f>IF(M458=0,"",ROUND(U458/M458*100,1))</f>
        <v/>
      </c>
      <c r="W458" s="16">
        <f>U458*Assumptions!$B$4</f>
        <v/>
      </c>
      <c r="X458" s="11">
        <f>IF(M458=0,"",ROUND(W458/M458*100,1))</f>
        <v/>
      </c>
      <c r="Y458" t="inlineStr">
        <is>
          <t>GRUPO CATTAN</t>
        </is>
      </c>
      <c r="Z458" t="inlineStr">
        <is>
          <t>0002484-82.2022.8.17.2001</t>
        </is>
      </c>
      <c r="AA458" t="inlineStr">
        <is>
          <t>TJPE</t>
        </is>
      </c>
      <c r="AB458" t="inlineStr">
        <is>
          <t>lrflideres.com.br</t>
        </is>
      </c>
      <c r="AC458" t="inlineStr">
        <is>
          <t>FLAVIO DANTAS CATAO</t>
        </is>
      </c>
      <c r="AD458" t="inlineStr">
        <is>
          <t>Sócio-Administrador</t>
        </is>
      </c>
      <c r="AE458" t="inlineStr">
        <is>
          <t>(81) 3419-8550</t>
        </is>
      </c>
      <c r="AF458" t="inlineStr">
        <is>
          <t>(81) 3032-8400</t>
        </is>
      </c>
      <c r="AG458" t="inlineStr"/>
      <c r="AH458" t="inlineStr">
        <is>
          <t>PE</t>
        </is>
      </c>
      <c r="AI458" t="inlineStr">
        <is>
          <t>RECIFE</t>
        </is>
      </c>
      <c r="AJ458" t="inlineStr">
        <is>
          <t>Comércio varejista de artigos do vestuário e acessórios</t>
        </is>
      </c>
      <c r="AK458" t="inlineStr">
        <is>
          <t>DEMAIS</t>
        </is>
      </c>
      <c r="AL458" t="inlineStr">
        <is>
          <t>ATIVA</t>
        </is>
      </c>
      <c r="AM458" s="17" t="inlineStr">
        <is>
          <t>https://lrflideres.com.br/wp-content/plugins/download-attachments/includes/download.php?id=4023</t>
        </is>
      </c>
      <c r="AN458" s="18" t="inlineStr">
        <is>
          <t>p4 r67; p9 r67</t>
        </is>
      </c>
      <c r="AO458" s="18" t="inlineStr">
        <is>
          <t>p4: R$ 270.000,00; p9: R$ 10.000,00</t>
        </is>
      </c>
      <c r="AP458" s="18" t="inlineStr">
        <is>
          <t>DEBTOR_LIST</t>
        </is>
      </c>
      <c r="AQ458" s="18" t="inlineStr"/>
      <c r="AR458" s="18" t="inlineStr">
        <is>
          <t>QUARANTINED</t>
        </is>
      </c>
      <c r="AS458" s="18" t="inlineStr">
        <is>
          <t>PARTIAL_DOC_CLASS_III_RECONCILED ROWS:p4r67,p9r67</t>
        </is>
      </c>
      <c r="AT458" s="18" t="inlineStr">
        <is>
          <t>f3b6182e3aa2</t>
        </is>
      </c>
    </row>
    <row r="459">
      <c r="A459" s="9" t="n">
        <v>458</v>
      </c>
      <c r="B459" s="9" t="inlineStr">
        <is>
          <t>NEW</t>
        </is>
      </c>
      <c r="C459" s="9" t="inlineStr"/>
      <c r="D459" s="9" t="n">
        <v>0</v>
      </c>
      <c r="E459" s="9" t="inlineStr"/>
      <c r="F459" s="9" t="inlineStr"/>
      <c r="G459" s="9" t="inlineStr"/>
      <c r="H459" s="9" t="inlineStr"/>
      <c r="I459" t="inlineStr">
        <is>
          <t>STARSPRINGS DO BRASIL LTDA.</t>
        </is>
      </c>
      <c r="J459" t="inlineStr">
        <is>
          <t>STARSPRINGS DO BRASIL LTDA.</t>
        </is>
      </c>
      <c r="K459" t="inlineStr">
        <is>
          <t>04230984</t>
        </is>
      </c>
      <c r="L459" t="inlineStr">
        <is>
          <t>04230984000158</t>
        </is>
      </c>
      <c r="M459" s="10" t="n">
        <v>279092.97</v>
      </c>
      <c r="N459" t="n">
        <v>1</v>
      </c>
      <c r="O459" s="11" t="inlineStr">
        <is>
          <t>D</t>
        </is>
      </c>
      <c r="P459" s="11" t="inlineStr"/>
      <c r="Q459" s="12" t="inlineStr"/>
      <c r="R459" s="11">
        <f>IF(Q459="","",ROUND((TODAY()-Q459)/365.25,1))</f>
        <v/>
      </c>
      <c r="S459" s="13">
        <f>IFERROR(VLOOKUP(O459,Assumptions!$A$7:$F$11,2,FALSE),0.25)</f>
        <v/>
      </c>
      <c r="T459" s="14">
        <f>IF(O459="A",MAX(1,IFERROR(VLOOKUP(O459,Assumptions!$A$7:$F$11,3,FALSE),3)+IFERROR(VLOOKUP(O459,Assumptions!$A$7:$F$11,4,FALSE),8)/2-MAX(0,IF(R459="",0,R459)-IFERROR(VLOOKUP(O459,Assumptions!$A$7:$F$11,5,FALSE),1.5))),IFERROR(VLOOKUP(O459,Assumptions!$A$7:$F$11,5,FALSE),2.5)+IFERROR(VLOOKUP(O459,Assumptions!$A$7:$F$11,3,FALSE),3)+IFERROR(VLOOKUP(O459,Assumptions!$A$7:$F$11,4,FALSE),8)/2)</f>
        <v/>
      </c>
      <c r="U459" s="15">
        <f>M459*S459/(1+Assumptions!$B$3)^T459</f>
        <v/>
      </c>
      <c r="V459" s="11">
        <f>IF(M459=0,"",ROUND(U459/M459*100,1))</f>
        <v/>
      </c>
      <c r="W459" s="16">
        <f>U459*Assumptions!$B$4</f>
        <v/>
      </c>
      <c r="X459" s="11">
        <f>IF(M459=0,"",ROUND(W459/M459*100,1))</f>
        <v/>
      </c>
      <c r="Y459" t="inlineStr">
        <is>
          <t>Mannes</t>
        </is>
      </c>
      <c r="Z459" t="inlineStr">
        <is>
          <t>0005010-50.2013.8.24.0026</t>
        </is>
      </c>
      <c r="AA459" t="inlineStr"/>
      <c r="AB459" t="inlineStr">
        <is>
          <t>administradorajudicialgs.com.br</t>
        </is>
      </c>
      <c r="AC459" t="inlineStr">
        <is>
          <t>BERNARDINO DE SENA AIRES AMARAL</t>
        </is>
      </c>
      <c r="AD459" t="inlineStr">
        <is>
          <t>Administrador</t>
        </is>
      </c>
      <c r="AE459" t="inlineStr">
        <is>
          <t>(41) 3204-7000</t>
        </is>
      </c>
      <c r="AF459" t="inlineStr"/>
      <c r="AG459" t="inlineStr"/>
      <c r="AH459" t="inlineStr">
        <is>
          <t>PR</t>
        </is>
      </c>
      <c r="AI459" t="inlineStr">
        <is>
          <t>ARAUCARIA</t>
        </is>
      </c>
      <c r="AJ459" t="inlineStr">
        <is>
          <t>Fabricação de produtos de trefilados de metal padronizados</t>
        </is>
      </c>
      <c r="AK459" t="inlineStr">
        <is>
          <t>DEMAIS</t>
        </is>
      </c>
      <c r="AL459" t="inlineStr">
        <is>
          <t>ATIVA</t>
        </is>
      </c>
      <c r="AM459" s="17" t="inlineStr">
        <is>
          <t>https://administradorajudicialgs.com.br/wp-content/uploads/2024/12/relacao-de-credores-da-falida.pdf</t>
        </is>
      </c>
      <c r="AN459" s="18" t="inlineStr">
        <is>
          <t>p18 r45</t>
        </is>
      </c>
      <c r="AO459" s="18" t="inlineStr">
        <is>
          <t>p18: R$ 279.092,97</t>
        </is>
      </c>
      <c r="AP459" s="18" t="inlineStr">
        <is>
          <t>OTHER</t>
        </is>
      </c>
      <c r="AQ459" s="18" t="inlineStr">
        <is>
          <t>2025-03-25</t>
        </is>
      </c>
      <c r="AR459" s="18" t="inlineStr">
        <is>
          <t>OK_NO_TOTALS</t>
        </is>
      </c>
      <c r="AS459" s="18" t="inlineStr">
        <is>
          <t>ROWS:p18r45 UNRECONCILED_SOURCE CASE_NUMBER_CORRECTED</t>
        </is>
      </c>
      <c r="AT459" s="18" t="inlineStr">
        <is>
          <t>ea17ba43b261</t>
        </is>
      </c>
    </row>
    <row r="460">
      <c r="A460" s="9" t="n">
        <v>459</v>
      </c>
      <c r="B460" s="9" t="inlineStr">
        <is>
          <t>NEW</t>
        </is>
      </c>
      <c r="C460" s="9" t="inlineStr"/>
      <c r="D460" s="9" t="n">
        <v>0</v>
      </c>
      <c r="E460" s="9" t="inlineStr"/>
      <c r="F460" s="9" t="inlineStr"/>
      <c r="G460" s="9" t="inlineStr"/>
      <c r="H460" s="9" t="inlineStr"/>
      <c r="I460" t="inlineStr">
        <is>
          <t>JOHNSON &amp; JOHNSON DO BRASIL INDUSTRIA E COMERCIO DE PRODUTOS PARA SAUDE LTDA.</t>
        </is>
      </c>
      <c r="J460" t="inlineStr">
        <is>
          <t>JOHNSON &amp; JOHNSON BRA IND.COM. (</t>
        </is>
      </c>
      <c r="K460" t="inlineStr">
        <is>
          <t>54516661</t>
        </is>
      </c>
      <c r="L460" t="inlineStr">
        <is>
          <t>54516661002732, 54516661006800</t>
        </is>
      </c>
      <c r="M460" s="10" t="n">
        <v>278216.77</v>
      </c>
      <c r="N460" t="n">
        <v>2</v>
      </c>
      <c r="O460" s="11" t="inlineStr">
        <is>
          <t>C</t>
        </is>
      </c>
      <c r="P460" s="11" t="inlineStr">
        <is>
          <t>ACTIVE</t>
        </is>
      </c>
      <c r="Q460" s="12" t="n">
        <v>44735</v>
      </c>
      <c r="R460" s="11">
        <f>IF(Q460="","",ROUND((TODAY()-Q460)/365.25,1))</f>
        <v/>
      </c>
      <c r="S460" s="13">
        <f>IFERROR(VLOOKUP(O460,Assumptions!$A$7:$F$11,2,FALSE),0.25)</f>
        <v/>
      </c>
      <c r="T460" s="14">
        <f>IF(O460="A",MAX(1,IFERROR(VLOOKUP(O460,Assumptions!$A$7:$F$11,3,FALSE),3)+IFERROR(VLOOKUP(O460,Assumptions!$A$7:$F$11,4,FALSE),8)/2-MAX(0,IF(R460="",0,R460)-IFERROR(VLOOKUP(O460,Assumptions!$A$7:$F$11,5,FALSE),1.5))),IFERROR(VLOOKUP(O460,Assumptions!$A$7:$F$11,5,FALSE),2.5)+IFERROR(VLOOKUP(O460,Assumptions!$A$7:$F$11,3,FALSE),3)+IFERROR(VLOOKUP(O460,Assumptions!$A$7:$F$11,4,FALSE),8)/2)</f>
        <v/>
      </c>
      <c r="U460" s="15">
        <f>M460*S460/(1+Assumptions!$B$3)^T460</f>
        <v/>
      </c>
      <c r="V460" s="11">
        <f>IF(M460=0,"",ROUND(U460/M460*100,1))</f>
        <v/>
      </c>
      <c r="W460" s="16">
        <f>U460*Assumptions!$B$4</f>
        <v/>
      </c>
      <c r="X460" s="11">
        <f>IF(M460=0,"",ROUND(W460/M460*100,1))</f>
        <v/>
      </c>
      <c r="Y460" t="inlineStr">
        <is>
          <t>ASSOCIAÇÃO DE CARIDADE SANTA CASA DO RIO GRANDE</t>
        </is>
      </c>
      <c r="Z460" t="inlineStr">
        <is>
          <t>5012306-16.2022.8.21.0023</t>
        </is>
      </c>
      <c r="AA460" t="inlineStr">
        <is>
          <t>TJRS</t>
        </is>
      </c>
      <c r="AB460" t="inlineStr">
        <is>
          <t>scalzilliaj.com.br</t>
        </is>
      </c>
      <c r="AC460" t="inlineStr">
        <is>
          <t>ALEXANDRE DALLA VALLE BAPTISTA DA SILVA</t>
        </is>
      </c>
      <c r="AD460" t="inlineStr">
        <is>
          <t>Administrador</t>
        </is>
      </c>
      <c r="AE460" t="inlineStr">
        <is>
          <t>(11) 2788-1332</t>
        </is>
      </c>
      <c r="AF460" t="inlineStr"/>
      <c r="AG460" t="inlineStr"/>
      <c r="AH460" t="inlineStr">
        <is>
          <t>SP</t>
        </is>
      </c>
      <c r="AI460" t="inlineStr">
        <is>
          <t>SAO PAULO</t>
        </is>
      </c>
      <c r="AJ460" t="inlineStr">
        <is>
          <t>Fabricação de instrumentos não-eletrônicos e utensílios para uso médico, cirúrgico, odontológico e de laboratório</t>
        </is>
      </c>
      <c r="AK460" t="inlineStr">
        <is>
          <t>DEMAIS</t>
        </is>
      </c>
      <c r="AL460" t="inlineStr">
        <is>
          <t>ATIVA</t>
        </is>
      </c>
      <c r="AM460" s="17" t="inlineStr">
        <is>
          <t>https://scalzilliaj.com.br/sgc/download.php?file=files/processo_documento/processo_documento09120721032023_1_.pdf&amp;nome=15 - Edital do art. 7º, §2º e 53 da Lei 11.101/2005 (segunda lista de credores e recebimento do plano))</t>
        </is>
      </c>
      <c r="AN460" s="18" t="inlineStr">
        <is>
          <t>p28 r19; p28 r20</t>
        </is>
      </c>
      <c r="AO460" s="18" t="inlineStr">
        <is>
          <t>p28: R$ 11.892,00; p28: R$ 266.324,77</t>
        </is>
      </c>
      <c r="AP460" s="18" t="inlineStr">
        <is>
          <t>AJ_LIST</t>
        </is>
      </c>
      <c r="AQ460" s="18" t="inlineStr">
        <is>
          <t>2023-03-21</t>
        </is>
      </c>
      <c r="AR460" s="18" t="inlineStr">
        <is>
          <t>OK_NO_TOTALS</t>
        </is>
      </c>
      <c r="AS460" s="18" t="inlineStr">
        <is>
          <t>ROWS:p28r19,p28r20 UNRECONCILED_SOURCE</t>
        </is>
      </c>
      <c r="AT460" s="18" t="inlineStr">
        <is>
          <t>ebfb999b457c</t>
        </is>
      </c>
    </row>
    <row r="461">
      <c r="A461" s="9" t="n">
        <v>460</v>
      </c>
      <c r="B461" s="9" t="inlineStr">
        <is>
          <t>NEW</t>
        </is>
      </c>
      <c r="C461" s="9" t="inlineStr"/>
      <c r="D461" s="9" t="n">
        <v>0</v>
      </c>
      <c r="E461" s="9" t="inlineStr"/>
      <c r="F461" s="9" t="inlineStr"/>
      <c r="G461" s="9" t="inlineStr"/>
      <c r="H461" s="9" t="inlineStr"/>
      <c r="I461" t="inlineStr">
        <is>
          <t>BELCAR CAMINHOES E MAQUINAS LTDA</t>
        </is>
      </c>
      <c r="J461" t="inlineStr">
        <is>
          <t>Belcar</t>
        </is>
      </c>
      <c r="K461" t="inlineStr">
        <is>
          <t>02212918</t>
        </is>
      </c>
      <c r="L461" t="inlineStr">
        <is>
          <t>02212918000120</t>
        </is>
      </c>
      <c r="M461" s="10" t="n">
        <v>277586.31</v>
      </c>
      <c r="N461" t="n">
        <v>1</v>
      </c>
      <c r="O461" s="11" t="inlineStr">
        <is>
          <t>B</t>
        </is>
      </c>
      <c r="P461" s="11" t="inlineStr">
        <is>
          <t>ACTIVE</t>
        </is>
      </c>
      <c r="Q461" s="12" t="n">
        <v>46130</v>
      </c>
      <c r="R461" s="11">
        <f>IF(Q461="","",ROUND((TODAY()-Q461)/365.25,1))</f>
        <v/>
      </c>
      <c r="S461" s="13">
        <f>IFERROR(VLOOKUP(O461,Assumptions!$A$7:$F$11,2,FALSE),0.25)</f>
        <v/>
      </c>
      <c r="T461" s="14">
        <f>IF(O461="A",MAX(1,IFERROR(VLOOKUP(O461,Assumptions!$A$7:$F$11,3,FALSE),3)+IFERROR(VLOOKUP(O461,Assumptions!$A$7:$F$11,4,FALSE),8)/2-MAX(0,IF(R461="",0,R461)-IFERROR(VLOOKUP(O461,Assumptions!$A$7:$F$11,5,FALSE),1.5))),IFERROR(VLOOKUP(O461,Assumptions!$A$7:$F$11,5,FALSE),2.5)+IFERROR(VLOOKUP(O461,Assumptions!$A$7:$F$11,3,FALSE),3)+IFERROR(VLOOKUP(O461,Assumptions!$A$7:$F$11,4,FALSE),8)/2)</f>
        <v/>
      </c>
      <c r="U461" s="15">
        <f>M461*S461/(1+Assumptions!$B$3)^T461</f>
        <v/>
      </c>
      <c r="V461" s="11">
        <f>IF(M461=0,"",ROUND(U461/M461*100,1))</f>
        <v/>
      </c>
      <c r="W461" s="16">
        <f>U461*Assumptions!$B$4</f>
        <v/>
      </c>
      <c r="X461" s="11">
        <f>IF(M461=0,"",ROUND(W461/M461*100,1))</f>
        <v/>
      </c>
      <c r="Y461" t="inlineStr">
        <is>
          <t>GRUPO 3E</t>
        </is>
      </c>
      <c r="Z461" t="inlineStr">
        <is>
          <t>5341375-33.2026.8.09.0049</t>
        </is>
      </c>
      <c r="AA461" t="inlineStr">
        <is>
          <t>TJGO</t>
        </is>
      </c>
      <c r="AB461" t="inlineStr">
        <is>
          <t>stenius.com.br</t>
        </is>
      </c>
      <c r="AC461" t="inlineStr">
        <is>
          <t>FRANCO JOSE GEDDA</t>
        </is>
      </c>
      <c r="AD461" t="inlineStr">
        <is>
          <t>Sócio-Administrador</t>
        </is>
      </c>
      <c r="AE461" t="inlineStr">
        <is>
          <t>(62) 3239-9600</t>
        </is>
      </c>
      <c r="AF461" t="inlineStr"/>
      <c r="AG461" t="inlineStr"/>
      <c r="AH461" t="inlineStr">
        <is>
          <t>GO</t>
        </is>
      </c>
      <c r="AI461" t="inlineStr">
        <is>
          <t>GOIANIA</t>
        </is>
      </c>
      <c r="AJ461" t="inlineStr">
        <is>
          <t>Comércio por atacado de caminhões novos e usados</t>
        </is>
      </c>
      <c r="AK461" t="inlineStr">
        <is>
          <t>DEMAIS</t>
        </is>
      </c>
      <c r="AL461" t="inlineStr">
        <is>
          <t>ATIVA</t>
        </is>
      </c>
      <c r="AM461" s="17" t="inlineStr">
        <is>
          <t>https://stenius.com.br/wp-content/uploads/2026/06/EDITAL-GRUPO-3E.pdf</t>
        </is>
      </c>
      <c r="AN461" s="18" t="inlineStr">
        <is>
          <t>p10 r49</t>
        </is>
      </c>
      <c r="AO461" s="18" t="inlineStr">
        <is>
          <t>p10: R$ 277.586,31</t>
        </is>
      </c>
      <c r="AP461" s="18" t="inlineStr">
        <is>
          <t>DEBTOR_LIST</t>
        </is>
      </c>
      <c r="AQ461" s="18" t="inlineStr">
        <is>
          <t>2026-06-22</t>
        </is>
      </c>
      <c r="AR461" s="18" t="inlineStr">
        <is>
          <t>OK_NO_TOTALS</t>
        </is>
      </c>
      <c r="AS461" s="18" t="inlineStr">
        <is>
          <t>ROWS:p10r49 UNRECONCILED_SOURCE</t>
        </is>
      </c>
      <c r="AT461" s="18" t="inlineStr">
        <is>
          <t>8e8832093a15</t>
        </is>
      </c>
    </row>
    <row r="462">
      <c r="A462" s="9" t="n">
        <v>461</v>
      </c>
      <c r="B462" s="9" t="inlineStr">
        <is>
          <t>NEW</t>
        </is>
      </c>
      <c r="C462" s="9" t="inlineStr"/>
      <c r="D462" s="9" t="n">
        <v>0</v>
      </c>
      <c r="E462" s="9" t="inlineStr"/>
      <c r="F462" s="9" t="inlineStr"/>
      <c r="G462" s="9" t="inlineStr"/>
      <c r="H462" s="9" t="inlineStr"/>
      <c r="I462" t="inlineStr">
        <is>
          <t>KIT S PARANA-INDUSTRIA E COMERCIO DE MOVEIS LTDA</t>
        </is>
      </c>
      <c r="J462" t="inlineStr">
        <is>
          <t>79.460.192/0001-79</t>
        </is>
      </c>
      <c r="K462" t="inlineStr">
        <is>
          <t>79460192</t>
        </is>
      </c>
      <c r="L462" t="inlineStr">
        <is>
          <t>79460192000179</t>
        </is>
      </c>
      <c r="M462" s="10" t="n">
        <v>277283.04</v>
      </c>
      <c r="N462" t="n">
        <v>1</v>
      </c>
      <c r="O462" s="11" t="inlineStr">
        <is>
          <t>C</t>
        </is>
      </c>
      <c r="P462" s="11" t="inlineStr">
        <is>
          <t>ACTIVE</t>
        </is>
      </c>
      <c r="Q462" s="12" t="n">
        <v>43894</v>
      </c>
      <c r="R462" s="11">
        <f>IF(Q462="","",ROUND((TODAY()-Q462)/365.25,1))</f>
        <v/>
      </c>
      <c r="S462" s="13">
        <f>IFERROR(VLOOKUP(O462,Assumptions!$A$7:$F$11,2,FALSE),0.25)</f>
        <v/>
      </c>
      <c r="T462" s="14">
        <f>IF(O462="A",MAX(1,IFERROR(VLOOKUP(O462,Assumptions!$A$7:$F$11,3,FALSE),3)+IFERROR(VLOOKUP(O462,Assumptions!$A$7:$F$11,4,FALSE),8)/2-MAX(0,IF(R462="",0,R462)-IFERROR(VLOOKUP(O462,Assumptions!$A$7:$F$11,5,FALSE),1.5))),IFERROR(VLOOKUP(O462,Assumptions!$A$7:$F$11,5,FALSE),2.5)+IFERROR(VLOOKUP(O462,Assumptions!$A$7:$F$11,3,FALSE),3)+IFERROR(VLOOKUP(O462,Assumptions!$A$7:$F$11,4,FALSE),8)/2)</f>
        <v/>
      </c>
      <c r="U462" s="15">
        <f>M462*S462/(1+Assumptions!$B$3)^T462</f>
        <v/>
      </c>
      <c r="V462" s="11">
        <f>IF(M462=0,"",ROUND(U462/M462*100,1))</f>
        <v/>
      </c>
      <c r="W462" s="16">
        <f>U462*Assumptions!$B$4</f>
        <v/>
      </c>
      <c r="X462" s="11">
        <f>IF(M462=0,"",ROUND(W462/M462*100,1))</f>
        <v/>
      </c>
      <c r="Y462" t="inlineStr">
        <is>
          <t>CREDIMÓVEIS NOVOLAR LTDA.</t>
        </is>
      </c>
      <c r="Z462" t="inlineStr">
        <is>
          <t>0007565-40.2020.8.17.2370</t>
        </is>
      </c>
      <c r="AA462" t="inlineStr">
        <is>
          <t>TJPE</t>
        </is>
      </c>
      <c r="AB462" t="inlineStr">
        <is>
          <t>recuperacaojudicial.squarespace.com</t>
        </is>
      </c>
      <c r="AC462" t="inlineStr">
        <is>
          <t>EVALDO LUIS ARRUDA</t>
        </is>
      </c>
      <c r="AD462" t="inlineStr">
        <is>
          <t>Sócio-Administrador</t>
        </is>
      </c>
      <c r="AE462" t="inlineStr">
        <is>
          <t>(04) 3252-1633</t>
        </is>
      </c>
      <c r="AF462" t="inlineStr"/>
      <c r="AG462" t="inlineStr"/>
      <c r="AH462" t="inlineStr">
        <is>
          <t>PR</t>
        </is>
      </c>
      <c r="AI462" t="inlineStr">
        <is>
          <t>ARAPONGAS</t>
        </is>
      </c>
      <c r="AJ462" t="inlineStr">
        <is>
          <t>Fabricação de móveis com predominância de madeira</t>
        </is>
      </c>
      <c r="AK462" t="inlineStr">
        <is>
          <t>DEMAIS</t>
        </is>
      </c>
      <c r="AL462" t="inlineStr">
        <is>
          <t>ATIVA</t>
        </is>
      </c>
      <c r="AM462" s="17" t="inlineStr">
        <is>
          <t>https://recuperacaojudicial.squarespace.com/s/RJ-Credimoveis-QGC-01082025.pdf</t>
        </is>
      </c>
      <c r="AN462" s="18" t="inlineStr">
        <is>
          <t>p16 r5</t>
        </is>
      </c>
      <c r="AO462" s="18" t="inlineStr">
        <is>
          <t>p16: R$ 277.283,04</t>
        </is>
      </c>
      <c r="AP462" s="18" t="inlineStr">
        <is>
          <t>QGC</t>
        </is>
      </c>
      <c r="AQ462" s="18" t="inlineStr">
        <is>
          <t>2026-01-28</t>
        </is>
      </c>
      <c r="AR462" s="18" t="inlineStr">
        <is>
          <t>OK</t>
        </is>
      </c>
      <c r="AS462" s="18" t="inlineStr">
        <is>
          <t>ROWS:p16r5</t>
        </is>
      </c>
      <c r="AT462" s="18" t="inlineStr">
        <is>
          <t>849d4fe5adce</t>
        </is>
      </c>
    </row>
    <row r="463">
      <c r="A463" s="9" t="n">
        <v>462</v>
      </c>
      <c r="B463" s="9" t="inlineStr">
        <is>
          <t>NEW</t>
        </is>
      </c>
      <c r="C463" s="9" t="inlineStr"/>
      <c r="D463" s="9" t="n">
        <v>0</v>
      </c>
      <c r="E463" s="9" t="inlineStr"/>
      <c r="F463" s="9" t="inlineStr"/>
      <c r="G463" s="9" t="inlineStr"/>
      <c r="H463" s="9" t="inlineStr"/>
      <c r="I463" t="inlineStr">
        <is>
          <t>GOLDEN DISTRIBUIDORA LTDA.</t>
        </is>
      </c>
      <c r="J463" t="inlineStr">
        <is>
          <t>04.196.935/0008-12</t>
        </is>
      </c>
      <c r="K463" t="inlineStr">
        <is>
          <t>04196935</t>
        </is>
      </c>
      <c r="L463" t="inlineStr">
        <is>
          <t>04196935000812</t>
        </is>
      </c>
      <c r="M463" s="10" t="n">
        <v>271484.12</v>
      </c>
      <c r="N463" t="n">
        <v>1</v>
      </c>
      <c r="O463" s="11" t="inlineStr">
        <is>
          <t>C</t>
        </is>
      </c>
      <c r="P463" s="11" t="inlineStr">
        <is>
          <t>ACTIVE</t>
        </is>
      </c>
      <c r="Q463" s="12" t="n">
        <v>43894</v>
      </c>
      <c r="R463" s="11">
        <f>IF(Q463="","",ROUND((TODAY()-Q463)/365.25,1))</f>
        <v/>
      </c>
      <c r="S463" s="13">
        <f>IFERROR(VLOOKUP(O463,Assumptions!$A$7:$F$11,2,FALSE),0.25)</f>
        <v/>
      </c>
      <c r="T463" s="14">
        <f>IF(O463="A",MAX(1,IFERROR(VLOOKUP(O463,Assumptions!$A$7:$F$11,3,FALSE),3)+IFERROR(VLOOKUP(O463,Assumptions!$A$7:$F$11,4,FALSE),8)/2-MAX(0,IF(R463="",0,R463)-IFERROR(VLOOKUP(O463,Assumptions!$A$7:$F$11,5,FALSE),1.5))),IFERROR(VLOOKUP(O463,Assumptions!$A$7:$F$11,5,FALSE),2.5)+IFERROR(VLOOKUP(O463,Assumptions!$A$7:$F$11,3,FALSE),3)+IFERROR(VLOOKUP(O463,Assumptions!$A$7:$F$11,4,FALSE),8)/2)</f>
        <v/>
      </c>
      <c r="U463" s="15">
        <f>M463*S463/(1+Assumptions!$B$3)^T463</f>
        <v/>
      </c>
      <c r="V463" s="11">
        <f>IF(M463=0,"",ROUND(U463/M463*100,1))</f>
        <v/>
      </c>
      <c r="W463" s="16">
        <f>U463*Assumptions!$B$4</f>
        <v/>
      </c>
      <c r="X463" s="11">
        <f>IF(M463=0,"",ROUND(W463/M463*100,1))</f>
        <v/>
      </c>
      <c r="Y463" t="inlineStr">
        <is>
          <t>CREDIMÓVEIS NOVOLAR LTDA.</t>
        </is>
      </c>
      <c r="Z463" t="inlineStr">
        <is>
          <t>0007565-40.2020.8.17.2370</t>
        </is>
      </c>
      <c r="AA463" t="inlineStr">
        <is>
          <t>TJPE</t>
        </is>
      </c>
      <c r="AB463" t="inlineStr">
        <is>
          <t>recuperacaojudicial.squarespace.com</t>
        </is>
      </c>
      <c r="AC463" t="inlineStr">
        <is>
          <t>DAVI ALBERTO SAADIA</t>
        </is>
      </c>
      <c r="AD463" t="inlineStr">
        <is>
          <t>Sócio-Administrador</t>
        </is>
      </c>
      <c r="AE463" t="inlineStr">
        <is>
          <t>(11) 3646-6600</t>
        </is>
      </c>
      <c r="AF463" t="inlineStr"/>
      <c r="AG463" t="inlineStr"/>
      <c r="AH463" t="inlineStr">
        <is>
          <t>ES</t>
        </is>
      </c>
      <c r="AI463" t="inlineStr">
        <is>
          <t>SERRA</t>
        </is>
      </c>
      <c r="AJ463" t="inlineStr">
        <is>
          <t>Comércio atacadista de papel e papelão em bruto</t>
        </is>
      </c>
      <c r="AK463" t="inlineStr">
        <is>
          <t>DEMAIS</t>
        </is>
      </c>
      <c r="AL463" t="inlineStr">
        <is>
          <t>ATIVA</t>
        </is>
      </c>
      <c r="AM463" s="17" t="inlineStr">
        <is>
          <t>https://recuperacaojudicial.squarespace.com/s/RJ-Credimoveis-QGC-01082025.pdf</t>
        </is>
      </c>
      <c r="AN463" s="18" t="inlineStr">
        <is>
          <t>p15 r48</t>
        </is>
      </c>
      <c r="AO463" s="18" t="inlineStr">
        <is>
          <t>p15: R$ 271.484,12</t>
        </is>
      </c>
      <c r="AP463" s="18" t="inlineStr">
        <is>
          <t>QGC</t>
        </is>
      </c>
      <c r="AQ463" s="18" t="inlineStr">
        <is>
          <t>2026-01-28</t>
        </is>
      </c>
      <c r="AR463" s="18" t="inlineStr">
        <is>
          <t>OK</t>
        </is>
      </c>
      <c r="AS463" s="18" t="inlineStr">
        <is>
          <t>ROWS:p15r48</t>
        </is>
      </c>
      <c r="AT463" s="18" t="inlineStr">
        <is>
          <t>849d4fe5adce</t>
        </is>
      </c>
    </row>
    <row r="464">
      <c r="A464" s="9" t="n">
        <v>463</v>
      </c>
      <c r="B464" s="9" t="inlineStr">
        <is>
          <t>NEW</t>
        </is>
      </c>
      <c r="C464" s="9" t="inlineStr"/>
      <c r="D464" s="9" t="n">
        <v>0</v>
      </c>
      <c r="E464" s="9" t="inlineStr"/>
      <c r="F464" s="9" t="inlineStr"/>
      <c r="G464" s="9" t="inlineStr"/>
      <c r="H464" s="9" t="inlineStr"/>
      <c r="I464" t="inlineStr">
        <is>
          <t>DOHLER S.A.</t>
        </is>
      </c>
      <c r="J464" t="inlineStr">
        <is>
          <t>DOHLER S/A.</t>
        </is>
      </c>
      <c r="K464" t="inlineStr">
        <is>
          <t>84683408</t>
        </is>
      </c>
      <c r="L464" t="inlineStr">
        <is>
          <t>84683408000103</t>
        </is>
      </c>
      <c r="M464" s="10" t="n">
        <v>268521.81</v>
      </c>
      <c r="N464" t="n">
        <v>1</v>
      </c>
      <c r="O464" s="11" t="inlineStr">
        <is>
          <t>D</t>
        </is>
      </c>
      <c r="P464" s="11" t="inlineStr"/>
      <c r="Q464" s="12" t="inlineStr"/>
      <c r="R464" s="11">
        <f>IF(Q464="","",ROUND((TODAY()-Q464)/365.25,1))</f>
        <v/>
      </c>
      <c r="S464" s="13">
        <f>IFERROR(VLOOKUP(O464,Assumptions!$A$7:$F$11,2,FALSE),0.25)</f>
        <v/>
      </c>
      <c r="T464" s="14">
        <f>IF(O464="A",MAX(1,IFERROR(VLOOKUP(O464,Assumptions!$A$7:$F$11,3,FALSE),3)+IFERROR(VLOOKUP(O464,Assumptions!$A$7:$F$11,4,FALSE),8)/2-MAX(0,IF(R464="",0,R464)-IFERROR(VLOOKUP(O464,Assumptions!$A$7:$F$11,5,FALSE),1.5))),IFERROR(VLOOKUP(O464,Assumptions!$A$7:$F$11,5,FALSE),2.5)+IFERROR(VLOOKUP(O464,Assumptions!$A$7:$F$11,3,FALSE),3)+IFERROR(VLOOKUP(O464,Assumptions!$A$7:$F$11,4,FALSE),8)/2)</f>
        <v/>
      </c>
      <c r="U464" s="15">
        <f>M464*S464/(1+Assumptions!$B$3)^T464</f>
        <v/>
      </c>
      <c r="V464" s="11">
        <f>IF(M464=0,"",ROUND(U464/M464*100,1))</f>
        <v/>
      </c>
      <c r="W464" s="16">
        <f>U464*Assumptions!$B$4</f>
        <v/>
      </c>
      <c r="X464" s="11">
        <f>IF(M464=0,"",ROUND(W464/M464*100,1))</f>
        <v/>
      </c>
      <c r="Y464" t="inlineStr">
        <is>
          <t>Mannes</t>
        </is>
      </c>
      <c r="Z464" t="inlineStr">
        <is>
          <t>0005010-50.2013.8.24.0026</t>
        </is>
      </c>
      <c r="AA464" t="inlineStr"/>
      <c r="AB464" t="inlineStr">
        <is>
          <t>administradorajudicialgs.com.br</t>
        </is>
      </c>
      <c r="AC464" t="inlineStr">
        <is>
          <t>JOSE MARIO GOMES RIBEIRO</t>
        </is>
      </c>
      <c r="AD464" t="inlineStr">
        <is>
          <t>Presidente</t>
        </is>
      </c>
      <c r="AE464" t="inlineStr">
        <is>
          <t>(47) 3441-1666</t>
        </is>
      </c>
      <c r="AF464" t="inlineStr">
        <is>
          <t>(47) 3441-1777</t>
        </is>
      </c>
      <c r="AG464" t="inlineStr"/>
      <c r="AH464" t="inlineStr">
        <is>
          <t>SC</t>
        </is>
      </c>
      <c r="AI464" t="inlineStr">
        <is>
          <t>JOINVILLE</t>
        </is>
      </c>
      <c r="AJ464" t="inlineStr">
        <is>
          <t>Tecelagem de fios de algodão</t>
        </is>
      </c>
      <c r="AK464" t="inlineStr">
        <is>
          <t>DEMAIS</t>
        </is>
      </c>
      <c r="AL464" t="inlineStr">
        <is>
          <t>ATIVA</t>
        </is>
      </c>
      <c r="AM464" s="17" t="inlineStr">
        <is>
          <t>https://administradorajudicialgs.com.br/wp-content/uploads/2024/12/relacao-de-credores-da-falida.pdf</t>
        </is>
      </c>
      <c r="AN464" s="18" t="inlineStr">
        <is>
          <t>p14 r8</t>
        </is>
      </c>
      <c r="AO464" s="18" t="inlineStr">
        <is>
          <t>p14: R$ 268.521,81</t>
        </is>
      </c>
      <c r="AP464" s="18" t="inlineStr">
        <is>
          <t>OTHER</t>
        </is>
      </c>
      <c r="AQ464" s="18" t="inlineStr">
        <is>
          <t>2025-03-25</t>
        </is>
      </c>
      <c r="AR464" s="18" t="inlineStr">
        <is>
          <t>OK_NO_TOTALS</t>
        </is>
      </c>
      <c r="AS464" s="18" t="inlineStr">
        <is>
          <t>ROWS:p14r8 UNRECONCILED_SOURCE CASE_NUMBER_CORRECTED</t>
        </is>
      </c>
      <c r="AT464" s="18" t="inlineStr">
        <is>
          <t>ea17ba43b261</t>
        </is>
      </c>
    </row>
    <row r="465">
      <c r="A465" s="9" t="n">
        <v>464</v>
      </c>
      <c r="B465" s="9" t="inlineStr">
        <is>
          <t>NEW</t>
        </is>
      </c>
      <c r="C465" s="9" t="inlineStr"/>
      <c r="D465" s="9" t="n">
        <v>0</v>
      </c>
      <c r="E465" s="9" t="inlineStr"/>
      <c r="F465" s="9" t="inlineStr"/>
      <c r="G465" s="9" t="inlineStr"/>
      <c r="H465" s="9" t="inlineStr"/>
      <c r="I465" t="inlineStr">
        <is>
          <t>CRISTAL ALIMENTOS LTDA</t>
        </is>
      </c>
      <c r="J465" t="inlineStr">
        <is>
          <t>Cristal Alimentos</t>
        </is>
      </c>
      <c r="K465" t="inlineStr">
        <is>
          <t>02709992</t>
        </is>
      </c>
      <c r="L465" t="inlineStr">
        <is>
          <t>02709992000156</t>
        </is>
      </c>
      <c r="M465" s="10" t="n">
        <v>268352.18</v>
      </c>
      <c r="N465" t="n">
        <v>1</v>
      </c>
      <c r="O465" s="11" t="inlineStr">
        <is>
          <t>B</t>
        </is>
      </c>
      <c r="P465" s="11" t="inlineStr">
        <is>
          <t>ACTIVE</t>
        </is>
      </c>
      <c r="Q465" s="12" t="n">
        <v>46130</v>
      </c>
      <c r="R465" s="11">
        <f>IF(Q465="","",ROUND((TODAY()-Q465)/365.25,1))</f>
        <v/>
      </c>
      <c r="S465" s="13">
        <f>IFERROR(VLOOKUP(O465,Assumptions!$A$7:$F$11,2,FALSE),0.25)</f>
        <v/>
      </c>
      <c r="T465" s="14">
        <f>IF(O465="A",MAX(1,IFERROR(VLOOKUP(O465,Assumptions!$A$7:$F$11,3,FALSE),3)+IFERROR(VLOOKUP(O465,Assumptions!$A$7:$F$11,4,FALSE),8)/2-MAX(0,IF(R465="",0,R465)-IFERROR(VLOOKUP(O465,Assumptions!$A$7:$F$11,5,FALSE),1.5))),IFERROR(VLOOKUP(O465,Assumptions!$A$7:$F$11,5,FALSE),2.5)+IFERROR(VLOOKUP(O465,Assumptions!$A$7:$F$11,3,FALSE),3)+IFERROR(VLOOKUP(O465,Assumptions!$A$7:$F$11,4,FALSE),8)/2)</f>
        <v/>
      </c>
      <c r="U465" s="15">
        <f>M465*S465/(1+Assumptions!$B$3)^T465</f>
        <v/>
      </c>
      <c r="V465" s="11">
        <f>IF(M465=0,"",ROUND(U465/M465*100,1))</f>
        <v/>
      </c>
      <c r="W465" s="16">
        <f>U465*Assumptions!$B$4</f>
        <v/>
      </c>
      <c r="X465" s="11">
        <f>IF(M465=0,"",ROUND(W465/M465*100,1))</f>
        <v/>
      </c>
      <c r="Y465" t="inlineStr">
        <is>
          <t>GRUPO 3E</t>
        </is>
      </c>
      <c r="Z465" t="inlineStr">
        <is>
          <t>5341375-33.2026.8.09.0049</t>
        </is>
      </c>
      <c r="AA465" t="inlineStr">
        <is>
          <t>TJGO</t>
        </is>
      </c>
      <c r="AB465" t="inlineStr">
        <is>
          <t>stenius.com.br</t>
        </is>
      </c>
      <c r="AC465" t="inlineStr">
        <is>
          <t>MARCELO FERNANDES MADALENA</t>
        </is>
      </c>
      <c r="AD465" t="inlineStr">
        <is>
          <t>Administrador</t>
        </is>
      </c>
      <c r="AE465" t="inlineStr">
        <is>
          <t>(62) 3226-9064</t>
        </is>
      </c>
      <c r="AF465" t="inlineStr">
        <is>
          <t>(62) 3226-9000</t>
        </is>
      </c>
      <c r="AG465" t="inlineStr"/>
      <c r="AH465" t="inlineStr">
        <is>
          <t>GO</t>
        </is>
      </c>
      <c r="AI465" t="inlineStr">
        <is>
          <t>APARECIDA DE GOIANIA</t>
        </is>
      </c>
      <c r="AJ465" t="inlineStr">
        <is>
          <t>Beneficiamento de arroz</t>
        </is>
      </c>
      <c r="AK465" t="inlineStr">
        <is>
          <t>DEMAIS</t>
        </is>
      </c>
      <c r="AL465" t="inlineStr">
        <is>
          <t>ATIVA</t>
        </is>
      </c>
      <c r="AM465" s="17" t="inlineStr">
        <is>
          <t>https://stenius.com.br/wp-content/uploads/2026/06/EDITAL-GRUPO-3E.pdf</t>
        </is>
      </c>
      <c r="AN465" s="18" t="inlineStr">
        <is>
          <t>p12 r19</t>
        </is>
      </c>
      <c r="AO465" s="18" t="inlineStr">
        <is>
          <t>p12: R$ 268.352,18</t>
        </is>
      </c>
      <c r="AP465" s="18" t="inlineStr">
        <is>
          <t>DEBTOR_LIST</t>
        </is>
      </c>
      <c r="AQ465" s="18" t="inlineStr">
        <is>
          <t>2026-06-22</t>
        </is>
      </c>
      <c r="AR465" s="18" t="inlineStr">
        <is>
          <t>OK_NO_TOTALS</t>
        </is>
      </c>
      <c r="AS465" s="18" t="inlineStr">
        <is>
          <t>ROWS:p12r19 UNRECONCILED_SOURCE</t>
        </is>
      </c>
      <c r="AT465" s="18" t="inlineStr">
        <is>
          <t>8e8832093a15</t>
        </is>
      </c>
    </row>
    <row r="466">
      <c r="A466" s="9" t="n">
        <v>465</v>
      </c>
      <c r="B466" s="9" t="inlineStr">
        <is>
          <t>NEW</t>
        </is>
      </c>
      <c r="C466" s="9" t="inlineStr"/>
      <c r="D466" s="9" t="n">
        <v>0</v>
      </c>
      <c r="E466" s="9" t="inlineStr"/>
      <c r="F466" s="9" t="inlineStr"/>
      <c r="G466" s="9" t="inlineStr"/>
      <c r="H466" s="9" t="inlineStr"/>
      <c r="I466" t="inlineStr">
        <is>
          <t>OPTIMUM CONSULTORIA EM GESTAO PUBLICA E EMPRESARIAL LTDA</t>
        </is>
      </c>
      <c r="J466" t="inlineStr">
        <is>
          <t>OPTIMUM CONSULTORIA EM GESTAO PUBLICA LTDA</t>
        </is>
      </c>
      <c r="K466" t="inlineStr">
        <is>
          <t>10925045</t>
        </is>
      </c>
      <c r="L466" t="inlineStr">
        <is>
          <t>10925045000120</t>
        </is>
      </c>
      <c r="M466" s="10" t="n">
        <v>267635.55</v>
      </c>
      <c r="N466" t="n">
        <v>1</v>
      </c>
      <c r="O466" s="11" t="inlineStr">
        <is>
          <t>C</t>
        </is>
      </c>
      <c r="P466" s="11" t="inlineStr">
        <is>
          <t>ACTIVE</t>
        </is>
      </c>
      <c r="Q466" s="12" t="n">
        <v>45174</v>
      </c>
      <c r="R466" s="11">
        <f>IF(Q466="","",ROUND((TODAY()-Q466)/365.25,1))</f>
        <v/>
      </c>
      <c r="S466" s="13">
        <f>IFERROR(VLOOKUP(O466,Assumptions!$A$7:$F$11,2,FALSE),0.25)</f>
        <v/>
      </c>
      <c r="T466" s="14">
        <f>IF(O466="A",MAX(1,IFERROR(VLOOKUP(O466,Assumptions!$A$7:$F$11,3,FALSE),3)+IFERROR(VLOOKUP(O466,Assumptions!$A$7:$F$11,4,FALSE),8)/2-MAX(0,IF(R466="",0,R466)-IFERROR(VLOOKUP(O466,Assumptions!$A$7:$F$11,5,FALSE),1.5))),IFERROR(VLOOKUP(O466,Assumptions!$A$7:$F$11,5,FALSE),2.5)+IFERROR(VLOOKUP(O466,Assumptions!$A$7:$F$11,3,FALSE),3)+IFERROR(VLOOKUP(O466,Assumptions!$A$7:$F$11,4,FALSE),8)/2)</f>
        <v/>
      </c>
      <c r="U466" s="15">
        <f>M466*S466/(1+Assumptions!$B$3)^T466</f>
        <v/>
      </c>
      <c r="V466" s="11">
        <f>IF(M466=0,"",ROUND(U466/M466*100,1))</f>
        <v/>
      </c>
      <c r="W466" s="16">
        <f>U466*Assumptions!$B$4</f>
        <v/>
      </c>
      <c r="X466" s="11">
        <f>IF(M466=0,"",ROUND(W466/M466*100,1))</f>
        <v/>
      </c>
      <c r="Y466" t="inlineStr">
        <is>
          <t>TREZE FUTEBOL CLUBE</t>
        </is>
      </c>
      <c r="Z466" t="inlineStr">
        <is>
          <t>0829315-43.2023.8.15.0001</t>
        </is>
      </c>
      <c r="AA466" t="inlineStr">
        <is>
          <t>TJPB</t>
        </is>
      </c>
      <c r="AB466" t="inlineStr">
        <is>
          <t>lrflideres.com.br</t>
        </is>
      </c>
      <c r="AC466" t="inlineStr">
        <is>
          <t>EOLO DE SOUZA SALES</t>
        </is>
      </c>
      <c r="AD466" t="inlineStr">
        <is>
          <t>Sócio-Administrador</t>
        </is>
      </c>
      <c r="AE466" t="inlineStr">
        <is>
          <t>(83) 9975-0001</t>
        </is>
      </c>
      <c r="AF466" t="inlineStr"/>
      <c r="AG466" t="inlineStr"/>
      <c r="AH466" t="inlineStr">
        <is>
          <t>PB</t>
        </is>
      </c>
      <c r="AI466" t="inlineStr">
        <is>
          <t>CAMPINA GRANDE</t>
        </is>
      </c>
      <c r="AJ466" t="inlineStr">
        <is>
          <t>Atividades de consultoria em gestão empresarial, exceto consultoria técnica específica</t>
        </is>
      </c>
      <c r="AK466" t="inlineStr">
        <is>
          <t>MICRO EMPRESA</t>
        </is>
      </c>
      <c r="AL466" t="inlineStr">
        <is>
          <t>ATIVA</t>
        </is>
      </c>
      <c r="AM466" s="17" t="inlineStr">
        <is>
          <t>https://lrflideres.com.br/wp-content/plugins/download-attachments/includes/download.php?id=5828</t>
        </is>
      </c>
      <c r="AN466" s="18" t="inlineStr">
        <is>
          <t>p3 r19</t>
        </is>
      </c>
      <c r="AO466" s="18" t="inlineStr">
        <is>
          <t>p3: R$ 267.635,55</t>
        </is>
      </c>
      <c r="AP466" s="18" t="inlineStr">
        <is>
          <t>AJ_LIST</t>
        </is>
      </c>
      <c r="AQ466" s="18" t="inlineStr">
        <is>
          <t>2024-04-18</t>
        </is>
      </c>
      <c r="AR466" s="18" t="inlineStr">
        <is>
          <t>OK</t>
        </is>
      </c>
      <c r="AS466" s="18" t="inlineStr">
        <is>
          <t>ROWS:p3r19</t>
        </is>
      </c>
      <c r="AT466" s="18" t="inlineStr">
        <is>
          <t>47e92e4db6f8</t>
        </is>
      </c>
    </row>
    <row r="467">
      <c r="A467" s="9" t="n">
        <v>466</v>
      </c>
      <c r="B467" s="9" t="inlineStr">
        <is>
          <t>NEW</t>
        </is>
      </c>
      <c r="C467" s="9" t="inlineStr"/>
      <c r="D467" s="9" t="n">
        <v>0</v>
      </c>
      <c r="E467" s="9" t="inlineStr"/>
      <c r="F467" s="9" t="inlineStr"/>
      <c r="G467" s="9" t="inlineStr"/>
      <c r="H467" s="9" t="inlineStr"/>
      <c r="I467" t="inlineStr">
        <is>
          <t>ECOPNEUS COMERCIO DE PNEUMATICOS E SERVICOS LTDA</t>
        </is>
      </c>
      <c r="J467" t="inlineStr">
        <is>
          <t>Ecopneus Comércio de Pneumáticos e Serviços LTDA</t>
        </is>
      </c>
      <c r="K467" t="inlineStr">
        <is>
          <t>07478963</t>
        </is>
      </c>
      <c r="L467" t="inlineStr">
        <is>
          <t>07478963000144</t>
        </is>
      </c>
      <c r="M467" s="10" t="n">
        <v>265611.35</v>
      </c>
      <c r="N467" t="n">
        <v>1</v>
      </c>
      <c r="O467" s="11" t="inlineStr">
        <is>
          <t>B</t>
        </is>
      </c>
      <c r="P467" s="11" t="inlineStr"/>
      <c r="Q467" s="12" t="n">
        <v>45756</v>
      </c>
      <c r="R467" s="11">
        <f>IF(Q467="","",ROUND((TODAY()-Q467)/365.25,1))</f>
        <v/>
      </c>
      <c r="S467" s="13">
        <f>IFERROR(VLOOKUP(O467,Assumptions!$A$7:$F$11,2,FALSE),0.25)</f>
        <v/>
      </c>
      <c r="T467" s="14">
        <f>IF(O467="A",MAX(1,IFERROR(VLOOKUP(O467,Assumptions!$A$7:$F$11,3,FALSE),3)+IFERROR(VLOOKUP(O467,Assumptions!$A$7:$F$11,4,FALSE),8)/2-MAX(0,IF(R467="",0,R467)-IFERROR(VLOOKUP(O467,Assumptions!$A$7:$F$11,5,FALSE),1.5))),IFERROR(VLOOKUP(O467,Assumptions!$A$7:$F$11,5,FALSE),2.5)+IFERROR(VLOOKUP(O467,Assumptions!$A$7:$F$11,3,FALSE),3)+IFERROR(VLOOKUP(O467,Assumptions!$A$7:$F$11,4,FALSE),8)/2)</f>
        <v/>
      </c>
      <c r="U467" s="15">
        <f>M467*S467/(1+Assumptions!$B$3)^T467</f>
        <v/>
      </c>
      <c r="V467" s="11">
        <f>IF(M467=0,"",ROUND(U467/M467*100,1))</f>
        <v/>
      </c>
      <c r="W467" s="16">
        <f>U467*Assumptions!$B$4</f>
        <v/>
      </c>
      <c r="X467" s="11">
        <f>IF(M467=0,"",ROUND(W467/M467*100,1))</f>
        <v/>
      </c>
      <c r="Y467" t="inlineStr">
        <is>
          <t>GRUPO EGESA (EGESA ENG S.A, EGESUR PART E EMP S.A, MATRIX INFRA LTDA, BEMVIVER ENG AMBIENTAL E SERV LTDA, DKF CONST E EMP LTDA, EGEPEL LTDA, ETR ASSESSORIA EMP E PART LTDA, MVT ENG E SERV LTDA, PARQUES DO VALE LTDA, ELMO RIBEIRO E ANA RIBEIRO)</t>
        </is>
      </c>
      <c r="Z467" t="inlineStr">
        <is>
          <t>5088952-81.2025.8.13.0024</t>
        </is>
      </c>
      <c r="AA467" t="inlineStr">
        <is>
          <t>TJMG</t>
        </is>
      </c>
      <c r="AB467" t="inlineStr">
        <is>
          <t>scalzilliaj.com.br</t>
        </is>
      </c>
      <c r="AC467" t="inlineStr">
        <is>
          <t>ANTONIO VANDIMAR SIMOES</t>
        </is>
      </c>
      <c r="AD467" t="inlineStr">
        <is>
          <t>Sócio-Administrador</t>
        </is>
      </c>
      <c r="AE467" t="inlineStr"/>
      <c r="AF467" t="inlineStr"/>
      <c r="AG467" t="inlineStr"/>
      <c r="AH467" t="inlineStr">
        <is>
          <t>PA</t>
        </is>
      </c>
      <c r="AI467" t="inlineStr">
        <is>
          <t>BARCARENA</t>
        </is>
      </c>
      <c r="AJ467" t="inlineStr">
        <is>
          <t>Comércio por atacado de pneumáticos e câmaras-de-ar</t>
        </is>
      </c>
      <c r="AK467" t="inlineStr">
        <is>
          <t>DEMAIS</t>
        </is>
      </c>
      <c r="AL467" t="inlineStr">
        <is>
          <t>ATIVA</t>
        </is>
      </c>
      <c r="AM467" s="17" t="inlineStr">
        <is>
          <t>https://scalzilliaj.com.br/sgc/download.php?file=files/processo_documento/processo_documento09514021082025_1_.pdf&amp;nome=04 - Relação de credores das Recuperandas</t>
        </is>
      </c>
      <c r="AN467" s="18" t="inlineStr">
        <is>
          <t>p65 r10</t>
        </is>
      </c>
      <c r="AO467" s="18" t="inlineStr">
        <is>
          <t>p65: R$ 265.611,35</t>
        </is>
      </c>
      <c r="AP467" s="18" t="inlineStr">
        <is>
          <t>DEBTOR_LIST</t>
        </is>
      </c>
      <c r="AQ467" s="18" t="inlineStr"/>
      <c r="AR467" s="18" t="inlineStr">
        <is>
          <t>OK</t>
        </is>
      </c>
      <c r="AS467" s="18" t="inlineStr">
        <is>
          <t>ROWS:p65r10 VALUE_COL:Valor_Atualizado CASE_NUMBER_CORRECTED CASE_FROM_PORTAL</t>
        </is>
      </c>
      <c r="AT467" s="18" t="inlineStr">
        <is>
          <t>24ed98480a57</t>
        </is>
      </c>
    </row>
    <row r="468">
      <c r="A468" s="9" t="n">
        <v>467</v>
      </c>
      <c r="B468" s="9" t="inlineStr">
        <is>
          <t>NEW</t>
        </is>
      </c>
      <c r="C468" s="9" t="inlineStr"/>
      <c r="D468" s="9" t="n">
        <v>0</v>
      </c>
      <c r="E468" s="9" t="inlineStr"/>
      <c r="F468" s="9" t="inlineStr"/>
      <c r="G468" s="9" t="inlineStr"/>
      <c r="H468" s="9" t="inlineStr"/>
      <c r="I468" t="inlineStr">
        <is>
          <t>SOAGRO - SOCIEDADE AGRO-PECUARIA LTDA</t>
        </is>
      </c>
      <c r="J468" t="inlineStr">
        <is>
          <t>SOAGRO - SOCIEDADE AGROPECUÁRIA LTDA</t>
        </is>
      </c>
      <c r="K468" t="inlineStr">
        <is>
          <t>02676351</t>
        </is>
      </c>
      <c r="L468" t="inlineStr">
        <is>
          <t>02676351000142</t>
        </is>
      </c>
      <c r="M468" s="10" t="n">
        <v>264931.98</v>
      </c>
      <c r="N468" t="n">
        <v>1</v>
      </c>
      <c r="O468" s="11" t="inlineStr">
        <is>
          <t>B</t>
        </is>
      </c>
      <c r="P468" s="11" t="inlineStr">
        <is>
          <t>ACTIVE</t>
        </is>
      </c>
      <c r="Q468" s="12" t="n">
        <v>46030</v>
      </c>
      <c r="R468" s="11">
        <f>IF(Q468="","",ROUND((TODAY()-Q468)/365.25,1))</f>
        <v/>
      </c>
      <c r="S468" s="13">
        <f>IFERROR(VLOOKUP(O468,Assumptions!$A$7:$F$11,2,FALSE),0.25)</f>
        <v/>
      </c>
      <c r="T468" s="14">
        <f>IF(O468="A",MAX(1,IFERROR(VLOOKUP(O468,Assumptions!$A$7:$F$11,3,FALSE),3)+IFERROR(VLOOKUP(O468,Assumptions!$A$7:$F$11,4,FALSE),8)/2-MAX(0,IF(R468="",0,R468)-IFERROR(VLOOKUP(O468,Assumptions!$A$7:$F$11,5,FALSE),1.5))),IFERROR(VLOOKUP(O468,Assumptions!$A$7:$F$11,5,FALSE),2.5)+IFERROR(VLOOKUP(O468,Assumptions!$A$7:$F$11,3,FALSE),3)+IFERROR(VLOOKUP(O468,Assumptions!$A$7:$F$11,4,FALSE),8)/2)</f>
        <v/>
      </c>
      <c r="U468" s="15">
        <f>M468*S468/(1+Assumptions!$B$3)^T468</f>
        <v/>
      </c>
      <c r="V468" s="11">
        <f>IF(M468=0,"",ROUND(U468/M468*100,1))</f>
        <v/>
      </c>
      <c r="W468" s="16">
        <f>U468*Assumptions!$B$4</f>
        <v/>
      </c>
      <c r="X468" s="11">
        <f>IF(M468=0,"",ROUND(W468/M468*100,1))</f>
        <v/>
      </c>
      <c r="Y468" t="inlineStr">
        <is>
          <t>GRUPO FERRARI (ALEX, ALEXANDRE , ANDRIELLE FERRARI MANTELLI, ARCIR LUIS, ERICA SANTOS ASSIS LIMA, FERNANDO MANTELLI, IDELSI, TALITA LEITE SILVA, AGROPECUARIA FERRARI LTDA E FERRARI ARMAZENS GERAIS)</t>
        </is>
      </c>
      <c r="Z468" t="inlineStr">
        <is>
          <t>5011369-81.2026.8.09.0093</t>
        </is>
      </c>
      <c r="AA468" t="inlineStr">
        <is>
          <t>TJGO</t>
        </is>
      </c>
      <c r="AB468" t="inlineStr">
        <is>
          <t>scalzilliaj.com.br</t>
        </is>
      </c>
      <c r="AC468" t="inlineStr">
        <is>
          <t>CARLOS DIVINO DE OLIVEIRA</t>
        </is>
      </c>
      <c r="AD468" t="inlineStr">
        <is>
          <t>Sócio-Administrador</t>
        </is>
      </c>
      <c r="AE468" t="inlineStr">
        <is>
          <t>(64) 2101-4000</t>
        </is>
      </c>
      <c r="AF468" t="inlineStr"/>
      <c r="AG468" t="inlineStr"/>
      <c r="AH468" t="inlineStr">
        <is>
          <t>GO</t>
        </is>
      </c>
      <c r="AI468" t="inlineStr">
        <is>
          <t>RIO VERDE</t>
        </is>
      </c>
      <c r="AJ468" t="inlineStr">
        <is>
          <t>Comércio atacadista de defensivos agrícolas, adubos, fertilizantes e corretivos do solo</t>
        </is>
      </c>
      <c r="AK468" t="inlineStr">
        <is>
          <t>DEMAIS</t>
        </is>
      </c>
      <c r="AL468" t="inlineStr">
        <is>
          <t>ATIVA</t>
        </is>
      </c>
      <c r="AM468" s="17" t="inlineStr">
        <is>
          <t>https://scalzilliaj.com.br/sgc/download.php?file=files/processo_documento/processo_documento11421222052026_1_.pdf&amp;nome=08. Lista de credores do edital do art. 52, §1º da LREF</t>
        </is>
      </c>
      <c r="AN468" s="18" t="inlineStr">
        <is>
          <t>p2 r4</t>
        </is>
      </c>
      <c r="AO468" s="18" t="inlineStr">
        <is>
          <t>p2: R$ 264.931,98</t>
        </is>
      </c>
      <c r="AP468" s="18" t="inlineStr">
        <is>
          <t>UNKNOWN</t>
        </is>
      </c>
      <c r="AQ468" s="18" t="inlineStr"/>
      <c r="AR468" s="18" t="inlineStr">
        <is>
          <t>OK_NO_TOTALS</t>
        </is>
      </c>
      <c r="AS468" s="18" t="inlineStr">
        <is>
          <t>ROWS:p2r4 UNRECONCILED_SOURCE</t>
        </is>
      </c>
      <c r="AT468" s="18" t="inlineStr">
        <is>
          <t>c536a2fa4da3</t>
        </is>
      </c>
    </row>
    <row r="469">
      <c r="A469" s="9" t="n">
        <v>468</v>
      </c>
      <c r="B469" s="9" t="inlineStr">
        <is>
          <t>NEW</t>
        </is>
      </c>
      <c r="C469" s="9" t="inlineStr"/>
      <c r="D469" s="9" t="n">
        <v>0</v>
      </c>
      <c r="E469" s="9" t="inlineStr"/>
      <c r="F469" s="9" t="inlineStr"/>
      <c r="G469" s="9" t="inlineStr"/>
      <c r="H469" s="9" t="inlineStr"/>
      <c r="I469" t="inlineStr">
        <is>
          <t>DISTRITO DE IRRIGACAO DO PERIMETRO SENADOR NILO COELHO</t>
        </is>
      </c>
      <c r="J469" t="inlineStr">
        <is>
          <t>DISTRITO DE IRRIGACAO DO PERIMETRO SENADOR NILO COELHO</t>
        </is>
      </c>
      <c r="K469" t="inlineStr">
        <is>
          <t>12656690</t>
        </is>
      </c>
      <c r="L469" t="inlineStr">
        <is>
          <t>12656690000110</t>
        </is>
      </c>
      <c r="M469" s="10" t="n">
        <v>264882.79</v>
      </c>
      <c r="N469" t="n">
        <v>1</v>
      </c>
      <c r="O469" s="11" t="inlineStr">
        <is>
          <t>D</t>
        </is>
      </c>
      <c r="P469" s="11" t="inlineStr"/>
      <c r="Q469" s="12" t="inlineStr"/>
      <c r="R469" s="11">
        <f>IF(Q469="","",ROUND((TODAY()-Q469)/365.25,1))</f>
        <v/>
      </c>
      <c r="S469" s="13">
        <f>IFERROR(VLOOKUP(O469,Assumptions!$A$7:$F$11,2,FALSE),0.25)</f>
        <v/>
      </c>
      <c r="T469" s="14">
        <f>IF(O469="A",MAX(1,IFERROR(VLOOKUP(O469,Assumptions!$A$7:$F$11,3,FALSE),3)+IFERROR(VLOOKUP(O469,Assumptions!$A$7:$F$11,4,FALSE),8)/2-MAX(0,IF(R469="",0,R469)-IFERROR(VLOOKUP(O469,Assumptions!$A$7:$F$11,5,FALSE),1.5))),IFERROR(VLOOKUP(O469,Assumptions!$A$7:$F$11,5,FALSE),2.5)+IFERROR(VLOOKUP(O469,Assumptions!$A$7:$F$11,3,FALSE),3)+IFERROR(VLOOKUP(O469,Assumptions!$A$7:$F$11,4,FALSE),8)/2)</f>
        <v/>
      </c>
      <c r="U469" s="15">
        <f>M469*S469/(1+Assumptions!$B$3)^T469</f>
        <v/>
      </c>
      <c r="V469" s="11">
        <f>IF(M469=0,"",ROUND(U469/M469*100,1))</f>
        <v/>
      </c>
      <c r="W469" s="16">
        <f>U469*Assumptions!$B$4</f>
        <v/>
      </c>
      <c r="X469" s="11">
        <f>IF(M469=0,"",ROUND(W469/M469*100,1))</f>
        <v/>
      </c>
      <c r="Y469" t="inlineStr">
        <is>
          <t>COPA FRUIT IMPORTAÇÃO E EXPORTAÇÃO S.A</t>
        </is>
      </c>
      <c r="Z469" t="inlineStr">
        <is>
          <t>0032731-52.2010.8.17.0001</t>
        </is>
      </c>
      <c r="AA469" t="inlineStr"/>
      <c r="AB469" t="inlineStr">
        <is>
          <t>diligence.adm.br</t>
        </is>
      </c>
      <c r="AC469" t="inlineStr">
        <is>
          <t>PAULO HENRIQUE PESSOA DE SALES</t>
        </is>
      </c>
      <c r="AD469" t="inlineStr">
        <is>
          <t>Administrador</t>
        </is>
      </c>
      <c r="AE469" t="inlineStr">
        <is>
          <t>(87) 3986-3565</t>
        </is>
      </c>
      <c r="AF469" t="inlineStr"/>
      <c r="AG469" t="inlineStr"/>
      <c r="AH469" t="inlineStr">
        <is>
          <t>PE</t>
        </is>
      </c>
      <c r="AI469" t="inlineStr">
        <is>
          <t>PETROLINA</t>
        </is>
      </c>
      <c r="AJ469" t="inlineStr">
        <is>
          <t>Atividades de associações de defesa de direitos sociais</t>
        </is>
      </c>
      <c r="AK469" t="inlineStr">
        <is>
          <t>DEMAIS</t>
        </is>
      </c>
      <c r="AL469" t="inlineStr">
        <is>
          <t>ATIVA</t>
        </is>
      </c>
      <c r="AM469" s="17" t="inlineStr">
        <is>
          <t>https://diligence.adm.br/wp-content/plugins/download-attachments/includes/download.php?id=4579</t>
        </is>
      </c>
      <c r="AN469" s="18" t="inlineStr">
        <is>
          <t>p8 r5</t>
        </is>
      </c>
      <c r="AO469" s="18" t="inlineStr">
        <is>
          <t>p8: R$ 264.882,79</t>
        </is>
      </c>
      <c r="AP469" s="18" t="inlineStr">
        <is>
          <t>AJ_LIST</t>
        </is>
      </c>
      <c r="AQ469" s="18" t="inlineStr">
        <is>
          <t>2024-06-11</t>
        </is>
      </c>
      <c r="AR469" s="18" t="inlineStr">
        <is>
          <t>OK_NO_TOTALS</t>
        </is>
      </c>
      <c r="AS469" s="18" t="inlineStr">
        <is>
          <t>ROWS:p8r5 UNRECONCILED_SOURCE VALUE_COL:Crédito_1ª_Lista</t>
        </is>
      </c>
      <c r="AT469" s="18" t="inlineStr">
        <is>
          <t>bf3c4e448c3e</t>
        </is>
      </c>
    </row>
    <row r="470">
      <c r="A470" s="9" t="n">
        <v>469</v>
      </c>
      <c r="B470" s="9" t="inlineStr">
        <is>
          <t>NEW</t>
        </is>
      </c>
      <c r="C470" s="9" t="inlineStr"/>
      <c r="D470" s="9" t="n">
        <v>0</v>
      </c>
      <c r="E470" s="9" t="inlineStr"/>
      <c r="F470" s="9" t="inlineStr"/>
      <c r="G470" s="9" t="inlineStr"/>
      <c r="H470" s="9" t="inlineStr"/>
      <c r="I470" t="inlineStr">
        <is>
          <t>HNK BR INDUSTRIA DE BEBIDAS LTDA.</t>
        </is>
      </c>
      <c r="J470" t="inlineStr">
        <is>
          <t>Heineken Brasil</t>
        </is>
      </c>
      <c r="K470" t="inlineStr">
        <is>
          <t>50221019</t>
        </is>
      </c>
      <c r="L470" t="inlineStr">
        <is>
          <t>50221019001370</t>
        </is>
      </c>
      <c r="M470" s="10" t="n">
        <v>263157.28</v>
      </c>
      <c r="N470" t="n">
        <v>1</v>
      </c>
      <c r="O470" s="11" t="inlineStr">
        <is>
          <t>B</t>
        </is>
      </c>
      <c r="P470" s="11" t="inlineStr">
        <is>
          <t>ACTIVE</t>
        </is>
      </c>
      <c r="Q470" s="12" t="n">
        <v>46130</v>
      </c>
      <c r="R470" s="11">
        <f>IF(Q470="","",ROUND((TODAY()-Q470)/365.25,1))</f>
        <v/>
      </c>
      <c r="S470" s="13">
        <f>IFERROR(VLOOKUP(O470,Assumptions!$A$7:$F$11,2,FALSE),0.25)</f>
        <v/>
      </c>
      <c r="T470" s="14">
        <f>IF(O470="A",MAX(1,IFERROR(VLOOKUP(O470,Assumptions!$A$7:$F$11,3,FALSE),3)+IFERROR(VLOOKUP(O470,Assumptions!$A$7:$F$11,4,FALSE),8)/2-MAX(0,IF(R470="",0,R470)-IFERROR(VLOOKUP(O470,Assumptions!$A$7:$F$11,5,FALSE),1.5))),IFERROR(VLOOKUP(O470,Assumptions!$A$7:$F$11,5,FALSE),2.5)+IFERROR(VLOOKUP(O470,Assumptions!$A$7:$F$11,3,FALSE),3)+IFERROR(VLOOKUP(O470,Assumptions!$A$7:$F$11,4,FALSE),8)/2)</f>
        <v/>
      </c>
      <c r="U470" s="15">
        <f>M470*S470/(1+Assumptions!$B$3)^T470</f>
        <v/>
      </c>
      <c r="V470" s="11">
        <f>IF(M470=0,"",ROUND(U470/M470*100,1))</f>
        <v/>
      </c>
      <c r="W470" s="16">
        <f>U470*Assumptions!$B$4</f>
        <v/>
      </c>
      <c r="X470" s="11">
        <f>IF(M470=0,"",ROUND(W470/M470*100,1))</f>
        <v/>
      </c>
      <c r="Y470" t="inlineStr">
        <is>
          <t>GRUPO 3E</t>
        </is>
      </c>
      <c r="Z470" t="inlineStr">
        <is>
          <t>5341375-33.2026.8.09.0049</t>
        </is>
      </c>
      <c r="AA470" t="inlineStr">
        <is>
          <t>TJGO</t>
        </is>
      </c>
      <c r="AB470" t="inlineStr">
        <is>
          <t>stenius.com.br</t>
        </is>
      </c>
      <c r="AC470" t="inlineStr">
        <is>
          <t>ANDREA REGINA FERRAZ BIANCHI</t>
        </is>
      </c>
      <c r="AD470" t="inlineStr">
        <is>
          <t>Administrador</t>
        </is>
      </c>
      <c r="AE470" t="inlineStr">
        <is>
          <t>(11) 2118-9500</t>
        </is>
      </c>
      <c r="AF470" t="inlineStr"/>
      <c r="AG470" t="inlineStr"/>
      <c r="AH470" t="inlineStr">
        <is>
          <t>SP</t>
        </is>
      </c>
      <c r="AI470" t="inlineStr">
        <is>
          <t>ITU</t>
        </is>
      </c>
      <c r="AJ470" t="inlineStr">
        <is>
          <t>Fabricação de cervejas e chopes</t>
        </is>
      </c>
      <c r="AK470" t="inlineStr">
        <is>
          <t>DEMAIS</t>
        </is>
      </c>
      <c r="AL470" t="inlineStr">
        <is>
          <t>ATIVA</t>
        </is>
      </c>
      <c r="AM470" s="17" t="inlineStr">
        <is>
          <t>https://stenius.com.br/wp-content/uploads/2026/06/EDITAL-GRUPO-3E.pdf</t>
        </is>
      </c>
      <c r="AN470" s="18" t="inlineStr">
        <is>
          <t>p14 r35</t>
        </is>
      </c>
      <c r="AO470" s="18" t="inlineStr">
        <is>
          <t>p14: R$ 263.157,28</t>
        </is>
      </c>
      <c r="AP470" s="18" t="inlineStr">
        <is>
          <t>DEBTOR_LIST</t>
        </is>
      </c>
      <c r="AQ470" s="18" t="inlineStr">
        <is>
          <t>2026-06-22</t>
        </is>
      </c>
      <c r="AR470" s="18" t="inlineStr">
        <is>
          <t>OK_NO_TOTALS</t>
        </is>
      </c>
      <c r="AS470" s="18" t="inlineStr">
        <is>
          <t>ROWS:p14r35 UNRECONCILED_SOURCE</t>
        </is>
      </c>
      <c r="AT470" s="18" t="inlineStr">
        <is>
          <t>8e8832093a15</t>
        </is>
      </c>
    </row>
    <row r="471">
      <c r="A471" s="9" t="n">
        <v>470</v>
      </c>
      <c r="B471" s="9" t="inlineStr">
        <is>
          <t>NEW</t>
        </is>
      </c>
      <c r="C471" s="9" t="inlineStr"/>
      <c r="D471" s="9" t="n">
        <v>0</v>
      </c>
      <c r="E471" s="9" t="inlineStr"/>
      <c r="F471" s="9" t="inlineStr"/>
      <c r="G471" s="9" t="inlineStr"/>
      <c r="H471" s="9" t="inlineStr"/>
      <c r="I471" t="inlineStr">
        <is>
          <t>MOMENTIVE PERFORMANCE MATERIALS INDUSTRIA DE SILICONES LTDA</t>
        </is>
      </c>
      <c r="J471" t="inlineStr">
        <is>
          <t>MOMENTIVE PERFORMANCE MATERIALS INC</t>
        </is>
      </c>
      <c r="K471" t="inlineStr">
        <is>
          <t>05701847</t>
        </is>
      </c>
      <c r="L471" t="inlineStr">
        <is>
          <t>05701847000117</t>
        </is>
      </c>
      <c r="M471" s="10" t="n">
        <v>262038.21</v>
      </c>
      <c r="N471" t="n">
        <v>1</v>
      </c>
      <c r="O471" s="11" t="inlineStr">
        <is>
          <t>D</t>
        </is>
      </c>
      <c r="P471" s="11" t="inlineStr"/>
      <c r="Q471" s="12" t="inlineStr"/>
      <c r="R471" s="11">
        <f>IF(Q471="","",ROUND((TODAY()-Q471)/365.25,1))</f>
        <v/>
      </c>
      <c r="S471" s="13">
        <f>IFERROR(VLOOKUP(O471,Assumptions!$A$7:$F$11,2,FALSE),0.25)</f>
        <v/>
      </c>
      <c r="T471" s="14">
        <f>IF(O471="A",MAX(1,IFERROR(VLOOKUP(O471,Assumptions!$A$7:$F$11,3,FALSE),3)+IFERROR(VLOOKUP(O471,Assumptions!$A$7:$F$11,4,FALSE),8)/2-MAX(0,IF(R471="",0,R471)-IFERROR(VLOOKUP(O471,Assumptions!$A$7:$F$11,5,FALSE),1.5))),IFERROR(VLOOKUP(O471,Assumptions!$A$7:$F$11,5,FALSE),2.5)+IFERROR(VLOOKUP(O471,Assumptions!$A$7:$F$11,3,FALSE),3)+IFERROR(VLOOKUP(O471,Assumptions!$A$7:$F$11,4,FALSE),8)/2)</f>
        <v/>
      </c>
      <c r="U471" s="15">
        <f>M471*S471/(1+Assumptions!$B$3)^T471</f>
        <v/>
      </c>
      <c r="V471" s="11">
        <f>IF(M471=0,"",ROUND(U471/M471*100,1))</f>
        <v/>
      </c>
      <c r="W471" s="16">
        <f>U471*Assumptions!$B$4</f>
        <v/>
      </c>
      <c r="X471" s="11">
        <f>IF(M471=0,"",ROUND(W471/M471*100,1))</f>
        <v/>
      </c>
      <c r="Y471" t="inlineStr">
        <is>
          <t>Mannes</t>
        </is>
      </c>
      <c r="Z471" t="inlineStr">
        <is>
          <t>0005010-50.2013.8.24.0026</t>
        </is>
      </c>
      <c r="AA471" t="inlineStr"/>
      <c r="AB471" t="inlineStr">
        <is>
          <t>administradorajudicialgs.com.br</t>
        </is>
      </c>
      <c r="AC471" t="inlineStr">
        <is>
          <t>FERNANDO RODA</t>
        </is>
      </c>
      <c r="AD471" t="inlineStr">
        <is>
          <t>Administrador</t>
        </is>
      </c>
      <c r="AE471" t="inlineStr">
        <is>
          <t>(11) 5128-4222</t>
        </is>
      </c>
      <c r="AF471" t="inlineStr"/>
      <c r="AG471" t="inlineStr"/>
      <c r="AH471" t="inlineStr">
        <is>
          <t>SP</t>
        </is>
      </c>
      <c r="AI471" t="inlineStr">
        <is>
          <t>ITATIBA</t>
        </is>
      </c>
      <c r="AJ471" t="inlineStr">
        <is>
          <t>Fabricação de aditivos de uso industrial</t>
        </is>
      </c>
      <c r="AK471" t="inlineStr">
        <is>
          <t>DEMAIS</t>
        </is>
      </c>
      <c r="AL471" t="inlineStr">
        <is>
          <t>ATIVA</t>
        </is>
      </c>
      <c r="AM471" s="17" t="inlineStr">
        <is>
          <t>https://administradorajudicialgs.com.br/wp-content/uploads/2024/12/relacao-de-credores-da-falida.pdf</t>
        </is>
      </c>
      <c r="AN471" s="18" t="inlineStr">
        <is>
          <t>p17 r2</t>
        </is>
      </c>
      <c r="AO471" s="18" t="inlineStr">
        <is>
          <t>p17: R$ 262.038,21</t>
        </is>
      </c>
      <c r="AP471" s="18" t="inlineStr">
        <is>
          <t>OTHER</t>
        </is>
      </c>
      <c r="AQ471" s="18" t="inlineStr">
        <is>
          <t>2025-03-25</t>
        </is>
      </c>
      <c r="AR471" s="18" t="inlineStr">
        <is>
          <t>OK_NO_TOTALS</t>
        </is>
      </c>
      <c r="AS471" s="18" t="inlineStr">
        <is>
          <t>ROWS:p17r2 UNRECONCILED_SOURCE CASE_NUMBER_CORRECTED</t>
        </is>
      </c>
      <c r="AT471" s="18" t="inlineStr">
        <is>
          <t>ea17ba43b261</t>
        </is>
      </c>
    </row>
    <row r="472">
      <c r="A472" s="9" t="n">
        <v>471</v>
      </c>
      <c r="B472" s="9" t="inlineStr">
        <is>
          <t>NEW</t>
        </is>
      </c>
      <c r="C472" s="9" t="inlineStr"/>
      <c r="D472" s="9" t="n">
        <v>0</v>
      </c>
      <c r="E472" s="9" t="inlineStr"/>
      <c r="F472" s="9" t="inlineStr"/>
      <c r="G472" s="9" t="inlineStr"/>
      <c r="H472" s="9" t="inlineStr"/>
      <c r="I472" t="inlineStr">
        <is>
          <t>GOIASMINAS INDUSTRIA DE LATICINIOS LTDA</t>
        </is>
      </c>
      <c r="J472" t="inlineStr">
        <is>
          <t>Italac Frios</t>
        </is>
      </c>
      <c r="K472" t="inlineStr">
        <is>
          <t>01257995</t>
        </is>
      </c>
      <c r="L472" t="inlineStr">
        <is>
          <t>01257995000133, 01257995000800</t>
        </is>
      </c>
      <c r="M472" s="10" t="n">
        <v>261853.71</v>
      </c>
      <c r="N472" t="n">
        <v>2</v>
      </c>
      <c r="O472" s="11" t="inlineStr">
        <is>
          <t>B</t>
        </is>
      </c>
      <c r="P472" s="11" t="inlineStr">
        <is>
          <t>ACTIVE</t>
        </is>
      </c>
      <c r="Q472" s="12" t="n">
        <v>46130</v>
      </c>
      <c r="R472" s="11">
        <f>IF(Q472="","",ROUND((TODAY()-Q472)/365.25,1))</f>
        <v/>
      </c>
      <c r="S472" s="13">
        <f>IFERROR(VLOOKUP(O472,Assumptions!$A$7:$F$11,2,FALSE),0.25)</f>
        <v/>
      </c>
      <c r="T472" s="14">
        <f>IF(O472="A",MAX(1,IFERROR(VLOOKUP(O472,Assumptions!$A$7:$F$11,3,FALSE),3)+IFERROR(VLOOKUP(O472,Assumptions!$A$7:$F$11,4,FALSE),8)/2-MAX(0,IF(R472="",0,R472)-IFERROR(VLOOKUP(O472,Assumptions!$A$7:$F$11,5,FALSE),1.5))),IFERROR(VLOOKUP(O472,Assumptions!$A$7:$F$11,5,FALSE),2.5)+IFERROR(VLOOKUP(O472,Assumptions!$A$7:$F$11,3,FALSE),3)+IFERROR(VLOOKUP(O472,Assumptions!$A$7:$F$11,4,FALSE),8)/2)</f>
        <v/>
      </c>
      <c r="U472" s="15">
        <f>M472*S472/(1+Assumptions!$B$3)^T472</f>
        <v/>
      </c>
      <c r="V472" s="11">
        <f>IF(M472=0,"",ROUND(U472/M472*100,1))</f>
        <v/>
      </c>
      <c r="W472" s="16">
        <f>U472*Assumptions!$B$4</f>
        <v/>
      </c>
      <c r="X472" s="11">
        <f>IF(M472=0,"",ROUND(W472/M472*100,1))</f>
        <v/>
      </c>
      <c r="Y472" t="inlineStr">
        <is>
          <t>GRUPO 3E</t>
        </is>
      </c>
      <c r="Z472" t="inlineStr">
        <is>
          <t>5341375-33.2026.8.09.0049</t>
        </is>
      </c>
      <c r="AA472" t="inlineStr">
        <is>
          <t>TJGO</t>
        </is>
      </c>
      <c r="AB472" t="inlineStr">
        <is>
          <t>stenius.com.br</t>
        </is>
      </c>
      <c r="AC472" t="inlineStr">
        <is>
          <t>ALEXANDRE BOTELHO TEIXEIRA</t>
        </is>
      </c>
      <c r="AD472" t="inlineStr">
        <is>
          <t>Sócio-Administrador</t>
        </is>
      </c>
      <c r="AE472" t="inlineStr">
        <is>
          <t>(64) 3447-7500</t>
        </is>
      </c>
      <c r="AF472" t="inlineStr"/>
      <c r="AG472" t="inlineStr"/>
      <c r="AH472" t="inlineStr">
        <is>
          <t>GO</t>
        </is>
      </c>
      <c r="AI472" t="inlineStr">
        <is>
          <t>CORUMBAIBA</t>
        </is>
      </c>
      <c r="AJ472" t="inlineStr">
        <is>
          <t>Fabricação de laticínios</t>
        </is>
      </c>
      <c r="AK472" t="inlineStr">
        <is>
          <t>DEMAIS</t>
        </is>
      </c>
      <c r="AL472" t="inlineStr">
        <is>
          <t>ATIVA</t>
        </is>
      </c>
      <c r="AM472" s="17" t="inlineStr">
        <is>
          <t>https://stenius.com.br/wp-content/uploads/2026/06/EDITAL-GRUPO-3E.pdf</t>
        </is>
      </c>
      <c r="AN472" s="18" t="inlineStr">
        <is>
          <t>p14 r60; p14 r61</t>
        </is>
      </c>
      <c r="AO472" s="18" t="inlineStr">
        <is>
          <t>p14: R$ 13.821,53; p14: R$ 248.032,18</t>
        </is>
      </c>
      <c r="AP472" s="18" t="inlineStr">
        <is>
          <t>DEBTOR_LIST</t>
        </is>
      </c>
      <c r="AQ472" s="18" t="inlineStr">
        <is>
          <t>2026-06-22</t>
        </is>
      </c>
      <c r="AR472" s="18" t="inlineStr">
        <is>
          <t>OK_NO_TOTALS</t>
        </is>
      </c>
      <c r="AS472" s="18" t="inlineStr">
        <is>
          <t>ROWS:p14r60,p14r61 UNRECONCILED_SOURCE</t>
        </is>
      </c>
      <c r="AT472" s="18" t="inlineStr">
        <is>
          <t>8e8832093a15</t>
        </is>
      </c>
    </row>
    <row r="473">
      <c r="A473" s="9" t="n">
        <v>472</v>
      </c>
      <c r="B473" s="9" t="inlineStr">
        <is>
          <t>NEW</t>
        </is>
      </c>
      <c r="C473" s="9" t="inlineStr"/>
      <c r="D473" s="9" t="n">
        <v>0</v>
      </c>
      <c r="E473" s="9" t="inlineStr"/>
      <c r="F473" s="9" t="inlineStr"/>
      <c r="G473" s="9" t="inlineStr"/>
      <c r="H473" s="9" t="inlineStr"/>
      <c r="I473" t="inlineStr">
        <is>
          <t>PRIMA FOODS S.A.</t>
        </is>
      </c>
      <c r="J473" t="inlineStr">
        <is>
          <t>Mataboi</t>
        </is>
      </c>
      <c r="K473" t="inlineStr">
        <is>
          <t>16820052</t>
        </is>
      </c>
      <c r="L473" t="inlineStr">
        <is>
          <t>16820052001540</t>
        </is>
      </c>
      <c r="M473" s="10" t="n">
        <v>260820.7</v>
      </c>
      <c r="N473" t="n">
        <v>1</v>
      </c>
      <c r="O473" s="11" t="inlineStr">
        <is>
          <t>B</t>
        </is>
      </c>
      <c r="P473" s="11" t="inlineStr">
        <is>
          <t>ACTIVE</t>
        </is>
      </c>
      <c r="Q473" s="12" t="n">
        <v>46130</v>
      </c>
      <c r="R473" s="11">
        <f>IF(Q473="","",ROUND((TODAY()-Q473)/365.25,1))</f>
        <v/>
      </c>
      <c r="S473" s="13">
        <f>IFERROR(VLOOKUP(O473,Assumptions!$A$7:$F$11,2,FALSE),0.25)</f>
        <v/>
      </c>
      <c r="T473" s="14">
        <f>IF(O473="A",MAX(1,IFERROR(VLOOKUP(O473,Assumptions!$A$7:$F$11,3,FALSE),3)+IFERROR(VLOOKUP(O473,Assumptions!$A$7:$F$11,4,FALSE),8)/2-MAX(0,IF(R473="",0,R473)-IFERROR(VLOOKUP(O473,Assumptions!$A$7:$F$11,5,FALSE),1.5))),IFERROR(VLOOKUP(O473,Assumptions!$A$7:$F$11,5,FALSE),2.5)+IFERROR(VLOOKUP(O473,Assumptions!$A$7:$F$11,3,FALSE),3)+IFERROR(VLOOKUP(O473,Assumptions!$A$7:$F$11,4,FALSE),8)/2)</f>
        <v/>
      </c>
      <c r="U473" s="15">
        <f>M473*S473/(1+Assumptions!$B$3)^T473</f>
        <v/>
      </c>
      <c r="V473" s="11">
        <f>IF(M473=0,"",ROUND(U473/M473*100,1))</f>
        <v/>
      </c>
      <c r="W473" s="16">
        <f>U473*Assumptions!$B$4</f>
        <v/>
      </c>
      <c r="X473" s="11">
        <f>IF(M473=0,"",ROUND(W473/M473*100,1))</f>
        <v/>
      </c>
      <c r="Y473" t="inlineStr">
        <is>
          <t>GRUPO 3E</t>
        </is>
      </c>
      <c r="Z473" t="inlineStr">
        <is>
          <t>5341375-33.2026.8.09.0049</t>
        </is>
      </c>
      <c r="AA473" t="inlineStr">
        <is>
          <t>TJGO</t>
        </is>
      </c>
      <c r="AB473" t="inlineStr">
        <is>
          <t>stenius.com.br</t>
        </is>
      </c>
      <c r="AC473" t="inlineStr">
        <is>
          <t>ALEXANDRE MOREIRA MARTINS DE ALMEIDA</t>
        </is>
      </c>
      <c r="AD473" t="inlineStr">
        <is>
          <t>Presidente</t>
        </is>
      </c>
      <c r="AE473" t="inlineStr">
        <is>
          <t>(34) 2108-2200</t>
        </is>
      </c>
      <c r="AF473" t="inlineStr"/>
      <c r="AG473" t="inlineStr"/>
      <c r="AH473" t="inlineStr">
        <is>
          <t>MG</t>
        </is>
      </c>
      <c r="AI473" t="inlineStr">
        <is>
          <t>ARAGUARI</t>
        </is>
      </c>
      <c r="AJ473" t="inlineStr">
        <is>
          <t>Frigorífico - abate de bovinos</t>
        </is>
      </c>
      <c r="AK473" t="inlineStr">
        <is>
          <t>DEMAIS</t>
        </is>
      </c>
      <c r="AL473" t="inlineStr">
        <is>
          <t>ATIVA</t>
        </is>
      </c>
      <c r="AM473" s="17" t="inlineStr">
        <is>
          <t>https://stenius.com.br/wp-content/uploads/2026/06/EDITAL-GRUPO-3E.pdf</t>
        </is>
      </c>
      <c r="AN473" s="18" t="inlineStr">
        <is>
          <t>p15 r58</t>
        </is>
      </c>
      <c r="AO473" s="18" t="inlineStr">
        <is>
          <t>p15: R$ 260.820,70</t>
        </is>
      </c>
      <c r="AP473" s="18" t="inlineStr">
        <is>
          <t>DEBTOR_LIST</t>
        </is>
      </c>
      <c r="AQ473" s="18" t="inlineStr">
        <is>
          <t>2026-06-22</t>
        </is>
      </c>
      <c r="AR473" s="18" t="inlineStr">
        <is>
          <t>OK_NO_TOTALS</t>
        </is>
      </c>
      <c r="AS473" s="18" t="inlineStr">
        <is>
          <t>ROWS:p15r58 UNRECONCILED_SOURCE</t>
        </is>
      </c>
      <c r="AT473" s="18" t="inlineStr">
        <is>
          <t>8e8832093a15</t>
        </is>
      </c>
    </row>
    <row r="474">
      <c r="A474" s="9" t="n">
        <v>473</v>
      </c>
      <c r="B474" s="9" t="inlineStr">
        <is>
          <t>NEW</t>
        </is>
      </c>
      <c r="C474" s="9" t="inlineStr"/>
      <c r="D474" s="9" t="n">
        <v>0</v>
      </c>
      <c r="E474" s="9" t="inlineStr"/>
      <c r="F474" s="9" t="inlineStr"/>
      <c r="G474" s="9" t="inlineStr"/>
      <c r="H474" s="9" t="inlineStr"/>
      <c r="I474" t="inlineStr">
        <is>
          <t>SALUX - INFORMATIZACAO EM SAUDE S.A.</t>
        </is>
      </c>
      <c r="J474" t="inlineStr">
        <is>
          <t>SALUX- INFORMATIZACAO SAUDE-EIR (</t>
        </is>
      </c>
      <c r="K474" t="inlineStr">
        <is>
          <t>05113942</t>
        </is>
      </c>
      <c r="L474" t="inlineStr">
        <is>
          <t>05113942000108</t>
        </is>
      </c>
      <c r="M474" s="10" t="n">
        <v>260799.62</v>
      </c>
      <c r="N474" t="n">
        <v>1</v>
      </c>
      <c r="O474" s="11" t="inlineStr">
        <is>
          <t>C</t>
        </is>
      </c>
      <c r="P474" s="11" t="inlineStr">
        <is>
          <t>ACTIVE</t>
        </is>
      </c>
      <c r="Q474" s="12" t="n">
        <v>44735</v>
      </c>
      <c r="R474" s="11">
        <f>IF(Q474="","",ROUND((TODAY()-Q474)/365.25,1))</f>
        <v/>
      </c>
      <c r="S474" s="13">
        <f>IFERROR(VLOOKUP(O474,Assumptions!$A$7:$F$11,2,FALSE),0.25)</f>
        <v/>
      </c>
      <c r="T474" s="14">
        <f>IF(O474="A",MAX(1,IFERROR(VLOOKUP(O474,Assumptions!$A$7:$F$11,3,FALSE),3)+IFERROR(VLOOKUP(O474,Assumptions!$A$7:$F$11,4,FALSE),8)/2-MAX(0,IF(R474="",0,R474)-IFERROR(VLOOKUP(O474,Assumptions!$A$7:$F$11,5,FALSE),1.5))),IFERROR(VLOOKUP(O474,Assumptions!$A$7:$F$11,5,FALSE),2.5)+IFERROR(VLOOKUP(O474,Assumptions!$A$7:$F$11,3,FALSE),3)+IFERROR(VLOOKUP(O474,Assumptions!$A$7:$F$11,4,FALSE),8)/2)</f>
        <v/>
      </c>
      <c r="U474" s="15">
        <f>M474*S474/(1+Assumptions!$B$3)^T474</f>
        <v/>
      </c>
      <c r="V474" s="11">
        <f>IF(M474=0,"",ROUND(U474/M474*100,1))</f>
        <v/>
      </c>
      <c r="W474" s="16">
        <f>U474*Assumptions!$B$4</f>
        <v/>
      </c>
      <c r="X474" s="11">
        <f>IF(M474=0,"",ROUND(W474/M474*100,1))</f>
        <v/>
      </c>
      <c r="Y474" t="inlineStr">
        <is>
          <t>ASSOCIAÇÃO DE CARIDADE SANTA CASA DO RIO GRANDE</t>
        </is>
      </c>
      <c r="Z474" t="inlineStr">
        <is>
          <t>5012306-16.2022.8.21.0023</t>
        </is>
      </c>
      <c r="AA474" t="inlineStr">
        <is>
          <t>TJRS</t>
        </is>
      </c>
      <c r="AB474" t="inlineStr">
        <is>
          <t>scalzilliaj.com.br</t>
        </is>
      </c>
      <c r="AC474" t="inlineStr">
        <is>
          <t>SEBASTIAO RAMILO BULCAO BRINGEL</t>
        </is>
      </c>
      <c r="AD474" t="inlineStr">
        <is>
          <t>Presidente</t>
        </is>
      </c>
      <c r="AE474" t="inlineStr">
        <is>
          <t>(51) 3021-0055</t>
        </is>
      </c>
      <c r="AF474" t="inlineStr"/>
      <c r="AG474" t="inlineStr"/>
      <c r="AH474" t="inlineStr">
        <is>
          <t>RS</t>
        </is>
      </c>
      <c r="AI474" t="inlineStr">
        <is>
          <t>PORTO ALEGRE</t>
        </is>
      </c>
      <c r="AJ474" t="inlineStr">
        <is>
          <t>Desenvolvimento e licenciamento de programas de computador customizáveis</t>
        </is>
      </c>
      <c r="AK474" t="inlineStr">
        <is>
          <t>DEMAIS</t>
        </is>
      </c>
      <c r="AL474" t="inlineStr">
        <is>
          <t>ATIVA</t>
        </is>
      </c>
      <c r="AM474" s="17" t="inlineStr">
        <is>
          <t>https://scalzilliaj.com.br/sgc/download.php?file=files/processo_documento/processo_documento09120721032023_1_.pdf&amp;nome=15 - Edital do art. 7º, §2º e 53 da Lei 11.101/2005 (segunda lista de credores e recebimento do plano))</t>
        </is>
      </c>
      <c r="AN474" s="18" t="inlineStr">
        <is>
          <t>p29 r43</t>
        </is>
      </c>
      <c r="AO474" s="18" t="inlineStr">
        <is>
          <t>p29: R$ 260.799,62</t>
        </is>
      </c>
      <c r="AP474" s="18" t="inlineStr">
        <is>
          <t>AJ_LIST</t>
        </is>
      </c>
      <c r="AQ474" s="18" t="inlineStr">
        <is>
          <t>2023-03-21</t>
        </is>
      </c>
      <c r="AR474" s="18" t="inlineStr">
        <is>
          <t>OK_NO_TOTALS</t>
        </is>
      </c>
      <c r="AS474" s="18" t="inlineStr">
        <is>
          <t>ROWS:p29r43 UNRECONCILED_SOURCE</t>
        </is>
      </c>
      <c r="AT474" s="18" t="inlineStr">
        <is>
          <t>ebfb999b457c</t>
        </is>
      </c>
    </row>
    <row r="475">
      <c r="A475" s="9" t="n">
        <v>474</v>
      </c>
      <c r="B475" s="9" t="inlineStr">
        <is>
          <t>NEW</t>
        </is>
      </c>
      <c r="C475" s="9" t="inlineStr"/>
      <c r="D475" s="9" t="n">
        <v>0</v>
      </c>
      <c r="E475" s="9" t="inlineStr"/>
      <c r="F475" s="9" t="inlineStr"/>
      <c r="G475" s="9" t="inlineStr"/>
      <c r="H475" s="9" t="inlineStr"/>
      <c r="I475" t="inlineStr">
        <is>
          <t>AUTO POSTO PRA FRENTE BRASIL LTDA</t>
        </is>
      </c>
      <c r="J475" t="inlineStr">
        <is>
          <t>Auto Posto Pra Frente Brasil Ltda</t>
        </is>
      </c>
      <c r="K475" t="inlineStr">
        <is>
          <t>04868412</t>
        </is>
      </c>
      <c r="L475" t="inlineStr">
        <is>
          <t>04868412000603</t>
        </is>
      </c>
      <c r="M475" s="10" t="n">
        <v>260175.73</v>
      </c>
      <c r="N475" t="n">
        <v>1</v>
      </c>
      <c r="O475" s="11" t="inlineStr">
        <is>
          <t>C</t>
        </is>
      </c>
      <c r="P475" s="11" t="inlineStr">
        <is>
          <t>ACTIVE</t>
        </is>
      </c>
      <c r="Q475" s="12" t="n">
        <v>45275</v>
      </c>
      <c r="R475" s="11">
        <f>IF(Q475="","",ROUND((TODAY()-Q475)/365.25,1))</f>
        <v/>
      </c>
      <c r="S475" s="13">
        <f>IFERROR(VLOOKUP(O475,Assumptions!$A$7:$F$11,2,FALSE),0.25)</f>
        <v/>
      </c>
      <c r="T475" s="14">
        <f>IF(O475="A",MAX(1,IFERROR(VLOOKUP(O475,Assumptions!$A$7:$F$11,3,FALSE),3)+IFERROR(VLOOKUP(O475,Assumptions!$A$7:$F$11,4,FALSE),8)/2-MAX(0,IF(R475="",0,R475)-IFERROR(VLOOKUP(O475,Assumptions!$A$7:$F$11,5,FALSE),1.5))),IFERROR(VLOOKUP(O475,Assumptions!$A$7:$F$11,5,FALSE),2.5)+IFERROR(VLOOKUP(O475,Assumptions!$A$7:$F$11,3,FALSE),3)+IFERROR(VLOOKUP(O475,Assumptions!$A$7:$F$11,4,FALSE),8)/2)</f>
        <v/>
      </c>
      <c r="U475" s="15">
        <f>M475*S475/(1+Assumptions!$B$3)^T475</f>
        <v/>
      </c>
      <c r="V475" s="11">
        <f>IF(M475=0,"",ROUND(U475/M475*100,1))</f>
        <v/>
      </c>
      <c r="W475" s="16">
        <f>U475*Assumptions!$B$4</f>
        <v/>
      </c>
      <c r="X475" s="11">
        <f>IF(M475=0,"",ROUND(W475/M475*100,1))</f>
        <v/>
      </c>
      <c r="Y475" t="inlineStr">
        <is>
          <t>Grupo Agromeal</t>
        </is>
      </c>
      <c r="Z475" t="inlineStr">
        <is>
          <t>0003971-03.2023.8.16.0119</t>
        </is>
      </c>
      <c r="AA475" t="inlineStr">
        <is>
          <t>TJPR</t>
        </is>
      </c>
      <c r="AB475" t="inlineStr">
        <is>
          <t>marquesadmjudicial.com.br</t>
        </is>
      </c>
      <c r="AC475" t="inlineStr">
        <is>
          <t>ANTONIO DEOCLIDES ZINI</t>
        </is>
      </c>
      <c r="AD475" t="inlineStr">
        <is>
          <t>Administrador</t>
        </is>
      </c>
      <c r="AE475" t="inlineStr">
        <is>
          <t>(45) 3333-2000</t>
        </is>
      </c>
      <c r="AF475" t="inlineStr">
        <is>
          <t>(45) 3228-1515</t>
        </is>
      </c>
      <c r="AG475" t="inlineStr"/>
      <c r="AH475" t="inlineStr">
        <is>
          <t>PR</t>
        </is>
      </c>
      <c r="AI475" t="inlineStr">
        <is>
          <t>CASCAVEL</t>
        </is>
      </c>
      <c r="AJ475" t="inlineStr">
        <is>
          <t>Comércio varejista de combustíveis para veículos automotores</t>
        </is>
      </c>
      <c r="AK475" t="inlineStr">
        <is>
          <t>DEMAIS</t>
        </is>
      </c>
      <c r="AL475" t="inlineStr">
        <is>
          <t>ATIVA</t>
        </is>
      </c>
      <c r="AM475" s="17" t="inlineStr">
        <is>
          <t>https://marquesadmjudicial.com.br/sgc/download.php?file=files/processo_documento/processo_documento17040729052024_1_.pdf&amp;nome=Relação Nominal de Credores AJ-Sintética</t>
        </is>
      </c>
      <c r="AN475" s="18" t="inlineStr">
        <is>
          <t>p9 r12</t>
        </is>
      </c>
      <c r="AO475" s="18" t="inlineStr">
        <is>
          <t>p9: R$ 260.175,73</t>
        </is>
      </c>
      <c r="AP475" s="18" t="inlineStr">
        <is>
          <t>AJ_LIST</t>
        </is>
      </c>
      <c r="AQ475" s="18" t="inlineStr">
        <is>
          <t>2024-05-27</t>
        </is>
      </c>
      <c r="AR475" s="18" t="inlineStr">
        <is>
          <t>QUARANTINED</t>
        </is>
      </c>
      <c r="AS475" s="18" t="inlineStr">
        <is>
          <t>PARTIAL_DOC_CLASS_III_RECONCILED ROWS:p9r12</t>
        </is>
      </c>
      <c r="AT475" s="18" t="inlineStr">
        <is>
          <t>1209dafe77b7</t>
        </is>
      </c>
    </row>
    <row r="476">
      <c r="A476" s="9" t="n">
        <v>475</v>
      </c>
      <c r="B476" s="9" t="inlineStr">
        <is>
          <t>NEW</t>
        </is>
      </c>
      <c r="C476" s="9" t="inlineStr"/>
      <c r="D476" s="9" t="n">
        <v>0</v>
      </c>
      <c r="E476" s="9" t="inlineStr"/>
      <c r="F476" s="9" t="inlineStr"/>
      <c r="G476" s="9" t="inlineStr"/>
      <c r="H476" s="9" t="inlineStr"/>
      <c r="I476" t="inlineStr">
        <is>
          <t>GOIAS DISTRIBUIDORA DE ALIMENTOS LTDA</t>
        </is>
      </c>
      <c r="J476" t="inlineStr">
        <is>
          <t>Disdal - Goias Distribuidora De Alimentos Ltda.</t>
        </is>
      </c>
      <c r="K476" t="inlineStr">
        <is>
          <t>20750654</t>
        </is>
      </c>
      <c r="L476" t="inlineStr">
        <is>
          <t>20750654000140</t>
        </is>
      </c>
      <c r="M476" s="10" t="n">
        <v>260082.71</v>
      </c>
      <c r="N476" t="n">
        <v>1</v>
      </c>
      <c r="O476" s="11" t="inlineStr">
        <is>
          <t>B</t>
        </is>
      </c>
      <c r="P476" s="11" t="inlineStr">
        <is>
          <t>ACTIVE</t>
        </is>
      </c>
      <c r="Q476" s="12" t="n">
        <v>46130</v>
      </c>
      <c r="R476" s="11">
        <f>IF(Q476="","",ROUND((TODAY()-Q476)/365.25,1))</f>
        <v/>
      </c>
      <c r="S476" s="13">
        <f>IFERROR(VLOOKUP(O476,Assumptions!$A$7:$F$11,2,FALSE),0.25)</f>
        <v/>
      </c>
      <c r="T476" s="14">
        <f>IF(O476="A",MAX(1,IFERROR(VLOOKUP(O476,Assumptions!$A$7:$F$11,3,FALSE),3)+IFERROR(VLOOKUP(O476,Assumptions!$A$7:$F$11,4,FALSE),8)/2-MAX(0,IF(R476="",0,R476)-IFERROR(VLOOKUP(O476,Assumptions!$A$7:$F$11,5,FALSE),1.5))),IFERROR(VLOOKUP(O476,Assumptions!$A$7:$F$11,5,FALSE),2.5)+IFERROR(VLOOKUP(O476,Assumptions!$A$7:$F$11,3,FALSE),3)+IFERROR(VLOOKUP(O476,Assumptions!$A$7:$F$11,4,FALSE),8)/2)</f>
        <v/>
      </c>
      <c r="U476" s="15">
        <f>M476*S476/(1+Assumptions!$B$3)^T476</f>
        <v/>
      </c>
      <c r="V476" s="11">
        <f>IF(M476=0,"",ROUND(U476/M476*100,1))</f>
        <v/>
      </c>
      <c r="W476" s="16">
        <f>U476*Assumptions!$B$4</f>
        <v/>
      </c>
      <c r="X476" s="11">
        <f>IF(M476=0,"",ROUND(W476/M476*100,1))</f>
        <v/>
      </c>
      <c r="Y476" t="inlineStr">
        <is>
          <t>GRUPO 3E</t>
        </is>
      </c>
      <c r="Z476" t="inlineStr">
        <is>
          <t>5341375-33.2026.8.09.0049</t>
        </is>
      </c>
      <c r="AA476" t="inlineStr">
        <is>
          <t>TJGO</t>
        </is>
      </c>
      <c r="AB476" t="inlineStr">
        <is>
          <t>stenius.com.br</t>
        </is>
      </c>
      <c r="AC476" t="inlineStr">
        <is>
          <t>CAROLYNE DAL BERTO ESPINDOLA DE QUEIROZ</t>
        </is>
      </c>
      <c r="AD476" t="inlineStr">
        <is>
          <t>Administrador</t>
        </is>
      </c>
      <c r="AE476" t="inlineStr">
        <is>
          <t>(69) 3293-0496</t>
        </is>
      </c>
      <c r="AF476" t="inlineStr"/>
      <c r="AG476" t="inlineStr"/>
      <c r="AH476" t="inlineStr">
        <is>
          <t>GO</t>
        </is>
      </c>
      <c r="AI476" t="inlineStr">
        <is>
          <t>APARECIDA DE GOIANIA</t>
        </is>
      </c>
      <c r="AJ476" t="inlineStr">
        <is>
          <t>Comércio atacadista de mercadorias em geral, com predominância de produtos alimentícios</t>
        </is>
      </c>
      <c r="AK476" t="inlineStr">
        <is>
          <t>DEMAIS</t>
        </is>
      </c>
      <c r="AL476" t="inlineStr">
        <is>
          <t>ATIVA</t>
        </is>
      </c>
      <c r="AM476" s="17" t="inlineStr">
        <is>
          <t>https://stenius.com.br/wp-content/uploads/2026/06/EDITAL-GRUPO-3E.pdf</t>
        </is>
      </c>
      <c r="AN476" s="18" t="inlineStr">
        <is>
          <t>p12 r41</t>
        </is>
      </c>
      <c r="AO476" s="18" t="inlineStr">
        <is>
          <t>p12: R$ 260.082,71</t>
        </is>
      </c>
      <c r="AP476" s="18" t="inlineStr">
        <is>
          <t>DEBTOR_LIST</t>
        </is>
      </c>
      <c r="AQ476" s="18" t="inlineStr">
        <is>
          <t>2026-06-22</t>
        </is>
      </c>
      <c r="AR476" s="18" t="inlineStr">
        <is>
          <t>OK_NO_TOTALS</t>
        </is>
      </c>
      <c r="AS476" s="18" t="inlineStr">
        <is>
          <t>ROWS:p12r41 UNRECONCILED_SOURCE</t>
        </is>
      </c>
      <c r="AT476" s="18" t="inlineStr">
        <is>
          <t>8e8832093a15</t>
        </is>
      </c>
    </row>
    <row r="477">
      <c r="A477" s="9" t="n">
        <v>476</v>
      </c>
      <c r="B477" s="9" t="inlineStr">
        <is>
          <t>NEW</t>
        </is>
      </c>
      <c r="C477" s="9" t="inlineStr"/>
      <c r="D477" s="9" t="n">
        <v>0</v>
      </c>
      <c r="E477" s="9" t="inlineStr"/>
      <c r="F477" s="9" t="inlineStr"/>
      <c r="G477" s="9" t="inlineStr"/>
      <c r="H477" s="9" t="inlineStr"/>
      <c r="I477" t="inlineStr">
        <is>
          <t>SELENE INDUSTRIA TEXTIL S A</t>
        </is>
      </c>
      <c r="J477" t="inlineStr">
        <is>
          <t>SELENE INDUSTRIA TEXTIL S A</t>
        </is>
      </c>
      <c r="K477" t="inlineStr">
        <is>
          <t>47254545</t>
        </is>
      </c>
      <c r="L477" t="inlineStr">
        <is>
          <t>47254545000198</t>
        </is>
      </c>
      <c r="M477" s="10" t="n">
        <v>259498.98</v>
      </c>
      <c r="N477" t="n">
        <v>3</v>
      </c>
      <c r="O477" s="11" t="inlineStr">
        <is>
          <t>C</t>
        </is>
      </c>
      <c r="P477" s="11" t="inlineStr">
        <is>
          <t>ACTIVE</t>
        </is>
      </c>
      <c r="Q477" s="12" t="n">
        <v>44571</v>
      </c>
      <c r="R477" s="11">
        <f>IF(Q477="","",ROUND((TODAY()-Q477)/365.25,1))</f>
        <v/>
      </c>
      <c r="S477" s="13">
        <f>IFERROR(VLOOKUP(O477,Assumptions!$A$7:$F$11,2,FALSE),0.25)</f>
        <v/>
      </c>
      <c r="T477" s="14">
        <f>IF(O477="A",MAX(1,IFERROR(VLOOKUP(O477,Assumptions!$A$7:$F$11,3,FALSE),3)+IFERROR(VLOOKUP(O477,Assumptions!$A$7:$F$11,4,FALSE),8)/2-MAX(0,IF(R477="",0,R477)-IFERROR(VLOOKUP(O477,Assumptions!$A$7:$F$11,5,FALSE),1.5))),IFERROR(VLOOKUP(O477,Assumptions!$A$7:$F$11,5,FALSE),2.5)+IFERROR(VLOOKUP(O477,Assumptions!$A$7:$F$11,3,FALSE),3)+IFERROR(VLOOKUP(O477,Assumptions!$A$7:$F$11,4,FALSE),8)/2)</f>
        <v/>
      </c>
      <c r="U477" s="15">
        <f>M477*S477/(1+Assumptions!$B$3)^T477</f>
        <v/>
      </c>
      <c r="V477" s="11">
        <f>IF(M477=0,"",ROUND(U477/M477*100,1))</f>
        <v/>
      </c>
      <c r="W477" s="16">
        <f>U477*Assumptions!$B$4</f>
        <v/>
      </c>
      <c r="X477" s="11">
        <f>IF(M477=0,"",ROUND(W477/M477*100,1))</f>
        <v/>
      </c>
      <c r="Y477" t="inlineStr">
        <is>
          <t>GRUPO CATTAN</t>
        </is>
      </c>
      <c r="Z477" t="inlineStr">
        <is>
          <t>0002484-82.2022.8.17.2001</t>
        </is>
      </c>
      <c r="AA477" t="inlineStr">
        <is>
          <t>TJPE</t>
        </is>
      </c>
      <c r="AB477" t="inlineStr">
        <is>
          <t>lrflideres.com.br</t>
        </is>
      </c>
      <c r="AC477" t="inlineStr">
        <is>
          <t>GUILHERME COLONNA ROSMAN</t>
        </is>
      </c>
      <c r="AD477" t="inlineStr">
        <is>
          <t>Presidente</t>
        </is>
      </c>
      <c r="AE477" t="inlineStr">
        <is>
          <t>(15) 3384-8888</t>
        </is>
      </c>
      <c r="AF477" t="inlineStr"/>
      <c r="AG477" t="inlineStr"/>
      <c r="AH477" t="inlineStr">
        <is>
          <t>SP</t>
        </is>
      </c>
      <c r="AI477" t="inlineStr">
        <is>
          <t>CERQUILHO</t>
        </is>
      </c>
      <c r="AJ477" t="inlineStr">
        <is>
          <t>Fabricação de meias</t>
        </is>
      </c>
      <c r="AK477" t="inlineStr">
        <is>
          <t>DEMAIS</t>
        </is>
      </c>
      <c r="AL477" t="inlineStr">
        <is>
          <t>ATIVA</t>
        </is>
      </c>
      <c r="AM477" s="17" t="inlineStr">
        <is>
          <t>https://lrflideres.com.br/wp-content/plugins/download-attachments/includes/download.php?id=4023</t>
        </is>
      </c>
      <c r="AN477" s="18" t="inlineStr">
        <is>
          <t>p4 r90; p7 r120; p9 r89</t>
        </is>
      </c>
      <c r="AO477" s="18" t="inlineStr">
        <is>
          <t>p4: R$ 63.666,17; p7: R$ 158.338,98; p9: R$ 37.493,83</t>
        </is>
      </c>
      <c r="AP477" s="18" t="inlineStr">
        <is>
          <t>DEBTOR_LIST</t>
        </is>
      </c>
      <c r="AQ477" s="18" t="inlineStr"/>
      <c r="AR477" s="18" t="inlineStr">
        <is>
          <t>QUARANTINED</t>
        </is>
      </c>
      <c r="AS477" s="18" t="inlineStr">
        <is>
          <t>PARTIAL_DOC_CLASS_III_RECONCILED ROWS:p4r90,p7r120,p9r89</t>
        </is>
      </c>
      <c r="AT477" s="18" t="inlineStr">
        <is>
          <t>f3b6182e3aa2</t>
        </is>
      </c>
    </row>
    <row r="478">
      <c r="A478" s="9" t="n">
        <v>477</v>
      </c>
      <c r="B478" s="9" t="inlineStr">
        <is>
          <t>NEW</t>
        </is>
      </c>
      <c r="C478" s="9" t="inlineStr"/>
      <c r="D478" s="9" t="n">
        <v>0</v>
      </c>
      <c r="E478" s="9" t="inlineStr"/>
      <c r="F478" s="9" t="inlineStr"/>
      <c r="G478" s="9" t="inlineStr"/>
      <c r="H478" s="9" t="inlineStr"/>
      <c r="I478" t="inlineStr">
        <is>
          <t>PACKDUQUE INDUSTRIA DE PLASTICOS LTDA</t>
        </is>
      </c>
      <c r="J478" t="inlineStr">
        <is>
          <t>PACKDUQUE IND.DE PLÁSTICOS LTDA.</t>
        </is>
      </c>
      <c r="K478" t="inlineStr">
        <is>
          <t>04214651</t>
        </is>
      </c>
      <c r="L478" t="inlineStr">
        <is>
          <t>04214651000305</t>
        </is>
      </c>
      <c r="M478" s="10" t="n">
        <v>258953.37</v>
      </c>
      <c r="N478" t="n">
        <v>1</v>
      </c>
      <c r="O478" s="11" t="inlineStr">
        <is>
          <t>D</t>
        </is>
      </c>
      <c r="P478" s="11" t="inlineStr"/>
      <c r="Q478" s="12" t="inlineStr"/>
      <c r="R478" s="11">
        <f>IF(Q478="","",ROUND((TODAY()-Q478)/365.25,1))</f>
        <v/>
      </c>
      <c r="S478" s="13">
        <f>IFERROR(VLOOKUP(O478,Assumptions!$A$7:$F$11,2,FALSE),0.25)</f>
        <v/>
      </c>
      <c r="T478" s="14">
        <f>IF(O478="A",MAX(1,IFERROR(VLOOKUP(O478,Assumptions!$A$7:$F$11,3,FALSE),3)+IFERROR(VLOOKUP(O478,Assumptions!$A$7:$F$11,4,FALSE),8)/2-MAX(0,IF(R478="",0,R478)-IFERROR(VLOOKUP(O478,Assumptions!$A$7:$F$11,5,FALSE),1.5))),IFERROR(VLOOKUP(O478,Assumptions!$A$7:$F$11,5,FALSE),2.5)+IFERROR(VLOOKUP(O478,Assumptions!$A$7:$F$11,3,FALSE),3)+IFERROR(VLOOKUP(O478,Assumptions!$A$7:$F$11,4,FALSE),8)/2)</f>
        <v/>
      </c>
      <c r="U478" s="15">
        <f>M478*S478/(1+Assumptions!$B$3)^T478</f>
        <v/>
      </c>
      <c r="V478" s="11">
        <f>IF(M478=0,"",ROUND(U478/M478*100,1))</f>
        <v/>
      </c>
      <c r="W478" s="16">
        <f>U478*Assumptions!$B$4</f>
        <v/>
      </c>
      <c r="X478" s="11">
        <f>IF(M478=0,"",ROUND(W478/M478*100,1))</f>
        <v/>
      </c>
      <c r="Y478" t="inlineStr">
        <is>
          <t>Mannes</t>
        </is>
      </c>
      <c r="Z478" t="inlineStr">
        <is>
          <t>0005010-50.2013.8.24.0026</t>
        </is>
      </c>
      <c r="AA478" t="inlineStr"/>
      <c r="AB478" t="inlineStr">
        <is>
          <t>administradorajudicialgs.com.br</t>
        </is>
      </c>
      <c r="AC478" t="inlineStr">
        <is>
          <t>PAUL ANDRE REITER</t>
        </is>
      </c>
      <c r="AD478" t="inlineStr">
        <is>
          <t>Administrador</t>
        </is>
      </c>
      <c r="AE478" t="inlineStr">
        <is>
          <t>(11) 3881-7400</t>
        </is>
      </c>
      <c r="AF478" t="inlineStr"/>
      <c r="AG478" t="inlineStr"/>
      <c r="AH478" t="inlineStr">
        <is>
          <t>SP</t>
        </is>
      </c>
      <c r="AI478" t="inlineStr">
        <is>
          <t>VALINHOS</t>
        </is>
      </c>
      <c r="AJ478" t="inlineStr">
        <is>
          <t>Preparação de documentos e serviços especializados de apoio administrativo não especificados anteriormente</t>
        </is>
      </c>
      <c r="AK478" t="inlineStr">
        <is>
          <t>DEMAIS</t>
        </is>
      </c>
      <c r="AL478" t="inlineStr">
        <is>
          <t>ATIVA</t>
        </is>
      </c>
      <c r="AM478" s="17" t="inlineStr">
        <is>
          <t>https://administradorajudicialgs.com.br/wp-content/uploads/2024/12/relacao-de-credores-da-falida.pdf</t>
        </is>
      </c>
      <c r="AN478" s="18" t="inlineStr">
        <is>
          <t>p17 r30</t>
        </is>
      </c>
      <c r="AO478" s="18" t="inlineStr">
        <is>
          <t>p17: R$ 258.953,37</t>
        </is>
      </c>
      <c r="AP478" s="18" t="inlineStr">
        <is>
          <t>OTHER</t>
        </is>
      </c>
      <c r="AQ478" s="18" t="inlineStr">
        <is>
          <t>2025-03-25</t>
        </is>
      </c>
      <c r="AR478" s="18" t="inlineStr">
        <is>
          <t>OK_NO_TOTALS</t>
        </is>
      </c>
      <c r="AS478" s="18" t="inlineStr">
        <is>
          <t>ROWS:p17r30 UNRECONCILED_SOURCE CASE_NUMBER_CORRECTED</t>
        </is>
      </c>
      <c r="AT478" s="18" t="inlineStr">
        <is>
          <t>ea17ba43b261</t>
        </is>
      </c>
    </row>
    <row r="479">
      <c r="A479" s="9" t="n">
        <v>478</v>
      </c>
      <c r="B479" s="9" t="inlineStr">
        <is>
          <t>NEW</t>
        </is>
      </c>
      <c r="C479" s="9" t="inlineStr"/>
      <c r="D479" s="9" t="n">
        <v>0</v>
      </c>
      <c r="E479" s="9" t="inlineStr"/>
      <c r="F479" s="9" t="inlineStr"/>
      <c r="G479" s="9" t="inlineStr"/>
      <c r="H479" s="9" t="inlineStr"/>
      <c r="I479" t="inlineStr">
        <is>
          <t>AGROBRASILCHEMICAL INDUSTRIA E COMERCIO LTDA EM RECUPERACAO JUDICIAL</t>
        </is>
      </c>
      <c r="J479" t="inlineStr">
        <is>
          <t>Agrobrasilchemical Industria E Comercio Ltda</t>
        </is>
      </c>
      <c r="K479" t="inlineStr">
        <is>
          <t>18773359</t>
        </is>
      </c>
      <c r="L479" t="inlineStr">
        <is>
          <t>18773359000167</t>
        </is>
      </c>
      <c r="M479" s="10" t="n">
        <v>257434.5</v>
      </c>
      <c r="N479" t="n">
        <v>1</v>
      </c>
      <c r="O479" s="11" t="inlineStr">
        <is>
          <t>C</t>
        </is>
      </c>
      <c r="P479" s="11" t="inlineStr">
        <is>
          <t>ACTIVE</t>
        </is>
      </c>
      <c r="Q479" s="12" t="n">
        <v>45275</v>
      </c>
      <c r="R479" s="11">
        <f>IF(Q479="","",ROUND((TODAY()-Q479)/365.25,1))</f>
        <v/>
      </c>
      <c r="S479" s="13">
        <f>IFERROR(VLOOKUP(O479,Assumptions!$A$7:$F$11,2,FALSE),0.25)</f>
        <v/>
      </c>
      <c r="T479" s="14">
        <f>IF(O479="A",MAX(1,IFERROR(VLOOKUP(O479,Assumptions!$A$7:$F$11,3,FALSE),3)+IFERROR(VLOOKUP(O479,Assumptions!$A$7:$F$11,4,FALSE),8)/2-MAX(0,IF(R479="",0,R479)-IFERROR(VLOOKUP(O479,Assumptions!$A$7:$F$11,5,FALSE),1.5))),IFERROR(VLOOKUP(O479,Assumptions!$A$7:$F$11,5,FALSE),2.5)+IFERROR(VLOOKUP(O479,Assumptions!$A$7:$F$11,3,FALSE),3)+IFERROR(VLOOKUP(O479,Assumptions!$A$7:$F$11,4,FALSE),8)/2)</f>
        <v/>
      </c>
      <c r="U479" s="15">
        <f>M479*S479/(1+Assumptions!$B$3)^T479</f>
        <v/>
      </c>
      <c r="V479" s="11">
        <f>IF(M479=0,"",ROUND(U479/M479*100,1))</f>
        <v/>
      </c>
      <c r="W479" s="16">
        <f>U479*Assumptions!$B$4</f>
        <v/>
      </c>
      <c r="X479" s="11">
        <f>IF(M479=0,"",ROUND(W479/M479*100,1))</f>
        <v/>
      </c>
      <c r="Y479" t="inlineStr">
        <is>
          <t>Grupo Agromeal</t>
        </is>
      </c>
      <c r="Z479" t="inlineStr">
        <is>
          <t>0003971-03.2023.8.16.0119</t>
        </is>
      </c>
      <c r="AA479" t="inlineStr">
        <is>
          <t>TJPR</t>
        </is>
      </c>
      <c r="AB479" t="inlineStr">
        <is>
          <t>marquesadmjudicial.com.br</t>
        </is>
      </c>
      <c r="AC479" t="inlineStr">
        <is>
          <t>RICARDO CASTELHANO</t>
        </is>
      </c>
      <c r="AD479" t="inlineStr">
        <is>
          <t>Sócio-Administrador</t>
        </is>
      </c>
      <c r="AE479" t="inlineStr">
        <is>
          <t>(44) 9932-7251</t>
        </is>
      </c>
      <c r="AF479" t="inlineStr"/>
      <c r="AG479" t="inlineStr"/>
      <c r="AH479" t="inlineStr">
        <is>
          <t>PR</t>
        </is>
      </c>
      <c r="AI479" t="inlineStr">
        <is>
          <t>MANDAGUARI</t>
        </is>
      </c>
      <c r="AJ479" t="inlineStr">
        <is>
          <t>Fabricação de produtos de limpeza e polimento</t>
        </is>
      </c>
      <c r="AK479" t="inlineStr">
        <is>
          <t>DEMAIS</t>
        </is>
      </c>
      <c r="AL479" t="inlineStr">
        <is>
          <t>ATIVA</t>
        </is>
      </c>
      <c r="AM479" s="17" t="inlineStr">
        <is>
          <t>https://marquesadmjudicial.com.br/sgc/download.php?file=files/processo_documento/processo_documento17040729052024_1_.pdf&amp;nome=Relação Nominal de Credores AJ-Sintética</t>
        </is>
      </c>
      <c r="AN479" s="18" t="inlineStr">
        <is>
          <t>p9 r3</t>
        </is>
      </c>
      <c r="AO479" s="18" t="inlineStr">
        <is>
          <t>p9: R$ 257.434,50</t>
        </is>
      </c>
      <c r="AP479" s="18" t="inlineStr">
        <is>
          <t>AJ_LIST</t>
        </is>
      </c>
      <c r="AQ479" s="18" t="inlineStr">
        <is>
          <t>2024-05-27</t>
        </is>
      </c>
      <c r="AR479" s="18" t="inlineStr">
        <is>
          <t>QUARANTINED</t>
        </is>
      </c>
      <c r="AS479" s="18" t="inlineStr">
        <is>
          <t>PARTIAL_DOC_CLASS_III_RECONCILED ROWS:p9r3</t>
        </is>
      </c>
      <c r="AT479" s="18" t="inlineStr">
        <is>
          <t>1209dafe77b7</t>
        </is>
      </c>
    </row>
    <row r="480">
      <c r="A480" s="9" t="n">
        <v>479</v>
      </c>
      <c r="B480" s="9" t="inlineStr">
        <is>
          <t>NEW</t>
        </is>
      </c>
      <c r="C480" s="9" t="inlineStr"/>
      <c r="D480" s="9" t="n">
        <v>0</v>
      </c>
      <c r="E480" s="9" t="inlineStr"/>
      <c r="F480" s="9" t="inlineStr"/>
      <c r="G480" s="9" t="inlineStr"/>
      <c r="H480" s="9" t="inlineStr"/>
      <c r="I480" t="inlineStr">
        <is>
          <t>NOVA TRIGO RESINAS TERMOPLASTICAS LTDA.</t>
        </is>
      </c>
      <c r="J480" t="inlineStr">
        <is>
          <t>NOVA TRIGO RESINAS TERMOPLASTICAS LTD</t>
        </is>
      </c>
      <c r="K480" t="inlineStr">
        <is>
          <t>07094272</t>
        </is>
      </c>
      <c r="L480" t="inlineStr">
        <is>
          <t>07094272000147</t>
        </is>
      </c>
      <c r="M480" s="10" t="n">
        <v>257394.62</v>
      </c>
      <c r="N480" t="n">
        <v>2</v>
      </c>
      <c r="O480" s="11" t="inlineStr">
        <is>
          <t>B</t>
        </is>
      </c>
      <c r="P480" s="11" t="inlineStr"/>
      <c r="Q480" s="12" t="inlineStr"/>
      <c r="R480" s="11">
        <f>IF(Q480="","",ROUND((TODAY()-Q480)/365.25,1))</f>
        <v/>
      </c>
      <c r="S480" s="13">
        <f>IFERROR(VLOOKUP(O480,Assumptions!$A$7:$F$11,2,FALSE),0.25)</f>
        <v/>
      </c>
      <c r="T480" s="14">
        <f>IF(O480="A",MAX(1,IFERROR(VLOOKUP(O480,Assumptions!$A$7:$F$11,3,FALSE),3)+IFERROR(VLOOKUP(O480,Assumptions!$A$7:$F$11,4,FALSE),8)/2-MAX(0,IF(R480="",0,R480)-IFERROR(VLOOKUP(O480,Assumptions!$A$7:$F$11,5,FALSE),1.5))),IFERROR(VLOOKUP(O480,Assumptions!$A$7:$F$11,5,FALSE),2.5)+IFERROR(VLOOKUP(O480,Assumptions!$A$7:$F$11,3,FALSE),3)+IFERROR(VLOOKUP(O480,Assumptions!$A$7:$F$11,4,FALSE),8)/2)</f>
        <v/>
      </c>
      <c r="U480" s="15">
        <f>M480*S480/(1+Assumptions!$B$3)^T480</f>
        <v/>
      </c>
      <c r="V480" s="11">
        <f>IF(M480=0,"",ROUND(U480/M480*100,1))</f>
        <v/>
      </c>
      <c r="W480" s="16">
        <f>U480*Assumptions!$B$4</f>
        <v/>
      </c>
      <c r="X480" s="11">
        <f>IF(M480=0,"",ROUND(W480/M480*100,1))</f>
        <v/>
      </c>
      <c r="Y480" t="inlineStr">
        <is>
          <t>Base</t>
        </is>
      </c>
      <c r="Z480" t="inlineStr">
        <is>
          <t>1022634-27.2024.8.26.0100</t>
        </is>
      </c>
      <c r="AA480" t="inlineStr"/>
      <c r="AB480" t="inlineStr">
        <is>
          <t>ajruiz.com.br</t>
        </is>
      </c>
      <c r="AC480" t="inlineStr">
        <is>
          <t>ELIANE PEDROSO TRIGO</t>
        </is>
      </c>
      <c r="AD480" t="inlineStr">
        <is>
          <t>Sócio-Administrador</t>
        </is>
      </c>
      <c r="AE480" t="inlineStr">
        <is>
          <t>(11) 4424-1553</t>
        </is>
      </c>
      <c r="AF480" t="inlineStr"/>
      <c r="AG480" t="inlineStr"/>
      <c r="AH480" t="inlineStr">
        <is>
          <t>SP</t>
        </is>
      </c>
      <c r="AI480" t="inlineStr">
        <is>
          <t>SAO BERNARDO DO CAMPO</t>
        </is>
      </c>
      <c r="AJ480" t="inlineStr">
        <is>
          <t>Comércio atacadista de outros produtos químicos e petroquímicos não especificados anteriormente</t>
        </is>
      </c>
      <c r="AK480" t="inlineStr">
        <is>
          <t>DEMAIS</t>
        </is>
      </c>
      <c r="AL480" t="inlineStr">
        <is>
          <t>ATIVA</t>
        </is>
      </c>
      <c r="AM480" s="17" t="inlineStr">
        <is>
          <t>https://ajruiz.com.br/sites/default/files/public/arquivos-processos/2024-04/relacao_de_credores_recuperanda_1.pdf</t>
        </is>
      </c>
      <c r="AN480" s="18" t="inlineStr">
        <is>
          <t>p9 r3; p9 r4</t>
        </is>
      </c>
      <c r="AO480" s="18" t="inlineStr">
        <is>
          <t>p9: R$ 137.709,69; p9: R$ 119.684,93</t>
        </is>
      </c>
      <c r="AP480" s="18" t="inlineStr">
        <is>
          <t>QGC</t>
        </is>
      </c>
      <c r="AQ480" s="18" t="inlineStr">
        <is>
          <t>2024-01-31</t>
        </is>
      </c>
      <c r="AR480" s="18" t="inlineStr">
        <is>
          <t>OK</t>
        </is>
      </c>
      <c r="AS480" s="18" t="inlineStr">
        <is>
          <t>ROWS:p9r3,p9r4 CASE_NUMBER_CORRECTED</t>
        </is>
      </c>
      <c r="AT480" s="18" t="inlineStr">
        <is>
          <t>380922480f80</t>
        </is>
      </c>
    </row>
    <row r="481">
      <c r="A481" s="9" t="n">
        <v>480</v>
      </c>
      <c r="B481" s="9" t="inlineStr">
        <is>
          <t>NEW</t>
        </is>
      </c>
      <c r="C481" s="9" t="inlineStr"/>
      <c r="D481" s="9" t="n">
        <v>0</v>
      </c>
      <c r="E481" s="9" t="inlineStr"/>
      <c r="F481" s="9" t="inlineStr"/>
      <c r="G481" s="9" t="inlineStr"/>
      <c r="H481" s="9" t="inlineStr"/>
      <c r="I481" t="inlineStr">
        <is>
          <t>3- PLASTIC SOLUCOES EM COMERCIO DE POLIMEROS LTDA</t>
        </is>
      </c>
      <c r="J481" t="inlineStr">
        <is>
          <t>3- PLASTIC SOLUCOES EM COMERCIO DE POLIMEROS LTDA</t>
        </is>
      </c>
      <c r="K481" t="inlineStr">
        <is>
          <t>46167507</t>
        </is>
      </c>
      <c r="L481" t="inlineStr">
        <is>
          <t>46167507000135</t>
        </is>
      </c>
      <c r="M481" s="10" t="n">
        <v>256709.29</v>
      </c>
      <c r="N481" t="n">
        <v>1</v>
      </c>
      <c r="O481" s="11" t="inlineStr">
        <is>
          <t>B</t>
        </is>
      </c>
      <c r="P481" s="11" t="inlineStr"/>
      <c r="Q481" s="12" t="inlineStr"/>
      <c r="R481" s="11">
        <f>IF(Q481="","",ROUND((TODAY()-Q481)/365.25,1))</f>
        <v/>
      </c>
      <c r="S481" s="13">
        <f>IFERROR(VLOOKUP(O481,Assumptions!$A$7:$F$11,2,FALSE),0.25)</f>
        <v/>
      </c>
      <c r="T481" s="14">
        <f>IF(O481="A",MAX(1,IFERROR(VLOOKUP(O481,Assumptions!$A$7:$F$11,3,FALSE),3)+IFERROR(VLOOKUP(O481,Assumptions!$A$7:$F$11,4,FALSE),8)/2-MAX(0,IF(R481="",0,R481)-IFERROR(VLOOKUP(O481,Assumptions!$A$7:$F$11,5,FALSE),1.5))),IFERROR(VLOOKUP(O481,Assumptions!$A$7:$F$11,5,FALSE),2.5)+IFERROR(VLOOKUP(O481,Assumptions!$A$7:$F$11,3,FALSE),3)+IFERROR(VLOOKUP(O481,Assumptions!$A$7:$F$11,4,FALSE),8)/2)</f>
        <v/>
      </c>
      <c r="U481" s="15">
        <f>M481*S481/(1+Assumptions!$B$3)^T481</f>
        <v/>
      </c>
      <c r="V481" s="11">
        <f>IF(M481=0,"",ROUND(U481/M481*100,1))</f>
        <v/>
      </c>
      <c r="W481" s="16">
        <f>U481*Assumptions!$B$4</f>
        <v/>
      </c>
      <c r="X481" s="11">
        <f>IF(M481=0,"",ROUND(W481/M481*100,1))</f>
        <v/>
      </c>
      <c r="Y481" t="inlineStr">
        <is>
          <t>Base</t>
        </is>
      </c>
      <c r="Z481" t="inlineStr">
        <is>
          <t>1022634-27.2024.8.26.0100</t>
        </is>
      </c>
      <c r="AA481" t="inlineStr"/>
      <c r="AB481" t="inlineStr">
        <is>
          <t>ajruiz.com.br</t>
        </is>
      </c>
      <c r="AC481" t="inlineStr">
        <is>
          <t>ADEMIR BOSSA DE ALCANTARA</t>
        </is>
      </c>
      <c r="AD481" t="inlineStr">
        <is>
          <t>Administrador</t>
        </is>
      </c>
      <c r="AE481" t="inlineStr">
        <is>
          <t>(19) 8123-1209</t>
        </is>
      </c>
      <c r="AF481" t="inlineStr"/>
      <c r="AG481" t="inlineStr"/>
      <c r="AH481" t="inlineStr">
        <is>
          <t>SP</t>
        </is>
      </c>
      <c r="AI481" t="inlineStr">
        <is>
          <t>AMERICANA</t>
        </is>
      </c>
      <c r="AJ481" t="inlineStr">
        <is>
          <t>Comércio atacadista de resinas e elastômeros</t>
        </is>
      </c>
      <c r="AK481" t="inlineStr">
        <is>
          <t>DEMAIS</t>
        </is>
      </c>
      <c r="AL481" t="inlineStr">
        <is>
          <t>ATIVA</t>
        </is>
      </c>
      <c r="AM481" s="17" t="inlineStr">
        <is>
          <t>https://ajruiz.com.br/sites/default/files/public/arquivos-processos/2024-04/relacao_de_credores_recuperanda_1.pdf</t>
        </is>
      </c>
      <c r="AN481" s="18" t="inlineStr">
        <is>
          <t>p2 r2</t>
        </is>
      </c>
      <c r="AO481" s="18" t="inlineStr">
        <is>
          <t>p2: R$ 256.709,29</t>
        </is>
      </c>
      <c r="AP481" s="18" t="inlineStr">
        <is>
          <t>QGC</t>
        </is>
      </c>
      <c r="AQ481" s="18" t="inlineStr">
        <is>
          <t>2024-01-31</t>
        </is>
      </c>
      <c r="AR481" s="18" t="inlineStr">
        <is>
          <t>OK</t>
        </is>
      </c>
      <c r="AS481" s="18" t="inlineStr">
        <is>
          <t>ROWS:p2r2 VALUE_COL:Valor_Atualizado_Do_Débito CASE_NUMBER_CORRECTED</t>
        </is>
      </c>
      <c r="AT481" s="18" t="inlineStr">
        <is>
          <t>380922480f80</t>
        </is>
      </c>
    </row>
    <row r="482">
      <c r="A482" s="9" t="n">
        <v>481</v>
      </c>
      <c r="B482" s="9" t="inlineStr">
        <is>
          <t>NEW</t>
        </is>
      </c>
      <c r="C482" s="9" t="inlineStr"/>
      <c r="D482" s="9" t="n">
        <v>0</v>
      </c>
      <c r="E482" s="9" t="inlineStr"/>
      <c r="F482" s="9" t="inlineStr"/>
      <c r="G482" s="9" t="inlineStr"/>
      <c r="H482" s="9" t="inlineStr"/>
      <c r="I482" t="inlineStr">
        <is>
          <t>LOGOMAR COMERCIO, IMPORTACAO E EXPORTACAO LTDA</t>
        </is>
      </c>
      <c r="J482" t="inlineStr">
        <is>
          <t>LOGOMAR COMERCIO, IMPORTACAO E EXPORTACAO LTDA</t>
        </is>
      </c>
      <c r="K482" t="inlineStr">
        <is>
          <t>12863297</t>
        </is>
      </c>
      <c r="L482" t="inlineStr">
        <is>
          <t>12863297000106</t>
        </is>
      </c>
      <c r="M482" s="10" t="n">
        <v>256557.88</v>
      </c>
      <c r="N482" t="n">
        <v>1</v>
      </c>
      <c r="O482" s="11" t="inlineStr">
        <is>
          <t>C</t>
        </is>
      </c>
      <c r="P482" s="11" t="inlineStr">
        <is>
          <t>ACTIVE</t>
        </is>
      </c>
      <c r="Q482" s="12" t="n">
        <v>45154</v>
      </c>
      <c r="R482" s="11">
        <f>IF(Q482="","",ROUND((TODAY()-Q482)/365.25,1))</f>
        <v/>
      </c>
      <c r="S482" s="13">
        <f>IFERROR(VLOOKUP(O482,Assumptions!$A$7:$F$11,2,FALSE),0.25)</f>
        <v/>
      </c>
      <c r="T482" s="14">
        <f>IF(O482="A",MAX(1,IFERROR(VLOOKUP(O482,Assumptions!$A$7:$F$11,3,FALSE),3)+IFERROR(VLOOKUP(O482,Assumptions!$A$7:$F$11,4,FALSE),8)/2-MAX(0,IF(R482="",0,R482)-IFERROR(VLOOKUP(O482,Assumptions!$A$7:$F$11,5,FALSE),1.5))),IFERROR(VLOOKUP(O482,Assumptions!$A$7:$F$11,5,FALSE),2.5)+IFERROR(VLOOKUP(O482,Assumptions!$A$7:$F$11,3,FALSE),3)+IFERROR(VLOOKUP(O482,Assumptions!$A$7:$F$11,4,FALSE),8)/2)</f>
        <v/>
      </c>
      <c r="U482" s="15">
        <f>M482*S482/(1+Assumptions!$B$3)^T482</f>
        <v/>
      </c>
      <c r="V482" s="11">
        <f>IF(M482=0,"",ROUND(U482/M482*100,1))</f>
        <v/>
      </c>
      <c r="W482" s="16">
        <f>U482*Assumptions!$B$4</f>
        <v/>
      </c>
      <c r="X482" s="11">
        <f>IF(M482=0,"",ROUND(W482/M482*100,1))</f>
        <v/>
      </c>
      <c r="Y482" t="inlineStr">
        <is>
          <t>AZEPLAST INDÚSTRIA E COMÉRCIO LTDA</t>
        </is>
      </c>
      <c r="Z482" t="inlineStr">
        <is>
          <t>5008793-34.2023.8.24.0019</t>
        </is>
      </c>
      <c r="AA482" t="inlineStr">
        <is>
          <t>TJSC</t>
        </is>
      </c>
      <c r="AB482" t="inlineStr">
        <is>
          <t>ajruiz.com.br</t>
        </is>
      </c>
      <c r="AC482" t="inlineStr">
        <is>
          <t>JAIME DE ANDRADE</t>
        </is>
      </c>
      <c r="AD482" t="inlineStr">
        <is>
          <t>Sócio-Administrador</t>
        </is>
      </c>
      <c r="AE482" t="inlineStr">
        <is>
          <t>(47) 3349-9700</t>
        </is>
      </c>
      <c r="AF482" t="inlineStr"/>
      <c r="AG482" t="inlineStr"/>
      <c r="AH482" t="inlineStr">
        <is>
          <t>SC</t>
        </is>
      </c>
      <c r="AI482" t="inlineStr">
        <is>
          <t>ITAJAI</t>
        </is>
      </c>
      <c r="AJ482" t="inlineStr">
        <is>
          <t>Comércio atacadista de resinas e elastômeros</t>
        </is>
      </c>
      <c r="AK482" t="inlineStr">
        <is>
          <t>DEMAIS</t>
        </is>
      </c>
      <c r="AL482" t="inlineStr">
        <is>
          <t>ATIVA</t>
        </is>
      </c>
      <c r="AM482" s="17" t="inlineStr">
        <is>
          <t>https://ajruiz.com.br/sites/default/files/public/arquivos-processos/2026-08/qgc_azeplast_julho_2026.pdf</t>
        </is>
      </c>
      <c r="AN482" s="18" t="inlineStr">
        <is>
          <t>p1 r39</t>
        </is>
      </c>
      <c r="AO482" s="18" t="inlineStr">
        <is>
          <t>p1: R$ 256.557,88</t>
        </is>
      </c>
      <c r="AP482" s="18" t="inlineStr">
        <is>
          <t>QGC</t>
        </is>
      </c>
      <c r="AQ482" s="18" t="inlineStr"/>
      <c r="AR482" s="18" t="inlineStr">
        <is>
          <t>QUARANTINED</t>
        </is>
      </c>
      <c r="AS482" s="18" t="inlineStr">
        <is>
          <t>PARTIAL_DOC_CLASS_III_RECONCILED ROWS:p1r39</t>
        </is>
      </c>
      <c r="AT482" s="18" t="inlineStr">
        <is>
          <t>229081edb0ea</t>
        </is>
      </c>
    </row>
    <row r="483">
      <c r="A483" s="9" t="n">
        <v>482</v>
      </c>
      <c r="B483" s="9" t="inlineStr">
        <is>
          <t>NEW</t>
        </is>
      </c>
      <c r="C483" s="9" t="inlineStr"/>
      <c r="D483" s="9" t="n">
        <v>0</v>
      </c>
      <c r="E483" s="9" t="inlineStr"/>
      <c r="F483" s="9" t="inlineStr"/>
      <c r="G483" s="9" t="inlineStr"/>
      <c r="H483" s="9" t="inlineStr"/>
      <c r="I483" t="inlineStr">
        <is>
          <t>CASA NOVA EMPREENDIMENTOS IMOBILIARIOS LTDA</t>
        </is>
      </c>
      <c r="J483" t="inlineStr">
        <is>
          <t>CASA NOVA EMPREENDIMENTOS IMOBILIARIOS LTDA</t>
        </is>
      </c>
      <c r="K483" t="inlineStr">
        <is>
          <t>16629296</t>
        </is>
      </c>
      <c r="L483" t="inlineStr">
        <is>
          <t>16629296000144</t>
        </is>
      </c>
      <c r="M483" s="10" t="n">
        <v>255115.32</v>
      </c>
      <c r="N483" t="n">
        <v>1</v>
      </c>
      <c r="O483" s="11" t="inlineStr">
        <is>
          <t>B</t>
        </is>
      </c>
      <c r="P483" s="11" t="inlineStr">
        <is>
          <t>ACTIVE</t>
        </is>
      </c>
      <c r="Q483" s="12" t="n">
        <v>45491</v>
      </c>
      <c r="R483" s="11">
        <f>IF(Q483="","",ROUND((TODAY()-Q483)/365.25,1))</f>
        <v/>
      </c>
      <c r="S483" s="13">
        <f>IFERROR(VLOOKUP(O483,Assumptions!$A$7:$F$11,2,FALSE),0.25)</f>
        <v/>
      </c>
      <c r="T483" s="14">
        <f>IF(O483="A",MAX(1,IFERROR(VLOOKUP(O483,Assumptions!$A$7:$F$11,3,FALSE),3)+IFERROR(VLOOKUP(O483,Assumptions!$A$7:$F$11,4,FALSE),8)/2-MAX(0,IF(R483="",0,R483)-IFERROR(VLOOKUP(O483,Assumptions!$A$7:$F$11,5,FALSE),1.5))),IFERROR(VLOOKUP(O483,Assumptions!$A$7:$F$11,5,FALSE),2.5)+IFERROR(VLOOKUP(O483,Assumptions!$A$7:$F$11,3,FALSE),3)+IFERROR(VLOOKUP(O483,Assumptions!$A$7:$F$11,4,FALSE),8)/2)</f>
        <v/>
      </c>
      <c r="U483" s="15">
        <f>M483*S483/(1+Assumptions!$B$3)^T483</f>
        <v/>
      </c>
      <c r="V483" s="11">
        <f>IF(M483=0,"",ROUND(U483/M483*100,1))</f>
        <v/>
      </c>
      <c r="W483" s="16">
        <f>U483*Assumptions!$B$4</f>
        <v/>
      </c>
      <c r="X483" s="11">
        <f>IF(M483=0,"",ROUND(W483/M483*100,1))</f>
        <v/>
      </c>
      <c r="Y483" t="inlineStr">
        <is>
          <t>GRUPO IMOBI</t>
        </is>
      </c>
      <c r="Z483" t="inlineStr">
        <is>
          <t>0074500-63.2024.8.17.2001</t>
        </is>
      </c>
      <c r="AA483" t="inlineStr">
        <is>
          <t>TJPE</t>
        </is>
      </c>
      <c r="AB483" t="inlineStr">
        <is>
          <t>lrflideres.com.br</t>
        </is>
      </c>
      <c r="AC483" t="inlineStr">
        <is>
          <t>SEMARES GENUINO VIEIRA</t>
        </is>
      </c>
      <c r="AD483" t="inlineStr">
        <is>
          <t>Sócio-Administrador</t>
        </is>
      </c>
      <c r="AE483" t="inlineStr">
        <is>
          <t>(81) 9267-8720</t>
        </is>
      </c>
      <c r="AF483" t="inlineStr">
        <is>
          <t>(81) 9267-8720</t>
        </is>
      </c>
      <c r="AG483" t="inlineStr"/>
      <c r="AH483" t="inlineStr">
        <is>
          <t>PE</t>
        </is>
      </c>
      <c r="AI483" t="inlineStr">
        <is>
          <t>OLINDA</t>
        </is>
      </c>
      <c r="AJ483" t="inlineStr">
        <is>
          <t>Construção de edifícios</t>
        </is>
      </c>
      <c r="AK483" t="inlineStr">
        <is>
          <t>DEMAIS</t>
        </is>
      </c>
      <c r="AL483" t="inlineStr">
        <is>
          <t>ATIVA</t>
        </is>
      </c>
      <c r="AM483" s="17" t="inlineStr">
        <is>
          <t>https://lrflideres.com.br/wp-content/plugins/download-attachments/includes/download.php?id=6273</t>
        </is>
      </c>
      <c r="AN483" s="18" t="inlineStr">
        <is>
          <t>p4 r13</t>
        </is>
      </c>
      <c r="AO483" s="18" t="inlineStr">
        <is>
          <t>p4: R$ 255.115,32</t>
        </is>
      </c>
      <c r="AP483" s="18" t="inlineStr">
        <is>
          <t>AJ_LIST</t>
        </is>
      </c>
      <c r="AQ483" s="18" t="inlineStr">
        <is>
          <t>2024-11-14</t>
        </is>
      </c>
      <c r="AR483" s="18" t="inlineStr">
        <is>
          <t>OK</t>
        </is>
      </c>
      <c r="AS483" s="18" t="inlineStr">
        <is>
          <t>ROWS:p4r13</t>
        </is>
      </c>
      <c r="AT483" s="18" t="inlineStr">
        <is>
          <t>795d57c3b1a6</t>
        </is>
      </c>
    </row>
    <row r="484">
      <c r="A484" s="9" t="n">
        <v>483</v>
      </c>
      <c r="B484" s="9" t="inlineStr">
        <is>
          <t>NEW</t>
        </is>
      </c>
      <c r="C484" s="9" t="inlineStr"/>
      <c r="D484" s="9" t="n">
        <v>0</v>
      </c>
      <c r="E484" s="9" t="inlineStr"/>
      <c r="F484" s="9" t="inlineStr"/>
      <c r="G484" s="9" t="inlineStr"/>
      <c r="H484" s="9" t="inlineStr"/>
      <c r="I484" t="inlineStr">
        <is>
          <t>SERASA S.A.</t>
        </is>
      </c>
      <c r="J484" t="inlineStr">
        <is>
          <t>NÃO</t>
        </is>
      </c>
      <c r="K484" t="inlineStr">
        <is>
          <t>62173620</t>
        </is>
      </c>
      <c r="L484" t="inlineStr">
        <is>
          <t>62173620009306</t>
        </is>
      </c>
      <c r="M484" s="10" t="n">
        <v>254832.18</v>
      </c>
      <c r="N484" t="n">
        <v>1</v>
      </c>
      <c r="O484" s="11" t="inlineStr">
        <is>
          <t>B</t>
        </is>
      </c>
      <c r="P484" s="11" t="inlineStr"/>
      <c r="Q484" s="12" t="inlineStr"/>
      <c r="R484" s="11">
        <f>IF(Q484="","",ROUND((TODAY()-Q484)/365.25,1))</f>
        <v/>
      </c>
      <c r="S484" s="13">
        <f>IFERROR(VLOOKUP(O484,Assumptions!$A$7:$F$11,2,FALSE),0.25)</f>
        <v/>
      </c>
      <c r="T484" s="14">
        <f>IF(O484="A",MAX(1,IFERROR(VLOOKUP(O484,Assumptions!$A$7:$F$11,3,FALSE),3)+IFERROR(VLOOKUP(O484,Assumptions!$A$7:$F$11,4,FALSE),8)/2-MAX(0,IF(R484="",0,R484)-IFERROR(VLOOKUP(O484,Assumptions!$A$7:$F$11,5,FALSE),1.5))),IFERROR(VLOOKUP(O484,Assumptions!$A$7:$F$11,5,FALSE),2.5)+IFERROR(VLOOKUP(O484,Assumptions!$A$7:$F$11,3,FALSE),3)+IFERROR(VLOOKUP(O484,Assumptions!$A$7:$F$11,4,FALSE),8)/2)</f>
        <v/>
      </c>
      <c r="U484" s="15">
        <f>M484*S484/(1+Assumptions!$B$3)^T484</f>
        <v/>
      </c>
      <c r="V484" s="11">
        <f>IF(M484=0,"",ROUND(U484/M484*100,1))</f>
        <v/>
      </c>
      <c r="W484" s="16">
        <f>U484*Assumptions!$B$4</f>
        <v/>
      </c>
      <c r="X484" s="11">
        <f>IF(M484=0,"",ROUND(W484/M484*100,1))</f>
        <v/>
      </c>
      <c r="Y484" t="inlineStr">
        <is>
          <t>Grupo Rech</t>
        </is>
      </c>
      <c r="Z484" t="inlineStr">
        <is>
          <t>5057720-48.2025.8.24.0023</t>
        </is>
      </c>
      <c r="AA484" t="inlineStr"/>
      <c r="AB484" t="inlineStr">
        <is>
          <t>credibilita.com.br</t>
        </is>
      </c>
      <c r="AC484" t="inlineStr">
        <is>
          <t>VALDEMIR BERTOLO</t>
        </is>
      </c>
      <c r="AD484" t="inlineStr">
        <is>
          <t>Presidente</t>
        </is>
      </c>
      <c r="AE484" t="inlineStr">
        <is>
          <t>(11) 2847-9061</t>
        </is>
      </c>
      <c r="AF484" t="inlineStr"/>
      <c r="AG484" t="inlineStr"/>
      <c r="AH484" t="inlineStr">
        <is>
          <t>SP</t>
        </is>
      </c>
      <c r="AI484" t="inlineStr">
        <is>
          <t>SAO PAULO</t>
        </is>
      </c>
      <c r="AJ484" t="inlineStr">
        <is>
          <t>Atividades de consultoria em gestão empresarial, exceto consultoria técnica específica</t>
        </is>
      </c>
      <c r="AK484" t="inlineStr">
        <is>
          <t>DEMAIS</t>
        </is>
      </c>
      <c r="AL484" t="inlineStr">
        <is>
          <t>ATIVA</t>
        </is>
      </c>
      <c r="AM484" s="17" t="inlineStr">
        <is>
          <t>https://credibilita.com.br/wp-content/uploads/2025/09/Relacao-Credores-29.04.2026.pdf</t>
        </is>
      </c>
      <c r="AN484" s="18" t="inlineStr">
        <is>
          <t>p2 r17</t>
        </is>
      </c>
      <c r="AO484" s="18" t="inlineStr">
        <is>
          <t>p2: R$ 254.832,18</t>
        </is>
      </c>
      <c r="AP484" s="18" t="inlineStr">
        <is>
          <t>QUORUM_LIST</t>
        </is>
      </c>
      <c r="AQ484" s="18" t="inlineStr"/>
      <c r="AR484" s="18" t="inlineStr">
        <is>
          <t>OK_NO_TOTALS</t>
        </is>
      </c>
      <c r="AS484" s="18" t="inlineStr">
        <is>
          <t>ROWS:p2r17 UNRECONCILED_SOURCE VALUE_COL:Valor_Após_Analise CASE_NUMBER_CORRECTED</t>
        </is>
      </c>
      <c r="AT484" s="18" t="inlineStr">
        <is>
          <t>cf92cff797d2</t>
        </is>
      </c>
    </row>
    <row r="485">
      <c r="A485" s="9" t="n">
        <v>484</v>
      </c>
      <c r="B485" s="9" t="inlineStr">
        <is>
          <t>NEW</t>
        </is>
      </c>
      <c r="C485" s="9" t="inlineStr"/>
      <c r="D485" s="9" t="n">
        <v>0</v>
      </c>
      <c r="E485" s="9" t="inlineStr"/>
      <c r="F485" s="9" t="inlineStr"/>
      <c r="G485" s="9" t="inlineStr"/>
      <c r="H485" s="9" t="inlineStr"/>
      <c r="I485" t="inlineStr">
        <is>
          <t>CM HOSPITALAR S.A.</t>
        </is>
      </c>
      <c r="J485" t="inlineStr">
        <is>
          <t>CM HOSPITALAR S.A. (CTL) (</t>
        </is>
      </c>
      <c r="K485" t="inlineStr">
        <is>
          <t>12420164</t>
        </is>
      </c>
      <c r="L485" t="inlineStr">
        <is>
          <t>12420164000157, 12420164000238, 12420164000319</t>
        </is>
      </c>
      <c r="M485" s="10" t="n">
        <v>254179.99</v>
      </c>
      <c r="N485" t="n">
        <v>3</v>
      </c>
      <c r="O485" s="11" t="inlineStr">
        <is>
          <t>C</t>
        </is>
      </c>
      <c r="P485" s="11" t="inlineStr">
        <is>
          <t>ACTIVE</t>
        </is>
      </c>
      <c r="Q485" s="12" t="n">
        <v>44735</v>
      </c>
      <c r="R485" s="11">
        <f>IF(Q485="","",ROUND((TODAY()-Q485)/365.25,1))</f>
        <v/>
      </c>
      <c r="S485" s="13">
        <f>IFERROR(VLOOKUP(O485,Assumptions!$A$7:$F$11,2,FALSE),0.25)</f>
        <v/>
      </c>
      <c r="T485" s="14">
        <f>IF(O485="A",MAX(1,IFERROR(VLOOKUP(O485,Assumptions!$A$7:$F$11,3,FALSE),3)+IFERROR(VLOOKUP(O485,Assumptions!$A$7:$F$11,4,FALSE),8)/2-MAX(0,IF(R485="",0,R485)-IFERROR(VLOOKUP(O485,Assumptions!$A$7:$F$11,5,FALSE),1.5))),IFERROR(VLOOKUP(O485,Assumptions!$A$7:$F$11,5,FALSE),2.5)+IFERROR(VLOOKUP(O485,Assumptions!$A$7:$F$11,3,FALSE),3)+IFERROR(VLOOKUP(O485,Assumptions!$A$7:$F$11,4,FALSE),8)/2)</f>
        <v/>
      </c>
      <c r="U485" s="15">
        <f>M485*S485/(1+Assumptions!$B$3)^T485</f>
        <v/>
      </c>
      <c r="V485" s="11">
        <f>IF(M485=0,"",ROUND(U485/M485*100,1))</f>
        <v/>
      </c>
      <c r="W485" s="16">
        <f>U485*Assumptions!$B$4</f>
        <v/>
      </c>
      <c r="X485" s="11">
        <f>IF(M485=0,"",ROUND(W485/M485*100,1))</f>
        <v/>
      </c>
      <c r="Y485" t="inlineStr">
        <is>
          <t>ASSOCIAÇÃO DE CARIDADE SANTA CASA DO RIO GRANDE</t>
        </is>
      </c>
      <c r="Z485" t="inlineStr">
        <is>
          <t>5012306-16.2022.8.21.0023</t>
        </is>
      </c>
      <c r="AA485" t="inlineStr">
        <is>
          <t>TJRS</t>
        </is>
      </c>
      <c r="AB485" t="inlineStr">
        <is>
          <t>scalzilliaj.com.br</t>
        </is>
      </c>
      <c r="AC485" t="inlineStr">
        <is>
          <t>ANDRE CLARK JULIANO</t>
        </is>
      </c>
      <c r="AD485" t="inlineStr">
        <is>
          <t>Presidente</t>
        </is>
      </c>
      <c r="AE485" t="inlineStr">
        <is>
          <t>(47) 3321-8450</t>
        </is>
      </c>
      <c r="AF485" t="inlineStr">
        <is>
          <t>(16) 3995-9401</t>
        </is>
      </c>
      <c r="AG485" t="inlineStr"/>
      <c r="AH485" t="inlineStr">
        <is>
          <t>SP</t>
        </is>
      </c>
      <c r="AI485" t="inlineStr">
        <is>
          <t>RIBEIRAO PRETO</t>
        </is>
      </c>
      <c r="AJ485" t="inlineStr">
        <is>
          <t>Comércio atacadista de medicamentos e drogas de uso humano</t>
        </is>
      </c>
      <c r="AK485" t="inlineStr">
        <is>
          <t>DEMAIS</t>
        </is>
      </c>
      <c r="AL485" t="inlineStr">
        <is>
          <t>ATIVA</t>
        </is>
      </c>
      <c r="AM485" s="17" t="inlineStr">
        <is>
          <t>https://scalzilliaj.com.br/sgc/download.php?file=files/processo_documento/processo_documento09120721032023_1_.pdf&amp;nome=15 - Edital do art. 7º, §2º e 53 da Lei 11.101/2005 (segunda lista de credores e recebimento do plano))</t>
        </is>
      </c>
      <c r="AN485" s="18" t="inlineStr">
        <is>
          <t>p26 r35; p26 r36; p26 r37</t>
        </is>
      </c>
      <c r="AO485" s="18" t="inlineStr">
        <is>
          <t>p26: R$ 115.725,39; p26: R$ 21.768,85; p26: R$ 116.685,75</t>
        </is>
      </c>
      <c r="AP485" s="18" t="inlineStr">
        <is>
          <t>AJ_LIST</t>
        </is>
      </c>
      <c r="AQ485" s="18" t="inlineStr">
        <is>
          <t>2023-03-21</t>
        </is>
      </c>
      <c r="AR485" s="18" t="inlineStr">
        <is>
          <t>OK_NO_TOTALS</t>
        </is>
      </c>
      <c r="AS485" s="18" t="inlineStr">
        <is>
          <t>ROWS:p26r35,p26r36,p26r37 UNRECONCILED_SOURCE</t>
        </is>
      </c>
      <c r="AT485" s="18" t="inlineStr">
        <is>
          <t>ebfb999b457c</t>
        </is>
      </c>
    </row>
    <row r="486">
      <c r="A486" s="9" t="n">
        <v>485</v>
      </c>
      <c r="B486" s="9" t="inlineStr">
        <is>
          <t>NEW</t>
        </is>
      </c>
      <c r="C486" s="9" t="inlineStr"/>
      <c r="D486" s="9" t="n">
        <v>0</v>
      </c>
      <c r="E486" s="9" t="inlineStr"/>
      <c r="F486" s="9" t="inlineStr"/>
      <c r="G486" s="9" t="inlineStr"/>
      <c r="H486" s="9" t="inlineStr"/>
      <c r="I486" t="inlineStr">
        <is>
          <t>KASPER INDUSTRIA DE MOVEIS LTDA</t>
        </is>
      </c>
      <c r="J486" t="inlineStr">
        <is>
          <t>86.205.416/0001-61</t>
        </is>
      </c>
      <c r="K486" t="inlineStr">
        <is>
          <t>86205416</t>
        </is>
      </c>
      <c r="L486" t="inlineStr">
        <is>
          <t>86205416000161</t>
        </is>
      </c>
      <c r="M486" s="10" t="n">
        <v>253853.5</v>
      </c>
      <c r="N486" t="n">
        <v>1</v>
      </c>
      <c r="O486" s="11" t="inlineStr">
        <is>
          <t>C</t>
        </is>
      </c>
      <c r="P486" s="11" t="inlineStr">
        <is>
          <t>ACTIVE</t>
        </is>
      </c>
      <c r="Q486" s="12" t="n">
        <v>43894</v>
      </c>
      <c r="R486" s="11">
        <f>IF(Q486="","",ROUND((TODAY()-Q486)/365.25,1))</f>
        <v/>
      </c>
      <c r="S486" s="13">
        <f>IFERROR(VLOOKUP(O486,Assumptions!$A$7:$F$11,2,FALSE),0.25)</f>
        <v/>
      </c>
      <c r="T486" s="14">
        <f>IF(O486="A",MAX(1,IFERROR(VLOOKUP(O486,Assumptions!$A$7:$F$11,3,FALSE),3)+IFERROR(VLOOKUP(O486,Assumptions!$A$7:$F$11,4,FALSE),8)/2-MAX(0,IF(R486="",0,R486)-IFERROR(VLOOKUP(O486,Assumptions!$A$7:$F$11,5,FALSE),1.5))),IFERROR(VLOOKUP(O486,Assumptions!$A$7:$F$11,5,FALSE),2.5)+IFERROR(VLOOKUP(O486,Assumptions!$A$7:$F$11,3,FALSE),3)+IFERROR(VLOOKUP(O486,Assumptions!$A$7:$F$11,4,FALSE),8)/2)</f>
        <v/>
      </c>
      <c r="U486" s="15">
        <f>M486*S486/(1+Assumptions!$B$3)^T486</f>
        <v/>
      </c>
      <c r="V486" s="11">
        <f>IF(M486=0,"",ROUND(U486/M486*100,1))</f>
        <v/>
      </c>
      <c r="W486" s="16">
        <f>U486*Assumptions!$B$4</f>
        <v/>
      </c>
      <c r="X486" s="11">
        <f>IF(M486=0,"",ROUND(W486/M486*100,1))</f>
        <v/>
      </c>
      <c r="Y486" t="inlineStr">
        <is>
          <t>CREDIMÓVEIS NOVOLAR LTDA.</t>
        </is>
      </c>
      <c r="Z486" t="inlineStr">
        <is>
          <t>0007565-40.2020.8.17.2370</t>
        </is>
      </c>
      <c r="AA486" t="inlineStr">
        <is>
          <t>TJPE</t>
        </is>
      </c>
      <c r="AB486" t="inlineStr">
        <is>
          <t>recuperacaojudicial.squarespace.com</t>
        </is>
      </c>
      <c r="AC486" t="inlineStr">
        <is>
          <t>INGRID PAULINA KASPER DEDECO</t>
        </is>
      </c>
      <c r="AD486" t="inlineStr">
        <is>
          <t>Sócio-Administrador</t>
        </is>
      </c>
      <c r="AE486" t="inlineStr">
        <is>
          <t>496430133</t>
        </is>
      </c>
      <c r="AF486" t="inlineStr"/>
      <c r="AG486" t="inlineStr"/>
      <c r="AH486" t="inlineStr">
        <is>
          <t>SC</t>
        </is>
      </c>
      <c r="AI486" t="inlineStr">
        <is>
          <t>SAO JOSE DO CEDRO</t>
        </is>
      </c>
      <c r="AJ486" t="inlineStr">
        <is>
          <t>Fabricação de móveis com predominância de madeira</t>
        </is>
      </c>
      <c r="AK486" t="inlineStr">
        <is>
          <t>DEMAIS</t>
        </is>
      </c>
      <c r="AL486" t="inlineStr">
        <is>
          <t>ATIVA</t>
        </is>
      </c>
      <c r="AM486" s="17" t="inlineStr">
        <is>
          <t>https://recuperacaojudicial.squarespace.com/s/RJ-Credimoveis-QGC-01082025.pdf</t>
        </is>
      </c>
      <c r="AN486" s="18" t="inlineStr">
        <is>
          <t>p16 r3</t>
        </is>
      </c>
      <c r="AO486" s="18" t="inlineStr">
        <is>
          <t>p16: R$ 253.853,50</t>
        </is>
      </c>
      <c r="AP486" s="18" t="inlineStr">
        <is>
          <t>QGC</t>
        </is>
      </c>
      <c r="AQ486" s="18" t="inlineStr">
        <is>
          <t>2026-01-28</t>
        </is>
      </c>
      <c r="AR486" s="18" t="inlineStr">
        <is>
          <t>OK</t>
        </is>
      </c>
      <c r="AS486" s="18" t="inlineStr">
        <is>
          <t>ROWS:p16r3</t>
        </is>
      </c>
      <c r="AT486" s="18" t="inlineStr">
        <is>
          <t>849d4fe5adce</t>
        </is>
      </c>
    </row>
    <row r="487">
      <c r="A487" s="9" t="n">
        <v>486</v>
      </c>
      <c r="B487" s="9" t="inlineStr">
        <is>
          <t>NEW</t>
        </is>
      </c>
      <c r="C487" s="9" t="inlineStr"/>
      <c r="D487" s="9" t="n">
        <v>0</v>
      </c>
      <c r="E487" s="9" t="inlineStr"/>
      <c r="F487" s="9" t="inlineStr"/>
      <c r="G487" s="9" t="inlineStr"/>
      <c r="H487" s="9" t="inlineStr"/>
      <c r="I487" t="inlineStr">
        <is>
          <t>SANTOS ANDIRA INDUSTRIA DE MOVEIS LTDA</t>
        </is>
      </c>
      <c r="J487" t="inlineStr">
        <is>
          <t>75.205.831/0001-07</t>
        </is>
      </c>
      <c r="K487" t="inlineStr">
        <is>
          <t>75205831</t>
        </is>
      </c>
      <c r="L487" t="inlineStr">
        <is>
          <t>75205831000107</t>
        </is>
      </c>
      <c r="M487" s="10" t="n">
        <v>252798.81</v>
      </c>
      <c r="N487" t="n">
        <v>1</v>
      </c>
      <c r="O487" s="11" t="inlineStr">
        <is>
          <t>C</t>
        </is>
      </c>
      <c r="P487" s="11" t="inlineStr">
        <is>
          <t>ACTIVE</t>
        </is>
      </c>
      <c r="Q487" s="12" t="n">
        <v>43894</v>
      </c>
      <c r="R487" s="11">
        <f>IF(Q487="","",ROUND((TODAY()-Q487)/365.25,1))</f>
        <v/>
      </c>
      <c r="S487" s="13">
        <f>IFERROR(VLOOKUP(O487,Assumptions!$A$7:$F$11,2,FALSE),0.25)</f>
        <v/>
      </c>
      <c r="T487" s="14">
        <f>IF(O487="A",MAX(1,IFERROR(VLOOKUP(O487,Assumptions!$A$7:$F$11,3,FALSE),3)+IFERROR(VLOOKUP(O487,Assumptions!$A$7:$F$11,4,FALSE),8)/2-MAX(0,IF(R487="",0,R487)-IFERROR(VLOOKUP(O487,Assumptions!$A$7:$F$11,5,FALSE),1.5))),IFERROR(VLOOKUP(O487,Assumptions!$A$7:$F$11,5,FALSE),2.5)+IFERROR(VLOOKUP(O487,Assumptions!$A$7:$F$11,3,FALSE),3)+IFERROR(VLOOKUP(O487,Assumptions!$A$7:$F$11,4,FALSE),8)/2)</f>
        <v/>
      </c>
      <c r="U487" s="15">
        <f>M487*S487/(1+Assumptions!$B$3)^T487</f>
        <v/>
      </c>
      <c r="V487" s="11">
        <f>IF(M487=0,"",ROUND(U487/M487*100,1))</f>
        <v/>
      </c>
      <c r="W487" s="16">
        <f>U487*Assumptions!$B$4</f>
        <v/>
      </c>
      <c r="X487" s="11">
        <f>IF(M487=0,"",ROUND(W487/M487*100,1))</f>
        <v/>
      </c>
      <c r="Y487" t="inlineStr">
        <is>
          <t>CREDIMÓVEIS NOVOLAR LTDA.</t>
        </is>
      </c>
      <c r="Z487" t="inlineStr">
        <is>
          <t>0007565-40.2020.8.17.2370</t>
        </is>
      </c>
      <c r="AA487" t="inlineStr">
        <is>
          <t>TJPE</t>
        </is>
      </c>
      <c r="AB487" t="inlineStr">
        <is>
          <t>recuperacaojudicial.squarespace.com</t>
        </is>
      </c>
      <c r="AC487" t="inlineStr">
        <is>
          <t>ANDRE BIANCARDI DOS SANTOS</t>
        </is>
      </c>
      <c r="AD487" t="inlineStr">
        <is>
          <t>Sócio-Administrador</t>
        </is>
      </c>
      <c r="AE487" t="inlineStr">
        <is>
          <t>(43) 3538-8304</t>
        </is>
      </c>
      <c r="AF487" t="inlineStr">
        <is>
          <t>(43) 3638-8300</t>
        </is>
      </c>
      <c r="AG487" t="inlineStr"/>
      <c r="AH487" t="inlineStr">
        <is>
          <t>PR</t>
        </is>
      </c>
      <c r="AI487" t="inlineStr">
        <is>
          <t>ANDIRA</t>
        </is>
      </c>
      <c r="AJ487" t="inlineStr">
        <is>
          <t>Fabricação de móveis com predominância de madeira</t>
        </is>
      </c>
      <c r="AK487" t="inlineStr">
        <is>
          <t>DEMAIS</t>
        </is>
      </c>
      <c r="AL487" t="inlineStr">
        <is>
          <t>ATIVA</t>
        </is>
      </c>
      <c r="AM487" s="17" t="inlineStr">
        <is>
          <t>https://recuperacaojudicial.squarespace.com/s/RJ-Credimoveis-QGC-01082025.pdf</t>
        </is>
      </c>
      <c r="AN487" s="18" t="inlineStr">
        <is>
          <t>p16 r55</t>
        </is>
      </c>
      <c r="AO487" s="18" t="inlineStr">
        <is>
          <t>p16: R$ 252.798,81</t>
        </is>
      </c>
      <c r="AP487" s="18" t="inlineStr">
        <is>
          <t>QGC</t>
        </is>
      </c>
      <c r="AQ487" s="18" t="inlineStr">
        <is>
          <t>2026-01-28</t>
        </is>
      </c>
      <c r="AR487" s="18" t="inlineStr">
        <is>
          <t>OK</t>
        </is>
      </c>
      <c r="AS487" s="18" t="inlineStr">
        <is>
          <t>ROWS:p16r55</t>
        </is>
      </c>
      <c r="AT487" s="18" t="inlineStr">
        <is>
          <t>849d4fe5adce</t>
        </is>
      </c>
    </row>
    <row r="488">
      <c r="A488" s="9" t="n">
        <v>487</v>
      </c>
      <c r="B488" s="9" t="inlineStr">
        <is>
          <t>NEW</t>
        </is>
      </c>
      <c r="C488" s="9" t="inlineStr"/>
      <c r="D488" s="9" t="n">
        <v>0</v>
      </c>
      <c r="E488" s="9" t="inlineStr"/>
      <c r="F488" s="9" t="inlineStr"/>
      <c r="G488" s="9" t="inlineStr"/>
      <c r="H488" s="9" t="inlineStr"/>
      <c r="I488" t="inlineStr">
        <is>
          <t>VITAMEDIC INDUSTRIA FARMACEUTICA LTDA</t>
        </is>
      </c>
      <c r="J488" t="inlineStr">
        <is>
          <t>Vitamedic Industria Farmaceutica Ltda.</t>
        </is>
      </c>
      <c r="K488" t="inlineStr">
        <is>
          <t>30222814</t>
        </is>
      </c>
      <c r="L488" t="inlineStr">
        <is>
          <t>30222814000131</t>
        </is>
      </c>
      <c r="M488" s="10" t="n">
        <v>250921.84</v>
      </c>
      <c r="N488" t="n">
        <v>1</v>
      </c>
      <c r="O488" s="11" t="inlineStr">
        <is>
          <t>C</t>
        </is>
      </c>
      <c r="P488" s="11" t="inlineStr">
        <is>
          <t>ACTIVE</t>
        </is>
      </c>
      <c r="Q488" s="12" t="n">
        <v>44987</v>
      </c>
      <c r="R488" s="11">
        <f>IF(Q488="","",ROUND((TODAY()-Q488)/365.25,1))</f>
        <v/>
      </c>
      <c r="S488" s="13">
        <f>IFERROR(VLOOKUP(O488,Assumptions!$A$7:$F$11,2,FALSE),0.25)</f>
        <v/>
      </c>
      <c r="T488" s="14">
        <f>IF(O488="A",MAX(1,IFERROR(VLOOKUP(O488,Assumptions!$A$7:$F$11,3,FALSE),3)+IFERROR(VLOOKUP(O488,Assumptions!$A$7:$F$11,4,FALSE),8)/2-MAX(0,IF(R488="",0,R488)-IFERROR(VLOOKUP(O488,Assumptions!$A$7:$F$11,5,FALSE),1.5))),IFERROR(VLOOKUP(O488,Assumptions!$A$7:$F$11,5,FALSE),2.5)+IFERROR(VLOOKUP(O488,Assumptions!$A$7:$F$11,3,FALSE),3)+IFERROR(VLOOKUP(O488,Assumptions!$A$7:$F$11,4,FALSE),8)/2)</f>
        <v/>
      </c>
      <c r="U488" s="15">
        <f>M488*S488/(1+Assumptions!$B$3)^T488</f>
        <v/>
      </c>
      <c r="V488" s="11">
        <f>IF(M488=0,"",ROUND(U488/M488*100,1))</f>
        <v/>
      </c>
      <c r="W488" s="16">
        <f>U488*Assumptions!$B$4</f>
        <v/>
      </c>
      <c r="X488" s="11">
        <f>IF(M488=0,"",ROUND(W488/M488*100,1))</f>
        <v/>
      </c>
      <c r="Y488" t="inlineStr">
        <is>
          <t>GRUPO DP4</t>
        </is>
      </c>
      <c r="Z488" t="inlineStr">
        <is>
          <t>0005010-98.2023.8.16.0001</t>
        </is>
      </c>
      <c r="AA488" t="inlineStr">
        <is>
          <t>TJPR</t>
        </is>
      </c>
      <c r="AB488" t="inlineStr">
        <is>
          <t>marquesadmjudicial.com.br</t>
        </is>
      </c>
      <c r="AC488" t="inlineStr">
        <is>
          <t>JOSE ALVES FILHO</t>
        </is>
      </c>
      <c r="AD488" t="inlineStr">
        <is>
          <t>Administrador</t>
        </is>
      </c>
      <c r="AE488" t="inlineStr">
        <is>
          <t>(62) 3902-6100</t>
        </is>
      </c>
      <c r="AF488" t="inlineStr">
        <is>
          <t>(62) 3902-6134</t>
        </is>
      </c>
      <c r="AG488" t="inlineStr"/>
      <c r="AH488" t="inlineStr">
        <is>
          <t>GO</t>
        </is>
      </c>
      <c r="AI488" t="inlineStr">
        <is>
          <t>ANAPOLIS</t>
        </is>
      </c>
      <c r="AJ488" t="inlineStr">
        <is>
          <t>Fabricação de medicamentos alopáticos para uso humano</t>
        </is>
      </c>
      <c r="AK488" t="inlineStr">
        <is>
          <t>DEMAIS</t>
        </is>
      </c>
      <c r="AL488" t="inlineStr">
        <is>
          <t>ATIVA</t>
        </is>
      </c>
      <c r="AM488" s="17" t="inlineStr">
        <is>
          <t>https://marquesadmjudicial.com.br/sgc/download.php?file=files/processo_documento/processo_documento15293208032024_1_.pdf&amp;nome=Relação Nominal de Credores da AJ-Sintética</t>
        </is>
      </c>
      <c r="AN488" s="18" t="inlineStr">
        <is>
          <t>p32 r9</t>
        </is>
      </c>
      <c r="AO488" s="18" t="inlineStr">
        <is>
          <t>p32: R$ 250.921,84</t>
        </is>
      </c>
      <c r="AP488" s="18" t="inlineStr">
        <is>
          <t>AJ_LIST</t>
        </is>
      </c>
      <c r="AQ488" s="18" t="inlineStr">
        <is>
          <t>2023-03-02</t>
        </is>
      </c>
      <c r="AR488" s="18" t="inlineStr">
        <is>
          <t>QUARANTINED</t>
        </is>
      </c>
      <c r="AS488" s="18" t="inlineStr">
        <is>
          <t>PARTIAL_DOC_CLASS_III_RECONCILED ROWS:p32r9</t>
        </is>
      </c>
      <c r="AT488" s="18" t="inlineStr">
        <is>
          <t>b465a5d11eec</t>
        </is>
      </c>
    </row>
    <row r="489">
      <c r="A489" s="9" t="n">
        <v>488</v>
      </c>
      <c r="B489" s="9" t="inlineStr">
        <is>
          <t>NEW</t>
        </is>
      </c>
      <c r="C489" s="9" t="inlineStr"/>
      <c r="D489" s="9" t="n">
        <v>0</v>
      </c>
      <c r="E489" s="9" t="inlineStr"/>
      <c r="F489" s="9" t="inlineStr"/>
      <c r="G489" s="9" t="inlineStr"/>
      <c r="H489" s="9" t="inlineStr"/>
      <c r="I489" t="inlineStr">
        <is>
          <t>CATIVA TEXTIL INDUSTRIA E COMERCIO LTDA</t>
        </is>
      </c>
      <c r="J489" t="inlineStr">
        <is>
          <t>CATIVA TEXTIL INDUSTRIA E COMERCIO LTDA EM RECUPERACAO JUDICIAL</t>
        </is>
      </c>
      <c r="K489" t="inlineStr">
        <is>
          <t>80959513</t>
        </is>
      </c>
      <c r="L489" t="inlineStr">
        <is>
          <t>80959513000163</t>
        </is>
      </c>
      <c r="M489" s="10" t="n">
        <v>249899.16</v>
      </c>
      <c r="N489" t="n">
        <v>3</v>
      </c>
      <c r="O489" s="11" t="inlineStr">
        <is>
          <t>C</t>
        </is>
      </c>
      <c r="P489" s="11" t="inlineStr">
        <is>
          <t>ACTIVE</t>
        </is>
      </c>
      <c r="Q489" s="12" t="n">
        <v>44571</v>
      </c>
      <c r="R489" s="11">
        <f>IF(Q489="","",ROUND((TODAY()-Q489)/365.25,1))</f>
        <v/>
      </c>
      <c r="S489" s="13">
        <f>IFERROR(VLOOKUP(O489,Assumptions!$A$7:$F$11,2,FALSE),0.25)</f>
        <v/>
      </c>
      <c r="T489" s="14">
        <f>IF(O489="A",MAX(1,IFERROR(VLOOKUP(O489,Assumptions!$A$7:$F$11,3,FALSE),3)+IFERROR(VLOOKUP(O489,Assumptions!$A$7:$F$11,4,FALSE),8)/2-MAX(0,IF(R489="",0,R489)-IFERROR(VLOOKUP(O489,Assumptions!$A$7:$F$11,5,FALSE),1.5))),IFERROR(VLOOKUP(O489,Assumptions!$A$7:$F$11,5,FALSE),2.5)+IFERROR(VLOOKUP(O489,Assumptions!$A$7:$F$11,3,FALSE),3)+IFERROR(VLOOKUP(O489,Assumptions!$A$7:$F$11,4,FALSE),8)/2)</f>
        <v/>
      </c>
      <c r="U489" s="15">
        <f>M489*S489/(1+Assumptions!$B$3)^T489</f>
        <v/>
      </c>
      <c r="V489" s="11">
        <f>IF(M489=0,"",ROUND(U489/M489*100,1))</f>
        <v/>
      </c>
      <c r="W489" s="16">
        <f>U489*Assumptions!$B$4</f>
        <v/>
      </c>
      <c r="X489" s="11">
        <f>IF(M489=0,"",ROUND(W489/M489*100,1))</f>
        <v/>
      </c>
      <c r="Y489" t="inlineStr">
        <is>
          <t>GRUPO CATTAN</t>
        </is>
      </c>
      <c r="Z489" t="inlineStr">
        <is>
          <t>0002484-82.2022.8.17.2001</t>
        </is>
      </c>
      <c r="AA489" t="inlineStr">
        <is>
          <t>TJPE</t>
        </is>
      </c>
      <c r="AB489" t="inlineStr">
        <is>
          <t>lrflideres.com.br</t>
        </is>
      </c>
      <c r="AC489" t="inlineStr">
        <is>
          <t>GILMAR ROGERIO SPRUNG</t>
        </is>
      </c>
      <c r="AD489" t="inlineStr">
        <is>
          <t>Sócio-Administrador</t>
        </is>
      </c>
      <c r="AE489" t="inlineStr">
        <is>
          <t>(47) 3387-9999</t>
        </is>
      </c>
      <c r="AF489" t="inlineStr"/>
      <c r="AG489" t="inlineStr"/>
      <c r="AH489" t="inlineStr">
        <is>
          <t>SC</t>
        </is>
      </c>
      <c r="AI489" t="inlineStr">
        <is>
          <t>POMERODE</t>
        </is>
      </c>
      <c r="AJ489" t="inlineStr">
        <is>
          <t>Confecção de peças de vestuário, exceto roupas íntimas e as confeccionadas sob medida</t>
        </is>
      </c>
      <c r="AK489" t="inlineStr">
        <is>
          <t>DEMAIS</t>
        </is>
      </c>
      <c r="AL489" t="inlineStr">
        <is>
          <t>ATIVA</t>
        </is>
      </c>
      <c r="AM489" s="17" t="inlineStr">
        <is>
          <t>https://lrflideres.com.br/wp-content/plugins/download-attachments/includes/download.php?id=4023</t>
        </is>
      </c>
      <c r="AN489" s="18" t="inlineStr">
        <is>
          <t>p4 r61; p7 r84; p9 r63</t>
        </is>
      </c>
      <c r="AO489" s="18" t="inlineStr">
        <is>
          <t>p4: R$ 61.029,24; p7: R$ 155.348,64; p9: R$ 33.521,28</t>
        </is>
      </c>
      <c r="AP489" s="18" t="inlineStr">
        <is>
          <t>DEBTOR_LIST</t>
        </is>
      </c>
      <c r="AQ489" s="18" t="inlineStr"/>
      <c r="AR489" s="18" t="inlineStr">
        <is>
          <t>QUARANTINED</t>
        </is>
      </c>
      <c r="AS489" s="18" t="inlineStr">
        <is>
          <t>PARTIAL_DOC_CLASS_III_RECONCILED ROWS:p4r61,p7r84,p9r63</t>
        </is>
      </c>
      <c r="AT489" s="18" t="inlineStr">
        <is>
          <t>f3b6182e3aa2</t>
        </is>
      </c>
    </row>
    <row r="490">
      <c r="A490" s="9" t="n">
        <v>489</v>
      </c>
      <c r="B490" s="9" t="inlineStr">
        <is>
          <t>NEW</t>
        </is>
      </c>
      <c r="C490" s="9" t="inlineStr"/>
      <c r="D490" s="9" t="n">
        <v>0</v>
      </c>
      <c r="E490" s="9" t="inlineStr"/>
      <c r="F490" s="9" t="inlineStr"/>
      <c r="G490" s="9" t="inlineStr"/>
      <c r="H490" s="9" t="inlineStr"/>
      <c r="I490" t="inlineStr">
        <is>
          <t>CICLO CAIRU LTDA</t>
        </is>
      </c>
      <c r="J490" t="inlineStr">
        <is>
          <t>02.513.526/0001-09</t>
        </is>
      </c>
      <c r="K490" t="inlineStr">
        <is>
          <t>02513526</t>
        </is>
      </c>
      <c r="L490" t="inlineStr">
        <is>
          <t>02513526000109</t>
        </is>
      </c>
      <c r="M490" s="10" t="n">
        <v>249307.74</v>
      </c>
      <c r="N490" t="n">
        <v>1</v>
      </c>
      <c r="O490" s="11" t="inlineStr">
        <is>
          <t>C</t>
        </is>
      </c>
      <c r="P490" s="11" t="inlineStr">
        <is>
          <t>ACTIVE</t>
        </is>
      </c>
      <c r="Q490" s="12" t="n">
        <v>43894</v>
      </c>
      <c r="R490" s="11">
        <f>IF(Q490="","",ROUND((TODAY()-Q490)/365.25,1))</f>
        <v/>
      </c>
      <c r="S490" s="13">
        <f>IFERROR(VLOOKUP(O490,Assumptions!$A$7:$F$11,2,FALSE),0.25)</f>
        <v/>
      </c>
      <c r="T490" s="14">
        <f>IF(O490="A",MAX(1,IFERROR(VLOOKUP(O490,Assumptions!$A$7:$F$11,3,FALSE),3)+IFERROR(VLOOKUP(O490,Assumptions!$A$7:$F$11,4,FALSE),8)/2-MAX(0,IF(R490="",0,R490)-IFERROR(VLOOKUP(O490,Assumptions!$A$7:$F$11,5,FALSE),1.5))),IFERROR(VLOOKUP(O490,Assumptions!$A$7:$F$11,5,FALSE),2.5)+IFERROR(VLOOKUP(O490,Assumptions!$A$7:$F$11,3,FALSE),3)+IFERROR(VLOOKUP(O490,Assumptions!$A$7:$F$11,4,FALSE),8)/2)</f>
        <v/>
      </c>
      <c r="U490" s="15">
        <f>M490*S490/(1+Assumptions!$B$3)^T490</f>
        <v/>
      </c>
      <c r="V490" s="11">
        <f>IF(M490=0,"",ROUND(U490/M490*100,1))</f>
        <v/>
      </c>
      <c r="W490" s="16">
        <f>U490*Assumptions!$B$4</f>
        <v/>
      </c>
      <c r="X490" s="11">
        <f>IF(M490=0,"",ROUND(W490/M490*100,1))</f>
        <v/>
      </c>
      <c r="Y490" t="inlineStr">
        <is>
          <t>CREDIMÓVEIS NOVOLAR LTDA.</t>
        </is>
      </c>
      <c r="Z490" t="inlineStr">
        <is>
          <t>0007565-40.2020.8.17.2370</t>
        </is>
      </c>
      <c r="AA490" t="inlineStr">
        <is>
          <t>TJPE</t>
        </is>
      </c>
      <c r="AB490" t="inlineStr">
        <is>
          <t>recuperacaojudicial.squarespace.com</t>
        </is>
      </c>
      <c r="AC490" t="inlineStr">
        <is>
          <t>EUFLAVIO ODILON RIBEIRO</t>
        </is>
      </c>
      <c r="AD490" t="inlineStr">
        <is>
          <t>Sócio-Administrador</t>
        </is>
      </c>
      <c r="AE490" t="inlineStr">
        <is>
          <t>(69) 3451-0500</t>
        </is>
      </c>
      <c r="AF490" t="inlineStr"/>
      <c r="AG490" t="inlineStr"/>
      <c r="AH490" t="inlineStr">
        <is>
          <t>RO</t>
        </is>
      </c>
      <c r="AI490" t="inlineStr">
        <is>
          <t>PIMENTA BUENO</t>
        </is>
      </c>
      <c r="AJ490" t="inlineStr">
        <is>
          <t>Comércio por atacado de peças e acessórios para motocicletas e motonetas</t>
        </is>
      </c>
      <c r="AK490" t="inlineStr">
        <is>
          <t>DEMAIS</t>
        </is>
      </c>
      <c r="AL490" t="inlineStr">
        <is>
          <t>ATIVA</t>
        </is>
      </c>
      <c r="AM490" s="17" t="inlineStr">
        <is>
          <t>https://recuperacaojudicial.squarespace.com/s/RJ-Credimoveis-QGC-01082025.pdf</t>
        </is>
      </c>
      <c r="AN490" s="18" t="inlineStr">
        <is>
          <t>p15 r30</t>
        </is>
      </c>
      <c r="AO490" s="18" t="inlineStr">
        <is>
          <t>p15: R$ 249.307,74</t>
        </is>
      </c>
      <c r="AP490" s="18" t="inlineStr">
        <is>
          <t>QGC</t>
        </is>
      </c>
      <c r="AQ490" s="18" t="inlineStr">
        <is>
          <t>2026-01-28</t>
        </is>
      </c>
      <c r="AR490" s="18" t="inlineStr">
        <is>
          <t>OK</t>
        </is>
      </c>
      <c r="AS490" s="18" t="inlineStr">
        <is>
          <t>ROWS:p15r30</t>
        </is>
      </c>
      <c r="AT490" s="18" t="inlineStr">
        <is>
          <t>849d4fe5adce</t>
        </is>
      </c>
    </row>
    <row r="491">
      <c r="A491" s="9" t="n">
        <v>490</v>
      </c>
      <c r="B491" s="9" t="inlineStr">
        <is>
          <t>NEW</t>
        </is>
      </c>
      <c r="C491" s="9" t="inlineStr"/>
      <c r="D491" s="9" t="n">
        <v>0</v>
      </c>
      <c r="E491" s="9" t="inlineStr"/>
      <c r="F491" s="9" t="inlineStr"/>
      <c r="G491" s="9" t="inlineStr"/>
      <c r="H491" s="9" t="inlineStr"/>
      <c r="I491" t="inlineStr">
        <is>
          <t>TEXTILNOVA FIACAO LTDA EM RECUPERACAO JUDICIAL</t>
        </is>
      </c>
      <c r="J491" t="inlineStr">
        <is>
          <t>TEXTILNOVA FIACAO LTDA</t>
        </is>
      </c>
      <c r="K491" t="inlineStr">
        <is>
          <t>60182904</t>
        </is>
      </c>
      <c r="L491" t="inlineStr">
        <is>
          <t>60182904001421</t>
        </is>
      </c>
      <c r="M491" s="10" t="n">
        <v>248330.45</v>
      </c>
      <c r="N491" t="n">
        <v>1</v>
      </c>
      <c r="O491" s="11" t="inlineStr">
        <is>
          <t>C</t>
        </is>
      </c>
      <c r="P491" s="11" t="inlineStr"/>
      <c r="Q491" s="12" t="inlineStr"/>
      <c r="R491" s="11">
        <f>IF(Q491="","",ROUND((TODAY()-Q491)/365.25,1))</f>
        <v/>
      </c>
      <c r="S491" s="13">
        <f>IFERROR(VLOOKUP(O491,Assumptions!$A$7:$F$11,2,FALSE),0.25)</f>
        <v/>
      </c>
      <c r="T491" s="14">
        <f>IF(O491="A",MAX(1,IFERROR(VLOOKUP(O491,Assumptions!$A$7:$F$11,3,FALSE),3)+IFERROR(VLOOKUP(O491,Assumptions!$A$7:$F$11,4,FALSE),8)/2-MAX(0,IF(R491="",0,R491)-IFERROR(VLOOKUP(O491,Assumptions!$A$7:$F$11,5,FALSE),1.5))),IFERROR(VLOOKUP(O491,Assumptions!$A$7:$F$11,5,FALSE),2.5)+IFERROR(VLOOKUP(O491,Assumptions!$A$7:$F$11,3,FALSE),3)+IFERROR(VLOOKUP(O491,Assumptions!$A$7:$F$11,4,FALSE),8)/2)</f>
        <v/>
      </c>
      <c r="U491" s="15">
        <f>M491*S491/(1+Assumptions!$B$3)^T491</f>
        <v/>
      </c>
      <c r="V491" s="11">
        <f>IF(M491=0,"",ROUND(U491/M491*100,1))</f>
        <v/>
      </c>
      <c r="W491" s="16">
        <f>U491*Assumptions!$B$4</f>
        <v/>
      </c>
      <c r="X491" s="11">
        <f>IF(M491=0,"",ROUND(W491/M491*100,1))</f>
        <v/>
      </c>
      <c r="Y491" t="inlineStr">
        <is>
          <t>CONFECÇÕES ANDRIMALHAS LTDA</t>
        </is>
      </c>
      <c r="Z491" t="inlineStr">
        <is>
          <t>0302174-63.2015.8.24.0025</t>
        </is>
      </c>
      <c r="AA491" t="inlineStr"/>
      <c r="AB491" t="inlineStr">
        <is>
          <t>administradorajudicialgs.com.br</t>
        </is>
      </c>
      <c r="AC491" t="inlineStr">
        <is>
          <t>EDMILSON APARECIDO DE MORAES</t>
        </is>
      </c>
      <c r="AD491" t="inlineStr">
        <is>
          <t>Sócio-Administrador</t>
        </is>
      </c>
      <c r="AE491" t="inlineStr">
        <is>
          <t>(35) 3551-5921</t>
        </is>
      </c>
      <c r="AF491" t="inlineStr">
        <is>
          <t>(12) 9739-5397</t>
        </is>
      </c>
      <c r="AG491" t="inlineStr"/>
      <c r="AH491" t="inlineStr">
        <is>
          <t>MG</t>
        </is>
      </c>
      <c r="AI491" t="inlineStr">
        <is>
          <t>GUAXUPE</t>
        </is>
      </c>
      <c r="AJ491" t="inlineStr">
        <is>
          <t>Preparação e fiação de fibras de algodão</t>
        </is>
      </c>
      <c r="AK491" t="inlineStr">
        <is>
          <t>DEMAIS</t>
        </is>
      </c>
      <c r="AL491" t="inlineStr">
        <is>
          <t>ATIVA</t>
        </is>
      </c>
      <c r="AM491" s="17" t="inlineStr">
        <is>
          <t>https://administradorajudicialgs.com.br/wp-content/uploads/2023/08/doc-06-relacao-credores-do-administrador-judicial-10-02-2015.pdf</t>
        </is>
      </c>
      <c r="AN491" s="18" t="inlineStr">
        <is>
          <t>p2 r44</t>
        </is>
      </c>
      <c r="AO491" s="18" t="inlineStr">
        <is>
          <t>p2: R$ 248.330,45</t>
        </is>
      </c>
      <c r="AP491" s="18" t="inlineStr">
        <is>
          <t>AJ_LIST</t>
        </is>
      </c>
      <c r="AQ491" s="18" t="inlineStr"/>
      <c r="AR491" s="18" t="inlineStr">
        <is>
          <t>QUARANTINED</t>
        </is>
      </c>
      <c r="AS491" s="18" t="inlineStr">
        <is>
          <t>PARTIAL_DOC_CLASS_III_RECONCILED ROWS:p2r44</t>
        </is>
      </c>
      <c r="AT491" s="18" t="inlineStr">
        <is>
          <t>d403116b357d</t>
        </is>
      </c>
    </row>
    <row r="492">
      <c r="A492" s="9" t="n">
        <v>491</v>
      </c>
      <c r="B492" s="9" t="inlineStr">
        <is>
          <t>NEW</t>
        </is>
      </c>
      <c r="C492" s="9" t="inlineStr"/>
      <c r="D492" s="9" t="n">
        <v>0</v>
      </c>
      <c r="E492" s="9" t="inlineStr"/>
      <c r="F492" s="9" t="inlineStr"/>
      <c r="G492" s="9" t="inlineStr"/>
      <c r="H492" s="9" t="inlineStr"/>
      <c r="I492" t="inlineStr">
        <is>
          <t>TERTO TRANSPORTES LTDA</t>
        </is>
      </c>
      <c r="J492" t="inlineStr">
        <is>
          <t>Terto Transportes Ltda</t>
        </is>
      </c>
      <c r="K492" t="inlineStr">
        <is>
          <t>43026198</t>
        </is>
      </c>
      <c r="L492" t="inlineStr">
        <is>
          <t>43026198000195</t>
        </is>
      </c>
      <c r="M492" s="10" t="n">
        <v>247935.21</v>
      </c>
      <c r="N492" t="n">
        <v>1</v>
      </c>
      <c r="O492" s="11" t="inlineStr">
        <is>
          <t>C</t>
        </is>
      </c>
      <c r="P492" s="11" t="inlineStr">
        <is>
          <t>ACTIVE</t>
        </is>
      </c>
      <c r="Q492" s="12" t="n">
        <v>45275</v>
      </c>
      <c r="R492" s="11">
        <f>IF(Q492="","",ROUND((TODAY()-Q492)/365.25,1))</f>
        <v/>
      </c>
      <c r="S492" s="13">
        <f>IFERROR(VLOOKUP(O492,Assumptions!$A$7:$F$11,2,FALSE),0.25)</f>
        <v/>
      </c>
      <c r="T492" s="14">
        <f>IF(O492="A",MAX(1,IFERROR(VLOOKUP(O492,Assumptions!$A$7:$F$11,3,FALSE),3)+IFERROR(VLOOKUP(O492,Assumptions!$A$7:$F$11,4,FALSE),8)/2-MAX(0,IF(R492="",0,R492)-IFERROR(VLOOKUP(O492,Assumptions!$A$7:$F$11,5,FALSE),1.5))),IFERROR(VLOOKUP(O492,Assumptions!$A$7:$F$11,5,FALSE),2.5)+IFERROR(VLOOKUP(O492,Assumptions!$A$7:$F$11,3,FALSE),3)+IFERROR(VLOOKUP(O492,Assumptions!$A$7:$F$11,4,FALSE),8)/2)</f>
        <v/>
      </c>
      <c r="U492" s="15">
        <f>M492*S492/(1+Assumptions!$B$3)^T492</f>
        <v/>
      </c>
      <c r="V492" s="11">
        <f>IF(M492=0,"",ROUND(U492/M492*100,1))</f>
        <v/>
      </c>
      <c r="W492" s="16">
        <f>U492*Assumptions!$B$4</f>
        <v/>
      </c>
      <c r="X492" s="11">
        <f>IF(M492=0,"",ROUND(W492/M492*100,1))</f>
        <v/>
      </c>
      <c r="Y492" t="inlineStr">
        <is>
          <t>Grupo Agromeal</t>
        </is>
      </c>
      <c r="Z492" t="inlineStr">
        <is>
          <t>0003971-03.2023.8.16.0119</t>
        </is>
      </c>
      <c r="AA492" t="inlineStr">
        <is>
          <t>TJPR</t>
        </is>
      </c>
      <c r="AB492" t="inlineStr">
        <is>
          <t>marquesadmjudicial.com.br</t>
        </is>
      </c>
      <c r="AC492" t="inlineStr">
        <is>
          <t>FERNANDO HENRIQUE CAMARGO</t>
        </is>
      </c>
      <c r="AD492" t="inlineStr">
        <is>
          <t>Sócio-Administrador</t>
        </is>
      </c>
      <c r="AE492" t="inlineStr">
        <is>
          <t>(43) 9187-7904</t>
        </is>
      </c>
      <c r="AF492" t="inlineStr"/>
      <c r="AG492" t="inlineStr"/>
      <c r="AH492" t="inlineStr">
        <is>
          <t>PR</t>
        </is>
      </c>
      <c r="AI492" t="inlineStr">
        <is>
          <t>APUCARANA</t>
        </is>
      </c>
      <c r="AJ492" t="inlineStr">
        <is>
          <t>Transporte rodoviário de carga, exceto produtos perigosos e mudanças, intermunicipal, interestadual e internacional</t>
        </is>
      </c>
      <c r="AK492" t="inlineStr">
        <is>
          <t>DEMAIS</t>
        </is>
      </c>
      <c r="AL492" t="inlineStr">
        <is>
          <t>ATIVA</t>
        </is>
      </c>
      <c r="AM492" s="17" t="inlineStr">
        <is>
          <t>https://marquesadmjudicial.com.br/sgc/download.php?file=files/processo_documento/processo_documento17040729052024_1_.pdf&amp;nome=Relação Nominal de Credores AJ-Sintética</t>
        </is>
      </c>
      <c r="AN492" s="18" t="inlineStr">
        <is>
          <t>p13 r8</t>
        </is>
      </c>
      <c r="AO492" s="18" t="inlineStr">
        <is>
          <t>p13: R$ 247.935,21</t>
        </is>
      </c>
      <c r="AP492" s="18" t="inlineStr">
        <is>
          <t>AJ_LIST</t>
        </is>
      </c>
      <c r="AQ492" s="18" t="inlineStr">
        <is>
          <t>2024-05-27</t>
        </is>
      </c>
      <c r="AR492" s="18" t="inlineStr">
        <is>
          <t>QUARANTINED</t>
        </is>
      </c>
      <c r="AS492" s="18" t="inlineStr">
        <is>
          <t>PARTIAL_DOC_CLASS_III_RECONCILED ROWS:p13r8</t>
        </is>
      </c>
      <c r="AT492" s="18" t="inlineStr">
        <is>
          <t>1209dafe77b7</t>
        </is>
      </c>
    </row>
    <row r="493">
      <c r="A493" s="9" t="n">
        <v>492</v>
      </c>
      <c r="B493" s="9" t="inlineStr">
        <is>
          <t>NEW</t>
        </is>
      </c>
      <c r="C493" s="9" t="inlineStr"/>
      <c r="D493" s="9" t="n">
        <v>0</v>
      </c>
      <c r="E493" s="9" t="inlineStr"/>
      <c r="F493" s="9" t="inlineStr"/>
      <c r="G493" s="9" t="inlineStr"/>
      <c r="H493" s="9" t="inlineStr"/>
      <c r="I493" t="inlineStr">
        <is>
          <t>SOMAR INDUSTRIAL DE EMBALAGENS LTDA -</t>
        </is>
      </c>
      <c r="J493" t="inlineStr">
        <is>
          <t>SOMAR IND. DE EMBALAGENS LTDA.</t>
        </is>
      </c>
      <c r="K493" t="inlineStr">
        <is>
          <t>95758330</t>
        </is>
      </c>
      <c r="L493" t="inlineStr">
        <is>
          <t>95758330000157</t>
        </is>
      </c>
      <c r="M493" s="10" t="n">
        <v>246969.59</v>
      </c>
      <c r="N493" t="n">
        <v>1</v>
      </c>
      <c r="O493" s="11" t="inlineStr">
        <is>
          <t>D</t>
        </is>
      </c>
      <c r="P493" s="11" t="inlineStr"/>
      <c r="Q493" s="12" t="inlineStr"/>
      <c r="R493" s="11">
        <f>IF(Q493="","",ROUND((TODAY()-Q493)/365.25,1))</f>
        <v/>
      </c>
      <c r="S493" s="13">
        <f>IFERROR(VLOOKUP(O493,Assumptions!$A$7:$F$11,2,FALSE),0.25)</f>
        <v/>
      </c>
      <c r="T493" s="14">
        <f>IF(O493="A",MAX(1,IFERROR(VLOOKUP(O493,Assumptions!$A$7:$F$11,3,FALSE),3)+IFERROR(VLOOKUP(O493,Assumptions!$A$7:$F$11,4,FALSE),8)/2-MAX(0,IF(R493="",0,R493)-IFERROR(VLOOKUP(O493,Assumptions!$A$7:$F$11,5,FALSE),1.5))),IFERROR(VLOOKUP(O493,Assumptions!$A$7:$F$11,5,FALSE),2.5)+IFERROR(VLOOKUP(O493,Assumptions!$A$7:$F$11,3,FALSE),3)+IFERROR(VLOOKUP(O493,Assumptions!$A$7:$F$11,4,FALSE),8)/2)</f>
        <v/>
      </c>
      <c r="U493" s="15">
        <f>M493*S493/(1+Assumptions!$B$3)^T493</f>
        <v/>
      </c>
      <c r="V493" s="11">
        <f>IF(M493=0,"",ROUND(U493/M493*100,1))</f>
        <v/>
      </c>
      <c r="W493" s="16">
        <f>U493*Assumptions!$B$4</f>
        <v/>
      </c>
      <c r="X493" s="11">
        <f>IF(M493=0,"",ROUND(W493/M493*100,1))</f>
        <v/>
      </c>
      <c r="Y493" t="inlineStr">
        <is>
          <t>Mannes</t>
        </is>
      </c>
      <c r="Z493" t="inlineStr">
        <is>
          <t>0005010-50.2013.8.24.0026</t>
        </is>
      </c>
      <c r="AA493" t="inlineStr"/>
      <c r="AB493" t="inlineStr">
        <is>
          <t>administradorajudicialgs.com.br</t>
        </is>
      </c>
      <c r="AC493" t="inlineStr">
        <is>
          <t>EDI GUZELLA</t>
        </is>
      </c>
      <c r="AD493" t="inlineStr">
        <is>
          <t>Sócio-Administrador</t>
        </is>
      </c>
      <c r="AE493" t="inlineStr"/>
      <c r="AF493" t="inlineStr"/>
      <c r="AG493" t="inlineStr"/>
      <c r="AH493" t="inlineStr">
        <is>
          <t>SC</t>
        </is>
      </c>
      <c r="AI493" t="inlineStr">
        <is>
          <t>CACADOR</t>
        </is>
      </c>
      <c r="AJ493" t="inlineStr">
        <is>
          <t>Fabricação de embalagens de material plástico</t>
        </is>
      </c>
      <c r="AK493" t="inlineStr">
        <is>
          <t>DEMAIS</t>
        </is>
      </c>
      <c r="AL493" t="inlineStr">
        <is>
          <t>ATIVA</t>
        </is>
      </c>
      <c r="AM493" s="17" t="inlineStr">
        <is>
          <t>https://administradorajudicialgs.com.br/wp-content/uploads/2024/12/relacao-de-credores-da-falida.pdf</t>
        </is>
      </c>
      <c r="AN493" s="18" t="inlineStr">
        <is>
          <t>p18 r39</t>
        </is>
      </c>
      <c r="AO493" s="18" t="inlineStr">
        <is>
          <t>p18: R$ 246.969,59</t>
        </is>
      </c>
      <c r="AP493" s="18" t="inlineStr">
        <is>
          <t>OTHER</t>
        </is>
      </c>
      <c r="AQ493" s="18" t="inlineStr">
        <is>
          <t>2025-03-25</t>
        </is>
      </c>
      <c r="AR493" s="18" t="inlineStr">
        <is>
          <t>OK_NO_TOTALS</t>
        </is>
      </c>
      <c r="AS493" s="18" t="inlineStr">
        <is>
          <t>ROWS:p18r39 UNRECONCILED_SOURCE CASE_NUMBER_CORRECTED</t>
        </is>
      </c>
      <c r="AT493" s="18" t="inlineStr">
        <is>
          <t>ea17ba43b261</t>
        </is>
      </c>
    </row>
    <row r="494">
      <c r="A494" s="9" t="n">
        <v>493</v>
      </c>
      <c r="B494" s="9" t="inlineStr">
        <is>
          <t>NEW</t>
        </is>
      </c>
      <c r="C494" s="9" t="inlineStr"/>
      <c r="D494" s="9" t="n">
        <v>0</v>
      </c>
      <c r="E494" s="9" t="inlineStr"/>
      <c r="F494" s="9" t="inlineStr"/>
      <c r="G494" s="9" t="inlineStr"/>
      <c r="H494" s="9" t="inlineStr"/>
      <c r="I494" t="inlineStr">
        <is>
          <t>DE HEUS INDUSTRIA E COMERCIO DE NUTRICAO ANIMAL LTDA</t>
        </is>
      </c>
      <c r="J494" t="inlineStr">
        <is>
          <t>De Heus Ind e Com De Nutricao</t>
        </is>
      </c>
      <c r="K494" t="inlineStr">
        <is>
          <t>02513991</t>
        </is>
      </c>
      <c r="L494" t="inlineStr">
        <is>
          <t>02513991000212</t>
        </is>
      </c>
      <c r="M494" s="10" t="n">
        <v>246779.9</v>
      </c>
      <c r="N494" t="n">
        <v>1</v>
      </c>
      <c r="O494" s="11" t="inlineStr">
        <is>
          <t>B</t>
        </is>
      </c>
      <c r="P494" s="11" t="inlineStr">
        <is>
          <t>ACTIVE</t>
        </is>
      </c>
      <c r="Q494" s="12" t="n">
        <v>46130</v>
      </c>
      <c r="R494" s="11">
        <f>IF(Q494="","",ROUND((TODAY()-Q494)/365.25,1))</f>
        <v/>
      </c>
      <c r="S494" s="13">
        <f>IFERROR(VLOOKUP(O494,Assumptions!$A$7:$F$11,2,FALSE),0.25)</f>
        <v/>
      </c>
      <c r="T494" s="14">
        <f>IF(O494="A",MAX(1,IFERROR(VLOOKUP(O494,Assumptions!$A$7:$F$11,3,FALSE),3)+IFERROR(VLOOKUP(O494,Assumptions!$A$7:$F$11,4,FALSE),8)/2-MAX(0,IF(R494="",0,R494)-IFERROR(VLOOKUP(O494,Assumptions!$A$7:$F$11,5,FALSE),1.5))),IFERROR(VLOOKUP(O494,Assumptions!$A$7:$F$11,5,FALSE),2.5)+IFERROR(VLOOKUP(O494,Assumptions!$A$7:$F$11,3,FALSE),3)+IFERROR(VLOOKUP(O494,Assumptions!$A$7:$F$11,4,FALSE),8)/2)</f>
        <v/>
      </c>
      <c r="U494" s="15">
        <f>M494*S494/(1+Assumptions!$B$3)^T494</f>
        <v/>
      </c>
      <c r="V494" s="11">
        <f>IF(M494=0,"",ROUND(U494/M494*100,1))</f>
        <v/>
      </c>
      <c r="W494" s="16">
        <f>U494*Assumptions!$B$4</f>
        <v/>
      </c>
      <c r="X494" s="11">
        <f>IF(M494=0,"",ROUND(W494/M494*100,1))</f>
        <v/>
      </c>
      <c r="Y494" t="inlineStr">
        <is>
          <t>GRUPO 3E</t>
        </is>
      </c>
      <c r="Z494" t="inlineStr">
        <is>
          <t>5341375-33.2026.8.09.0049</t>
        </is>
      </c>
      <c r="AA494" t="inlineStr">
        <is>
          <t>TJGO</t>
        </is>
      </c>
      <c r="AB494" t="inlineStr">
        <is>
          <t>stenius.com.br</t>
        </is>
      </c>
      <c r="AC494" t="inlineStr">
        <is>
          <t>MARINUS MARTINUS JOZEF DONKERS</t>
        </is>
      </c>
      <c r="AD494" t="inlineStr">
        <is>
          <t>Administrador</t>
        </is>
      </c>
      <c r="AE494" t="inlineStr">
        <is>
          <t>(19) 3046-7109</t>
        </is>
      </c>
      <c r="AF494" t="inlineStr">
        <is>
          <t>(19) 3046-7108</t>
        </is>
      </c>
      <c r="AG494" t="inlineStr"/>
      <c r="AH494" t="inlineStr">
        <is>
          <t>SP</t>
        </is>
      </c>
      <c r="AI494" t="inlineStr">
        <is>
          <t>RIO CLARO</t>
        </is>
      </c>
      <c r="AJ494" t="inlineStr">
        <is>
          <t>Fabricação de alimentos para animais</t>
        </is>
      </c>
      <c r="AK494" t="inlineStr">
        <is>
          <t>DEMAIS</t>
        </is>
      </c>
      <c r="AL494" t="inlineStr">
        <is>
          <t>ATIVA</t>
        </is>
      </c>
      <c r="AM494" s="17" t="inlineStr">
        <is>
          <t>https://stenius.com.br/wp-content/uploads/2026/06/EDITAL-GRUPO-3E.pdf</t>
        </is>
      </c>
      <c r="AN494" s="18" t="inlineStr">
        <is>
          <t>p12 r28</t>
        </is>
      </c>
      <c r="AO494" s="18" t="inlineStr">
        <is>
          <t>p12: R$ 246.779,90</t>
        </is>
      </c>
      <c r="AP494" s="18" t="inlineStr">
        <is>
          <t>DEBTOR_LIST</t>
        </is>
      </c>
      <c r="AQ494" s="18" t="inlineStr">
        <is>
          <t>2026-06-22</t>
        </is>
      </c>
      <c r="AR494" s="18" t="inlineStr">
        <is>
          <t>OK_NO_TOTALS</t>
        </is>
      </c>
      <c r="AS494" s="18" t="inlineStr">
        <is>
          <t>ROWS:p12r28 UNRECONCILED_SOURCE</t>
        </is>
      </c>
      <c r="AT494" s="18" t="inlineStr">
        <is>
          <t>8e8832093a15</t>
        </is>
      </c>
    </row>
    <row r="495">
      <c r="A495" s="9" t="n">
        <v>494</v>
      </c>
      <c r="B495" s="9" t="inlineStr">
        <is>
          <t>NEW</t>
        </is>
      </c>
      <c r="C495" s="9" t="inlineStr"/>
      <c r="D495" s="9" t="n">
        <v>0</v>
      </c>
      <c r="E495" s="9" t="inlineStr"/>
      <c r="F495" s="9" t="inlineStr"/>
      <c r="G495" s="9" t="inlineStr"/>
      <c r="H495" s="9" t="inlineStr"/>
      <c r="I495" t="inlineStr">
        <is>
          <t>GPS EMPREENDIMENTOS LTDA - EM RECUPERACAO JUDICIAL</t>
        </is>
      </c>
      <c r="J495" t="inlineStr">
        <is>
          <t>GPS EMPREENDIMENTOS LTDA</t>
        </is>
      </c>
      <c r="K495" t="inlineStr">
        <is>
          <t>02339308</t>
        </is>
      </c>
      <c r="L495" t="inlineStr">
        <is>
          <t>02339308000191</t>
        </is>
      </c>
      <c r="M495" s="10" t="n">
        <v>245892.54</v>
      </c>
      <c r="N495" t="n">
        <v>1</v>
      </c>
      <c r="O495" s="11" t="inlineStr">
        <is>
          <t>C</t>
        </is>
      </c>
      <c r="P495" s="11" t="inlineStr"/>
      <c r="Q495" s="12" t="inlineStr"/>
      <c r="R495" s="11">
        <f>IF(Q495="","",ROUND((TODAY()-Q495)/365.25,1))</f>
        <v/>
      </c>
      <c r="S495" s="13">
        <f>IFERROR(VLOOKUP(O495,Assumptions!$A$7:$F$11,2,FALSE),0.25)</f>
        <v/>
      </c>
      <c r="T495" s="14">
        <f>IF(O495="A",MAX(1,IFERROR(VLOOKUP(O495,Assumptions!$A$7:$F$11,3,FALSE),3)+IFERROR(VLOOKUP(O495,Assumptions!$A$7:$F$11,4,FALSE),8)/2-MAX(0,IF(R495="",0,R495)-IFERROR(VLOOKUP(O495,Assumptions!$A$7:$F$11,5,FALSE),1.5))),IFERROR(VLOOKUP(O495,Assumptions!$A$7:$F$11,5,FALSE),2.5)+IFERROR(VLOOKUP(O495,Assumptions!$A$7:$F$11,3,FALSE),3)+IFERROR(VLOOKUP(O495,Assumptions!$A$7:$F$11,4,FALSE),8)/2)</f>
        <v/>
      </c>
      <c r="U495" s="15">
        <f>M495*S495/(1+Assumptions!$B$3)^T495</f>
        <v/>
      </c>
      <c r="V495" s="11">
        <f>IF(M495=0,"",ROUND(U495/M495*100,1))</f>
        <v/>
      </c>
      <c r="W495" s="16">
        <f>U495*Assumptions!$B$4</f>
        <v/>
      </c>
      <c r="X495" s="11">
        <f>IF(M495=0,"",ROUND(W495/M495*100,1))</f>
        <v/>
      </c>
      <c r="Y495" t="inlineStr">
        <is>
          <t>GRUPO ARNON DE MELLO</t>
        </is>
      </c>
      <c r="Z495" t="inlineStr">
        <is>
          <t>0700256-03.2019.8.02.0066</t>
        </is>
      </c>
      <c r="AA495" t="inlineStr"/>
      <c r="AB495" t="inlineStr">
        <is>
          <t>recuperacaojudicial.squarespace.com</t>
        </is>
      </c>
      <c r="AC495" t="inlineStr">
        <is>
          <t>CIRO STENIO PORTO</t>
        </is>
      </c>
      <c r="AD495" t="inlineStr">
        <is>
          <t>Sócio-Administrador</t>
        </is>
      </c>
      <c r="AE495" t="inlineStr">
        <is>
          <t>(82) 3377-1300</t>
        </is>
      </c>
      <c r="AF495" t="inlineStr"/>
      <c r="AG495" t="inlineStr"/>
      <c r="AH495" t="inlineStr">
        <is>
          <t>AL</t>
        </is>
      </c>
      <c r="AI495" t="inlineStr">
        <is>
          <t>MACEIO</t>
        </is>
      </c>
      <c r="AJ495" t="inlineStr">
        <is>
          <t>Construção de edifícios</t>
        </is>
      </c>
      <c r="AK495" t="inlineStr">
        <is>
          <t>EMPRESA DE PEQUENO PORTE</t>
        </is>
      </c>
      <c r="AL495" t="inlineStr">
        <is>
          <t>ATIVA</t>
        </is>
      </c>
      <c r="AM495" s="17" t="inlineStr">
        <is>
          <t>https://recuperacaojudicial.squarespace.com/s/RJ-Grupo-Arnon-de-Melo-Lista-de-Credores-Consolidada-abril-2022.pdf</t>
        </is>
      </c>
      <c r="AN495" s="18" t="inlineStr">
        <is>
          <t>p8 r17</t>
        </is>
      </c>
      <c r="AO495" s="18" t="inlineStr">
        <is>
          <t>p8: R$ 245.892,54</t>
        </is>
      </c>
      <c r="AP495" s="18" t="inlineStr">
        <is>
          <t>AJ_LIST</t>
        </is>
      </c>
      <c r="AQ495" s="18" t="inlineStr"/>
      <c r="AR495" s="18" t="inlineStr">
        <is>
          <t>OK_NO_TOTALS</t>
        </is>
      </c>
      <c r="AS495" s="18" t="inlineStr">
        <is>
          <t>ROWS:p8r17 UNRECONCILED_SOURCE</t>
        </is>
      </c>
      <c r="AT495" s="18" t="inlineStr">
        <is>
          <t>60fd9c017d90</t>
        </is>
      </c>
    </row>
    <row r="496">
      <c r="A496" s="9" t="n">
        <v>495</v>
      </c>
      <c r="B496" s="9" t="inlineStr">
        <is>
          <t>NEW</t>
        </is>
      </c>
      <c r="C496" s="9" t="inlineStr"/>
      <c r="D496" s="9" t="n">
        <v>0</v>
      </c>
      <c r="E496" s="9" t="inlineStr"/>
      <c r="F496" s="9" t="inlineStr"/>
      <c r="G496" s="9" t="inlineStr"/>
      <c r="H496" s="9" t="inlineStr"/>
      <c r="I496" t="inlineStr">
        <is>
          <t>MASUT COMBUSTIVEIS LTDA</t>
        </is>
      </c>
      <c r="J496" t="inlineStr">
        <is>
          <t>Masut-Trr</t>
        </is>
      </c>
      <c r="K496" t="inlineStr">
        <is>
          <t>37350519</t>
        </is>
      </c>
      <c r="L496" t="inlineStr">
        <is>
          <t>37350519001181</t>
        </is>
      </c>
      <c r="M496" s="10" t="n">
        <v>245850</v>
      </c>
      <c r="N496" t="n">
        <v>1</v>
      </c>
      <c r="O496" s="11" t="inlineStr">
        <is>
          <t>B</t>
        </is>
      </c>
      <c r="P496" s="11" t="inlineStr">
        <is>
          <t>ACTIVE</t>
        </is>
      </c>
      <c r="Q496" s="12" t="n">
        <v>46130</v>
      </c>
      <c r="R496" s="11">
        <f>IF(Q496="","",ROUND((TODAY()-Q496)/365.25,1))</f>
        <v/>
      </c>
      <c r="S496" s="13">
        <f>IFERROR(VLOOKUP(O496,Assumptions!$A$7:$F$11,2,FALSE),0.25)</f>
        <v/>
      </c>
      <c r="T496" s="14">
        <f>IF(O496="A",MAX(1,IFERROR(VLOOKUP(O496,Assumptions!$A$7:$F$11,3,FALSE),3)+IFERROR(VLOOKUP(O496,Assumptions!$A$7:$F$11,4,FALSE),8)/2-MAX(0,IF(R496="",0,R496)-IFERROR(VLOOKUP(O496,Assumptions!$A$7:$F$11,5,FALSE),1.5))),IFERROR(VLOOKUP(O496,Assumptions!$A$7:$F$11,5,FALSE),2.5)+IFERROR(VLOOKUP(O496,Assumptions!$A$7:$F$11,3,FALSE),3)+IFERROR(VLOOKUP(O496,Assumptions!$A$7:$F$11,4,FALSE),8)/2)</f>
        <v/>
      </c>
      <c r="U496" s="15">
        <f>M496*S496/(1+Assumptions!$B$3)^T496</f>
        <v/>
      </c>
      <c r="V496" s="11">
        <f>IF(M496=0,"",ROUND(U496/M496*100,1))</f>
        <v/>
      </c>
      <c r="W496" s="16">
        <f>U496*Assumptions!$B$4</f>
        <v/>
      </c>
      <c r="X496" s="11">
        <f>IF(M496=0,"",ROUND(W496/M496*100,1))</f>
        <v/>
      </c>
      <c r="Y496" t="inlineStr">
        <is>
          <t>GRUPO 3E</t>
        </is>
      </c>
      <c r="Z496" t="inlineStr">
        <is>
          <t>5341375-33.2026.8.09.0049</t>
        </is>
      </c>
      <c r="AA496" t="inlineStr">
        <is>
          <t>TJGO</t>
        </is>
      </c>
      <c r="AB496" t="inlineStr">
        <is>
          <t>stenius.com.br</t>
        </is>
      </c>
      <c r="AC496" t="inlineStr">
        <is>
          <t>SULAIMEN BITTAR</t>
        </is>
      </c>
      <c r="AD496" t="inlineStr">
        <is>
          <t>Administrador</t>
        </is>
      </c>
      <c r="AE496" t="inlineStr">
        <is>
          <t>(62) 3321-9100</t>
        </is>
      </c>
      <c r="AF496" t="inlineStr"/>
      <c r="AG496" t="inlineStr"/>
      <c r="AH496" t="inlineStr">
        <is>
          <t>GO</t>
        </is>
      </c>
      <c r="AI496" t="inlineStr">
        <is>
          <t>SENADOR CANEDO</t>
        </is>
      </c>
      <c r="AJ496" t="inlineStr">
        <is>
          <t>Comércio atacadista de combustíveis realizado por transportador retalhista (T.R.R.)</t>
        </is>
      </c>
      <c r="AK496" t="inlineStr">
        <is>
          <t>DEMAIS</t>
        </is>
      </c>
      <c r="AL496" t="inlineStr">
        <is>
          <t>ATIVA</t>
        </is>
      </c>
      <c r="AM496" s="17" t="inlineStr">
        <is>
          <t>https://stenius.com.br/wp-content/uploads/2026/06/EDITAL-GRUPO-3E.pdf</t>
        </is>
      </c>
      <c r="AN496" s="18" t="inlineStr">
        <is>
          <t>p15 r57</t>
        </is>
      </c>
      <c r="AO496" s="18" t="inlineStr">
        <is>
          <t>p15: R$ 245.850,00</t>
        </is>
      </c>
      <c r="AP496" s="18" t="inlineStr">
        <is>
          <t>DEBTOR_LIST</t>
        </is>
      </c>
      <c r="AQ496" s="18" t="inlineStr">
        <is>
          <t>2026-06-22</t>
        </is>
      </c>
      <c r="AR496" s="18" t="inlineStr">
        <is>
          <t>OK_NO_TOTALS</t>
        </is>
      </c>
      <c r="AS496" s="18" t="inlineStr">
        <is>
          <t>ROWS:p15r57 UNRECONCILED_SOURCE</t>
        </is>
      </c>
      <c r="AT496" s="18" t="inlineStr">
        <is>
          <t>8e8832093a15</t>
        </is>
      </c>
    </row>
    <row r="497">
      <c r="A497" s="9" t="n">
        <v>496</v>
      </c>
      <c r="B497" s="9" t="inlineStr">
        <is>
          <t>NEW</t>
        </is>
      </c>
      <c r="C497" s="9" t="inlineStr"/>
      <c r="D497" s="9" t="n">
        <v>0</v>
      </c>
      <c r="E497" s="9" t="inlineStr"/>
      <c r="F497" s="9" t="inlineStr"/>
      <c r="G497" s="9" t="inlineStr"/>
      <c r="H497" s="9" t="inlineStr"/>
      <c r="I497" t="inlineStr">
        <is>
          <t>CONSTRUTORA HUMBERTO LOBO LTDA EM RECUPERACAO JUDICIAL</t>
        </is>
      </c>
      <c r="J497" t="inlineStr">
        <is>
          <t>CONSTRUTORA HUMBERTO LOBO LTDA</t>
        </is>
      </c>
      <c r="K497" t="inlineStr">
        <is>
          <t>12286944</t>
        </is>
      </c>
      <c r="L497" t="inlineStr">
        <is>
          <t>12286944000156</t>
        </is>
      </c>
      <c r="M497" s="10" t="n">
        <v>244838.03</v>
      </c>
      <c r="N497" t="n">
        <v>1</v>
      </c>
      <c r="O497" s="11" t="inlineStr">
        <is>
          <t>C</t>
        </is>
      </c>
      <c r="P497" s="11" t="inlineStr"/>
      <c r="Q497" s="12" t="inlineStr"/>
      <c r="R497" s="11">
        <f>IF(Q497="","",ROUND((TODAY()-Q497)/365.25,1))</f>
        <v/>
      </c>
      <c r="S497" s="13">
        <f>IFERROR(VLOOKUP(O497,Assumptions!$A$7:$F$11,2,FALSE),0.25)</f>
        <v/>
      </c>
      <c r="T497" s="14">
        <f>IF(O497="A",MAX(1,IFERROR(VLOOKUP(O497,Assumptions!$A$7:$F$11,3,FALSE),3)+IFERROR(VLOOKUP(O497,Assumptions!$A$7:$F$11,4,FALSE),8)/2-MAX(0,IF(R497="",0,R497)-IFERROR(VLOOKUP(O497,Assumptions!$A$7:$F$11,5,FALSE),1.5))),IFERROR(VLOOKUP(O497,Assumptions!$A$7:$F$11,5,FALSE),2.5)+IFERROR(VLOOKUP(O497,Assumptions!$A$7:$F$11,3,FALSE),3)+IFERROR(VLOOKUP(O497,Assumptions!$A$7:$F$11,4,FALSE),8)/2)</f>
        <v/>
      </c>
      <c r="U497" s="15">
        <f>M497*S497/(1+Assumptions!$B$3)^T497</f>
        <v/>
      </c>
      <c r="V497" s="11">
        <f>IF(M497=0,"",ROUND(U497/M497*100,1))</f>
        <v/>
      </c>
      <c r="W497" s="16">
        <f>U497*Assumptions!$B$4</f>
        <v/>
      </c>
      <c r="X497" s="11">
        <f>IF(M497=0,"",ROUND(W497/M497*100,1))</f>
        <v/>
      </c>
      <c r="Y497" t="inlineStr">
        <is>
          <t>GRUPO ARNON DE MELLO</t>
        </is>
      </c>
      <c r="Z497" t="inlineStr">
        <is>
          <t>0700256-03.2019.8.02.0066</t>
        </is>
      </c>
      <c r="AA497" t="inlineStr"/>
      <c r="AB497" t="inlineStr">
        <is>
          <t>recuperacaojudicial.squarespace.com</t>
        </is>
      </c>
      <c r="AC497" t="inlineStr">
        <is>
          <t>JOSE HUMBERTO ROCHA LOBO</t>
        </is>
      </c>
      <c r="AD497" t="inlineStr">
        <is>
          <t>Sócio-Administrador</t>
        </is>
      </c>
      <c r="AE497" t="inlineStr">
        <is>
          <t>(82) 3241-3599</t>
        </is>
      </c>
      <c r="AF497" t="inlineStr"/>
      <c r="AG497" t="inlineStr"/>
      <c r="AH497" t="inlineStr">
        <is>
          <t>AL</t>
        </is>
      </c>
      <c r="AI497" t="inlineStr">
        <is>
          <t>MACEIO</t>
        </is>
      </c>
      <c r="AJ497" t="inlineStr">
        <is>
          <t>Construção de edifícios</t>
        </is>
      </c>
      <c r="AK497" t="inlineStr">
        <is>
          <t>DEMAIS</t>
        </is>
      </c>
      <c r="AL497" t="inlineStr">
        <is>
          <t>ATIVA</t>
        </is>
      </c>
      <c r="AM497" s="17" t="inlineStr">
        <is>
          <t>https://recuperacaojudicial.squarespace.com/s/RJ-Grupo-Arnon-de-Melo-Lista-de-Credores-Consolidada-abril-2022.pdf</t>
        </is>
      </c>
      <c r="AN497" s="18" t="inlineStr">
        <is>
          <t>p7 r52</t>
        </is>
      </c>
      <c r="AO497" s="18" t="inlineStr">
        <is>
          <t>p7: R$ 244.838,03</t>
        </is>
      </c>
      <c r="AP497" s="18" t="inlineStr">
        <is>
          <t>AJ_LIST</t>
        </is>
      </c>
      <c r="AQ497" s="18" t="inlineStr"/>
      <c r="AR497" s="18" t="inlineStr">
        <is>
          <t>OK_NO_TOTALS</t>
        </is>
      </c>
      <c r="AS497" s="18" t="inlineStr">
        <is>
          <t>ROWS:p7r52 UNRECONCILED_SOURCE</t>
        </is>
      </c>
      <c r="AT497" s="18" t="inlineStr">
        <is>
          <t>60fd9c017d90</t>
        </is>
      </c>
    </row>
    <row r="498">
      <c r="A498" s="9" t="n">
        <v>497</v>
      </c>
      <c r="B498" s="9" t="inlineStr">
        <is>
          <t>NEW</t>
        </is>
      </c>
      <c r="C498" s="9" t="inlineStr"/>
      <c r="D498" s="9" t="n">
        <v>0</v>
      </c>
      <c r="E498" s="9" t="inlineStr"/>
      <c r="F498" s="9" t="inlineStr"/>
      <c r="G498" s="9" t="inlineStr"/>
      <c r="H498" s="9" t="inlineStr"/>
      <c r="I498" t="inlineStr">
        <is>
          <t>OGAN SERVICOS ADMINISTRATIVOS LTDA</t>
        </is>
      </c>
      <c r="J498" t="inlineStr">
        <is>
          <t>RESIN-WEB INDUSTRIA E COMERCIO DE PLASTICOS LTDA</t>
        </is>
      </c>
      <c r="K498" t="inlineStr">
        <is>
          <t>08981590</t>
        </is>
      </c>
      <c r="L498" t="inlineStr">
        <is>
          <t>08981590000192</t>
        </is>
      </c>
      <c r="M498" s="10" t="n">
        <v>244053.12</v>
      </c>
      <c r="N498" t="n">
        <v>2</v>
      </c>
      <c r="O498" s="11" t="inlineStr">
        <is>
          <t>B</t>
        </is>
      </c>
      <c r="P498" s="11" t="inlineStr"/>
      <c r="Q498" s="12" t="inlineStr"/>
      <c r="R498" s="11">
        <f>IF(Q498="","",ROUND((TODAY()-Q498)/365.25,1))</f>
        <v/>
      </c>
      <c r="S498" s="13">
        <f>IFERROR(VLOOKUP(O498,Assumptions!$A$7:$F$11,2,FALSE),0.25)</f>
        <v/>
      </c>
      <c r="T498" s="14">
        <f>IF(O498="A",MAX(1,IFERROR(VLOOKUP(O498,Assumptions!$A$7:$F$11,3,FALSE),3)+IFERROR(VLOOKUP(O498,Assumptions!$A$7:$F$11,4,FALSE),8)/2-MAX(0,IF(R498="",0,R498)-IFERROR(VLOOKUP(O498,Assumptions!$A$7:$F$11,5,FALSE),1.5))),IFERROR(VLOOKUP(O498,Assumptions!$A$7:$F$11,5,FALSE),2.5)+IFERROR(VLOOKUP(O498,Assumptions!$A$7:$F$11,3,FALSE),3)+IFERROR(VLOOKUP(O498,Assumptions!$A$7:$F$11,4,FALSE),8)/2)</f>
        <v/>
      </c>
      <c r="U498" s="15">
        <f>M498*S498/(1+Assumptions!$B$3)^T498</f>
        <v/>
      </c>
      <c r="V498" s="11">
        <f>IF(M498=0,"",ROUND(U498/M498*100,1))</f>
        <v/>
      </c>
      <c r="W498" s="16">
        <f>U498*Assumptions!$B$4</f>
        <v/>
      </c>
      <c r="X498" s="11">
        <f>IF(M498=0,"",ROUND(W498/M498*100,1))</f>
        <v/>
      </c>
      <c r="Y498" t="inlineStr">
        <is>
          <t>Base</t>
        </is>
      </c>
      <c r="Z498" t="inlineStr">
        <is>
          <t>1022634-27.2024.8.26.0100</t>
        </is>
      </c>
      <c r="AA498" t="inlineStr"/>
      <c r="AB498" t="inlineStr">
        <is>
          <t>ajruiz.com.br</t>
        </is>
      </c>
      <c r="AC498" t="inlineStr">
        <is>
          <t>GLEIVINILSON DOS SANTOS</t>
        </is>
      </c>
      <c r="AD498" t="inlineStr">
        <is>
          <t>Sócio-Administrador</t>
        </is>
      </c>
      <c r="AE498" t="inlineStr">
        <is>
          <t>(11) 5061-7968</t>
        </is>
      </c>
      <c r="AF498" t="inlineStr">
        <is>
          <t>(11) 5061-7971</t>
        </is>
      </c>
      <c r="AG498" t="inlineStr"/>
      <c r="AH498" t="inlineStr">
        <is>
          <t>SP</t>
        </is>
      </c>
      <c r="AI498" t="inlineStr">
        <is>
          <t>SAO BERNARDO DO CAMPO</t>
        </is>
      </c>
      <c r="AJ498" t="inlineStr">
        <is>
          <t>Serviços combinados de escritório e apoio administrativo</t>
        </is>
      </c>
      <c r="AK498" t="inlineStr">
        <is>
          <t>DEMAIS</t>
        </is>
      </c>
      <c r="AL498" t="inlineStr">
        <is>
          <t>ATIVA</t>
        </is>
      </c>
      <c r="AM498" s="17" t="inlineStr">
        <is>
          <t>https://ajruiz.com.br/sites/default/files/public/arquivos-processos/2024-04/relacao_de_credores_recuperanda_1.pdf</t>
        </is>
      </c>
      <c r="AN498" s="18" t="inlineStr">
        <is>
          <t>p10 r1; p10 r2</t>
        </is>
      </c>
      <c r="AO498" s="18" t="inlineStr">
        <is>
          <t>p10: R$ 128.165,62; p10: R$ 115.887,50</t>
        </is>
      </c>
      <c r="AP498" s="18" t="inlineStr">
        <is>
          <t>QGC</t>
        </is>
      </c>
      <c r="AQ498" s="18" t="inlineStr">
        <is>
          <t>2024-01-31</t>
        </is>
      </c>
      <c r="AR498" s="18" t="inlineStr">
        <is>
          <t>OK</t>
        </is>
      </c>
      <c r="AS498" s="18" t="inlineStr">
        <is>
          <t>ROWS:p10r1,p10r2 CASE_NUMBER_CORRECTED</t>
        </is>
      </c>
      <c r="AT498" s="18" t="inlineStr">
        <is>
          <t>380922480f80</t>
        </is>
      </c>
    </row>
    <row r="499">
      <c r="A499" s="9" t="n">
        <v>498</v>
      </c>
      <c r="B499" s="9" t="inlineStr">
        <is>
          <t>NEW</t>
        </is>
      </c>
      <c r="C499" s="9" t="inlineStr"/>
      <c r="D499" s="9" t="n">
        <v>0</v>
      </c>
      <c r="E499" s="9" t="inlineStr"/>
      <c r="F499" s="9" t="inlineStr"/>
      <c r="G499" s="9" t="inlineStr"/>
      <c r="H499" s="9" t="inlineStr"/>
      <c r="I499" t="inlineStr">
        <is>
          <t>TECNOPLAST S.A - INDUSTRIA E COMERCIO DE PLASTICOS</t>
        </is>
      </c>
      <c r="J499" t="inlineStr">
        <is>
          <t>Tecnoplast S A Industria e Comercio de Plasticos</t>
        </is>
      </c>
      <c r="K499" t="inlineStr">
        <is>
          <t>12995199</t>
        </is>
      </c>
      <c r="L499" t="inlineStr">
        <is>
          <t>12995199000114</t>
        </is>
      </c>
      <c r="M499" s="10" t="n">
        <v>243641.39</v>
      </c>
      <c r="N499" t="n">
        <v>1</v>
      </c>
      <c r="O499" s="11" t="inlineStr">
        <is>
          <t>C</t>
        </is>
      </c>
      <c r="P499" s="11" t="inlineStr">
        <is>
          <t>ACTIVE</t>
        </is>
      </c>
      <c r="Q499" s="12" t="n">
        <v>45057</v>
      </c>
      <c r="R499" s="11">
        <f>IF(Q499="","",ROUND((TODAY()-Q499)/365.25,1))</f>
        <v/>
      </c>
      <c r="S499" s="13">
        <f>IFERROR(VLOOKUP(O499,Assumptions!$A$7:$F$11,2,FALSE),0.25)</f>
        <v/>
      </c>
      <c r="T499" s="14">
        <f>IF(O499="A",MAX(1,IFERROR(VLOOKUP(O499,Assumptions!$A$7:$F$11,3,FALSE),3)+IFERROR(VLOOKUP(O499,Assumptions!$A$7:$F$11,4,FALSE),8)/2-MAX(0,IF(R499="",0,R499)-IFERROR(VLOOKUP(O499,Assumptions!$A$7:$F$11,5,FALSE),1.5))),IFERROR(VLOOKUP(O499,Assumptions!$A$7:$F$11,5,FALSE),2.5)+IFERROR(VLOOKUP(O499,Assumptions!$A$7:$F$11,3,FALSE),3)+IFERROR(VLOOKUP(O499,Assumptions!$A$7:$F$11,4,FALSE),8)/2)</f>
        <v/>
      </c>
      <c r="U499" s="15">
        <f>M499*S499/(1+Assumptions!$B$3)^T499</f>
        <v/>
      </c>
      <c r="V499" s="11">
        <f>IF(M499=0,"",ROUND(U499/M499*100,1))</f>
        <v/>
      </c>
      <c r="W499" s="16">
        <f>U499*Assumptions!$B$4</f>
        <v/>
      </c>
      <c r="X499" s="11">
        <f>IF(M499=0,"",ROUND(W499/M499*100,1))</f>
        <v/>
      </c>
      <c r="Y499" t="inlineStr">
        <is>
          <t>TOP TEXTIL EMBALAGENS LTDA</t>
        </is>
      </c>
      <c r="Z499" t="inlineStr">
        <is>
          <t>5011460-87.2023.8.24.0020</t>
        </is>
      </c>
      <c r="AA499" t="inlineStr">
        <is>
          <t>TJSC</t>
        </is>
      </c>
      <c r="AB499" t="inlineStr">
        <is>
          <t>cataliseaj.com.br</t>
        </is>
      </c>
      <c r="AC499" t="inlineStr">
        <is>
          <t>JACKSON LENZI PIRES</t>
        </is>
      </c>
      <c r="AD499" t="inlineStr">
        <is>
          <t>Diretor</t>
        </is>
      </c>
      <c r="AE499" t="inlineStr">
        <is>
          <t>(41) 3332-8383</t>
        </is>
      </c>
      <c r="AF499" t="inlineStr">
        <is>
          <t>(41) 3075-8000</t>
        </is>
      </c>
      <c r="AG499" t="inlineStr"/>
      <c r="AH499" t="inlineStr">
        <is>
          <t>PR</t>
        </is>
      </c>
      <c r="AI499" t="inlineStr">
        <is>
          <t>CURITIBA</t>
        </is>
      </c>
      <c r="AJ499" t="inlineStr">
        <is>
          <t>Fiação de fibras artificiais e sintéticas</t>
        </is>
      </c>
      <c r="AK499" t="inlineStr">
        <is>
          <t>DEMAIS</t>
        </is>
      </c>
      <c r="AL499" t="inlineStr">
        <is>
          <t>ATIVA</t>
        </is>
      </c>
      <c r="AM499" s="17" t="inlineStr">
        <is>
          <t>https://cataliseaj.com.br/sgc/download.php?file=files/processo_documento/processo_documento15092204102024_1_.pdf&amp;nome=02. RELAÇÃO DE CREDORES</t>
        </is>
      </c>
      <c r="AN499" s="18" t="inlineStr">
        <is>
          <t>p3 r26</t>
        </is>
      </c>
      <c r="AO499" s="18" t="inlineStr">
        <is>
          <t>p3: R$ 243.641,39</t>
        </is>
      </c>
      <c r="AP499" s="18" t="inlineStr">
        <is>
          <t>DEBTOR_LIST</t>
        </is>
      </c>
      <c r="AQ499" s="18" t="inlineStr"/>
      <c r="AR499" s="18" t="inlineStr">
        <is>
          <t>OK_NO_TOTALS</t>
        </is>
      </c>
      <c r="AS499" s="18" t="inlineStr">
        <is>
          <t>ROWS:p3r26 UNRECONCILED_SOURCE</t>
        </is>
      </c>
      <c r="AT499" s="18" t="inlineStr">
        <is>
          <t>741aed48dd00</t>
        </is>
      </c>
    </row>
    <row r="500">
      <c r="A500" s="9" t="n">
        <v>499</v>
      </c>
      <c r="B500" s="9" t="inlineStr">
        <is>
          <t>NEW</t>
        </is>
      </c>
      <c r="C500" s="9" t="inlineStr"/>
      <c r="D500" s="9" t="n">
        <v>0</v>
      </c>
      <c r="E500" s="9" t="inlineStr"/>
      <c r="F500" s="9" t="inlineStr"/>
      <c r="G500" s="9" t="inlineStr"/>
      <c r="H500" s="9" t="inlineStr"/>
      <c r="I500" t="inlineStr">
        <is>
          <t>GAZIN ATACADO CENTRO-OESTE LTDA</t>
        </is>
      </c>
      <c r="J500" t="inlineStr">
        <is>
          <t>Gazin Atacado Centro- Oeste Ltda</t>
        </is>
      </c>
      <c r="K500" t="inlineStr">
        <is>
          <t>22962737</t>
        </is>
      </c>
      <c r="L500" t="inlineStr">
        <is>
          <t>22962737000128</t>
        </is>
      </c>
      <c r="M500" s="10" t="n">
        <v>242126.42</v>
      </c>
      <c r="N500" t="n">
        <v>1</v>
      </c>
      <c r="O500" s="11" t="inlineStr">
        <is>
          <t>C</t>
        </is>
      </c>
      <c r="P500" s="11" t="inlineStr">
        <is>
          <t>ACTIVE</t>
        </is>
      </c>
      <c r="Q500" s="12" t="n">
        <v>44987</v>
      </c>
      <c r="R500" s="11">
        <f>IF(Q500="","",ROUND((TODAY()-Q500)/365.25,1))</f>
        <v/>
      </c>
      <c r="S500" s="13">
        <f>IFERROR(VLOOKUP(O500,Assumptions!$A$7:$F$11,2,FALSE),0.25)</f>
        <v/>
      </c>
      <c r="T500" s="14">
        <f>IF(O500="A",MAX(1,IFERROR(VLOOKUP(O500,Assumptions!$A$7:$F$11,3,FALSE),3)+IFERROR(VLOOKUP(O500,Assumptions!$A$7:$F$11,4,FALSE),8)/2-MAX(0,IF(R500="",0,R500)-IFERROR(VLOOKUP(O500,Assumptions!$A$7:$F$11,5,FALSE),1.5))),IFERROR(VLOOKUP(O500,Assumptions!$A$7:$F$11,5,FALSE),2.5)+IFERROR(VLOOKUP(O500,Assumptions!$A$7:$F$11,3,FALSE),3)+IFERROR(VLOOKUP(O500,Assumptions!$A$7:$F$11,4,FALSE),8)/2)</f>
        <v/>
      </c>
      <c r="U500" s="15">
        <f>M500*S500/(1+Assumptions!$B$3)^T500</f>
        <v/>
      </c>
      <c r="V500" s="11">
        <f>IF(M500=0,"",ROUND(U500/M500*100,1))</f>
        <v/>
      </c>
      <c r="W500" s="16">
        <f>U500*Assumptions!$B$4</f>
        <v/>
      </c>
      <c r="X500" s="11">
        <f>IF(M500=0,"",ROUND(W500/M500*100,1))</f>
        <v/>
      </c>
      <c r="Y500" t="inlineStr">
        <is>
          <t>GRUPO DP4</t>
        </is>
      </c>
      <c r="Z500" t="inlineStr">
        <is>
          <t>0005010-98.2023.8.16.0001</t>
        </is>
      </c>
      <c r="AA500" t="inlineStr">
        <is>
          <t>TJPR</t>
        </is>
      </c>
      <c r="AB500" t="inlineStr">
        <is>
          <t>marquesadmjudicial.com.br</t>
        </is>
      </c>
      <c r="AC500" t="inlineStr">
        <is>
          <t>ANTONIO ROBERTO GAZIN</t>
        </is>
      </c>
      <c r="AD500" t="inlineStr">
        <is>
          <t>Administrador</t>
        </is>
      </c>
      <c r="AE500" t="inlineStr">
        <is>
          <t>(44) 3663-8000</t>
        </is>
      </c>
      <c r="AF500" t="inlineStr"/>
      <c r="AG500" t="inlineStr"/>
      <c r="AH500" t="inlineStr">
        <is>
          <t>GO</t>
        </is>
      </c>
      <c r="AI500" t="inlineStr">
        <is>
          <t>IPAMERI</t>
        </is>
      </c>
      <c r="AJ500" t="inlineStr">
        <is>
          <t>Comércio atacadista de equipamentos elétricos de uso pessoal e doméstico</t>
        </is>
      </c>
      <c r="AK500" t="inlineStr">
        <is>
          <t>DEMAIS</t>
        </is>
      </c>
      <c r="AL500" t="inlineStr">
        <is>
          <t>ATIVA</t>
        </is>
      </c>
      <c r="AM500" s="17" t="inlineStr">
        <is>
          <t>https://marquesadmjudicial.com.br/sgc/download.php?file=files/processo_documento/processo_documento15293208032024_1_.pdf&amp;nome=Relação Nominal de Credores da AJ-Sintética</t>
        </is>
      </c>
      <c r="AN500" s="18" t="inlineStr">
        <is>
          <t>p26 r2</t>
        </is>
      </c>
      <c r="AO500" s="18" t="inlineStr">
        <is>
          <t>p26: R$ 242.126,42</t>
        </is>
      </c>
      <c r="AP500" s="18" t="inlineStr">
        <is>
          <t>AJ_LIST</t>
        </is>
      </c>
      <c r="AQ500" s="18" t="inlineStr">
        <is>
          <t>2023-03-02</t>
        </is>
      </c>
      <c r="AR500" s="18" t="inlineStr">
        <is>
          <t>QUARANTINED</t>
        </is>
      </c>
      <c r="AS500" s="18" t="inlineStr">
        <is>
          <t>PARTIAL_DOC_CLASS_III_RECONCILED ROWS:p26r2</t>
        </is>
      </c>
      <c r="AT500" s="18" t="inlineStr">
        <is>
          <t>b465a5d11eec</t>
        </is>
      </c>
    </row>
    <row r="501">
      <c r="A501" s="9" t="n">
        <v>500</v>
      </c>
      <c r="B501" s="9" t="inlineStr">
        <is>
          <t>NEW</t>
        </is>
      </c>
      <c r="C501" s="9" t="inlineStr"/>
      <c r="D501" s="9" t="n">
        <v>0</v>
      </c>
      <c r="E501" s="9" t="inlineStr"/>
      <c r="F501" s="9" t="inlineStr"/>
      <c r="G501" s="9" t="inlineStr"/>
      <c r="H501" s="9" t="inlineStr"/>
      <c r="I501" t="inlineStr">
        <is>
          <t>MDG INDUSTRIA E COMERCIO DE PLASTICOS LTDA</t>
        </is>
      </c>
      <c r="J501" t="inlineStr">
        <is>
          <t>MDG INDUSTRIA E COMERCIO DE PLASTICOS LTDA</t>
        </is>
      </c>
      <c r="K501" t="inlineStr">
        <is>
          <t>35474405</t>
        </is>
      </c>
      <c r="L501" t="inlineStr">
        <is>
          <t>35474405000227</t>
        </is>
      </c>
      <c r="M501" s="10" t="n">
        <v>241458.9</v>
      </c>
      <c r="N501" t="n">
        <v>1</v>
      </c>
      <c r="O501" s="11" t="inlineStr">
        <is>
          <t>C</t>
        </is>
      </c>
      <c r="P501" s="11" t="inlineStr">
        <is>
          <t>ACTIVE</t>
        </is>
      </c>
      <c r="Q501" s="12" t="n">
        <v>45154</v>
      </c>
      <c r="R501" s="11">
        <f>IF(Q501="","",ROUND((TODAY()-Q501)/365.25,1))</f>
        <v/>
      </c>
      <c r="S501" s="13">
        <f>IFERROR(VLOOKUP(O501,Assumptions!$A$7:$F$11,2,FALSE),0.25)</f>
        <v/>
      </c>
      <c r="T501" s="14">
        <f>IF(O501="A",MAX(1,IFERROR(VLOOKUP(O501,Assumptions!$A$7:$F$11,3,FALSE),3)+IFERROR(VLOOKUP(O501,Assumptions!$A$7:$F$11,4,FALSE),8)/2-MAX(0,IF(R501="",0,R501)-IFERROR(VLOOKUP(O501,Assumptions!$A$7:$F$11,5,FALSE),1.5))),IFERROR(VLOOKUP(O501,Assumptions!$A$7:$F$11,5,FALSE),2.5)+IFERROR(VLOOKUP(O501,Assumptions!$A$7:$F$11,3,FALSE),3)+IFERROR(VLOOKUP(O501,Assumptions!$A$7:$F$11,4,FALSE),8)/2)</f>
        <v/>
      </c>
      <c r="U501" s="15">
        <f>M501*S501/(1+Assumptions!$B$3)^T501</f>
        <v/>
      </c>
      <c r="V501" s="11">
        <f>IF(M501=0,"",ROUND(U501/M501*100,1))</f>
        <v/>
      </c>
      <c r="W501" s="16">
        <f>U501*Assumptions!$B$4</f>
        <v/>
      </c>
      <c r="X501" s="11">
        <f>IF(M501=0,"",ROUND(W501/M501*100,1))</f>
        <v/>
      </c>
      <c r="Y501" t="inlineStr">
        <is>
          <t>AZEPLAST INDÚSTRIA E COMÉRCIO LTDA</t>
        </is>
      </c>
      <c r="Z501" t="inlineStr">
        <is>
          <t>5008793-34.2023.8.24.0019</t>
        </is>
      </c>
      <c r="AA501" t="inlineStr">
        <is>
          <t>TJSC</t>
        </is>
      </c>
      <c r="AB501" t="inlineStr">
        <is>
          <t>ajruiz.com.br</t>
        </is>
      </c>
      <c r="AC501" t="inlineStr">
        <is>
          <t>GLEB BERGER ZOMER</t>
        </is>
      </c>
      <c r="AD501" t="inlineStr">
        <is>
          <t>Administrador</t>
        </is>
      </c>
      <c r="AE501" t="inlineStr">
        <is>
          <t>(92) 3199-8840</t>
        </is>
      </c>
      <c r="AF501" t="inlineStr"/>
      <c r="AG501" t="inlineStr"/>
      <c r="AH501" t="inlineStr">
        <is>
          <t>AM</t>
        </is>
      </c>
      <c r="AI501" t="inlineStr">
        <is>
          <t>MANAUS</t>
        </is>
      </c>
      <c r="AJ501" t="inlineStr">
        <is>
          <t>Fabricação de embalagens de material plástico</t>
        </is>
      </c>
      <c r="AK501" t="inlineStr">
        <is>
          <t>DEMAIS</t>
        </is>
      </c>
      <c r="AL501" t="inlineStr">
        <is>
          <t>ATIVA</t>
        </is>
      </c>
      <c r="AM501" s="17" t="inlineStr">
        <is>
          <t>https://ajruiz.com.br/sites/default/files/public/arquivos-processos/2026-08/qgc_azeplast_julho_2026.pdf</t>
        </is>
      </c>
      <c r="AN501" s="18" t="inlineStr">
        <is>
          <t>p1 r41</t>
        </is>
      </c>
      <c r="AO501" s="18" t="inlineStr">
        <is>
          <t>p1: R$ 241.458,90</t>
        </is>
      </c>
      <c r="AP501" s="18" t="inlineStr">
        <is>
          <t>QGC</t>
        </is>
      </c>
      <c r="AQ501" s="18" t="inlineStr"/>
      <c r="AR501" s="18" t="inlineStr">
        <is>
          <t>QUARANTINED</t>
        </is>
      </c>
      <c r="AS501" s="18" t="inlineStr">
        <is>
          <t>PARTIAL_DOC_CLASS_III_RECONCILED ROWS:p1r41</t>
        </is>
      </c>
      <c r="AT501" s="18" t="inlineStr">
        <is>
          <t>229081edb0ea</t>
        </is>
      </c>
    </row>
    <row r="502">
      <c r="A502" s="9" t="n">
        <v>501</v>
      </c>
      <c r="B502" s="9" t="inlineStr">
        <is>
          <t>NEW</t>
        </is>
      </c>
      <c r="C502" s="9" t="inlineStr"/>
      <c r="D502" s="9" t="n">
        <v>0</v>
      </c>
      <c r="E502" s="9" t="inlineStr"/>
      <c r="F502" s="9" t="inlineStr"/>
      <c r="G502" s="9" t="inlineStr"/>
      <c r="H502" s="9" t="inlineStr"/>
      <c r="I502" t="inlineStr">
        <is>
          <t>H J MALHAS LTDA</t>
        </is>
      </c>
      <c r="J502" t="inlineStr">
        <is>
          <t>HJ MALHAS LTDA</t>
        </is>
      </c>
      <c r="K502" t="inlineStr">
        <is>
          <t>85335487</t>
        </is>
      </c>
      <c r="L502" t="inlineStr">
        <is>
          <t>85335487000116</t>
        </is>
      </c>
      <c r="M502" s="10" t="n">
        <v>240337.28</v>
      </c>
      <c r="N502" t="n">
        <v>1</v>
      </c>
      <c r="O502" s="11" t="inlineStr">
        <is>
          <t>C</t>
        </is>
      </c>
      <c r="P502" s="11" t="inlineStr"/>
      <c r="Q502" s="12" t="inlineStr"/>
      <c r="R502" s="11">
        <f>IF(Q502="","",ROUND((TODAY()-Q502)/365.25,1))</f>
        <v/>
      </c>
      <c r="S502" s="13">
        <f>IFERROR(VLOOKUP(O502,Assumptions!$A$7:$F$11,2,FALSE),0.25)</f>
        <v/>
      </c>
      <c r="T502" s="14">
        <f>IF(O502="A",MAX(1,IFERROR(VLOOKUP(O502,Assumptions!$A$7:$F$11,3,FALSE),3)+IFERROR(VLOOKUP(O502,Assumptions!$A$7:$F$11,4,FALSE),8)/2-MAX(0,IF(R502="",0,R502)-IFERROR(VLOOKUP(O502,Assumptions!$A$7:$F$11,5,FALSE),1.5))),IFERROR(VLOOKUP(O502,Assumptions!$A$7:$F$11,5,FALSE),2.5)+IFERROR(VLOOKUP(O502,Assumptions!$A$7:$F$11,3,FALSE),3)+IFERROR(VLOOKUP(O502,Assumptions!$A$7:$F$11,4,FALSE),8)/2)</f>
        <v/>
      </c>
      <c r="U502" s="15">
        <f>M502*S502/(1+Assumptions!$B$3)^T502</f>
        <v/>
      </c>
      <c r="V502" s="11">
        <f>IF(M502=0,"",ROUND(U502/M502*100,1))</f>
        <v/>
      </c>
      <c r="W502" s="16">
        <f>U502*Assumptions!$B$4</f>
        <v/>
      </c>
      <c r="X502" s="11">
        <f>IF(M502=0,"",ROUND(W502/M502*100,1))</f>
        <v/>
      </c>
      <c r="Y502" t="inlineStr">
        <is>
          <t>CONFECÇÕES ANDRIMALHAS LTDA</t>
        </is>
      </c>
      <c r="Z502" t="inlineStr">
        <is>
          <t>0302174-63.2015.8.24.0025</t>
        </is>
      </c>
      <c r="AA502" t="inlineStr"/>
      <c r="AB502" t="inlineStr">
        <is>
          <t>administradorajudicialgs.com.br</t>
        </is>
      </c>
      <c r="AC502" t="inlineStr">
        <is>
          <t>HENNING JONK FILHO</t>
        </is>
      </c>
      <c r="AD502" t="inlineStr">
        <is>
          <t>Sócio-Administrador</t>
        </is>
      </c>
      <c r="AE502" t="inlineStr">
        <is>
          <t>(47) 3251-0000</t>
        </is>
      </c>
      <c r="AF502" t="inlineStr"/>
      <c r="AG502" t="inlineStr"/>
      <c r="AH502" t="inlineStr">
        <is>
          <t>SC</t>
        </is>
      </c>
      <c r="AI502" t="inlineStr">
        <is>
          <t>BRUSQUE</t>
        </is>
      </c>
      <c r="AJ502" t="inlineStr">
        <is>
          <t>Alvejamento, tingimento e torção em fios, tecidos, artefatos têxteis e peças do vestuário</t>
        </is>
      </c>
      <c r="AK502" t="inlineStr">
        <is>
          <t>DEMAIS</t>
        </is>
      </c>
      <c r="AL502" t="inlineStr">
        <is>
          <t>ATIVA</t>
        </is>
      </c>
      <c r="AM502" s="17" t="inlineStr">
        <is>
          <t>https://administradorajudicialgs.com.br/wp-content/uploads/2023/08/doc-06-relacao-credores-do-administrador-judicial-10-02-2015.pdf</t>
        </is>
      </c>
      <c r="AN502" s="18" t="inlineStr">
        <is>
          <t>p2 r13</t>
        </is>
      </c>
      <c r="AO502" s="18" t="inlineStr">
        <is>
          <t>p2: R$ 240.337,28</t>
        </is>
      </c>
      <c r="AP502" s="18" t="inlineStr">
        <is>
          <t>AJ_LIST</t>
        </is>
      </c>
      <c r="AQ502" s="18" t="inlineStr"/>
      <c r="AR502" s="18" t="inlineStr">
        <is>
          <t>QUARANTINED</t>
        </is>
      </c>
      <c r="AS502" s="18" t="inlineStr">
        <is>
          <t>PARTIAL_DOC_CLASS_III_RECONCILED ROWS:p2r13</t>
        </is>
      </c>
      <c r="AT502" s="18" t="inlineStr">
        <is>
          <t>d403116b357d</t>
        </is>
      </c>
    </row>
    <row r="503">
      <c r="A503" s="9" t="n">
        <v>502</v>
      </c>
      <c r="B503" s="9" t="inlineStr">
        <is>
          <t>NEW</t>
        </is>
      </c>
      <c r="C503" s="9" t="inlineStr"/>
      <c r="D503" s="9" t="n">
        <v>0</v>
      </c>
      <c r="E503" s="9" t="inlineStr"/>
      <c r="F503" s="9" t="inlineStr"/>
      <c r="G503" s="9" t="inlineStr"/>
      <c r="H503" s="9" t="inlineStr"/>
      <c r="I503" t="inlineStr">
        <is>
          <t>PELOZATO HENRIQUE SOCIEDADE INDIVIDUAL DE ADVOCACIA</t>
        </is>
      </c>
      <c r="J503" t="inlineStr">
        <is>
          <t>AVENIDA CAUAXI ANDAR 28 CONJ 2802 293 ALPHAVILLE CENTRO INDUSTRIAL E EMPRESARIAL/ALPHAVILLE. 6454020</t>
        </is>
      </c>
      <c r="K503" t="inlineStr">
        <is>
          <t>28929686</t>
        </is>
      </c>
      <c r="L503" t="inlineStr">
        <is>
          <t>28929686000119</t>
        </is>
      </c>
      <c r="M503" s="10" t="n">
        <v>240000</v>
      </c>
      <c r="N503" t="n">
        <v>1</v>
      </c>
      <c r="O503" s="11" t="inlineStr">
        <is>
          <t>B</t>
        </is>
      </c>
      <c r="P503" s="11" t="inlineStr">
        <is>
          <t>ACTIVE</t>
        </is>
      </c>
      <c r="Q503" s="12" t="n">
        <v>45964</v>
      </c>
      <c r="R503" s="11">
        <f>IF(Q503="","",ROUND((TODAY()-Q503)/365.25,1))</f>
        <v/>
      </c>
      <c r="S503" s="13">
        <f>IFERROR(VLOOKUP(O503,Assumptions!$A$7:$F$11,2,FALSE),0.25)</f>
        <v/>
      </c>
      <c r="T503" s="14">
        <f>IF(O503="A",MAX(1,IFERROR(VLOOKUP(O503,Assumptions!$A$7:$F$11,3,FALSE),3)+IFERROR(VLOOKUP(O503,Assumptions!$A$7:$F$11,4,FALSE),8)/2-MAX(0,IF(R503="",0,R503)-IFERROR(VLOOKUP(O503,Assumptions!$A$7:$F$11,5,FALSE),1.5))),IFERROR(VLOOKUP(O503,Assumptions!$A$7:$F$11,5,FALSE),2.5)+IFERROR(VLOOKUP(O503,Assumptions!$A$7:$F$11,3,FALSE),3)+IFERROR(VLOOKUP(O503,Assumptions!$A$7:$F$11,4,FALSE),8)/2)</f>
        <v/>
      </c>
      <c r="U503" s="15">
        <f>M503*S503/(1+Assumptions!$B$3)^T503</f>
        <v/>
      </c>
      <c r="V503" s="11">
        <f>IF(M503=0,"",ROUND(U503/M503*100,1))</f>
        <v/>
      </c>
      <c r="W503" s="16">
        <f>U503*Assumptions!$B$4</f>
        <v/>
      </c>
      <c r="X503" s="11">
        <f>IF(M503=0,"",ROUND(W503/M503*100,1))</f>
        <v/>
      </c>
      <c r="Y503" t="inlineStr">
        <is>
          <t>CENTURY CONSTRUÇÕES COMÉRCIO E SERVIÇOS LTDA.</t>
        </is>
      </c>
      <c r="Z503" t="inlineStr">
        <is>
          <t>4054599-35.2025.8.26.0100</t>
        </is>
      </c>
      <c r="AA503" t="inlineStr">
        <is>
          <t>TJSP</t>
        </is>
      </c>
      <c r="AB503" t="inlineStr">
        <is>
          <t>ativosajce.com.br</t>
        </is>
      </c>
      <c r="AC503" t="inlineStr">
        <is>
          <t>MARCOS PELOZATO HENRIQUE</t>
        </is>
      </c>
      <c r="AD503" t="inlineStr">
        <is>
          <t>Sócio-Administrador</t>
        </is>
      </c>
      <c r="AE503" t="inlineStr">
        <is>
          <t>(11) 2198-4677</t>
        </is>
      </c>
      <c r="AF503" t="inlineStr"/>
      <c r="AG503" t="inlineStr"/>
      <c r="AH503" t="inlineStr">
        <is>
          <t>SP</t>
        </is>
      </c>
      <c r="AI503" t="inlineStr">
        <is>
          <t>BARUERI</t>
        </is>
      </c>
      <c r="AJ503" t="inlineStr">
        <is>
          <t>Serviços advocatícios</t>
        </is>
      </c>
      <c r="AK503" t="inlineStr">
        <is>
          <t>DEMAIS</t>
        </is>
      </c>
      <c r="AL503" t="inlineStr">
        <is>
          <t>ATIVA</t>
        </is>
      </c>
      <c r="AM503" s="17" t="inlineStr">
        <is>
          <t>https://ativosajce.com.br/admin/download.php?file=files/processo_documento/processo_documento16022716122025_1_.pdf&amp;nome=Relação de credores - art. 52, §1º da Lei 11.101/05 - 15/12/2025</t>
        </is>
      </c>
      <c r="AN503" s="18" t="inlineStr">
        <is>
          <t>p4 r2</t>
        </is>
      </c>
      <c r="AO503" s="18" t="inlineStr">
        <is>
          <t>p4: R$ 240.000,00</t>
        </is>
      </c>
      <c r="AP503" s="18" t="inlineStr">
        <is>
          <t>UNKNOWN</t>
        </is>
      </c>
      <c r="AQ503" s="18" t="inlineStr"/>
      <c r="AR503" s="18" t="inlineStr">
        <is>
          <t>OK_NO_TOTALS</t>
        </is>
      </c>
      <c r="AS503" s="18" t="inlineStr">
        <is>
          <t>ROWS:p4r2 UNRECONCILED_SOURCE</t>
        </is>
      </c>
      <c r="AT503" s="18" t="inlineStr">
        <is>
          <t>2fe04bf4466d</t>
        </is>
      </c>
    </row>
    <row r="504">
      <c r="A504" s="9" t="n">
        <v>503</v>
      </c>
      <c r="B504" s="9" t="inlineStr">
        <is>
          <t>NEW</t>
        </is>
      </c>
      <c r="C504" s="9" t="inlineStr"/>
      <c r="D504" s="9" t="n">
        <v>0</v>
      </c>
      <c r="E504" s="9" t="inlineStr"/>
      <c r="F504" s="9" t="inlineStr"/>
      <c r="G504" s="9" t="inlineStr"/>
      <c r="H504" s="9" t="inlineStr"/>
      <c r="I504" t="inlineStr">
        <is>
          <t>CARGILL NOVOS HORIZONTES LTDA</t>
        </is>
      </c>
      <c r="J504" t="inlineStr">
        <is>
          <t>Cargil Novos Horizontes Ltda</t>
        </is>
      </c>
      <c r="K504" t="inlineStr">
        <is>
          <t>50290329</t>
        </is>
      </c>
      <c r="L504" t="inlineStr">
        <is>
          <t>50290329002660</t>
        </is>
      </c>
      <c r="M504" s="10" t="n">
        <v>239695</v>
      </c>
      <c r="N504" t="n">
        <v>1</v>
      </c>
      <c r="O504" s="11" t="inlineStr">
        <is>
          <t>B</t>
        </is>
      </c>
      <c r="P504" s="11" t="inlineStr">
        <is>
          <t>ACTIVE</t>
        </is>
      </c>
      <c r="Q504" s="12" t="n">
        <v>46130</v>
      </c>
      <c r="R504" s="11">
        <f>IF(Q504="","",ROUND((TODAY()-Q504)/365.25,1))</f>
        <v/>
      </c>
      <c r="S504" s="13">
        <f>IFERROR(VLOOKUP(O504,Assumptions!$A$7:$F$11,2,FALSE),0.25)</f>
        <v/>
      </c>
      <c r="T504" s="14">
        <f>IF(O504="A",MAX(1,IFERROR(VLOOKUP(O504,Assumptions!$A$7:$F$11,3,FALSE),3)+IFERROR(VLOOKUP(O504,Assumptions!$A$7:$F$11,4,FALSE),8)/2-MAX(0,IF(R504="",0,R504)-IFERROR(VLOOKUP(O504,Assumptions!$A$7:$F$11,5,FALSE),1.5))),IFERROR(VLOOKUP(O504,Assumptions!$A$7:$F$11,5,FALSE),2.5)+IFERROR(VLOOKUP(O504,Assumptions!$A$7:$F$11,3,FALSE),3)+IFERROR(VLOOKUP(O504,Assumptions!$A$7:$F$11,4,FALSE),8)/2)</f>
        <v/>
      </c>
      <c r="U504" s="15">
        <f>M504*S504/(1+Assumptions!$B$3)^T504</f>
        <v/>
      </c>
      <c r="V504" s="11">
        <f>IF(M504=0,"",ROUND(U504/M504*100,1))</f>
        <v/>
      </c>
      <c r="W504" s="16">
        <f>U504*Assumptions!$B$4</f>
        <v/>
      </c>
      <c r="X504" s="11">
        <f>IF(M504=0,"",ROUND(W504/M504*100,1))</f>
        <v/>
      </c>
      <c r="Y504" t="inlineStr">
        <is>
          <t>GRUPO 3E</t>
        </is>
      </c>
      <c r="Z504" t="inlineStr">
        <is>
          <t>5341375-33.2026.8.09.0049</t>
        </is>
      </c>
      <c r="AA504" t="inlineStr">
        <is>
          <t>TJGO</t>
        </is>
      </c>
      <c r="AB504" t="inlineStr">
        <is>
          <t>stenius.com.br</t>
        </is>
      </c>
      <c r="AC504" t="inlineStr">
        <is>
          <t>ANDREA WANDERLEY DOS ANJOS</t>
        </is>
      </c>
      <c r="AD504" t="inlineStr">
        <is>
          <t>Administrador</t>
        </is>
      </c>
      <c r="AE504" t="inlineStr">
        <is>
          <t>(11) 5099-3311</t>
        </is>
      </c>
      <c r="AF504" t="inlineStr"/>
      <c r="AG504" t="inlineStr"/>
      <c r="AH504" t="inlineStr">
        <is>
          <t>SP</t>
        </is>
      </c>
      <c r="AI504" t="inlineStr">
        <is>
          <t>SAO PAULO</t>
        </is>
      </c>
      <c r="AJ504" t="inlineStr">
        <is>
          <t>Fabricação de óleos vegetais em bruto, exceto óleo de milho</t>
        </is>
      </c>
      <c r="AK504" t="inlineStr">
        <is>
          <t>DEMAIS</t>
        </is>
      </c>
      <c r="AL504" t="inlineStr">
        <is>
          <t>ATIVA</t>
        </is>
      </c>
      <c r="AM504" s="17" t="inlineStr">
        <is>
          <t>https://stenius.com.br/wp-content/uploads/2026/06/EDITAL-GRUPO-3E.pdf</t>
        </is>
      </c>
      <c r="AN504" s="18" t="inlineStr">
        <is>
          <t>p11 r34</t>
        </is>
      </c>
      <c r="AO504" s="18" t="inlineStr">
        <is>
          <t>p11: R$ 239.695,00</t>
        </is>
      </c>
      <c r="AP504" s="18" t="inlineStr">
        <is>
          <t>DEBTOR_LIST</t>
        </is>
      </c>
      <c r="AQ504" s="18" t="inlineStr">
        <is>
          <t>2026-06-22</t>
        </is>
      </c>
      <c r="AR504" s="18" t="inlineStr">
        <is>
          <t>OK_NO_TOTALS</t>
        </is>
      </c>
      <c r="AS504" s="18" t="inlineStr">
        <is>
          <t>ROWS:p11r34 UNRECONCILED_SOURCE</t>
        </is>
      </c>
      <c r="AT504" s="18" t="inlineStr">
        <is>
          <t>8e8832093a15</t>
        </is>
      </c>
    </row>
    <row r="505">
      <c r="A505" s="9" t="n">
        <v>504</v>
      </c>
      <c r="B505" s="9" t="inlineStr">
        <is>
          <t>NEW</t>
        </is>
      </c>
      <c r="C505" s="9" t="inlineStr"/>
      <c r="D505" s="9" t="n">
        <v>0</v>
      </c>
      <c r="E505" s="9" t="inlineStr"/>
      <c r="F505" s="9" t="inlineStr"/>
      <c r="G505" s="9" t="inlineStr"/>
      <c r="H505" s="9" t="inlineStr"/>
      <c r="I505" t="inlineStr">
        <is>
          <t>BCR - COMERCIO E DISTRIBUICAO DE IMPLANTES CIRURGICOS LTDA.</t>
        </is>
      </c>
      <c r="J505" t="inlineStr">
        <is>
          <t>BCR - COMERCIO E DISTRIBUIÇÃO DE IMPLANTES CIRURGICOS -EPP (</t>
        </is>
      </c>
      <c r="K505" t="inlineStr">
        <is>
          <t>17958615</t>
        </is>
      </c>
      <c r="L505" t="inlineStr">
        <is>
          <t>17958615000128</t>
        </is>
      </c>
      <c r="M505" s="10" t="n">
        <v>239412.95</v>
      </c>
      <c r="N505" t="n">
        <v>1</v>
      </c>
      <c r="O505" s="11" t="inlineStr">
        <is>
          <t>C</t>
        </is>
      </c>
      <c r="P505" s="11" t="inlineStr">
        <is>
          <t>ACTIVE</t>
        </is>
      </c>
      <c r="Q505" s="12" t="n">
        <v>44735</v>
      </c>
      <c r="R505" s="11">
        <f>IF(Q505="","",ROUND((TODAY()-Q505)/365.25,1))</f>
        <v/>
      </c>
      <c r="S505" s="13">
        <f>IFERROR(VLOOKUP(O505,Assumptions!$A$7:$F$11,2,FALSE),0.25)</f>
        <v/>
      </c>
      <c r="T505" s="14">
        <f>IF(O505="A",MAX(1,IFERROR(VLOOKUP(O505,Assumptions!$A$7:$F$11,3,FALSE),3)+IFERROR(VLOOKUP(O505,Assumptions!$A$7:$F$11,4,FALSE),8)/2-MAX(0,IF(R505="",0,R505)-IFERROR(VLOOKUP(O505,Assumptions!$A$7:$F$11,5,FALSE),1.5))),IFERROR(VLOOKUP(O505,Assumptions!$A$7:$F$11,5,FALSE),2.5)+IFERROR(VLOOKUP(O505,Assumptions!$A$7:$F$11,3,FALSE),3)+IFERROR(VLOOKUP(O505,Assumptions!$A$7:$F$11,4,FALSE),8)/2)</f>
        <v/>
      </c>
      <c r="U505" s="15">
        <f>M505*S505/(1+Assumptions!$B$3)^T505</f>
        <v/>
      </c>
      <c r="V505" s="11">
        <f>IF(M505=0,"",ROUND(U505/M505*100,1))</f>
        <v/>
      </c>
      <c r="W505" s="16">
        <f>U505*Assumptions!$B$4</f>
        <v/>
      </c>
      <c r="X505" s="11">
        <f>IF(M505=0,"",ROUND(W505/M505*100,1))</f>
        <v/>
      </c>
      <c r="Y505" t="inlineStr">
        <is>
          <t>ASSOCIAÇÃO DE CARIDADE SANTA CASA DO RIO GRANDE</t>
        </is>
      </c>
      <c r="Z505" t="inlineStr">
        <is>
          <t>5012306-16.2022.8.21.0023</t>
        </is>
      </c>
      <c r="AA505" t="inlineStr">
        <is>
          <t>TJRS</t>
        </is>
      </c>
      <c r="AB505" t="inlineStr">
        <is>
          <t>scalzilliaj.com.br</t>
        </is>
      </c>
      <c r="AC505" t="inlineStr">
        <is>
          <t>ELIANE BETIATTO</t>
        </is>
      </c>
      <c r="AD505" t="inlineStr">
        <is>
          <t>Sócio-Administrador</t>
        </is>
      </c>
      <c r="AE505" t="inlineStr">
        <is>
          <t>(51) 3334-8589</t>
        </is>
      </c>
      <c r="AF505" t="inlineStr"/>
      <c r="AG505" t="inlineStr"/>
      <c r="AH505" t="inlineStr">
        <is>
          <t>RS</t>
        </is>
      </c>
      <c r="AI505" t="inlineStr">
        <is>
          <t>PORTO ALEGRE</t>
        </is>
      </c>
      <c r="AJ505" t="inlineStr">
        <is>
          <t>Comércio atacadista de instrumentos e materiais para uso médico, cirúrgico, hospitalar e de laboratórios</t>
        </is>
      </c>
      <c r="AK505" t="inlineStr">
        <is>
          <t>DEMAIS</t>
        </is>
      </c>
      <c r="AL505" t="inlineStr">
        <is>
          <t>ATIVA</t>
        </is>
      </c>
      <c r="AM505" s="17" t="inlineStr">
        <is>
          <t>https://scalzilliaj.com.br/sgc/download.php?file=files/processo_documento/processo_documento09120721032023_1_.pdf&amp;nome=15 - Edital do art. 7º, §2º e 53 da Lei 11.101/2005 (segunda lista de credores e recebimento do plano))</t>
        </is>
      </c>
      <c r="AN505" s="18" t="inlineStr">
        <is>
          <t>p26 r3</t>
        </is>
      </c>
      <c r="AO505" s="18" t="inlineStr">
        <is>
          <t>p26: R$ 239.412,95</t>
        </is>
      </c>
      <c r="AP505" s="18" t="inlineStr">
        <is>
          <t>AJ_LIST</t>
        </is>
      </c>
      <c r="AQ505" s="18" t="inlineStr">
        <is>
          <t>2023-03-21</t>
        </is>
      </c>
      <c r="AR505" s="18" t="inlineStr">
        <is>
          <t>OK_NO_TOTALS</t>
        </is>
      </c>
      <c r="AS505" s="18" t="inlineStr">
        <is>
          <t>ROWS:p26r3 UNRECONCILED_SOURCE</t>
        </is>
      </c>
      <c r="AT505" s="18" t="inlineStr">
        <is>
          <t>ebfb999b457c</t>
        </is>
      </c>
    </row>
    <row r="506">
      <c r="A506" s="9" t="n">
        <v>505</v>
      </c>
      <c r="B506" s="9" t="inlineStr">
        <is>
          <t>NEW</t>
        </is>
      </c>
      <c r="C506" s="9" t="inlineStr"/>
      <c r="D506" s="9" t="n">
        <v>0</v>
      </c>
      <c r="E506" s="9" t="inlineStr"/>
      <c r="F506" s="9" t="inlineStr"/>
      <c r="G506" s="9" t="inlineStr"/>
      <c r="H506" s="9" t="inlineStr"/>
      <c r="I506" t="inlineStr">
        <is>
          <t>EMPREENDIMENTO IMOBILIARIO IB GATTO SPE LTDA - EM RECUPERACAO JUDICIAL</t>
        </is>
      </c>
      <c r="J506" t="inlineStr">
        <is>
          <t>EMPREENDIMENTO IMOBILIARIO IB GATTO SPE LTDA</t>
        </is>
      </c>
      <c r="K506" t="inlineStr">
        <is>
          <t>15640226</t>
        </is>
      </c>
      <c r="L506" t="inlineStr">
        <is>
          <t>15640226000124</t>
        </is>
      </c>
      <c r="M506" s="10" t="n">
        <v>239311.13</v>
      </c>
      <c r="N506" t="n">
        <v>1</v>
      </c>
      <c r="O506" s="11" t="inlineStr">
        <is>
          <t>C</t>
        </is>
      </c>
      <c r="P506" s="11" t="inlineStr"/>
      <c r="Q506" s="12" t="inlineStr"/>
      <c r="R506" s="11">
        <f>IF(Q506="","",ROUND((TODAY()-Q506)/365.25,1))</f>
        <v/>
      </c>
      <c r="S506" s="13">
        <f>IFERROR(VLOOKUP(O506,Assumptions!$A$7:$F$11,2,FALSE),0.25)</f>
        <v/>
      </c>
      <c r="T506" s="14">
        <f>IF(O506="A",MAX(1,IFERROR(VLOOKUP(O506,Assumptions!$A$7:$F$11,3,FALSE),3)+IFERROR(VLOOKUP(O506,Assumptions!$A$7:$F$11,4,FALSE),8)/2-MAX(0,IF(R506="",0,R506)-IFERROR(VLOOKUP(O506,Assumptions!$A$7:$F$11,5,FALSE),1.5))),IFERROR(VLOOKUP(O506,Assumptions!$A$7:$F$11,5,FALSE),2.5)+IFERROR(VLOOKUP(O506,Assumptions!$A$7:$F$11,3,FALSE),3)+IFERROR(VLOOKUP(O506,Assumptions!$A$7:$F$11,4,FALSE),8)/2)</f>
        <v/>
      </c>
      <c r="U506" s="15">
        <f>M506*S506/(1+Assumptions!$B$3)^T506</f>
        <v/>
      </c>
      <c r="V506" s="11">
        <f>IF(M506=0,"",ROUND(U506/M506*100,1))</f>
        <v/>
      </c>
      <c r="W506" s="16">
        <f>U506*Assumptions!$B$4</f>
        <v/>
      </c>
      <c r="X506" s="11">
        <f>IF(M506=0,"",ROUND(W506/M506*100,1))</f>
        <v/>
      </c>
      <c r="Y506" t="inlineStr">
        <is>
          <t>GRUPO ARNON DE MELLO</t>
        </is>
      </c>
      <c r="Z506" t="inlineStr">
        <is>
          <t>0700256-03.2019.8.02.0066</t>
        </is>
      </c>
      <c r="AA506" t="inlineStr"/>
      <c r="AB506" t="inlineStr">
        <is>
          <t>recuperacaojudicial.squarespace.com</t>
        </is>
      </c>
      <c r="AC506" t="inlineStr">
        <is>
          <t>GELSON LUIZ CERUTTI</t>
        </is>
      </c>
      <c r="AD506" t="inlineStr">
        <is>
          <t>Sócio-Administrador</t>
        </is>
      </c>
      <c r="AE506" t="inlineStr">
        <is>
          <t>(82) 1111-1111</t>
        </is>
      </c>
      <c r="AF506" t="inlineStr">
        <is>
          <t>(82) 1111-1111</t>
        </is>
      </c>
      <c r="AG506" t="inlineStr"/>
      <c r="AH506" t="inlineStr">
        <is>
          <t>AL</t>
        </is>
      </c>
      <c r="AI506" t="inlineStr">
        <is>
          <t>MACEIO</t>
        </is>
      </c>
      <c r="AJ506" t="inlineStr">
        <is>
          <t>Construção de edifícios</t>
        </is>
      </c>
      <c r="AK506" t="inlineStr">
        <is>
          <t>DEMAIS</t>
        </is>
      </c>
      <c r="AL506" t="inlineStr">
        <is>
          <t>ATIVA</t>
        </is>
      </c>
      <c r="AM506" s="17" t="inlineStr">
        <is>
          <t>https://recuperacaojudicial.squarespace.com/s/RJ-Grupo-Arnon-de-Melo-Lista-de-Credores-Consolidada-abril-2022.pdf</t>
        </is>
      </c>
      <c r="AN506" s="18" t="inlineStr">
        <is>
          <t>p7 r68</t>
        </is>
      </c>
      <c r="AO506" s="18" t="inlineStr">
        <is>
          <t>p7: R$ 239.311,13</t>
        </is>
      </c>
      <c r="AP506" s="18" t="inlineStr">
        <is>
          <t>AJ_LIST</t>
        </is>
      </c>
      <c r="AQ506" s="18" t="inlineStr"/>
      <c r="AR506" s="18" t="inlineStr">
        <is>
          <t>OK_NO_TOTALS</t>
        </is>
      </c>
      <c r="AS506" s="18" t="inlineStr">
        <is>
          <t>ROWS:p7r68 UNRECONCILED_SOURCE</t>
        </is>
      </c>
      <c r="AT506" s="18" t="inlineStr">
        <is>
          <t>60fd9c017d90</t>
        </is>
      </c>
    </row>
    <row r="507">
      <c r="A507" s="9" t="n">
        <v>506</v>
      </c>
      <c r="B507" s="9" t="inlineStr">
        <is>
          <t>NEW</t>
        </is>
      </c>
      <c r="C507" s="9" t="inlineStr"/>
      <c r="D507" s="9" t="n">
        <v>0</v>
      </c>
      <c r="E507" s="9" t="inlineStr"/>
      <c r="F507" s="9" t="inlineStr"/>
      <c r="G507" s="9" t="inlineStr"/>
      <c r="H507" s="9" t="inlineStr"/>
      <c r="I507" t="inlineStr">
        <is>
          <t>GUARARAPES PAINEIS S/A</t>
        </is>
      </c>
      <c r="J507" t="inlineStr">
        <is>
          <t>GUARARAPES PAINES LTDA, CNPJ</t>
        </is>
      </c>
      <c r="K507" t="inlineStr">
        <is>
          <t>08810422</t>
        </is>
      </c>
      <c r="L507" t="inlineStr">
        <is>
          <t>08810422000134</t>
        </is>
      </c>
      <c r="M507" s="10" t="n">
        <v>238085.39</v>
      </c>
      <c r="N507" t="n">
        <v>1</v>
      </c>
      <c r="O507" s="11" t="inlineStr">
        <is>
          <t>C</t>
        </is>
      </c>
      <c r="P507" s="11" t="inlineStr"/>
      <c r="Q507" s="12" t="inlineStr"/>
      <c r="R507" s="11">
        <f>IF(Q507="","",ROUND((TODAY()-Q507)/365.25,1))</f>
        <v/>
      </c>
      <c r="S507" s="13">
        <f>IFERROR(VLOOKUP(O507,Assumptions!$A$7:$F$11,2,FALSE),0.25)</f>
        <v/>
      </c>
      <c r="T507" s="14">
        <f>IF(O507="A",MAX(1,IFERROR(VLOOKUP(O507,Assumptions!$A$7:$F$11,3,FALSE),3)+IFERROR(VLOOKUP(O507,Assumptions!$A$7:$F$11,4,FALSE),8)/2-MAX(0,IF(R507="",0,R507)-IFERROR(VLOOKUP(O507,Assumptions!$A$7:$F$11,5,FALSE),1.5))),IFERROR(VLOOKUP(O507,Assumptions!$A$7:$F$11,5,FALSE),2.5)+IFERROR(VLOOKUP(O507,Assumptions!$A$7:$F$11,3,FALSE),3)+IFERROR(VLOOKUP(O507,Assumptions!$A$7:$F$11,4,FALSE),8)/2)</f>
        <v/>
      </c>
      <c r="U507" s="15">
        <f>M507*S507/(1+Assumptions!$B$3)^T507</f>
        <v/>
      </c>
      <c r="V507" s="11">
        <f>IF(M507=0,"",ROUND(U507/M507*100,1))</f>
        <v/>
      </c>
      <c r="W507" s="16">
        <f>U507*Assumptions!$B$4</f>
        <v/>
      </c>
      <c r="X507" s="11">
        <f>IF(M507=0,"",ROUND(W507/M507*100,1))</f>
        <v/>
      </c>
      <c r="Y507" t="inlineStr">
        <is>
          <t>DICARLO Móveis e Acessórios para Casa e Lojas Ltda</t>
        </is>
      </c>
      <c r="Z507" t="inlineStr">
        <is>
          <t>0301015-33.2016.8.24.0031</t>
        </is>
      </c>
      <c r="AA507" t="inlineStr"/>
      <c r="AB507" t="inlineStr">
        <is>
          <t>administradorajudicialgs.com.br</t>
        </is>
      </c>
      <c r="AC507" t="inlineStr">
        <is>
          <t>RICARDO PEDROSO</t>
        </is>
      </c>
      <c r="AD507" t="inlineStr">
        <is>
          <t>Presidente</t>
        </is>
      </c>
      <c r="AE507" t="inlineStr">
        <is>
          <t>(41) 3099-1414</t>
        </is>
      </c>
      <c r="AF507" t="inlineStr">
        <is>
          <t>(49) 3244-6813</t>
        </is>
      </c>
      <c r="AG507" t="inlineStr"/>
      <c r="AH507" t="inlineStr">
        <is>
          <t>SC</t>
        </is>
      </c>
      <c r="AI507" t="inlineStr">
        <is>
          <t>CACADOR</t>
        </is>
      </c>
      <c r="AJ507" t="inlineStr">
        <is>
          <t>Fabricação de madeira laminada e de chapas de madeira compensada, prensada e aglomerada</t>
        </is>
      </c>
      <c r="AK507" t="inlineStr">
        <is>
          <t>DEMAIS</t>
        </is>
      </c>
      <c r="AL507" t="inlineStr">
        <is>
          <t>ATIVA</t>
        </is>
      </c>
      <c r="AM507" s="17" t="inlineStr">
        <is>
          <t>https://administradorajudicialgs.com.br/wp-content/uploads/2023/08/edital-quadro-geral-de-credores.pdf</t>
        </is>
      </c>
      <c r="AN507" s="18" t="inlineStr">
        <is>
          <t>p2 r68</t>
        </is>
      </c>
      <c r="AO507" s="18" t="inlineStr">
        <is>
          <t>p2: R$ 238.085,39</t>
        </is>
      </c>
      <c r="AP507" s="18" t="inlineStr">
        <is>
          <t>QGC</t>
        </is>
      </c>
      <c r="AQ507" s="18" t="inlineStr">
        <is>
          <t>2024-07-05</t>
        </is>
      </c>
      <c r="AR507" s="18" t="inlineStr">
        <is>
          <t>OK_NO_TOTALS</t>
        </is>
      </c>
      <c r="AS507" s="18" t="inlineStr">
        <is>
          <t>ROWS:p2r68 UNRECONCILED_SOURCE</t>
        </is>
      </c>
      <c r="AT507" s="18" t="inlineStr">
        <is>
          <t>98f99945499b</t>
        </is>
      </c>
    </row>
    <row r="508">
      <c r="A508" s="9" t="n">
        <v>507</v>
      </c>
      <c r="B508" s="9" t="inlineStr">
        <is>
          <t>NEW</t>
        </is>
      </c>
      <c r="C508" s="9" t="inlineStr"/>
      <c r="D508" s="9" t="n">
        <v>0</v>
      </c>
      <c r="E508" s="9" t="inlineStr"/>
      <c r="F508" s="9" t="inlineStr"/>
      <c r="G508" s="9" t="inlineStr"/>
      <c r="H508" s="9" t="inlineStr"/>
      <c r="I508" t="inlineStr">
        <is>
          <t>CALOI NORTE SA</t>
        </is>
      </c>
      <c r="J508" t="inlineStr">
        <is>
          <t>04.301.024/0001-31</t>
        </is>
      </c>
      <c r="K508" t="inlineStr">
        <is>
          <t>04301024</t>
        </is>
      </c>
      <c r="L508" t="inlineStr">
        <is>
          <t>04301024000131</t>
        </is>
      </c>
      <c r="M508" s="10" t="n">
        <v>237701.23</v>
      </c>
      <c r="N508" t="n">
        <v>1</v>
      </c>
      <c r="O508" s="11" t="inlineStr">
        <is>
          <t>C</t>
        </is>
      </c>
      <c r="P508" s="11" t="inlineStr">
        <is>
          <t>ACTIVE</t>
        </is>
      </c>
      <c r="Q508" s="12" t="n">
        <v>43894</v>
      </c>
      <c r="R508" s="11">
        <f>IF(Q508="","",ROUND((TODAY()-Q508)/365.25,1))</f>
        <v/>
      </c>
      <c r="S508" s="13">
        <f>IFERROR(VLOOKUP(O508,Assumptions!$A$7:$F$11,2,FALSE),0.25)</f>
        <v/>
      </c>
      <c r="T508" s="14">
        <f>IF(O508="A",MAX(1,IFERROR(VLOOKUP(O508,Assumptions!$A$7:$F$11,3,FALSE),3)+IFERROR(VLOOKUP(O508,Assumptions!$A$7:$F$11,4,FALSE),8)/2-MAX(0,IF(R508="",0,R508)-IFERROR(VLOOKUP(O508,Assumptions!$A$7:$F$11,5,FALSE),1.5))),IFERROR(VLOOKUP(O508,Assumptions!$A$7:$F$11,5,FALSE),2.5)+IFERROR(VLOOKUP(O508,Assumptions!$A$7:$F$11,3,FALSE),3)+IFERROR(VLOOKUP(O508,Assumptions!$A$7:$F$11,4,FALSE),8)/2)</f>
        <v/>
      </c>
      <c r="U508" s="15">
        <f>M508*S508/(1+Assumptions!$B$3)^T508</f>
        <v/>
      </c>
      <c r="V508" s="11">
        <f>IF(M508=0,"",ROUND(U508/M508*100,1))</f>
        <v/>
      </c>
      <c r="W508" s="16">
        <f>U508*Assumptions!$B$4</f>
        <v/>
      </c>
      <c r="X508" s="11">
        <f>IF(M508=0,"",ROUND(W508/M508*100,1))</f>
        <v/>
      </c>
      <c r="Y508" t="inlineStr">
        <is>
          <t>CREDIMÓVEIS NOVOLAR LTDA.</t>
        </is>
      </c>
      <c r="Z508" t="inlineStr">
        <is>
          <t>0007565-40.2020.8.17.2370</t>
        </is>
      </c>
      <c r="AA508" t="inlineStr">
        <is>
          <t>TJPE</t>
        </is>
      </c>
      <c r="AB508" t="inlineStr">
        <is>
          <t>recuperacaojudicial.squarespace.com</t>
        </is>
      </c>
      <c r="AC508" t="inlineStr">
        <is>
          <t>RONALDO ADRIANO RIBEIRO</t>
        </is>
      </c>
      <c r="AD508" t="inlineStr">
        <is>
          <t>Presidente</t>
        </is>
      </c>
      <c r="AE508" t="inlineStr">
        <is>
          <t>(92) 3617-0100</t>
        </is>
      </c>
      <c r="AF508" t="inlineStr">
        <is>
          <t>(92) 9103-4470</t>
        </is>
      </c>
      <c r="AG508" t="inlineStr"/>
      <c r="AH508" t="inlineStr">
        <is>
          <t>AM</t>
        </is>
      </c>
      <c r="AI508" t="inlineStr">
        <is>
          <t>MANAUS</t>
        </is>
      </c>
      <c r="AJ508" t="inlineStr">
        <is>
          <t>Fabricação de bicicletas e triciclos não-motorizados, peças e acessórios</t>
        </is>
      </c>
      <c r="AK508" t="inlineStr">
        <is>
          <t>DEMAIS</t>
        </is>
      </c>
      <c r="AL508" t="inlineStr">
        <is>
          <t>ATIVA</t>
        </is>
      </c>
      <c r="AM508" s="17" t="inlineStr">
        <is>
          <t>https://recuperacaojudicial.squarespace.com/s/RJ-Credimoveis-QGC-01082025.pdf</t>
        </is>
      </c>
      <c r="AN508" s="18" t="inlineStr">
        <is>
          <t>p15 r28</t>
        </is>
      </c>
      <c r="AO508" s="18" t="inlineStr">
        <is>
          <t>p15: R$ 237.701,23</t>
        </is>
      </c>
      <c r="AP508" s="18" t="inlineStr">
        <is>
          <t>QGC</t>
        </is>
      </c>
      <c r="AQ508" s="18" t="inlineStr">
        <is>
          <t>2026-01-28</t>
        </is>
      </c>
      <c r="AR508" s="18" t="inlineStr">
        <is>
          <t>OK</t>
        </is>
      </c>
      <c r="AS508" s="18" t="inlineStr">
        <is>
          <t>ROWS:p15r28</t>
        </is>
      </c>
      <c r="AT508" s="18" t="inlineStr">
        <is>
          <t>849d4fe5adce</t>
        </is>
      </c>
    </row>
    <row r="509">
      <c r="A509" s="9" t="n">
        <v>508</v>
      </c>
      <c r="B509" s="9" t="inlineStr">
        <is>
          <t>NEW</t>
        </is>
      </c>
      <c r="C509" s="9" t="inlineStr"/>
      <c r="D509" s="9" t="n">
        <v>0</v>
      </c>
      <c r="E509" s="9" t="inlineStr"/>
      <c r="F509" s="9" t="inlineStr"/>
      <c r="G509" s="9" t="inlineStr"/>
      <c r="H509" s="9" t="inlineStr"/>
      <c r="I509" t="inlineStr">
        <is>
          <t>IRMAOS D AGOSTO LTDA</t>
        </is>
      </c>
      <c r="J509" t="inlineStr">
        <is>
          <t>RUA ANTONIO CARLOS DUARTE DA SILVA 1000 VILA PILOTO 79612500</t>
        </is>
      </c>
      <c r="K509" t="inlineStr">
        <is>
          <t>60752763</t>
        </is>
      </c>
      <c r="L509" t="inlineStr">
        <is>
          <t>60752763000382</t>
        </is>
      </c>
      <c r="M509" s="10" t="n">
        <v>236603.51</v>
      </c>
      <c r="N509" t="n">
        <v>1</v>
      </c>
      <c r="O509" s="11" t="inlineStr">
        <is>
          <t>B</t>
        </is>
      </c>
      <c r="P509" s="11" t="inlineStr">
        <is>
          <t>ACTIVE</t>
        </is>
      </c>
      <c r="Q509" s="12" t="n">
        <v>45964</v>
      </c>
      <c r="R509" s="11">
        <f>IF(Q509="","",ROUND((TODAY()-Q509)/365.25,1))</f>
        <v/>
      </c>
      <c r="S509" s="13">
        <f>IFERROR(VLOOKUP(O509,Assumptions!$A$7:$F$11,2,FALSE),0.25)</f>
        <v/>
      </c>
      <c r="T509" s="14">
        <f>IF(O509="A",MAX(1,IFERROR(VLOOKUP(O509,Assumptions!$A$7:$F$11,3,FALSE),3)+IFERROR(VLOOKUP(O509,Assumptions!$A$7:$F$11,4,FALSE),8)/2-MAX(0,IF(R509="",0,R509)-IFERROR(VLOOKUP(O509,Assumptions!$A$7:$F$11,5,FALSE),1.5))),IFERROR(VLOOKUP(O509,Assumptions!$A$7:$F$11,5,FALSE),2.5)+IFERROR(VLOOKUP(O509,Assumptions!$A$7:$F$11,3,FALSE),3)+IFERROR(VLOOKUP(O509,Assumptions!$A$7:$F$11,4,FALSE),8)/2)</f>
        <v/>
      </c>
      <c r="U509" s="15">
        <f>M509*S509/(1+Assumptions!$B$3)^T509</f>
        <v/>
      </c>
      <c r="V509" s="11">
        <f>IF(M509=0,"",ROUND(U509/M509*100,1))</f>
        <v/>
      </c>
      <c r="W509" s="16">
        <f>U509*Assumptions!$B$4</f>
        <v/>
      </c>
      <c r="X509" s="11">
        <f>IF(M509=0,"",ROUND(W509/M509*100,1))</f>
        <v/>
      </c>
      <c r="Y509" t="inlineStr">
        <is>
          <t>CENTURY CONSTRUÇÕES COMÉRCIO E SERVIÇOS LTDA.</t>
        </is>
      </c>
      <c r="Z509" t="inlineStr">
        <is>
          <t>4054599-35.2025.8.26.0100</t>
        </is>
      </c>
      <c r="AA509" t="inlineStr">
        <is>
          <t>TJSP</t>
        </is>
      </c>
      <c r="AB509" t="inlineStr">
        <is>
          <t>ativosajce.com.br</t>
        </is>
      </c>
      <c r="AC509" t="inlineStr">
        <is>
          <t>ATILIO CARLOS D AGOSTO</t>
        </is>
      </c>
      <c r="AD509" t="inlineStr">
        <is>
          <t>Sócio-Administrador</t>
        </is>
      </c>
      <c r="AE509" t="inlineStr">
        <is>
          <t>(11) 4032-5923</t>
        </is>
      </c>
      <c r="AF509" t="inlineStr"/>
      <c r="AG509" t="inlineStr"/>
      <c r="AH509" t="inlineStr">
        <is>
          <t>SP</t>
        </is>
      </c>
      <c r="AI509" t="inlineStr">
        <is>
          <t>SAO PAULO</t>
        </is>
      </c>
      <c r="AJ509" t="inlineStr">
        <is>
          <t>Serviços combinados de escritório e apoio administrativo</t>
        </is>
      </c>
      <c r="AK509" t="inlineStr">
        <is>
          <t>DEMAIS</t>
        </is>
      </c>
      <c r="AL509" t="inlineStr">
        <is>
          <t>ATIVA</t>
        </is>
      </c>
      <c r="AM509" s="17" t="inlineStr">
        <is>
          <t>https://ativosajce.com.br/admin/download.php?file=files/processo_documento/processo_documento16022716122025_1_.pdf&amp;nome=Relação de credores - art. 52, §1º da Lei 11.101/05 - 15/12/2025</t>
        </is>
      </c>
      <c r="AN509" s="18" t="inlineStr">
        <is>
          <t>p3 r32</t>
        </is>
      </c>
      <c r="AO509" s="18" t="inlineStr">
        <is>
          <t>p3: R$ 236.603,51</t>
        </is>
      </c>
      <c r="AP509" s="18" t="inlineStr">
        <is>
          <t>UNKNOWN</t>
        </is>
      </c>
      <c r="AQ509" s="18" t="inlineStr"/>
      <c r="AR509" s="18" t="inlineStr">
        <is>
          <t>OK_NO_TOTALS</t>
        </is>
      </c>
      <c r="AS509" s="18" t="inlineStr">
        <is>
          <t>ROWS:p3r32 UNRECONCILED_SOURCE</t>
        </is>
      </c>
      <c r="AT509" s="18" t="inlineStr">
        <is>
          <t>2fe04bf4466d</t>
        </is>
      </c>
    </row>
    <row r="510">
      <c r="A510" s="9" t="n">
        <v>509</v>
      </c>
      <c r="B510" s="9" t="inlineStr">
        <is>
          <t>NEW</t>
        </is>
      </c>
      <c r="C510" s="9" t="inlineStr"/>
      <c r="D510" s="9" t="n">
        <v>0</v>
      </c>
      <c r="E510" s="9" t="inlineStr"/>
      <c r="F510" s="9" t="inlineStr"/>
      <c r="G510" s="9" t="inlineStr"/>
      <c r="H510" s="9" t="inlineStr"/>
      <c r="I510" t="inlineStr">
        <is>
          <t>INDUSTRIA DE MOVEIS NESHER LTDA</t>
        </is>
      </c>
      <c r="J510" t="inlineStr">
        <is>
          <t>18.304.707/0001-57</t>
        </is>
      </c>
      <c r="K510" t="inlineStr">
        <is>
          <t>18304707</t>
        </is>
      </c>
      <c r="L510" t="inlineStr">
        <is>
          <t>18304707000157</t>
        </is>
      </c>
      <c r="M510" s="10" t="n">
        <v>236423</v>
      </c>
      <c r="N510" t="n">
        <v>1</v>
      </c>
      <c r="O510" s="11" t="inlineStr">
        <is>
          <t>C</t>
        </is>
      </c>
      <c r="P510" s="11" t="inlineStr">
        <is>
          <t>ACTIVE</t>
        </is>
      </c>
      <c r="Q510" s="12" t="n">
        <v>43894</v>
      </c>
      <c r="R510" s="11">
        <f>IF(Q510="","",ROUND((TODAY()-Q510)/365.25,1))</f>
        <v/>
      </c>
      <c r="S510" s="13">
        <f>IFERROR(VLOOKUP(O510,Assumptions!$A$7:$F$11,2,FALSE),0.25)</f>
        <v/>
      </c>
      <c r="T510" s="14">
        <f>IF(O510="A",MAX(1,IFERROR(VLOOKUP(O510,Assumptions!$A$7:$F$11,3,FALSE),3)+IFERROR(VLOOKUP(O510,Assumptions!$A$7:$F$11,4,FALSE),8)/2-MAX(0,IF(R510="",0,R510)-IFERROR(VLOOKUP(O510,Assumptions!$A$7:$F$11,5,FALSE),1.5))),IFERROR(VLOOKUP(O510,Assumptions!$A$7:$F$11,5,FALSE),2.5)+IFERROR(VLOOKUP(O510,Assumptions!$A$7:$F$11,3,FALSE),3)+IFERROR(VLOOKUP(O510,Assumptions!$A$7:$F$11,4,FALSE),8)/2)</f>
        <v/>
      </c>
      <c r="U510" s="15">
        <f>M510*S510/(1+Assumptions!$B$3)^T510</f>
        <v/>
      </c>
      <c r="V510" s="11">
        <f>IF(M510=0,"",ROUND(U510/M510*100,1))</f>
        <v/>
      </c>
      <c r="W510" s="16">
        <f>U510*Assumptions!$B$4</f>
        <v/>
      </c>
      <c r="X510" s="11">
        <f>IF(M510=0,"",ROUND(W510/M510*100,1))</f>
        <v/>
      </c>
      <c r="Y510" t="inlineStr">
        <is>
          <t>CREDIMÓVEIS NOVOLAR LTDA.</t>
        </is>
      </c>
      <c r="Z510" t="inlineStr">
        <is>
          <t>0007565-40.2020.8.17.2370</t>
        </is>
      </c>
      <c r="AA510" t="inlineStr">
        <is>
          <t>TJPE</t>
        </is>
      </c>
      <c r="AB510" t="inlineStr">
        <is>
          <t>recuperacaojudicial.squarespace.com</t>
        </is>
      </c>
      <c r="AC510" t="inlineStr">
        <is>
          <t>CARLOS ALBERTO RIGONI</t>
        </is>
      </c>
      <c r="AD510" t="inlineStr">
        <is>
          <t>Sócio-Administrador</t>
        </is>
      </c>
      <c r="AE510" t="inlineStr">
        <is>
          <t>(27) 3047-0040</t>
        </is>
      </c>
      <c r="AF510" t="inlineStr"/>
      <c r="AG510" t="inlineStr"/>
      <c r="AH510" t="inlineStr">
        <is>
          <t>ES</t>
        </is>
      </c>
      <c r="AI510" t="inlineStr">
        <is>
          <t>LINHARES</t>
        </is>
      </c>
      <c r="AJ510" t="inlineStr">
        <is>
          <t>Fabricação de móveis com predominância de madeira</t>
        </is>
      </c>
      <c r="AK510" t="inlineStr">
        <is>
          <t>DEMAIS</t>
        </is>
      </c>
      <c r="AL510" t="inlineStr">
        <is>
          <t>ATIVA</t>
        </is>
      </c>
      <c r="AM510" s="17" t="inlineStr">
        <is>
          <t>https://recuperacaojudicial.squarespace.com/s/RJ-Credimoveis-QGC-01082025.pdf</t>
        </is>
      </c>
      <c r="AN510" s="18" t="inlineStr">
        <is>
          <t>p15 r54</t>
        </is>
      </c>
      <c r="AO510" s="18" t="inlineStr">
        <is>
          <t>p15: R$ 236.423,00</t>
        </is>
      </c>
      <c r="AP510" s="18" t="inlineStr">
        <is>
          <t>QGC</t>
        </is>
      </c>
      <c r="AQ510" s="18" t="inlineStr">
        <is>
          <t>2026-01-28</t>
        </is>
      </c>
      <c r="AR510" s="18" t="inlineStr">
        <is>
          <t>OK</t>
        </is>
      </c>
      <c r="AS510" s="18" t="inlineStr">
        <is>
          <t>ROWS:p15r54</t>
        </is>
      </c>
      <c r="AT510" s="18" t="inlineStr">
        <is>
          <t>849d4fe5adce</t>
        </is>
      </c>
    </row>
    <row r="511">
      <c r="A511" s="9" t="n">
        <v>510</v>
      </c>
      <c r="B511" s="9" t="inlineStr">
        <is>
          <t>NEW</t>
        </is>
      </c>
      <c r="C511" s="9" t="inlineStr"/>
      <c r="D511" s="9" t="n">
        <v>0</v>
      </c>
      <c r="E511" s="9" t="inlineStr"/>
      <c r="F511" s="9" t="inlineStr"/>
      <c r="G511" s="9" t="inlineStr"/>
      <c r="H511" s="9" t="inlineStr"/>
      <c r="I511" t="inlineStr">
        <is>
          <t>MWM - TUPY DO BRASIL LTDA.</t>
        </is>
      </c>
      <c r="J511" t="inlineStr">
        <is>
          <t>NÃO</t>
        </is>
      </c>
      <c r="K511" t="inlineStr">
        <is>
          <t>02162259</t>
        </is>
      </c>
      <c r="L511" t="inlineStr">
        <is>
          <t>02162259000326</t>
        </is>
      </c>
      <c r="M511" s="10" t="n">
        <v>236192.33</v>
      </c>
      <c r="N511" t="n">
        <v>1</v>
      </c>
      <c r="O511" s="11" t="inlineStr">
        <is>
          <t>B</t>
        </is>
      </c>
      <c r="P511" s="11" t="inlineStr"/>
      <c r="Q511" s="12" t="inlineStr"/>
      <c r="R511" s="11">
        <f>IF(Q511="","",ROUND((TODAY()-Q511)/365.25,1))</f>
        <v/>
      </c>
      <c r="S511" s="13">
        <f>IFERROR(VLOOKUP(O511,Assumptions!$A$7:$F$11,2,FALSE),0.25)</f>
        <v/>
      </c>
      <c r="T511" s="14">
        <f>IF(O511="A",MAX(1,IFERROR(VLOOKUP(O511,Assumptions!$A$7:$F$11,3,FALSE),3)+IFERROR(VLOOKUP(O511,Assumptions!$A$7:$F$11,4,FALSE),8)/2-MAX(0,IF(R511="",0,R511)-IFERROR(VLOOKUP(O511,Assumptions!$A$7:$F$11,5,FALSE),1.5))),IFERROR(VLOOKUP(O511,Assumptions!$A$7:$F$11,5,FALSE),2.5)+IFERROR(VLOOKUP(O511,Assumptions!$A$7:$F$11,3,FALSE),3)+IFERROR(VLOOKUP(O511,Assumptions!$A$7:$F$11,4,FALSE),8)/2)</f>
        <v/>
      </c>
      <c r="U511" s="15">
        <f>M511*S511/(1+Assumptions!$B$3)^T511</f>
        <v/>
      </c>
      <c r="V511" s="11">
        <f>IF(M511=0,"",ROUND(U511/M511*100,1))</f>
        <v/>
      </c>
      <c r="W511" s="16">
        <f>U511*Assumptions!$B$4</f>
        <v/>
      </c>
      <c r="X511" s="11">
        <f>IF(M511=0,"",ROUND(W511/M511*100,1))</f>
        <v/>
      </c>
      <c r="Y511" t="inlineStr">
        <is>
          <t>Grupo Rech</t>
        </is>
      </c>
      <c r="Z511" t="inlineStr">
        <is>
          <t>5057720-48.2025.8.24.0023</t>
        </is>
      </c>
      <c r="AA511" t="inlineStr"/>
      <c r="AB511" t="inlineStr">
        <is>
          <t>credibilita.com.br</t>
        </is>
      </c>
      <c r="AC511" t="inlineStr">
        <is>
          <t>CRISTIAN PRATES MALEVIC</t>
        </is>
      </c>
      <c r="AD511" t="inlineStr">
        <is>
          <t>Administrador</t>
        </is>
      </c>
      <c r="AE511" t="inlineStr">
        <is>
          <t>(11) 3882-3200</t>
        </is>
      </c>
      <c r="AF511" t="inlineStr"/>
      <c r="AG511" t="inlineStr"/>
      <c r="AH511" t="inlineStr">
        <is>
          <t>SP</t>
        </is>
      </c>
      <c r="AI511" t="inlineStr">
        <is>
          <t>SAO PAULO</t>
        </is>
      </c>
      <c r="AJ511" t="inlineStr">
        <is>
          <t>Serviços combinados de escritório e apoio administrativo</t>
        </is>
      </c>
      <c r="AK511" t="inlineStr">
        <is>
          <t>DEMAIS</t>
        </is>
      </c>
      <c r="AL511" t="inlineStr">
        <is>
          <t>ATIVA</t>
        </is>
      </c>
      <c r="AM511" s="17" t="inlineStr">
        <is>
          <t>https://credibilita.com.br/wp-content/uploads/2025/09/Relacao-Credores-29.04.2026.pdf</t>
        </is>
      </c>
      <c r="AN511" s="18" t="inlineStr">
        <is>
          <t>p2 r6</t>
        </is>
      </c>
      <c r="AO511" s="18" t="inlineStr">
        <is>
          <t>p2: R$ 236.192,33</t>
        </is>
      </c>
      <c r="AP511" s="18" t="inlineStr">
        <is>
          <t>QUORUM_LIST</t>
        </is>
      </c>
      <c r="AQ511" s="18" t="inlineStr"/>
      <c r="AR511" s="18" t="inlineStr">
        <is>
          <t>OK_NO_TOTALS</t>
        </is>
      </c>
      <c r="AS511" s="18" t="inlineStr">
        <is>
          <t>ROWS:p2r6 UNRECONCILED_SOURCE VALUE_COL:Valor_Após_Analise CASE_NUMBER_CORRECTED</t>
        </is>
      </c>
      <c r="AT511" s="18" t="inlineStr">
        <is>
          <t>cf92cff797d2</t>
        </is>
      </c>
    </row>
    <row r="512">
      <c r="A512" s="9" t="n">
        <v>511</v>
      </c>
      <c r="B512" s="9" t="inlineStr">
        <is>
          <t>NEW</t>
        </is>
      </c>
      <c r="C512" s="9" t="inlineStr"/>
      <c r="D512" s="9" t="n">
        <v>0</v>
      </c>
      <c r="E512" s="9" t="inlineStr"/>
      <c r="F512" s="9" t="inlineStr"/>
      <c r="G512" s="9" t="inlineStr"/>
      <c r="H512" s="9" t="inlineStr"/>
      <c r="I512" t="inlineStr">
        <is>
          <t>DOREMUS ALIMENTOS LTDA</t>
        </is>
      </c>
      <c r="J512" t="inlineStr">
        <is>
          <t>DOREMUS ALIMENTOS LTDA</t>
        </is>
      </c>
      <c r="K512" t="inlineStr">
        <is>
          <t>54289830</t>
        </is>
      </c>
      <c r="L512" t="inlineStr">
        <is>
          <t>54289830000100</t>
        </is>
      </c>
      <c r="M512" s="10" t="n">
        <v>235792.34</v>
      </c>
      <c r="N512" t="n">
        <v>1</v>
      </c>
      <c r="O512" s="11" t="inlineStr">
        <is>
          <t>U</t>
        </is>
      </c>
      <c r="P512" s="11" t="inlineStr"/>
      <c r="Q512" s="12" t="inlineStr"/>
      <c r="R512" s="11">
        <f>IF(Q512="","",ROUND((TODAY()-Q512)/365.25,1))</f>
        <v/>
      </c>
      <c r="S512" s="13">
        <f>IFERROR(VLOOKUP(O512,Assumptions!$A$7:$F$11,2,FALSE),0.25)</f>
        <v/>
      </c>
      <c r="T512" s="14">
        <f>IF(O512="A",MAX(1,IFERROR(VLOOKUP(O512,Assumptions!$A$7:$F$11,3,FALSE),3)+IFERROR(VLOOKUP(O512,Assumptions!$A$7:$F$11,4,FALSE),8)/2-MAX(0,IF(R512="",0,R512)-IFERROR(VLOOKUP(O512,Assumptions!$A$7:$F$11,5,FALSE),1.5))),IFERROR(VLOOKUP(O512,Assumptions!$A$7:$F$11,5,FALSE),2.5)+IFERROR(VLOOKUP(O512,Assumptions!$A$7:$F$11,3,FALSE),3)+IFERROR(VLOOKUP(O512,Assumptions!$A$7:$F$11,4,FALSE),8)/2)</f>
        <v/>
      </c>
      <c r="U512" s="15">
        <f>M512*S512/(1+Assumptions!$B$3)^T512</f>
        <v/>
      </c>
      <c r="V512" s="11">
        <f>IF(M512=0,"",ROUND(U512/M512*100,1))</f>
        <v/>
      </c>
      <c r="W512" s="16">
        <f>U512*Assumptions!$B$4</f>
        <v/>
      </c>
      <c r="X512" s="11">
        <f>IF(M512=0,"",ROUND(W512/M512*100,1))</f>
        <v/>
      </c>
      <c r="Y512" t="inlineStr"/>
      <c r="Z512" t="inlineStr">
        <is>
          <t>(not found in document)</t>
        </is>
      </c>
      <c r="AA512" t="inlineStr"/>
      <c r="AB512" t="inlineStr">
        <is>
          <t>bernardobicalho.com.br</t>
        </is>
      </c>
      <c r="AC512" t="inlineStr">
        <is>
          <t>JOSE AUGUSTO SCHITTKOWSKI</t>
        </is>
      </c>
      <c r="AD512" t="inlineStr">
        <is>
          <t>Administrador</t>
        </is>
      </c>
      <c r="AE512" t="inlineStr">
        <is>
          <t>(11) 2436-3333</t>
        </is>
      </c>
      <c r="AF512" t="inlineStr"/>
      <c r="AG512" t="inlineStr"/>
      <c r="AH512" t="inlineStr">
        <is>
          <t>SP</t>
        </is>
      </c>
      <c r="AI512" t="inlineStr">
        <is>
          <t>GUARULHOS</t>
        </is>
      </c>
      <c r="AJ512" t="inlineStr">
        <is>
          <t>Fabricação de outros produtos alimentícios não especificados anteriormente</t>
        </is>
      </c>
      <c r="AK512" t="inlineStr">
        <is>
          <t>DEMAIS</t>
        </is>
      </c>
      <c r="AL512" t="inlineStr">
        <is>
          <t>ATIVA</t>
        </is>
      </c>
      <c r="AM512" s="17" t="inlineStr">
        <is>
          <t>http://bernardobicalho.com.br/login/app/documents/Rela%C3%A7%C3%A3o%20de%20Credores/6.%20RVC-%20Nutricium%20-%20simplificada.pdf</t>
        </is>
      </c>
      <c r="AN512" s="18" t="inlineStr">
        <is>
          <t>p3 r14</t>
        </is>
      </c>
      <c r="AO512" s="18" t="inlineStr">
        <is>
          <t>p3: R$ 235.792,34</t>
        </is>
      </c>
      <c r="AP512" s="18" t="inlineStr">
        <is>
          <t>AJ_LIST</t>
        </is>
      </c>
      <c r="AQ512" s="18" t="inlineStr"/>
      <c r="AR512" s="18" t="inlineStr">
        <is>
          <t>OK</t>
        </is>
      </c>
      <c r="AS512" s="18" t="inlineStr">
        <is>
          <t>CASE_NUMBER_MISSING ROWS:p3r14</t>
        </is>
      </c>
      <c r="AT512" s="18" t="inlineStr">
        <is>
          <t>6a92d74da333</t>
        </is>
      </c>
    </row>
    <row r="513">
      <c r="A513" s="9" t="n">
        <v>512</v>
      </c>
      <c r="B513" s="9" t="inlineStr">
        <is>
          <t>NEW</t>
        </is>
      </c>
      <c r="C513" s="9" t="inlineStr"/>
      <c r="D513" s="9" t="n">
        <v>0</v>
      </c>
      <c r="E513" s="9" t="inlineStr"/>
      <c r="F513" s="9" t="inlineStr"/>
      <c r="G513" s="9" t="inlineStr"/>
      <c r="H513" s="9" t="inlineStr"/>
      <c r="I513" t="inlineStr">
        <is>
          <t>LT QUIMICA LTDA</t>
        </is>
      </c>
      <c r="J513" t="inlineStr">
        <is>
          <t>LT QUIMICA LTDA</t>
        </is>
      </c>
      <c r="K513" t="inlineStr">
        <is>
          <t>04327273</t>
        </is>
      </c>
      <c r="L513" t="inlineStr">
        <is>
          <t>04327273000104</t>
        </is>
      </c>
      <c r="M513" s="10" t="n">
        <v>235156.14</v>
      </c>
      <c r="N513" t="n">
        <v>1</v>
      </c>
      <c r="O513" s="11" t="inlineStr">
        <is>
          <t>B</t>
        </is>
      </c>
      <c r="P513" s="11" t="inlineStr">
        <is>
          <t>ACTIVE</t>
        </is>
      </c>
      <c r="Q513" s="12" t="n">
        <v>45425</v>
      </c>
      <c r="R513" s="11">
        <f>IF(Q513="","",ROUND((TODAY()-Q513)/365.25,1))</f>
        <v/>
      </c>
      <c r="S513" s="13">
        <f>IFERROR(VLOOKUP(O513,Assumptions!$A$7:$F$11,2,FALSE),0.25)</f>
        <v/>
      </c>
      <c r="T513" s="14">
        <f>IF(O513="A",MAX(1,IFERROR(VLOOKUP(O513,Assumptions!$A$7:$F$11,3,FALSE),3)+IFERROR(VLOOKUP(O513,Assumptions!$A$7:$F$11,4,FALSE),8)/2-MAX(0,IF(R513="",0,R513)-IFERROR(VLOOKUP(O513,Assumptions!$A$7:$F$11,5,FALSE),1.5))),IFERROR(VLOOKUP(O513,Assumptions!$A$7:$F$11,5,FALSE),2.5)+IFERROR(VLOOKUP(O513,Assumptions!$A$7:$F$11,3,FALSE),3)+IFERROR(VLOOKUP(O513,Assumptions!$A$7:$F$11,4,FALSE),8)/2)</f>
        <v/>
      </c>
      <c r="U513" s="15">
        <f>M513*S513/(1+Assumptions!$B$3)^T513</f>
        <v/>
      </c>
      <c r="V513" s="11">
        <f>IF(M513=0,"",ROUND(U513/M513*100,1))</f>
        <v/>
      </c>
      <c r="W513" s="16">
        <f>U513*Assumptions!$B$4</f>
        <v/>
      </c>
      <c r="X513" s="11">
        <f>IF(M513=0,"",ROUND(W513/M513*100,1))</f>
        <v/>
      </c>
      <c r="Y513" t="inlineStr">
        <is>
          <t>GRUPO DIVINA</t>
        </is>
      </c>
      <c r="Z513" t="inlineStr">
        <is>
          <t>0000721-61.2024.8.17.2620</t>
        </is>
      </c>
      <c r="AA513" t="inlineStr">
        <is>
          <t>TJPE</t>
        </is>
      </c>
      <c r="AB513" t="inlineStr">
        <is>
          <t>lrflideres.com.br</t>
        </is>
      </c>
      <c r="AC513" t="inlineStr">
        <is>
          <t>CARLOS ADOLFO BECKER</t>
        </is>
      </c>
      <c r="AD513" t="inlineStr">
        <is>
          <t>Sócio-Administrador</t>
        </is>
      </c>
      <c r="AE513" t="inlineStr">
        <is>
          <t>(51) 3561-6000</t>
        </is>
      </c>
      <c r="AF513" t="inlineStr"/>
      <c r="AG513" t="inlineStr"/>
      <c r="AH513" t="inlineStr">
        <is>
          <t>RS</t>
        </is>
      </c>
      <c r="AI513" t="inlineStr">
        <is>
          <t>ESTANCIA VELHA</t>
        </is>
      </c>
      <c r="AJ513" t="inlineStr">
        <is>
          <t>Comércio atacadista especializado em outros produtos intermediários não especificados anteriormente</t>
        </is>
      </c>
      <c r="AK513" t="inlineStr">
        <is>
          <t>DEMAIS</t>
        </is>
      </c>
      <c r="AL513" t="inlineStr">
        <is>
          <t>ATIVA</t>
        </is>
      </c>
      <c r="AM513" s="17" t="inlineStr">
        <is>
          <t>https://lrflideres.com.br/wp-content/plugins/download-attachments/includes/download.php?id=6252</t>
        </is>
      </c>
      <c r="AN513" s="18" t="inlineStr">
        <is>
          <t>p2 r58</t>
        </is>
      </c>
      <c r="AO513" s="18" t="inlineStr">
        <is>
          <t>p2: R$ 235.156,14</t>
        </is>
      </c>
      <c r="AP513" s="18" t="inlineStr">
        <is>
          <t>AJ_LIST</t>
        </is>
      </c>
      <c r="AQ513" s="18" t="inlineStr">
        <is>
          <t>2024-11-27</t>
        </is>
      </c>
      <c r="AR513" s="18" t="inlineStr">
        <is>
          <t>QUARANTINED</t>
        </is>
      </c>
      <c r="AS513" s="18" t="inlineStr">
        <is>
          <t>PARTIAL_DOC_CLASS_III_RECONCILED ROWS:p2r58</t>
        </is>
      </c>
      <c r="AT513" s="18" t="inlineStr">
        <is>
          <t>38f0c15b8a2d</t>
        </is>
      </c>
    </row>
    <row r="514">
      <c r="A514" s="9" t="n">
        <v>513</v>
      </c>
      <c r="B514" s="9" t="inlineStr">
        <is>
          <t>NEW</t>
        </is>
      </c>
      <c r="C514" s="9" t="inlineStr"/>
      <c r="D514" s="9" t="n">
        <v>0</v>
      </c>
      <c r="E514" s="9" t="inlineStr"/>
      <c r="F514" s="9" t="inlineStr"/>
      <c r="G514" s="9" t="inlineStr"/>
      <c r="H514" s="9" t="inlineStr"/>
      <c r="I514" t="inlineStr">
        <is>
          <t>DIMASTER - COMERCIO DE PRODUTOS HOSPITALARES LTDA.</t>
        </is>
      </c>
      <c r="J514" t="inlineStr">
        <is>
          <t>DIMASTER COM DE PROD HOSP LTDA (</t>
        </is>
      </c>
      <c r="K514" t="inlineStr">
        <is>
          <t>02520829</t>
        </is>
      </c>
      <c r="L514" t="inlineStr">
        <is>
          <t>02520829000140</t>
        </is>
      </c>
      <c r="M514" s="10" t="n">
        <v>232250.7</v>
      </c>
      <c r="N514" t="n">
        <v>1</v>
      </c>
      <c r="O514" s="11" t="inlineStr">
        <is>
          <t>C</t>
        </is>
      </c>
      <c r="P514" s="11" t="inlineStr">
        <is>
          <t>ACTIVE</t>
        </is>
      </c>
      <c r="Q514" s="12" t="n">
        <v>44735</v>
      </c>
      <c r="R514" s="11">
        <f>IF(Q514="","",ROUND((TODAY()-Q514)/365.25,1))</f>
        <v/>
      </c>
      <c r="S514" s="13">
        <f>IFERROR(VLOOKUP(O514,Assumptions!$A$7:$F$11,2,FALSE),0.25)</f>
        <v/>
      </c>
      <c r="T514" s="14">
        <f>IF(O514="A",MAX(1,IFERROR(VLOOKUP(O514,Assumptions!$A$7:$F$11,3,FALSE),3)+IFERROR(VLOOKUP(O514,Assumptions!$A$7:$F$11,4,FALSE),8)/2-MAX(0,IF(R514="",0,R514)-IFERROR(VLOOKUP(O514,Assumptions!$A$7:$F$11,5,FALSE),1.5))),IFERROR(VLOOKUP(O514,Assumptions!$A$7:$F$11,5,FALSE),2.5)+IFERROR(VLOOKUP(O514,Assumptions!$A$7:$F$11,3,FALSE),3)+IFERROR(VLOOKUP(O514,Assumptions!$A$7:$F$11,4,FALSE),8)/2)</f>
        <v/>
      </c>
      <c r="U514" s="15">
        <f>M514*S514/(1+Assumptions!$B$3)^T514</f>
        <v/>
      </c>
      <c r="V514" s="11">
        <f>IF(M514=0,"",ROUND(U514/M514*100,1))</f>
        <v/>
      </c>
      <c r="W514" s="16">
        <f>U514*Assumptions!$B$4</f>
        <v/>
      </c>
      <c r="X514" s="11">
        <f>IF(M514=0,"",ROUND(W514/M514*100,1))</f>
        <v/>
      </c>
      <c r="Y514" t="inlineStr">
        <is>
          <t>ASSOCIAÇÃO DE CARIDADE SANTA CASA DO RIO GRANDE</t>
        </is>
      </c>
      <c r="Z514" t="inlineStr">
        <is>
          <t>5012306-16.2022.8.21.0023</t>
        </is>
      </c>
      <c r="AA514" t="inlineStr">
        <is>
          <t>TJRS</t>
        </is>
      </c>
      <c r="AB514" t="inlineStr">
        <is>
          <t>scalzilliaj.com.br</t>
        </is>
      </c>
      <c r="AC514" t="inlineStr">
        <is>
          <t>ODAIR JOSE BALESTRIN</t>
        </is>
      </c>
      <c r="AD514" t="inlineStr">
        <is>
          <t>Sócio-Administrador</t>
        </is>
      </c>
      <c r="AE514" t="inlineStr">
        <is>
          <t>(54) 3523-2600</t>
        </is>
      </c>
      <c r="AF514" t="inlineStr"/>
      <c r="AG514" t="inlineStr"/>
      <c r="AH514" t="inlineStr">
        <is>
          <t>RS</t>
        </is>
      </c>
      <c r="AI514" t="inlineStr">
        <is>
          <t>BARAO DE COTEGIPE</t>
        </is>
      </c>
      <c r="AJ514" t="inlineStr">
        <is>
          <t>Comércio atacadista de medicamentos e drogas de uso humano</t>
        </is>
      </c>
      <c r="AK514" t="inlineStr">
        <is>
          <t>DEMAIS</t>
        </is>
      </c>
      <c r="AL514" t="inlineStr">
        <is>
          <t>ATIVA</t>
        </is>
      </c>
      <c r="AM514" s="17" t="inlineStr">
        <is>
          <t>https://scalzilliaj.com.br/sgc/download.php?file=files/processo_documento/processo_documento09120721032023_1_.pdf&amp;nome=15 - Edital do art. 7º, §2º e 53 da Lei 11.101/2005 (segunda lista de credores e recebimento do plano))</t>
        </is>
      </c>
      <c r="AN514" s="18" t="inlineStr">
        <is>
          <t>p27 r7</t>
        </is>
      </c>
      <c r="AO514" s="18" t="inlineStr">
        <is>
          <t>p27: R$ 232.250,70</t>
        </is>
      </c>
      <c r="AP514" s="18" t="inlineStr">
        <is>
          <t>AJ_LIST</t>
        </is>
      </c>
      <c r="AQ514" s="18" t="inlineStr">
        <is>
          <t>2023-03-21</t>
        </is>
      </c>
      <c r="AR514" s="18" t="inlineStr">
        <is>
          <t>OK_NO_TOTALS</t>
        </is>
      </c>
      <c r="AS514" s="18" t="inlineStr">
        <is>
          <t>ROWS:p27r7 UNRECONCILED_SOURCE</t>
        </is>
      </c>
      <c r="AT514" s="18" t="inlineStr">
        <is>
          <t>ebfb999b457c</t>
        </is>
      </c>
    </row>
    <row r="515">
      <c r="A515" s="9" t="n">
        <v>514</v>
      </c>
      <c r="B515" s="9" t="inlineStr">
        <is>
          <t>NEW</t>
        </is>
      </c>
      <c r="C515" s="9" t="inlineStr"/>
      <c r="D515" s="9" t="n">
        <v>0</v>
      </c>
      <c r="E515" s="9" t="inlineStr"/>
      <c r="F515" s="9" t="inlineStr"/>
      <c r="G515" s="9" t="inlineStr"/>
      <c r="H515" s="9" t="inlineStr"/>
      <c r="I515" t="inlineStr">
        <is>
          <t>ALUMAQ LOCACAO E COMERCIO DE MAQUINAS DE SOLDA LTDA</t>
        </is>
      </c>
      <c r="J515" t="inlineStr">
        <is>
          <t>Alumaq Locação e Comércio de Máquinas de Solda Ltda</t>
        </is>
      </c>
      <c r="K515" t="inlineStr">
        <is>
          <t>46991618</t>
        </is>
      </c>
      <c r="L515" t="inlineStr">
        <is>
          <t>46991618000161</t>
        </is>
      </c>
      <c r="M515" s="10" t="n">
        <v>231035.6</v>
      </c>
      <c r="N515" t="n">
        <v>1</v>
      </c>
      <c r="O515" s="11" t="inlineStr">
        <is>
          <t>B</t>
        </is>
      </c>
      <c r="P515" s="11" t="inlineStr"/>
      <c r="Q515" s="12" t="n">
        <v>45756</v>
      </c>
      <c r="R515" s="11">
        <f>IF(Q515="","",ROUND((TODAY()-Q515)/365.25,1))</f>
        <v/>
      </c>
      <c r="S515" s="13">
        <f>IFERROR(VLOOKUP(O515,Assumptions!$A$7:$F$11,2,FALSE),0.25)</f>
        <v/>
      </c>
      <c r="T515" s="14">
        <f>IF(O515="A",MAX(1,IFERROR(VLOOKUP(O515,Assumptions!$A$7:$F$11,3,FALSE),3)+IFERROR(VLOOKUP(O515,Assumptions!$A$7:$F$11,4,FALSE),8)/2-MAX(0,IF(R515="",0,R515)-IFERROR(VLOOKUP(O515,Assumptions!$A$7:$F$11,5,FALSE),1.5))),IFERROR(VLOOKUP(O515,Assumptions!$A$7:$F$11,5,FALSE),2.5)+IFERROR(VLOOKUP(O515,Assumptions!$A$7:$F$11,3,FALSE),3)+IFERROR(VLOOKUP(O515,Assumptions!$A$7:$F$11,4,FALSE),8)/2)</f>
        <v/>
      </c>
      <c r="U515" s="15">
        <f>M515*S515/(1+Assumptions!$B$3)^T515</f>
        <v/>
      </c>
      <c r="V515" s="11">
        <f>IF(M515=0,"",ROUND(U515/M515*100,1))</f>
        <v/>
      </c>
      <c r="W515" s="16">
        <f>U515*Assumptions!$B$4</f>
        <v/>
      </c>
      <c r="X515" s="11">
        <f>IF(M515=0,"",ROUND(W515/M515*100,1))</f>
        <v/>
      </c>
      <c r="Y515" t="inlineStr">
        <is>
          <t>GRUPO EGESA (EGESA ENG S.A, EGESUR PART E EMP S.A, MATRIX INFRA LTDA, BEMVIVER ENG AMBIENTAL E SERV LTDA, DKF CONST E EMP LTDA, EGEPEL LTDA, ETR ASSESSORIA EMP E PART LTDA, MVT ENG E SERV LTDA, PARQUES DO VALE LTDA, ELMO RIBEIRO E ANA RIBEIRO)</t>
        </is>
      </c>
      <c r="Z515" t="inlineStr">
        <is>
          <t>5088952-81.2025.8.13.0024</t>
        </is>
      </c>
      <c r="AA515" t="inlineStr">
        <is>
          <t>TJMG</t>
        </is>
      </c>
      <c r="AB515" t="inlineStr">
        <is>
          <t>scalzilliaj.com.br</t>
        </is>
      </c>
      <c r="AC515" t="inlineStr">
        <is>
          <t>EDUARDO GAMA TAMBURUS</t>
        </is>
      </c>
      <c r="AD515" t="inlineStr">
        <is>
          <t>Sócio-Administrador</t>
        </is>
      </c>
      <c r="AE515" t="inlineStr">
        <is>
          <t>(19) 3794-1201</t>
        </is>
      </c>
      <c r="AF515" t="inlineStr"/>
      <c r="AG515" t="inlineStr"/>
      <c r="AH515" t="inlineStr">
        <is>
          <t>SP</t>
        </is>
      </c>
      <c r="AI515" t="inlineStr">
        <is>
          <t>CAMPINAS</t>
        </is>
      </c>
      <c r="AJ515" t="inlineStr">
        <is>
          <t>Comércio atacadista de Máquinas e equipamentos para uso industrial; partes e peças</t>
        </is>
      </c>
      <c r="AK515" t="inlineStr">
        <is>
          <t>DEMAIS</t>
        </is>
      </c>
      <c r="AL515" t="inlineStr">
        <is>
          <t>ATIVA</t>
        </is>
      </c>
      <c r="AM515" s="17" t="inlineStr">
        <is>
          <t>https://scalzilliaj.com.br/sgc/download.php?file=files/processo_documento/processo_documento09514021082025_1_.pdf&amp;nome=04 - Relação de credores das Recuperandas</t>
        </is>
      </c>
      <c r="AN515" s="18" t="inlineStr">
        <is>
          <t>p62 r4</t>
        </is>
      </c>
      <c r="AO515" s="18" t="inlineStr">
        <is>
          <t>p62: R$ 231.035,60</t>
        </is>
      </c>
      <c r="AP515" s="18" t="inlineStr">
        <is>
          <t>DEBTOR_LIST</t>
        </is>
      </c>
      <c r="AQ515" s="18" t="inlineStr"/>
      <c r="AR515" s="18" t="inlineStr">
        <is>
          <t>OK</t>
        </is>
      </c>
      <c r="AS515" s="18" t="inlineStr">
        <is>
          <t>ROWS:p62r4 VALUE_COL:Valor_Atualizado CASE_NUMBER_CORRECTED CASE_FROM_PORTAL</t>
        </is>
      </c>
      <c r="AT515" s="18" t="inlineStr">
        <is>
          <t>24ed98480a57</t>
        </is>
      </c>
    </row>
    <row r="516">
      <c r="A516" s="9" t="n">
        <v>515</v>
      </c>
      <c r="B516" s="9" t="inlineStr">
        <is>
          <t>NEW</t>
        </is>
      </c>
      <c r="C516" s="9" t="inlineStr"/>
      <c r="D516" s="9" t="n">
        <v>0</v>
      </c>
      <c r="E516" s="9" t="inlineStr"/>
      <c r="F516" s="9" t="inlineStr"/>
      <c r="G516" s="9" t="inlineStr"/>
      <c r="H516" s="9" t="inlineStr"/>
      <c r="I516" t="inlineStr">
        <is>
          <t>UNICHARM DO BRASIL INDUSTRIA E COMERCIO DE PRODUTOS DE HIGIENE LTDA.,</t>
        </is>
      </c>
      <c r="J516" t="inlineStr">
        <is>
          <t>Unicharm Do Brasil Industria E Comercio De Produtos De Higiene Ltda</t>
        </is>
      </c>
      <c r="K516" t="inlineStr">
        <is>
          <t>13884068</t>
        </is>
      </c>
      <c r="L516" t="inlineStr">
        <is>
          <t>13884068000122</t>
        </is>
      </c>
      <c r="M516" s="10" t="n">
        <v>228249.92</v>
      </c>
      <c r="N516" t="n">
        <v>1</v>
      </c>
      <c r="O516" s="11" t="inlineStr">
        <is>
          <t>C</t>
        </is>
      </c>
      <c r="P516" s="11" t="inlineStr">
        <is>
          <t>ACTIVE</t>
        </is>
      </c>
      <c r="Q516" s="12" t="n">
        <v>44987</v>
      </c>
      <c r="R516" s="11">
        <f>IF(Q516="","",ROUND((TODAY()-Q516)/365.25,1))</f>
        <v/>
      </c>
      <c r="S516" s="13">
        <f>IFERROR(VLOOKUP(O516,Assumptions!$A$7:$F$11,2,FALSE),0.25)</f>
        <v/>
      </c>
      <c r="T516" s="14">
        <f>IF(O516="A",MAX(1,IFERROR(VLOOKUP(O516,Assumptions!$A$7:$F$11,3,FALSE),3)+IFERROR(VLOOKUP(O516,Assumptions!$A$7:$F$11,4,FALSE),8)/2-MAX(0,IF(R516="",0,R516)-IFERROR(VLOOKUP(O516,Assumptions!$A$7:$F$11,5,FALSE),1.5))),IFERROR(VLOOKUP(O516,Assumptions!$A$7:$F$11,5,FALSE),2.5)+IFERROR(VLOOKUP(O516,Assumptions!$A$7:$F$11,3,FALSE),3)+IFERROR(VLOOKUP(O516,Assumptions!$A$7:$F$11,4,FALSE),8)/2)</f>
        <v/>
      </c>
      <c r="U516" s="15">
        <f>M516*S516/(1+Assumptions!$B$3)^T516</f>
        <v/>
      </c>
      <c r="V516" s="11">
        <f>IF(M516=0,"",ROUND(U516/M516*100,1))</f>
        <v/>
      </c>
      <c r="W516" s="16">
        <f>U516*Assumptions!$B$4</f>
        <v/>
      </c>
      <c r="X516" s="11">
        <f>IF(M516=0,"",ROUND(W516/M516*100,1))</f>
        <v/>
      </c>
      <c r="Y516" t="inlineStr">
        <is>
          <t>GRUPO DP4</t>
        </is>
      </c>
      <c r="Z516" t="inlineStr">
        <is>
          <t>0005010-98.2023.8.16.0001</t>
        </is>
      </c>
      <c r="AA516" t="inlineStr">
        <is>
          <t>TJPR</t>
        </is>
      </c>
      <c r="AB516" t="inlineStr">
        <is>
          <t>marquesadmjudicial.com.br</t>
        </is>
      </c>
      <c r="AC516" t="inlineStr">
        <is>
          <t>MADOKA NISHIYAMA</t>
        </is>
      </c>
      <c r="AD516" t="inlineStr">
        <is>
          <t>Administrador</t>
        </is>
      </c>
      <c r="AE516" t="inlineStr">
        <is>
          <t>(19) 3370-3249</t>
        </is>
      </c>
      <c r="AF516" t="inlineStr">
        <is>
          <t>(19) 3370-3254</t>
        </is>
      </c>
      <c r="AG516" t="inlineStr"/>
      <c r="AH516" t="inlineStr">
        <is>
          <t>SP</t>
        </is>
      </c>
      <c r="AI516" t="inlineStr">
        <is>
          <t>JAGUARIUNA</t>
        </is>
      </c>
      <c r="AJ516" t="inlineStr">
        <is>
          <t>Fabricação de fraldas descartáveis</t>
        </is>
      </c>
      <c r="AK516" t="inlineStr">
        <is>
          <t>DEMAIS</t>
        </is>
      </c>
      <c r="AL516" t="inlineStr">
        <is>
          <t>ATIVA</t>
        </is>
      </c>
      <c r="AM516" s="17" t="inlineStr">
        <is>
          <t>https://marquesadmjudicial.com.br/sgc/download.php?file=files/processo_documento/processo_documento15293208032024_1_.pdf&amp;nome=Relação Nominal de Credores da AJ-Sintética</t>
        </is>
      </c>
      <c r="AN516" s="18" t="inlineStr">
        <is>
          <t>p32 r4</t>
        </is>
      </c>
      <c r="AO516" s="18" t="inlineStr">
        <is>
          <t>p32: R$ 228.249,92</t>
        </is>
      </c>
      <c r="AP516" s="18" t="inlineStr">
        <is>
          <t>AJ_LIST</t>
        </is>
      </c>
      <c r="AQ516" s="18" t="inlineStr">
        <is>
          <t>2023-03-02</t>
        </is>
      </c>
      <c r="AR516" s="18" t="inlineStr">
        <is>
          <t>QUARANTINED</t>
        </is>
      </c>
      <c r="AS516" s="18" t="inlineStr">
        <is>
          <t>PARTIAL_DOC_CLASS_III_RECONCILED ROWS:p32r4</t>
        </is>
      </c>
      <c r="AT516" s="18" t="inlineStr">
        <is>
          <t>b465a5d11eec</t>
        </is>
      </c>
    </row>
    <row r="517">
      <c r="A517" s="9" t="n">
        <v>516</v>
      </c>
      <c r="B517" s="9" t="inlineStr">
        <is>
          <t>NEW</t>
        </is>
      </c>
      <c r="C517" s="9" t="inlineStr"/>
      <c r="D517" s="9" t="n">
        <v>0</v>
      </c>
      <c r="E517" s="9" t="inlineStr"/>
      <c r="F517" s="9" t="inlineStr"/>
      <c r="G517" s="9" t="inlineStr"/>
      <c r="H517" s="9" t="inlineStr"/>
      <c r="I517" t="inlineStr">
        <is>
          <t>MADETEC MOVEIS LTDA</t>
        </is>
      </c>
      <c r="J517" t="inlineStr">
        <is>
          <t>02.624.729/0001-64</t>
        </is>
      </c>
      <c r="K517" t="inlineStr">
        <is>
          <t>02624729</t>
        </is>
      </c>
      <c r="L517" t="inlineStr">
        <is>
          <t>02624729000164</t>
        </is>
      </c>
      <c r="M517" s="10" t="n">
        <v>228237</v>
      </c>
      <c r="N517" t="n">
        <v>1</v>
      </c>
      <c r="O517" s="11" t="inlineStr">
        <is>
          <t>C</t>
        </is>
      </c>
      <c r="P517" s="11" t="inlineStr">
        <is>
          <t>ACTIVE</t>
        </is>
      </c>
      <c r="Q517" s="12" t="n">
        <v>43894</v>
      </c>
      <c r="R517" s="11">
        <f>IF(Q517="","",ROUND((TODAY()-Q517)/365.25,1))</f>
        <v/>
      </c>
      <c r="S517" s="13">
        <f>IFERROR(VLOOKUP(O517,Assumptions!$A$7:$F$11,2,FALSE),0.25)</f>
        <v/>
      </c>
      <c r="T517" s="14">
        <f>IF(O517="A",MAX(1,IFERROR(VLOOKUP(O517,Assumptions!$A$7:$F$11,3,FALSE),3)+IFERROR(VLOOKUP(O517,Assumptions!$A$7:$F$11,4,FALSE),8)/2-MAX(0,IF(R517="",0,R517)-IFERROR(VLOOKUP(O517,Assumptions!$A$7:$F$11,5,FALSE),1.5))),IFERROR(VLOOKUP(O517,Assumptions!$A$7:$F$11,5,FALSE),2.5)+IFERROR(VLOOKUP(O517,Assumptions!$A$7:$F$11,3,FALSE),3)+IFERROR(VLOOKUP(O517,Assumptions!$A$7:$F$11,4,FALSE),8)/2)</f>
        <v/>
      </c>
      <c r="U517" s="15">
        <f>M517*S517/(1+Assumptions!$B$3)^T517</f>
        <v/>
      </c>
      <c r="V517" s="11">
        <f>IF(M517=0,"",ROUND(U517/M517*100,1))</f>
        <v/>
      </c>
      <c r="W517" s="16">
        <f>U517*Assumptions!$B$4</f>
        <v/>
      </c>
      <c r="X517" s="11">
        <f>IF(M517=0,"",ROUND(W517/M517*100,1))</f>
        <v/>
      </c>
      <c r="Y517" t="inlineStr">
        <is>
          <t>CREDIMÓVEIS NOVOLAR LTDA.</t>
        </is>
      </c>
      <c r="Z517" t="inlineStr">
        <is>
          <t>0007565-40.2020.8.17.2370</t>
        </is>
      </c>
      <c r="AA517" t="inlineStr">
        <is>
          <t>TJPE</t>
        </is>
      </c>
      <c r="AB517" t="inlineStr">
        <is>
          <t>recuperacaojudicial.squarespace.com</t>
        </is>
      </c>
      <c r="AC517" t="inlineStr">
        <is>
          <t>GIANCARLO BEGA PIZZA</t>
        </is>
      </c>
      <c r="AD517" t="inlineStr">
        <is>
          <t>Sócio-Administrador</t>
        </is>
      </c>
      <c r="AE517" t="inlineStr">
        <is>
          <t>(43) 3303-1800</t>
        </is>
      </c>
      <c r="AF517" t="inlineStr"/>
      <c r="AG517" t="inlineStr"/>
      <c r="AH517" t="inlineStr">
        <is>
          <t>PR</t>
        </is>
      </c>
      <c r="AI517" t="inlineStr">
        <is>
          <t>ARAPONGAS</t>
        </is>
      </c>
      <c r="AJ517" t="inlineStr">
        <is>
          <t>Fabricação de móveis com predominância de madeira</t>
        </is>
      </c>
      <c r="AK517" t="inlineStr">
        <is>
          <t>DEMAIS</t>
        </is>
      </c>
      <c r="AL517" t="inlineStr">
        <is>
          <t>ATIVA</t>
        </is>
      </c>
      <c r="AM517" s="17" t="inlineStr">
        <is>
          <t>https://recuperacaojudicial.squarespace.com/s/RJ-Credimoveis-QGC-01082025.pdf</t>
        </is>
      </c>
      <c r="AN517" s="18" t="inlineStr">
        <is>
          <t>p16 r12</t>
        </is>
      </c>
      <c r="AO517" s="18" t="inlineStr">
        <is>
          <t>p16: R$ 228.237,00</t>
        </is>
      </c>
      <c r="AP517" s="18" t="inlineStr">
        <is>
          <t>QGC</t>
        </is>
      </c>
      <c r="AQ517" s="18" t="inlineStr">
        <is>
          <t>2026-01-28</t>
        </is>
      </c>
      <c r="AR517" s="18" t="inlineStr">
        <is>
          <t>OK</t>
        </is>
      </c>
      <c r="AS517" s="18" t="inlineStr">
        <is>
          <t>ROWS:p16r12</t>
        </is>
      </c>
      <c r="AT517" s="18" t="inlineStr">
        <is>
          <t>849d4fe5adce</t>
        </is>
      </c>
    </row>
    <row r="518">
      <c r="A518" s="9" t="n">
        <v>517</v>
      </c>
      <c r="B518" s="9" t="inlineStr">
        <is>
          <t>NEW</t>
        </is>
      </c>
      <c r="C518" s="9" t="inlineStr"/>
      <c r="D518" s="9" t="n">
        <v>0</v>
      </c>
      <c r="E518" s="9" t="inlineStr"/>
      <c r="F518" s="9" t="inlineStr"/>
      <c r="G518" s="9" t="inlineStr"/>
      <c r="H518" s="9" t="inlineStr"/>
      <c r="I518" t="inlineStr">
        <is>
          <t>GOOGLE BRASIL INTERNET LTDA.</t>
        </is>
      </c>
      <c r="J518" t="inlineStr">
        <is>
          <t>GOOGLE BRASIL INTERNET LTDA</t>
        </is>
      </c>
      <c r="K518" t="inlineStr">
        <is>
          <t>06990590</t>
        </is>
      </c>
      <c r="L518" t="inlineStr">
        <is>
          <t>06990590000123</t>
        </is>
      </c>
      <c r="M518" s="10" t="n">
        <v>228215.86</v>
      </c>
      <c r="N518" t="n">
        <v>1</v>
      </c>
      <c r="O518" s="11" t="inlineStr">
        <is>
          <t>B</t>
        </is>
      </c>
      <c r="P518" s="11" t="inlineStr">
        <is>
          <t>ACTIVE</t>
        </is>
      </c>
      <c r="Q518" s="12" t="n">
        <v>46002</v>
      </c>
      <c r="R518" s="11">
        <f>IF(Q518="","",ROUND((TODAY()-Q518)/365.25,1))</f>
        <v/>
      </c>
      <c r="S518" s="13">
        <f>IFERROR(VLOOKUP(O518,Assumptions!$A$7:$F$11,2,FALSE),0.25)</f>
        <v/>
      </c>
      <c r="T518" s="14">
        <f>IF(O518="A",MAX(1,IFERROR(VLOOKUP(O518,Assumptions!$A$7:$F$11,3,FALSE),3)+IFERROR(VLOOKUP(O518,Assumptions!$A$7:$F$11,4,FALSE),8)/2-MAX(0,IF(R518="",0,R518)-IFERROR(VLOOKUP(O518,Assumptions!$A$7:$F$11,5,FALSE),1.5))),IFERROR(VLOOKUP(O518,Assumptions!$A$7:$F$11,5,FALSE),2.5)+IFERROR(VLOOKUP(O518,Assumptions!$A$7:$F$11,3,FALSE),3)+IFERROR(VLOOKUP(O518,Assumptions!$A$7:$F$11,4,FALSE),8)/2)</f>
        <v/>
      </c>
      <c r="U518" s="15">
        <f>M518*S518/(1+Assumptions!$B$3)^T518</f>
        <v/>
      </c>
      <c r="V518" s="11">
        <f>IF(M518=0,"",ROUND(U518/M518*100,1))</f>
        <v/>
      </c>
      <c r="W518" s="16">
        <f>U518*Assumptions!$B$4</f>
        <v/>
      </c>
      <c r="X518" s="11">
        <f>IF(M518=0,"",ROUND(W518/M518*100,1))</f>
        <v/>
      </c>
      <c r="Y518" t="inlineStr">
        <is>
          <t>Grupo Pneus Paulista (ITAIM SERVICOS AUTOMOTIVOS LTDA / SAÚDE SERVICOS AUTOMOTIVOS LTDA / TA…)</t>
        </is>
      </c>
      <c r="Z518" t="inlineStr">
        <is>
          <t>4077687-05.2025.8.26.0100</t>
        </is>
      </c>
      <c r="AA518" t="inlineStr">
        <is>
          <t>TJSP</t>
        </is>
      </c>
      <c r="AB518" t="inlineStr">
        <is>
          <t>acfb.com.br</t>
        </is>
      </c>
      <c r="AC518" t="inlineStr">
        <is>
          <t>FABIO JOSE SILVA COELHO</t>
        </is>
      </c>
      <c r="AD518" t="inlineStr">
        <is>
          <t>Administrador</t>
        </is>
      </c>
      <c r="AE518" t="inlineStr">
        <is>
          <t>(11) 2395-8400</t>
        </is>
      </c>
      <c r="AF518" t="inlineStr"/>
      <c r="AG518" t="inlineStr"/>
      <c r="AH518" t="inlineStr">
        <is>
          <t>SP</t>
        </is>
      </c>
      <c r="AI518" t="inlineStr">
        <is>
          <t>SAO PAULO</t>
        </is>
      </c>
      <c r="AJ518" t="inlineStr">
        <is>
          <t>Portais, provedores de conteúdo e outros serviços de informação na internet</t>
        </is>
      </c>
      <c r="AK518" t="inlineStr">
        <is>
          <t>DEMAIS</t>
        </is>
      </c>
      <c r="AL518" t="inlineStr">
        <is>
          <t>ATIVA</t>
        </is>
      </c>
      <c r="AM518" s="17" t="inlineStr">
        <is>
          <t>https://acfb.com.br/wp-content/uploads/2026/06/Relacao_de_Credores_Pneus_-_SITE.pdf</t>
        </is>
      </c>
      <c r="AN518" s="18" t="inlineStr">
        <is>
          <t>p6 r38</t>
        </is>
      </c>
      <c r="AO518" s="18" t="inlineStr">
        <is>
          <t>p6: R$ 228.215,86</t>
        </is>
      </c>
      <c r="AP518" s="18" t="inlineStr">
        <is>
          <t>UNKNOWN</t>
        </is>
      </c>
      <c r="AQ518" s="18" t="inlineStr"/>
      <c r="AR518" s="18" t="inlineStr">
        <is>
          <t>OK_NO_TOTALS</t>
        </is>
      </c>
      <c r="AS518" s="18" t="inlineStr">
        <is>
          <t>ROWS:p6r38 UNRECONCILED_SOURCE</t>
        </is>
      </c>
      <c r="AT518" s="18" t="inlineStr">
        <is>
          <t>1b26551517db</t>
        </is>
      </c>
    </row>
    <row r="519">
      <c r="A519" s="9" t="n">
        <v>518</v>
      </c>
      <c r="B519" s="9" t="inlineStr">
        <is>
          <t>NEW</t>
        </is>
      </c>
      <c r="C519" s="9" t="inlineStr"/>
      <c r="D519" s="9" t="n">
        <v>0</v>
      </c>
      <c r="E519" s="9" t="inlineStr"/>
      <c r="F519" s="9" t="inlineStr"/>
      <c r="G519" s="9" t="inlineStr"/>
      <c r="H519" s="9" t="inlineStr"/>
      <c r="I519" t="inlineStr">
        <is>
          <t>IOSEI PARTICIPACOES LTDA</t>
        </is>
      </c>
      <c r="J519" t="inlineStr">
        <is>
          <t>IOSEI PA RTICIPACOES LTDA</t>
        </is>
      </c>
      <c r="K519" t="inlineStr">
        <is>
          <t>57378542</t>
        </is>
      </c>
      <c r="L519" t="inlineStr">
        <is>
          <t>57378542000110</t>
        </is>
      </c>
      <c r="M519" s="10" t="n">
        <v>226966.22</v>
      </c>
      <c r="N519" t="n">
        <v>1</v>
      </c>
      <c r="O519" s="11" t="inlineStr">
        <is>
          <t>B</t>
        </is>
      </c>
      <c r="P519" s="11" t="inlineStr">
        <is>
          <t>ACTIVE</t>
        </is>
      </c>
      <c r="Q519" s="12" t="n">
        <v>46112</v>
      </c>
      <c r="R519" s="11">
        <f>IF(Q519="","",ROUND((TODAY()-Q519)/365.25,1))</f>
        <v/>
      </c>
      <c r="S519" s="13">
        <f>IFERROR(VLOOKUP(O519,Assumptions!$A$7:$F$11,2,FALSE),0.25)</f>
        <v/>
      </c>
      <c r="T519" s="14">
        <f>IF(O519="A",MAX(1,IFERROR(VLOOKUP(O519,Assumptions!$A$7:$F$11,3,FALSE),3)+IFERROR(VLOOKUP(O519,Assumptions!$A$7:$F$11,4,FALSE),8)/2-MAX(0,IF(R519="",0,R519)-IFERROR(VLOOKUP(O519,Assumptions!$A$7:$F$11,5,FALSE),1.5))),IFERROR(VLOOKUP(O519,Assumptions!$A$7:$F$11,5,FALSE),2.5)+IFERROR(VLOOKUP(O519,Assumptions!$A$7:$F$11,3,FALSE),3)+IFERROR(VLOOKUP(O519,Assumptions!$A$7:$F$11,4,FALSE),8)/2)</f>
        <v/>
      </c>
      <c r="U519" s="15">
        <f>M519*S519/(1+Assumptions!$B$3)^T519</f>
        <v/>
      </c>
      <c r="V519" s="11">
        <f>IF(M519=0,"",ROUND(U519/M519*100,1))</f>
        <v/>
      </c>
      <c r="W519" s="16">
        <f>U519*Assumptions!$B$4</f>
        <v/>
      </c>
      <c r="X519" s="11">
        <f>IF(M519=0,"",ROUND(W519/M519*100,1))</f>
        <v/>
      </c>
      <c r="Y519" t="inlineStr">
        <is>
          <t>GRUPO DIAGSON</t>
        </is>
      </c>
      <c r="Z519" t="inlineStr">
        <is>
          <t>0822279-56.2026.8.15.2001</t>
        </is>
      </c>
      <c r="AA519" t="inlineStr">
        <is>
          <t>TJPB</t>
        </is>
      </c>
      <c r="AB519" t="inlineStr">
        <is>
          <t>lrflideres.com.br</t>
        </is>
      </c>
      <c r="AC519" t="inlineStr">
        <is>
          <t>MARLOS ARAUJO GONCALVES</t>
        </is>
      </c>
      <c r="AD519" t="inlineStr">
        <is>
          <t>Administrador</t>
        </is>
      </c>
      <c r="AE519" t="inlineStr">
        <is>
          <t>(62) 9128-0209</t>
        </is>
      </c>
      <c r="AF519" t="inlineStr">
        <is>
          <t>000000000000</t>
        </is>
      </c>
      <c r="AG519" t="inlineStr"/>
      <c r="AH519" t="inlineStr">
        <is>
          <t>GO</t>
        </is>
      </c>
      <c r="AI519" t="inlineStr">
        <is>
          <t>GOIANIA</t>
        </is>
      </c>
      <c r="AJ519" t="inlineStr">
        <is>
          <t>Serviços de diagnóstico por imagem com uso de radiação ionizante, exceto tomografia</t>
        </is>
      </c>
      <c r="AK519" t="inlineStr">
        <is>
          <t>DEMAIS</t>
        </is>
      </c>
      <c r="AL519" t="inlineStr">
        <is>
          <t>ATIVA</t>
        </is>
      </c>
      <c r="AM519" s="17" t="inlineStr">
        <is>
          <t>https://lrflideres.com.br/wp-content/plugins/download-attachments/includes/download.php?id=7418</t>
        </is>
      </c>
      <c r="AN519" s="18" t="inlineStr">
        <is>
          <t>p2 r65</t>
        </is>
      </c>
      <c r="AO519" s="18" t="inlineStr">
        <is>
          <t>p2: R$ 226.966,22</t>
        </is>
      </c>
      <c r="AP519" s="18" t="inlineStr">
        <is>
          <t>DEBTOR_LIST</t>
        </is>
      </c>
      <c r="AQ519" s="18" t="inlineStr">
        <is>
          <t>2026-07-28</t>
        </is>
      </c>
      <c r="AR519" s="18" t="inlineStr">
        <is>
          <t>QUARANTINED</t>
        </is>
      </c>
      <c r="AS519" s="18" t="inlineStr">
        <is>
          <t>PARTIAL_DOC_CLASS_III_RECONCILED ROWS:p2r65</t>
        </is>
      </c>
      <c r="AT519" s="18" t="inlineStr">
        <is>
          <t>088be5223af3</t>
        </is>
      </c>
    </row>
    <row r="520">
      <c r="A520" s="9" t="n">
        <v>519</v>
      </c>
      <c r="B520" s="9" t="inlineStr">
        <is>
          <t>NEW</t>
        </is>
      </c>
      <c r="C520" s="9" t="inlineStr"/>
      <c r="D520" s="9" t="n">
        <v>0</v>
      </c>
      <c r="E520" s="9" t="inlineStr"/>
      <c r="F520" s="9" t="inlineStr"/>
      <c r="G520" s="9" t="inlineStr"/>
      <c r="H520" s="9" t="inlineStr"/>
      <c r="I520" t="inlineStr">
        <is>
          <t>VALGROUP AM INDUSTRIA DE MASTERBATCH LTDA.</t>
        </is>
      </c>
      <c r="J520" t="inlineStr">
        <is>
          <t>VALGROUP AM INDUSTRIA MASTERBACTH LTDA</t>
        </is>
      </c>
      <c r="K520" t="inlineStr">
        <is>
          <t>03071894</t>
        </is>
      </c>
      <c r="L520" t="inlineStr">
        <is>
          <t>03071894000360</t>
        </is>
      </c>
      <c r="M520" s="10" t="n">
        <v>226655</v>
      </c>
      <c r="N520" t="n">
        <v>1</v>
      </c>
      <c r="O520" s="11" t="inlineStr">
        <is>
          <t>C</t>
        </is>
      </c>
      <c r="P520" s="11" t="inlineStr">
        <is>
          <t>ACTIVE</t>
        </is>
      </c>
      <c r="Q520" s="12" t="n">
        <v>45016</v>
      </c>
      <c r="R520" s="11">
        <f>IF(Q520="","",ROUND((TODAY()-Q520)/365.25,1))</f>
        <v/>
      </c>
      <c r="S520" s="13">
        <f>IFERROR(VLOOKUP(O520,Assumptions!$A$7:$F$11,2,FALSE),0.25)</f>
        <v/>
      </c>
      <c r="T520" s="14">
        <f>IF(O520="A",MAX(1,IFERROR(VLOOKUP(O520,Assumptions!$A$7:$F$11,3,FALSE),3)+IFERROR(VLOOKUP(O520,Assumptions!$A$7:$F$11,4,FALSE),8)/2-MAX(0,IF(R520="",0,R520)-IFERROR(VLOOKUP(O520,Assumptions!$A$7:$F$11,5,FALSE),1.5))),IFERROR(VLOOKUP(O520,Assumptions!$A$7:$F$11,5,FALSE),2.5)+IFERROR(VLOOKUP(O520,Assumptions!$A$7:$F$11,3,FALSE),3)+IFERROR(VLOOKUP(O520,Assumptions!$A$7:$F$11,4,FALSE),8)/2)</f>
        <v/>
      </c>
      <c r="U520" s="15">
        <f>M520*S520/(1+Assumptions!$B$3)^T520</f>
        <v/>
      </c>
      <c r="V520" s="11">
        <f>IF(M520=0,"",ROUND(U520/M520*100,1))</f>
        <v/>
      </c>
      <c r="W520" s="16">
        <f>U520*Assumptions!$B$4</f>
        <v/>
      </c>
      <c r="X520" s="11">
        <f>IF(M520=0,"",ROUND(W520/M520*100,1))</f>
        <v/>
      </c>
      <c r="Y520" t="inlineStr">
        <is>
          <t>GRUPO IMPLASVERDE</t>
        </is>
      </c>
      <c r="Z520" t="inlineStr">
        <is>
          <t>0800778-16.2023.8.20.5104</t>
        </is>
      </c>
      <c r="AA520" t="inlineStr">
        <is>
          <t>TJRN</t>
        </is>
      </c>
      <c r="AB520" t="inlineStr">
        <is>
          <t>recuperacaojudicial.squarespace.com</t>
        </is>
      </c>
      <c r="AC520" t="inlineStr">
        <is>
          <t>EDERSON NASCIMENTO DA SILVA</t>
        </is>
      </c>
      <c r="AD520" t="inlineStr">
        <is>
          <t>Administrador</t>
        </is>
      </c>
      <c r="AE520" t="inlineStr">
        <is>
          <t>(12) 2124-4400</t>
        </is>
      </c>
      <c r="AF520" t="inlineStr"/>
      <c r="AG520" t="inlineStr"/>
      <c r="AH520" t="inlineStr">
        <is>
          <t>AM</t>
        </is>
      </c>
      <c r="AI520" t="inlineStr">
        <is>
          <t>MANAUS</t>
        </is>
      </c>
      <c r="AJ520" t="inlineStr">
        <is>
          <t>Fabricação de embalagens de material plástico</t>
        </is>
      </c>
      <c r="AK520" t="inlineStr">
        <is>
          <t>DEMAIS</t>
        </is>
      </c>
      <c r="AL520" t="inlineStr">
        <is>
          <t>ATIVA</t>
        </is>
      </c>
      <c r="AM520" s="17" t="inlineStr">
        <is>
          <t>http://recuperacaojudicial.squarespace.com/s/LISTA-DE-CREDORES-CONSOLIDADA-ATE-04102024.pdf</t>
        </is>
      </c>
      <c r="AN520" s="18" t="inlineStr">
        <is>
          <t>p6 r20</t>
        </is>
      </c>
      <c r="AO520" s="18" t="inlineStr">
        <is>
          <t>p6: R$ 226.655,00</t>
        </is>
      </c>
      <c r="AP520" s="18" t="inlineStr">
        <is>
          <t>AJ_LIST</t>
        </is>
      </c>
      <c r="AQ520" s="18" t="inlineStr">
        <is>
          <t>2024-10-04</t>
        </is>
      </c>
      <c r="AR520" s="18" t="inlineStr">
        <is>
          <t>OK</t>
        </is>
      </c>
      <c r="AS520" s="18" t="inlineStr">
        <is>
          <t>ROWS:p6r20 VALUE_COL:Valor_Do_Crédito</t>
        </is>
      </c>
      <c r="AT520" s="18" t="inlineStr">
        <is>
          <t>7501ec99fc8e</t>
        </is>
      </c>
    </row>
    <row r="521">
      <c r="A521" s="9" t="n">
        <v>520</v>
      </c>
      <c r="B521" s="9" t="inlineStr">
        <is>
          <t>NEW</t>
        </is>
      </c>
      <c r="C521" s="9" t="inlineStr"/>
      <c r="D521" s="9" t="n">
        <v>0</v>
      </c>
      <c r="E521" s="9" t="inlineStr"/>
      <c r="F521" s="9" t="inlineStr"/>
      <c r="G521" s="9" t="inlineStr"/>
      <c r="H521" s="9" t="inlineStr"/>
      <c r="I521" t="inlineStr">
        <is>
          <t>WGM SISTEMAS IMPORTACAO E EXPORTACAO LTDA</t>
        </is>
      </c>
      <c r="J521" t="inlineStr">
        <is>
          <t>WGM SISTEMAS IMPORTAÇÃO E EXPORTAÇÃO LTDA</t>
        </is>
      </c>
      <c r="K521" t="inlineStr">
        <is>
          <t>65947236</t>
        </is>
      </c>
      <c r="L521" t="inlineStr">
        <is>
          <t>65947236000185</t>
        </is>
      </c>
      <c r="M521" s="10" t="n">
        <v>226506.99</v>
      </c>
      <c r="N521" t="n">
        <v>1</v>
      </c>
      <c r="O521" s="11" t="inlineStr">
        <is>
          <t>B</t>
        </is>
      </c>
      <c r="P521" s="11" t="inlineStr">
        <is>
          <t>ACTIVE</t>
        </is>
      </c>
      <c r="Q521" s="12" t="n">
        <v>45713</v>
      </c>
      <c r="R521" s="11">
        <f>IF(Q521="","",ROUND((TODAY()-Q521)/365.25,1))</f>
        <v/>
      </c>
      <c r="S521" s="13">
        <f>IFERROR(VLOOKUP(O521,Assumptions!$A$7:$F$11,2,FALSE),0.25)</f>
        <v/>
      </c>
      <c r="T521" s="14">
        <f>IF(O521="A",MAX(1,IFERROR(VLOOKUP(O521,Assumptions!$A$7:$F$11,3,FALSE),3)+IFERROR(VLOOKUP(O521,Assumptions!$A$7:$F$11,4,FALSE),8)/2-MAX(0,IF(R521="",0,R521)-IFERROR(VLOOKUP(O521,Assumptions!$A$7:$F$11,5,FALSE),1.5))),IFERROR(VLOOKUP(O521,Assumptions!$A$7:$F$11,5,FALSE),2.5)+IFERROR(VLOOKUP(O521,Assumptions!$A$7:$F$11,3,FALSE),3)+IFERROR(VLOOKUP(O521,Assumptions!$A$7:$F$11,4,FALSE),8)/2)</f>
        <v/>
      </c>
      <c r="U521" s="15">
        <f>M521*S521/(1+Assumptions!$B$3)^T521</f>
        <v/>
      </c>
      <c r="V521" s="11">
        <f>IF(M521=0,"",ROUND(U521/M521*100,1))</f>
        <v/>
      </c>
      <c r="W521" s="16">
        <f>U521*Assumptions!$B$4</f>
        <v/>
      </c>
      <c r="X521" s="11">
        <f>IF(M521=0,"",ROUND(W521/M521*100,1))</f>
        <v/>
      </c>
      <c r="Y521" t="inlineStr">
        <is>
          <t>FLAVOUR MIX IND. E REP. ALIM. E INGR. QUÍMICOS LTDA.</t>
        </is>
      </c>
      <c r="Z521" t="inlineStr">
        <is>
          <t>1000119-75.2025.8.26.0354</t>
        </is>
      </c>
      <c r="AA521" t="inlineStr">
        <is>
          <t>TJSP</t>
        </is>
      </c>
      <c r="AB521" t="inlineStr">
        <is>
          <t>ativosajce.com.br</t>
        </is>
      </c>
      <c r="AC521" t="inlineStr">
        <is>
          <t>DERLI FORTI</t>
        </is>
      </c>
      <c r="AD521" t="inlineStr">
        <is>
          <t>Sócio-Administrador</t>
        </is>
      </c>
      <c r="AE521" t="inlineStr">
        <is>
          <t>(11) 3838-2823</t>
        </is>
      </c>
      <c r="AF521" t="inlineStr"/>
      <c r="AG521" t="inlineStr"/>
      <c r="AH521" t="inlineStr">
        <is>
          <t>SP</t>
        </is>
      </c>
      <c r="AI521" t="inlineStr">
        <is>
          <t>BARUERI</t>
        </is>
      </c>
      <c r="AJ521" t="inlineStr">
        <is>
          <t>Fabricação de máquinas e equipamentos para as indústrias de alimentos, bebidas e fumo, peças e acessórios</t>
        </is>
      </c>
      <c r="AK521" t="inlineStr">
        <is>
          <t>DEMAIS</t>
        </is>
      </c>
      <c r="AL521" t="inlineStr">
        <is>
          <t>ATIVA</t>
        </is>
      </c>
      <c r="AM521" s="17" t="inlineStr">
        <is>
          <t>https://ativosajce.com.br/admin/download.php?file=files/processo_documento/processo_documento13422625032025_1_.pdf&amp;nome=Relação de Credores - Art. 52º § 1º, da Lei nº 11.101/2005 - 25/02/2025</t>
        </is>
      </c>
      <c r="AN521" s="18" t="inlineStr">
        <is>
          <t>p5 r48; p5 r49</t>
        </is>
      </c>
      <c r="AO521" s="18" t="inlineStr">
        <is>
          <t>p5: R$ 226.506,99; p5: R$ 226.506,99</t>
        </is>
      </c>
      <c r="AP521" s="18" t="inlineStr">
        <is>
          <t>UNKNOWN</t>
        </is>
      </c>
      <c r="AQ521" s="18" t="inlineStr">
        <is>
          <t>2025-02-28</t>
        </is>
      </c>
      <c r="AR521" s="18" t="inlineStr">
        <is>
          <t>OK_NO_TOTALS</t>
        </is>
      </c>
      <c r="AS521" s="18" t="inlineStr">
        <is>
          <t>ROWS:p5r48 UNRECONCILED_SOURCE</t>
        </is>
      </c>
      <c r="AT521" s="18" t="inlineStr">
        <is>
          <t>7e2dd0270ed8</t>
        </is>
      </c>
    </row>
    <row r="522">
      <c r="A522" s="9" t="n">
        <v>521</v>
      </c>
      <c r="B522" s="9" t="inlineStr">
        <is>
          <t>NEW</t>
        </is>
      </c>
      <c r="C522" s="9" t="inlineStr"/>
      <c r="D522" s="9" t="n">
        <v>0</v>
      </c>
      <c r="E522" s="9" t="inlineStr"/>
      <c r="F522" s="9" t="inlineStr"/>
      <c r="G522" s="9" t="inlineStr"/>
      <c r="H522" s="9" t="inlineStr"/>
      <c r="I522" t="inlineStr">
        <is>
          <t>LINEA BRASIL IND E COM DE MOVEIS LTDA</t>
        </is>
      </c>
      <c r="J522" t="inlineStr">
        <is>
          <t>95.387.569/0001-68</t>
        </is>
      </c>
      <c r="K522" t="inlineStr">
        <is>
          <t>95387569</t>
        </is>
      </c>
      <c r="L522" t="inlineStr">
        <is>
          <t>95387569000168</t>
        </is>
      </c>
      <c r="M522" s="10" t="n">
        <v>224015.98</v>
      </c>
      <c r="N522" t="n">
        <v>1</v>
      </c>
      <c r="O522" s="11" t="inlineStr">
        <is>
          <t>C</t>
        </is>
      </c>
      <c r="P522" s="11" t="inlineStr">
        <is>
          <t>ACTIVE</t>
        </is>
      </c>
      <c r="Q522" s="12" t="n">
        <v>43894</v>
      </c>
      <c r="R522" s="11">
        <f>IF(Q522="","",ROUND((TODAY()-Q522)/365.25,1))</f>
        <v/>
      </c>
      <c r="S522" s="13">
        <f>IFERROR(VLOOKUP(O522,Assumptions!$A$7:$F$11,2,FALSE),0.25)</f>
        <v/>
      </c>
      <c r="T522" s="14">
        <f>IF(O522="A",MAX(1,IFERROR(VLOOKUP(O522,Assumptions!$A$7:$F$11,3,FALSE),3)+IFERROR(VLOOKUP(O522,Assumptions!$A$7:$F$11,4,FALSE),8)/2-MAX(0,IF(R522="",0,R522)-IFERROR(VLOOKUP(O522,Assumptions!$A$7:$F$11,5,FALSE),1.5))),IFERROR(VLOOKUP(O522,Assumptions!$A$7:$F$11,5,FALSE),2.5)+IFERROR(VLOOKUP(O522,Assumptions!$A$7:$F$11,3,FALSE),3)+IFERROR(VLOOKUP(O522,Assumptions!$A$7:$F$11,4,FALSE),8)/2)</f>
        <v/>
      </c>
      <c r="U522" s="15">
        <f>M522*S522/(1+Assumptions!$B$3)^T522</f>
        <v/>
      </c>
      <c r="V522" s="11">
        <f>IF(M522=0,"",ROUND(U522/M522*100,1))</f>
        <v/>
      </c>
      <c r="W522" s="16">
        <f>U522*Assumptions!$B$4</f>
        <v/>
      </c>
      <c r="X522" s="11">
        <f>IF(M522=0,"",ROUND(W522/M522*100,1))</f>
        <v/>
      </c>
      <c r="Y522" t="inlineStr">
        <is>
          <t>CREDIMÓVEIS NOVOLAR LTDA.</t>
        </is>
      </c>
      <c r="Z522" t="inlineStr">
        <is>
          <t>0007565-40.2020.8.17.2370</t>
        </is>
      </c>
      <c r="AA522" t="inlineStr">
        <is>
          <t>TJPE</t>
        </is>
      </c>
      <c r="AB522" t="inlineStr">
        <is>
          <t>recuperacaojudicial.squarespace.com</t>
        </is>
      </c>
      <c r="AC522" t="inlineStr">
        <is>
          <t>ELIO SERGIO PAVANATO</t>
        </is>
      </c>
      <c r="AD522" t="inlineStr">
        <is>
          <t>Sócio-Administrador</t>
        </is>
      </c>
      <c r="AE522" t="inlineStr">
        <is>
          <t>(43) 3056-3780</t>
        </is>
      </c>
      <c r="AF522" t="inlineStr"/>
      <c r="AG522" t="inlineStr"/>
      <c r="AH522" t="inlineStr">
        <is>
          <t>PR</t>
        </is>
      </c>
      <c r="AI522" t="inlineStr">
        <is>
          <t>ARAPONGAS</t>
        </is>
      </c>
      <c r="AJ522" t="inlineStr">
        <is>
          <t>Fabricação de móveis com predominância de madeira</t>
        </is>
      </c>
      <c r="AK522" t="inlineStr">
        <is>
          <t>DEMAIS</t>
        </is>
      </c>
      <c r="AL522" t="inlineStr">
        <is>
          <t>ATIVA</t>
        </is>
      </c>
      <c r="AM522" s="17" t="inlineStr">
        <is>
          <t>https://recuperacaojudicial.squarespace.com/s/RJ-Credimoveis-QGC-01082025.pdf</t>
        </is>
      </c>
      <c r="AN522" s="18" t="inlineStr">
        <is>
          <t>p16 r8</t>
        </is>
      </c>
      <c r="AO522" s="18" t="inlineStr">
        <is>
          <t>p16: R$ 224.015,98</t>
        </is>
      </c>
      <c r="AP522" s="18" t="inlineStr">
        <is>
          <t>QGC</t>
        </is>
      </c>
      <c r="AQ522" s="18" t="inlineStr">
        <is>
          <t>2026-01-28</t>
        </is>
      </c>
      <c r="AR522" s="18" t="inlineStr">
        <is>
          <t>OK</t>
        </is>
      </c>
      <c r="AS522" s="18" t="inlineStr">
        <is>
          <t>ROWS:p16r8</t>
        </is>
      </c>
      <c r="AT522" s="18" t="inlineStr">
        <is>
          <t>849d4fe5adce</t>
        </is>
      </c>
    </row>
    <row r="523">
      <c r="A523" s="9" t="n">
        <v>522</v>
      </c>
      <c r="B523" s="9" t="inlineStr">
        <is>
          <t>NEW</t>
        </is>
      </c>
      <c r="C523" s="9" t="inlineStr"/>
      <c r="D523" s="9" t="n">
        <v>0</v>
      </c>
      <c r="E523" s="9" t="inlineStr"/>
      <c r="F523" s="9" t="inlineStr"/>
      <c r="G523" s="9" t="inlineStr"/>
      <c r="H523" s="9" t="inlineStr"/>
      <c r="I523" t="inlineStr">
        <is>
          <t>USINA DE VENDAS SOLUCOES COMERCIAIS EM DISTRIBUICAO LTDA EM RECUPERACAO JUDICIAL</t>
        </is>
      </c>
      <c r="J523" t="inlineStr">
        <is>
          <t>09.373.468/0002-87</t>
        </is>
      </c>
      <c r="K523" t="inlineStr">
        <is>
          <t>09373468</t>
        </is>
      </c>
      <c r="L523" t="inlineStr">
        <is>
          <t>09373468000287</t>
        </is>
      </c>
      <c r="M523" s="10" t="n">
        <v>223400</v>
      </c>
      <c r="N523" t="n">
        <v>1</v>
      </c>
      <c r="O523" s="11" t="inlineStr">
        <is>
          <t>C</t>
        </is>
      </c>
      <c r="P523" s="11" t="inlineStr">
        <is>
          <t>ACTIVE</t>
        </is>
      </c>
      <c r="Q523" s="12" t="n">
        <v>43894</v>
      </c>
      <c r="R523" s="11">
        <f>IF(Q523="","",ROUND((TODAY()-Q523)/365.25,1))</f>
        <v/>
      </c>
      <c r="S523" s="13">
        <f>IFERROR(VLOOKUP(O523,Assumptions!$A$7:$F$11,2,FALSE),0.25)</f>
        <v/>
      </c>
      <c r="T523" s="14">
        <f>IF(O523="A",MAX(1,IFERROR(VLOOKUP(O523,Assumptions!$A$7:$F$11,3,FALSE),3)+IFERROR(VLOOKUP(O523,Assumptions!$A$7:$F$11,4,FALSE),8)/2-MAX(0,IF(R523="",0,R523)-IFERROR(VLOOKUP(O523,Assumptions!$A$7:$F$11,5,FALSE),1.5))),IFERROR(VLOOKUP(O523,Assumptions!$A$7:$F$11,5,FALSE),2.5)+IFERROR(VLOOKUP(O523,Assumptions!$A$7:$F$11,3,FALSE),3)+IFERROR(VLOOKUP(O523,Assumptions!$A$7:$F$11,4,FALSE),8)/2)</f>
        <v/>
      </c>
      <c r="U523" s="15">
        <f>M523*S523/(1+Assumptions!$B$3)^T523</f>
        <v/>
      </c>
      <c r="V523" s="11">
        <f>IF(M523=0,"",ROUND(U523/M523*100,1))</f>
        <v/>
      </c>
      <c r="W523" s="16">
        <f>U523*Assumptions!$B$4</f>
        <v/>
      </c>
      <c r="X523" s="11">
        <f>IF(M523=0,"",ROUND(W523/M523*100,1))</f>
        <v/>
      </c>
      <c r="Y523" t="inlineStr">
        <is>
          <t>CREDIMÓVEIS NOVOLAR LTDA.</t>
        </is>
      </c>
      <c r="Z523" t="inlineStr">
        <is>
          <t>0007565-40.2020.8.17.2370</t>
        </is>
      </c>
      <c r="AA523" t="inlineStr">
        <is>
          <t>TJPE</t>
        </is>
      </c>
      <c r="AB523" t="inlineStr">
        <is>
          <t>recuperacaojudicial.squarespace.com</t>
        </is>
      </c>
      <c r="AC523" t="inlineStr">
        <is>
          <t>ANA BARBOSA RODRIGUES PALMA</t>
        </is>
      </c>
      <c r="AD523" t="inlineStr">
        <is>
          <t>Sócio-Administrador</t>
        </is>
      </c>
      <c r="AE523" t="inlineStr">
        <is>
          <t>(11) 4179-0001</t>
        </is>
      </c>
      <c r="AF523" t="inlineStr"/>
      <c r="AG523" t="inlineStr"/>
      <c r="AH523" t="inlineStr">
        <is>
          <t>SP</t>
        </is>
      </c>
      <c r="AI523" t="inlineStr">
        <is>
          <t>SAO PAULO</t>
        </is>
      </c>
      <c r="AJ523" t="inlineStr">
        <is>
          <t>Comércio atacadista de componentes eletrônicos e equipamentos de telefonia e comunicação</t>
        </is>
      </c>
      <c r="AK523" t="inlineStr">
        <is>
          <t>DEMAIS</t>
        </is>
      </c>
      <c r="AL523" t="inlineStr">
        <is>
          <t>ATIVA</t>
        </is>
      </c>
      <c r="AM523" s="17" t="inlineStr">
        <is>
          <t>https://recuperacaojudicial.squarespace.com/s/RJ-Credimoveis-QGC-01082025.pdf</t>
        </is>
      </c>
      <c r="AN523" s="18" t="inlineStr">
        <is>
          <t>p17 r8</t>
        </is>
      </c>
      <c r="AO523" s="18" t="inlineStr">
        <is>
          <t>p17: R$ 223.400,00</t>
        </is>
      </c>
      <c r="AP523" s="18" t="inlineStr">
        <is>
          <t>QGC</t>
        </is>
      </c>
      <c r="AQ523" s="18" t="inlineStr">
        <is>
          <t>2026-01-28</t>
        </is>
      </c>
      <c r="AR523" s="18" t="inlineStr">
        <is>
          <t>OK</t>
        </is>
      </c>
      <c r="AS523" s="18" t="inlineStr">
        <is>
          <t>ROWS:p17r8</t>
        </is>
      </c>
      <c r="AT523" s="18" t="inlineStr">
        <is>
          <t>849d4fe5adce</t>
        </is>
      </c>
    </row>
    <row r="524">
      <c r="A524" s="9" t="n">
        <v>523</v>
      </c>
      <c r="B524" s="9" t="inlineStr">
        <is>
          <t>NEW</t>
        </is>
      </c>
      <c r="C524" s="9" t="inlineStr"/>
      <c r="D524" s="9" t="n">
        <v>0</v>
      </c>
      <c r="E524" s="9" t="inlineStr"/>
      <c r="F524" s="9" t="inlineStr"/>
      <c r="G524" s="9" t="inlineStr"/>
      <c r="H524" s="9" t="inlineStr"/>
      <c r="I524" t="inlineStr">
        <is>
          <t>EBEG EMBALAGENS E DESCARTAVEIS LTDA</t>
        </is>
      </c>
      <c r="J524" t="inlineStr">
        <is>
          <t>Ebeg Embalagens Facilita e Pronto</t>
        </is>
      </c>
      <c r="K524" t="inlineStr">
        <is>
          <t>03498812</t>
        </is>
      </c>
      <c r="L524" t="inlineStr">
        <is>
          <t>03498812000954</t>
        </is>
      </c>
      <c r="M524" s="10" t="n">
        <v>222911.78</v>
      </c>
      <c r="N524" t="n">
        <v>1</v>
      </c>
      <c r="O524" s="11" t="inlineStr">
        <is>
          <t>B</t>
        </is>
      </c>
      <c r="P524" s="11" t="inlineStr">
        <is>
          <t>ACTIVE</t>
        </is>
      </c>
      <c r="Q524" s="12" t="n">
        <v>46130</v>
      </c>
      <c r="R524" s="11">
        <f>IF(Q524="","",ROUND((TODAY()-Q524)/365.25,1))</f>
        <v/>
      </c>
      <c r="S524" s="13">
        <f>IFERROR(VLOOKUP(O524,Assumptions!$A$7:$F$11,2,FALSE),0.25)</f>
        <v/>
      </c>
      <c r="T524" s="14">
        <f>IF(O524="A",MAX(1,IFERROR(VLOOKUP(O524,Assumptions!$A$7:$F$11,3,FALSE),3)+IFERROR(VLOOKUP(O524,Assumptions!$A$7:$F$11,4,FALSE),8)/2-MAX(0,IF(R524="",0,R524)-IFERROR(VLOOKUP(O524,Assumptions!$A$7:$F$11,5,FALSE),1.5))),IFERROR(VLOOKUP(O524,Assumptions!$A$7:$F$11,5,FALSE),2.5)+IFERROR(VLOOKUP(O524,Assumptions!$A$7:$F$11,3,FALSE),3)+IFERROR(VLOOKUP(O524,Assumptions!$A$7:$F$11,4,FALSE),8)/2)</f>
        <v/>
      </c>
      <c r="U524" s="15">
        <f>M524*S524/(1+Assumptions!$B$3)^T524</f>
        <v/>
      </c>
      <c r="V524" s="11">
        <f>IF(M524=0,"",ROUND(U524/M524*100,1))</f>
        <v/>
      </c>
      <c r="W524" s="16">
        <f>U524*Assumptions!$B$4</f>
        <v/>
      </c>
      <c r="X524" s="11">
        <f>IF(M524=0,"",ROUND(W524/M524*100,1))</f>
        <v/>
      </c>
      <c r="Y524" t="inlineStr">
        <is>
          <t>GRUPO 3E</t>
        </is>
      </c>
      <c r="Z524" t="inlineStr">
        <is>
          <t>5341375-33.2026.8.09.0049</t>
        </is>
      </c>
      <c r="AA524" t="inlineStr">
        <is>
          <t>TJGO</t>
        </is>
      </c>
      <c r="AB524" t="inlineStr">
        <is>
          <t>stenius.com.br</t>
        </is>
      </c>
      <c r="AC524" t="inlineStr">
        <is>
          <t>RICARDO SILVA ELEUTERIO</t>
        </is>
      </c>
      <c r="AD524" t="inlineStr">
        <is>
          <t>Sócio-Administrador</t>
        </is>
      </c>
      <c r="AE524" t="inlineStr">
        <is>
          <t>(16) 3512-3000</t>
        </is>
      </c>
      <c r="AF524" t="inlineStr"/>
      <c r="AG524" t="inlineStr"/>
      <c r="AH524" t="inlineStr">
        <is>
          <t>SP</t>
        </is>
      </c>
      <c r="AI524" t="inlineStr">
        <is>
          <t>RIBEIRAO PRETO</t>
        </is>
      </c>
      <c r="AJ524" t="inlineStr">
        <is>
          <t>Fabricação de embalagens de papel</t>
        </is>
      </c>
      <c r="AK524" t="inlineStr">
        <is>
          <t>DEMAIS</t>
        </is>
      </c>
      <c r="AL524" t="inlineStr">
        <is>
          <t>ATIVA</t>
        </is>
      </c>
      <c r="AM524" s="17" t="inlineStr">
        <is>
          <t>https://stenius.com.br/wp-content/uploads/2026/06/EDITAL-GRUPO-3E.pdf</t>
        </is>
      </c>
      <c r="AN524" s="18" t="inlineStr">
        <is>
          <t>p12 r58</t>
        </is>
      </c>
      <c r="AO524" s="18" t="inlineStr">
        <is>
          <t>p12: R$ 222.911,78</t>
        </is>
      </c>
      <c r="AP524" s="18" t="inlineStr">
        <is>
          <t>DEBTOR_LIST</t>
        </is>
      </c>
      <c r="AQ524" s="18" t="inlineStr">
        <is>
          <t>2026-06-22</t>
        </is>
      </c>
      <c r="AR524" s="18" t="inlineStr">
        <is>
          <t>OK_NO_TOTALS</t>
        </is>
      </c>
      <c r="AS524" s="18" t="inlineStr">
        <is>
          <t>ROWS:p12r58 UNRECONCILED_SOURCE</t>
        </is>
      </c>
      <c r="AT524" s="18" t="inlineStr">
        <is>
          <t>8e8832093a15</t>
        </is>
      </c>
    </row>
    <row r="525">
      <c r="A525" s="9" t="n">
        <v>524</v>
      </c>
      <c r="B525" s="9" t="inlineStr">
        <is>
          <t>NEW</t>
        </is>
      </c>
      <c r="C525" s="9" t="inlineStr"/>
      <c r="D525" s="9" t="n">
        <v>0</v>
      </c>
      <c r="E525" s="9" t="inlineStr"/>
      <c r="F525" s="9" t="inlineStr"/>
      <c r="G525" s="9" t="inlineStr"/>
      <c r="H525" s="9" t="inlineStr"/>
      <c r="I525" t="inlineStr">
        <is>
          <t>ARCELORMITTAL BRASIL S.A.</t>
        </is>
      </c>
      <c r="J525" t="inlineStr">
        <is>
          <t>RODOVIA BR 040, KM 769, BARREIRA DO TRIUNFO - 36092-901, JUIZ DE FORA - MG</t>
        </is>
      </c>
      <c r="K525" t="inlineStr">
        <is>
          <t>17469701</t>
        </is>
      </c>
      <c r="L525" t="inlineStr">
        <is>
          <t>17469701003435</t>
        </is>
      </c>
      <c r="M525" s="10" t="n">
        <v>222839.19</v>
      </c>
      <c r="N525" t="n">
        <v>1</v>
      </c>
      <c r="O525" s="11" t="inlineStr">
        <is>
          <t>C</t>
        </is>
      </c>
      <c r="P525" s="11" t="inlineStr"/>
      <c r="Q525" s="12" t="inlineStr"/>
      <c r="R525" s="11">
        <f>IF(Q525="","",ROUND((TODAY()-Q525)/365.25,1))</f>
        <v/>
      </c>
      <c r="S525" s="13">
        <f>IFERROR(VLOOKUP(O525,Assumptions!$A$7:$F$11,2,FALSE),0.25)</f>
        <v/>
      </c>
      <c r="T525" s="14">
        <f>IF(O525="A",MAX(1,IFERROR(VLOOKUP(O525,Assumptions!$A$7:$F$11,3,FALSE),3)+IFERROR(VLOOKUP(O525,Assumptions!$A$7:$F$11,4,FALSE),8)/2-MAX(0,IF(R525="",0,R525)-IFERROR(VLOOKUP(O525,Assumptions!$A$7:$F$11,5,FALSE),1.5))),IFERROR(VLOOKUP(O525,Assumptions!$A$7:$F$11,5,FALSE),2.5)+IFERROR(VLOOKUP(O525,Assumptions!$A$7:$F$11,3,FALSE),3)+IFERROR(VLOOKUP(O525,Assumptions!$A$7:$F$11,4,FALSE),8)/2)</f>
        <v/>
      </c>
      <c r="U525" s="15">
        <f>M525*S525/(1+Assumptions!$B$3)^T525</f>
        <v/>
      </c>
      <c r="V525" s="11">
        <f>IF(M525=0,"",ROUND(U525/M525*100,1))</f>
        <v/>
      </c>
      <c r="W525" s="16">
        <f>U525*Assumptions!$B$4</f>
        <v/>
      </c>
      <c r="X525" s="11">
        <f>IF(M525=0,"",ROUND(W525/M525*100,1))</f>
        <v/>
      </c>
      <c r="Y525" t="inlineStr">
        <is>
          <t>Roque Materiais para Construção</t>
        </is>
      </c>
      <c r="Z525" t="inlineStr">
        <is>
          <t>0802426-35.2019.8.10.0000</t>
        </is>
      </c>
      <c r="AA525" t="inlineStr"/>
      <c r="AB525" t="inlineStr">
        <is>
          <t>realbrasil.com.br</t>
        </is>
      </c>
      <c r="AC525" t="inlineStr">
        <is>
          <t>ALEXANDRE AUGUSTO SILVA BARCELOS</t>
        </is>
      </c>
      <c r="AD525" t="inlineStr">
        <is>
          <t>Diretor</t>
        </is>
      </c>
      <c r="AE525" t="inlineStr">
        <is>
          <t>(31) 3219-1485</t>
        </is>
      </c>
      <c r="AF525" t="inlineStr"/>
      <c r="AG525" t="inlineStr"/>
      <c r="AH525" t="inlineStr">
        <is>
          <t>MG</t>
        </is>
      </c>
      <c r="AI525" t="inlineStr">
        <is>
          <t>BELO HORIZONTE</t>
        </is>
      </c>
      <c r="AJ525" t="inlineStr">
        <is>
          <t>Produção de laminados longos de aço, exceto tubos</t>
        </is>
      </c>
      <c r="AK525" t="inlineStr">
        <is>
          <t>DEMAIS</t>
        </is>
      </c>
      <c r="AL525" t="inlineStr">
        <is>
          <t>ATIVA</t>
        </is>
      </c>
      <c r="AM525" s="17" t="inlineStr">
        <is>
          <t>https://realbrasil.com.br/wp-content/uploads/2018/06/2_LISTA-DE-CREDORES-DA-RECUPERANDA_ROQUE.pdf</t>
        </is>
      </c>
      <c r="AN525" s="18" t="inlineStr">
        <is>
          <t>p2 r9</t>
        </is>
      </c>
      <c r="AO525" s="18" t="inlineStr">
        <is>
          <t>p2: R$ 222.839,19</t>
        </is>
      </c>
      <c r="AP525" s="18" t="inlineStr">
        <is>
          <t>UNKNOWN</t>
        </is>
      </c>
      <c r="AQ525" s="18" t="inlineStr"/>
      <c r="AR525" s="18" t="inlineStr">
        <is>
          <t>OK</t>
        </is>
      </c>
      <c r="AS525" s="18" t="inlineStr">
        <is>
          <t>ROWS:p2r9 VALUE_COL:Saldo_Total</t>
        </is>
      </c>
      <c r="AT525" s="18" t="inlineStr">
        <is>
          <t>d85bdfbfbdc8</t>
        </is>
      </c>
    </row>
    <row r="526">
      <c r="A526" s="9" t="n">
        <v>525</v>
      </c>
      <c r="B526" s="9" t="inlineStr">
        <is>
          <t>NEW</t>
        </is>
      </c>
      <c r="C526" s="9" t="inlineStr"/>
      <c r="D526" s="9" t="n">
        <v>0</v>
      </c>
      <c r="E526" s="9" t="inlineStr"/>
      <c r="F526" s="9" t="inlineStr"/>
      <c r="G526" s="9" t="inlineStr"/>
      <c r="H526" s="9" t="inlineStr"/>
      <c r="I526" t="inlineStr">
        <is>
          <t>POTENCIAL AGRO S/A</t>
        </is>
      </c>
      <c r="J526" t="inlineStr">
        <is>
          <t>POTENCIAL BIODIESEL LTDA</t>
        </is>
      </c>
      <c r="K526" t="inlineStr">
        <is>
          <t>12613484</t>
        </is>
      </c>
      <c r="L526" t="inlineStr">
        <is>
          <t>12613484000123</t>
        </is>
      </c>
      <c r="M526" s="10" t="n">
        <v>222764.53</v>
      </c>
      <c r="N526" t="n">
        <v>1</v>
      </c>
      <c r="O526" s="11" t="inlineStr">
        <is>
          <t>C</t>
        </is>
      </c>
      <c r="P526" s="11" t="inlineStr">
        <is>
          <t>ACTIVE</t>
        </is>
      </c>
      <c r="Q526" s="12" t="n">
        <v>45264</v>
      </c>
      <c r="R526" s="11">
        <f>IF(Q526="","",ROUND((TODAY()-Q526)/365.25,1))</f>
        <v/>
      </c>
      <c r="S526" s="13">
        <f>IFERROR(VLOOKUP(O526,Assumptions!$A$7:$F$11,2,FALSE),0.25)</f>
        <v/>
      </c>
      <c r="T526" s="14">
        <f>IF(O526="A",MAX(1,IFERROR(VLOOKUP(O526,Assumptions!$A$7:$F$11,3,FALSE),3)+IFERROR(VLOOKUP(O526,Assumptions!$A$7:$F$11,4,FALSE),8)/2-MAX(0,IF(R526="",0,R526)-IFERROR(VLOOKUP(O526,Assumptions!$A$7:$F$11,5,FALSE),1.5))),IFERROR(VLOOKUP(O526,Assumptions!$A$7:$F$11,5,FALSE),2.5)+IFERROR(VLOOKUP(O526,Assumptions!$A$7:$F$11,3,FALSE),3)+IFERROR(VLOOKUP(O526,Assumptions!$A$7:$F$11,4,FALSE),8)/2)</f>
        <v/>
      </c>
      <c r="U526" s="15">
        <f>M526*S526/(1+Assumptions!$B$3)^T526</f>
        <v/>
      </c>
      <c r="V526" s="11">
        <f>IF(M526=0,"",ROUND(U526/M526*100,1))</f>
        <v/>
      </c>
      <c r="W526" s="16">
        <f>U526*Assumptions!$B$4</f>
        <v/>
      </c>
      <c r="X526" s="11">
        <f>IF(M526=0,"",ROUND(W526/M526*100,1))</f>
        <v/>
      </c>
      <c r="Y526" t="inlineStr">
        <is>
          <t>Alto Uruguai Indústria e Comércio de Óleos Ltda</t>
        </is>
      </c>
      <c r="Z526" t="inlineStr">
        <is>
          <t>5012743-51.2023.8.24.0019</t>
        </is>
      </c>
      <c r="AA526" t="inlineStr">
        <is>
          <t>TJSC</t>
        </is>
      </c>
      <c r="AB526" t="inlineStr">
        <is>
          <t>ajruiz.com.br</t>
        </is>
      </c>
      <c r="AC526" t="inlineStr">
        <is>
          <t>ARNOLDO HAMMERSCHMIDT</t>
        </is>
      </c>
      <c r="AD526" t="inlineStr">
        <is>
          <t>Presidente</t>
        </is>
      </c>
      <c r="AE526" t="inlineStr">
        <is>
          <t>(41) 3163-3000</t>
        </is>
      </c>
      <c r="AF526" t="inlineStr"/>
      <c r="AG526" t="inlineStr"/>
      <c r="AH526" t="inlineStr">
        <is>
          <t>PR</t>
        </is>
      </c>
      <c r="AI526" t="inlineStr">
        <is>
          <t>LAPA</t>
        </is>
      </c>
      <c r="AJ526" t="inlineStr">
        <is>
          <t>Fabricação de biocombustíveis, exceto álcool</t>
        </is>
      </c>
      <c r="AK526" t="inlineStr">
        <is>
          <t>DEMAIS</t>
        </is>
      </c>
      <c r="AL526" t="inlineStr">
        <is>
          <t>ATIVA</t>
        </is>
      </c>
      <c r="AM526" s="17" t="inlineStr">
        <is>
          <t>https://ajruiz.com.br/sites/default/files/public/arquivos-processos/2026-06/alto_uruguai_qgc_junho.2026.pdf</t>
        </is>
      </c>
      <c r="AN526" s="18" t="inlineStr">
        <is>
          <t>p1 r30</t>
        </is>
      </c>
      <c r="AO526" s="18" t="inlineStr">
        <is>
          <t>p1: R$ 222.764,53</t>
        </is>
      </c>
      <c r="AP526" s="18" t="inlineStr">
        <is>
          <t>UNKNOWN</t>
        </is>
      </c>
      <c r="AQ526" s="18" t="inlineStr"/>
      <c r="AR526" s="18" t="inlineStr">
        <is>
          <t>OK</t>
        </is>
      </c>
      <c r="AS526" s="18" t="inlineStr">
        <is>
          <t>ROWS:p1r30 VALUE_COL:Valor_Do_Crédito</t>
        </is>
      </c>
      <c r="AT526" s="18" t="inlineStr">
        <is>
          <t>75336e98f447</t>
        </is>
      </c>
    </row>
    <row r="527">
      <c r="A527" s="9" t="n">
        <v>526</v>
      </c>
      <c r="B527" s="9" t="inlineStr">
        <is>
          <t>NEW</t>
        </is>
      </c>
      <c r="C527" s="9" t="inlineStr"/>
      <c r="D527" s="9" t="n">
        <v>0</v>
      </c>
      <c r="E527" s="9" t="inlineStr"/>
      <c r="F527" s="9" t="inlineStr"/>
      <c r="G527" s="9" t="inlineStr"/>
      <c r="H527" s="9" t="inlineStr"/>
      <c r="I527" t="inlineStr">
        <is>
          <t>RECORD PARTICIPACOES LTDA</t>
        </is>
      </c>
      <c r="J527" t="inlineStr">
        <is>
          <t>PROJETO 118 SPE LTDA</t>
        </is>
      </c>
      <c r="K527" t="inlineStr">
        <is>
          <t>09260643</t>
        </is>
      </c>
      <c r="L527" t="inlineStr">
        <is>
          <t>09260643000149</t>
        </is>
      </c>
      <c r="M527" s="10" t="n">
        <v>222369.09</v>
      </c>
      <c r="N527" t="n">
        <v>1</v>
      </c>
      <c r="O527" s="11" t="inlineStr">
        <is>
          <t>C</t>
        </is>
      </c>
      <c r="P527" s="11" t="inlineStr"/>
      <c r="Q527" s="12" t="inlineStr"/>
      <c r="R527" s="11">
        <f>IF(Q527="","",ROUND((TODAY()-Q527)/365.25,1))</f>
        <v/>
      </c>
      <c r="S527" s="13">
        <f>IFERROR(VLOOKUP(O527,Assumptions!$A$7:$F$11,2,FALSE),0.25)</f>
        <v/>
      </c>
      <c r="T527" s="14">
        <f>IF(O527="A",MAX(1,IFERROR(VLOOKUP(O527,Assumptions!$A$7:$F$11,3,FALSE),3)+IFERROR(VLOOKUP(O527,Assumptions!$A$7:$F$11,4,FALSE),8)/2-MAX(0,IF(R527="",0,R527)-IFERROR(VLOOKUP(O527,Assumptions!$A$7:$F$11,5,FALSE),1.5))),IFERROR(VLOOKUP(O527,Assumptions!$A$7:$F$11,5,FALSE),2.5)+IFERROR(VLOOKUP(O527,Assumptions!$A$7:$F$11,3,FALSE),3)+IFERROR(VLOOKUP(O527,Assumptions!$A$7:$F$11,4,FALSE),8)/2)</f>
        <v/>
      </c>
      <c r="U527" s="15">
        <f>M527*S527/(1+Assumptions!$B$3)^T527</f>
        <v/>
      </c>
      <c r="V527" s="11">
        <f>IF(M527=0,"",ROUND(U527/M527*100,1))</f>
        <v/>
      </c>
      <c r="W527" s="16">
        <f>U527*Assumptions!$B$4</f>
        <v/>
      </c>
      <c r="X527" s="11">
        <f>IF(M527=0,"",ROUND(W527/M527*100,1))</f>
        <v/>
      </c>
      <c r="Y527" t="inlineStr">
        <is>
          <t>GRUPO ARNON DE MELLO</t>
        </is>
      </c>
      <c r="Z527" t="inlineStr">
        <is>
          <t>0700256-03.2019.8.02.0066</t>
        </is>
      </c>
      <c r="AA527" t="inlineStr"/>
      <c r="AB527" t="inlineStr">
        <is>
          <t>recuperacaojudicial.squarespace.com</t>
        </is>
      </c>
      <c r="AC527" t="inlineStr">
        <is>
          <t>CAETANO XIMENES DE ARAGAO FILHO</t>
        </is>
      </c>
      <c r="AD527" t="inlineStr">
        <is>
          <t>Administrador</t>
        </is>
      </c>
      <c r="AE527" t="inlineStr">
        <is>
          <t>(82) 3177-6500</t>
        </is>
      </c>
      <c r="AF527" t="inlineStr"/>
      <c r="AG527" t="inlineStr"/>
      <c r="AH527" t="inlineStr">
        <is>
          <t>AL</t>
        </is>
      </c>
      <c r="AI527" t="inlineStr">
        <is>
          <t>MACEIO</t>
        </is>
      </c>
      <c r="AJ527" t="inlineStr">
        <is>
          <t>Incorporação de empreendimentos imobiliários</t>
        </is>
      </c>
      <c r="AK527" t="inlineStr">
        <is>
          <t>DEMAIS</t>
        </is>
      </c>
      <c r="AL527" t="inlineStr">
        <is>
          <t>ATIVA</t>
        </is>
      </c>
      <c r="AM527" s="17" t="inlineStr">
        <is>
          <t>https://recuperacaojudicial.squarespace.com/s/RJ-Grupo-Arnon-de-Melo-Lista-de-Credores-Consolidada-abril-2022.pdf</t>
        </is>
      </c>
      <c r="AN527" s="18" t="inlineStr">
        <is>
          <t>p9 r10</t>
        </is>
      </c>
      <c r="AO527" s="18" t="inlineStr">
        <is>
          <t>p9: R$ 222.369,09</t>
        </is>
      </c>
      <c r="AP527" s="18" t="inlineStr">
        <is>
          <t>AJ_LIST</t>
        </is>
      </c>
      <c r="AQ527" s="18" t="inlineStr"/>
      <c r="AR527" s="18" t="inlineStr">
        <is>
          <t>OK_NO_TOTALS</t>
        </is>
      </c>
      <c r="AS527" s="18" t="inlineStr">
        <is>
          <t>ROWS:p9r10 UNRECONCILED_SOURCE</t>
        </is>
      </c>
      <c r="AT527" s="18" t="inlineStr">
        <is>
          <t>60fd9c017d90</t>
        </is>
      </c>
    </row>
    <row r="528">
      <c r="A528" s="9" t="n">
        <v>527</v>
      </c>
      <c r="B528" s="9" t="inlineStr">
        <is>
          <t>NEW</t>
        </is>
      </c>
      <c r="C528" s="9" t="inlineStr"/>
      <c r="D528" s="9" t="n">
        <v>0</v>
      </c>
      <c r="E528" s="9" t="inlineStr"/>
      <c r="F528" s="9" t="inlineStr"/>
      <c r="G528" s="9" t="inlineStr"/>
      <c r="H528" s="9" t="inlineStr"/>
      <c r="I528" t="inlineStr">
        <is>
          <t>GEOQUEST BRASIL LTDA</t>
        </is>
      </c>
      <c r="J528" t="inlineStr">
        <is>
          <t>Terra Armada Ltda</t>
        </is>
      </c>
      <c r="K528" t="inlineStr">
        <is>
          <t>42470088</t>
        </is>
      </c>
      <c r="L528" t="inlineStr">
        <is>
          <t>42470088000155</t>
        </is>
      </c>
      <c r="M528" s="10" t="n">
        <v>220382.08</v>
      </c>
      <c r="N528" t="n">
        <v>1</v>
      </c>
      <c r="O528" s="11" t="inlineStr">
        <is>
          <t>B</t>
        </is>
      </c>
      <c r="P528" s="11" t="inlineStr"/>
      <c r="Q528" s="12" t="n">
        <v>45756</v>
      </c>
      <c r="R528" s="11">
        <f>IF(Q528="","",ROUND((TODAY()-Q528)/365.25,1))</f>
        <v/>
      </c>
      <c r="S528" s="13">
        <f>IFERROR(VLOOKUP(O528,Assumptions!$A$7:$F$11,2,FALSE),0.25)</f>
        <v/>
      </c>
      <c r="T528" s="14">
        <f>IF(O528="A",MAX(1,IFERROR(VLOOKUP(O528,Assumptions!$A$7:$F$11,3,FALSE),3)+IFERROR(VLOOKUP(O528,Assumptions!$A$7:$F$11,4,FALSE),8)/2-MAX(0,IF(R528="",0,R528)-IFERROR(VLOOKUP(O528,Assumptions!$A$7:$F$11,5,FALSE),1.5))),IFERROR(VLOOKUP(O528,Assumptions!$A$7:$F$11,5,FALSE),2.5)+IFERROR(VLOOKUP(O528,Assumptions!$A$7:$F$11,3,FALSE),3)+IFERROR(VLOOKUP(O528,Assumptions!$A$7:$F$11,4,FALSE),8)/2)</f>
        <v/>
      </c>
      <c r="U528" s="15">
        <f>M528*S528/(1+Assumptions!$B$3)^T528</f>
        <v/>
      </c>
      <c r="V528" s="11">
        <f>IF(M528=0,"",ROUND(U528/M528*100,1))</f>
        <v/>
      </c>
      <c r="W528" s="16">
        <f>U528*Assumptions!$B$4</f>
        <v/>
      </c>
      <c r="X528" s="11">
        <f>IF(M528=0,"",ROUND(W528/M528*100,1))</f>
        <v/>
      </c>
      <c r="Y528" t="inlineStr">
        <is>
          <t>GRUPO EGESA (EGESA ENG S.A, EGESUR PART E EMP S.A, MATRIX INFRA LTDA, BEMVIVER ENG AMBIENTAL E SERV LTDA, DKF CONST E EMP LTDA, EGEPEL LTDA, ETR ASSESSORIA EMP E PART LTDA, MVT ENG E SERV LTDA, PARQUES DO VALE LTDA, ELMO RIBEIRO E ANA RIBEIRO)</t>
        </is>
      </c>
      <c r="Z528" t="inlineStr">
        <is>
          <t>5088952-81.2025.8.13.0024</t>
        </is>
      </c>
      <c r="AA528" t="inlineStr">
        <is>
          <t>TJMG</t>
        </is>
      </c>
      <c r="AB528" t="inlineStr">
        <is>
          <t>scalzilliaj.com.br</t>
        </is>
      </c>
      <c r="AC528" t="inlineStr">
        <is>
          <t>BRUNO LUIZ MARSON FRANCO</t>
        </is>
      </c>
      <c r="AD528" t="inlineStr">
        <is>
          <t>Administrador</t>
        </is>
      </c>
      <c r="AE528" t="inlineStr">
        <is>
          <t>(21) 2233-7353</t>
        </is>
      </c>
      <c r="AF528" t="inlineStr">
        <is>
          <t>(21) 2233-7354</t>
        </is>
      </c>
      <c r="AG528" t="inlineStr"/>
      <c r="AH528" t="inlineStr">
        <is>
          <t>RJ</t>
        </is>
      </c>
      <c r="AI528" t="inlineStr">
        <is>
          <t>RIO DE JANEIRO</t>
        </is>
      </c>
      <c r="AJ528" t="inlineStr">
        <is>
          <t>Outras obras de engenharia civil não especificadas anteriormente</t>
        </is>
      </c>
      <c r="AK528" t="inlineStr">
        <is>
          <t>DEMAIS</t>
        </is>
      </c>
      <c r="AL528" t="inlineStr">
        <is>
          <t>ATIVA</t>
        </is>
      </c>
      <c r="AM528" s="17" t="inlineStr">
        <is>
          <t>https://scalzilliaj.com.br/sgc/download.php?file=files/processo_documento/processo_documento09514021082025_1_.pdf&amp;nome=04 - Relação de credores das Recuperandas</t>
        </is>
      </c>
      <c r="AN528" s="18" t="inlineStr">
        <is>
          <t>p74 r6</t>
        </is>
      </c>
      <c r="AO528" s="18" t="inlineStr">
        <is>
          <t>p74: R$ 220.382,08</t>
        </is>
      </c>
      <c r="AP528" s="18" t="inlineStr">
        <is>
          <t>DEBTOR_LIST</t>
        </is>
      </c>
      <c r="AQ528" s="18" t="inlineStr"/>
      <c r="AR528" s="18" t="inlineStr">
        <is>
          <t>OK</t>
        </is>
      </c>
      <c r="AS528" s="18" t="inlineStr">
        <is>
          <t>ROWS:p74r6 VALUE_COL:Valor_Atualizado CASE_NUMBER_CORRECTED CASE_FROM_PORTAL</t>
        </is>
      </c>
      <c r="AT528" s="18" t="inlineStr">
        <is>
          <t>24ed98480a57</t>
        </is>
      </c>
    </row>
    <row r="529">
      <c r="A529" s="9" t="n">
        <v>528</v>
      </c>
      <c r="B529" s="9" t="inlineStr">
        <is>
          <t>NEW</t>
        </is>
      </c>
      <c r="C529" s="9" t="inlineStr"/>
      <c r="D529" s="9" t="n">
        <v>0</v>
      </c>
      <c r="E529" s="9" t="inlineStr"/>
      <c r="F529" s="9" t="inlineStr"/>
      <c r="G529" s="9" t="inlineStr"/>
      <c r="H529" s="9" t="inlineStr"/>
      <c r="I529" t="inlineStr">
        <is>
          <t>MOVEIS RODIAL LTDA</t>
        </is>
      </c>
      <c r="J529" t="inlineStr">
        <is>
          <t>91.062.497/0001-28</t>
        </is>
      </c>
      <c r="K529" t="inlineStr">
        <is>
          <t>91062497</t>
        </is>
      </c>
      <c r="L529" t="inlineStr">
        <is>
          <t>91062497000128</t>
        </is>
      </c>
      <c r="M529" s="10" t="n">
        <v>219780</v>
      </c>
      <c r="N529" t="n">
        <v>1</v>
      </c>
      <c r="O529" s="11" t="inlineStr">
        <is>
          <t>C</t>
        </is>
      </c>
      <c r="P529" s="11" t="inlineStr">
        <is>
          <t>ACTIVE</t>
        </is>
      </c>
      <c r="Q529" s="12" t="n">
        <v>43894</v>
      </c>
      <c r="R529" s="11">
        <f>IF(Q529="","",ROUND((TODAY()-Q529)/365.25,1))</f>
        <v/>
      </c>
      <c r="S529" s="13">
        <f>IFERROR(VLOOKUP(O529,Assumptions!$A$7:$F$11,2,FALSE),0.25)</f>
        <v/>
      </c>
      <c r="T529" s="14">
        <f>IF(O529="A",MAX(1,IFERROR(VLOOKUP(O529,Assumptions!$A$7:$F$11,3,FALSE),3)+IFERROR(VLOOKUP(O529,Assumptions!$A$7:$F$11,4,FALSE),8)/2-MAX(0,IF(R529="",0,R529)-IFERROR(VLOOKUP(O529,Assumptions!$A$7:$F$11,5,FALSE),1.5))),IFERROR(VLOOKUP(O529,Assumptions!$A$7:$F$11,5,FALSE),2.5)+IFERROR(VLOOKUP(O529,Assumptions!$A$7:$F$11,3,FALSE),3)+IFERROR(VLOOKUP(O529,Assumptions!$A$7:$F$11,4,FALSE),8)/2)</f>
        <v/>
      </c>
      <c r="U529" s="15">
        <f>M529*S529/(1+Assumptions!$B$3)^T529</f>
        <v/>
      </c>
      <c r="V529" s="11">
        <f>IF(M529=0,"",ROUND(U529/M529*100,1))</f>
        <v/>
      </c>
      <c r="W529" s="16">
        <f>U529*Assumptions!$B$4</f>
        <v/>
      </c>
      <c r="X529" s="11">
        <f>IF(M529=0,"",ROUND(W529/M529*100,1))</f>
        <v/>
      </c>
      <c r="Y529" t="inlineStr">
        <is>
          <t>CREDIMÓVEIS NOVOLAR LTDA.</t>
        </is>
      </c>
      <c r="Z529" t="inlineStr">
        <is>
          <t>0007565-40.2020.8.17.2370</t>
        </is>
      </c>
      <c r="AA529" t="inlineStr">
        <is>
          <t>TJPE</t>
        </is>
      </c>
      <c r="AB529" t="inlineStr">
        <is>
          <t>recuperacaojudicial.squarespace.com</t>
        </is>
      </c>
      <c r="AC529" t="inlineStr">
        <is>
          <t>HEITOR JOAO TREVISOL</t>
        </is>
      </c>
      <c r="AD529" t="inlineStr">
        <is>
          <t>Sócio-Administrador</t>
        </is>
      </c>
      <c r="AE529" t="inlineStr"/>
      <c r="AF529" t="inlineStr"/>
      <c r="AG529" t="inlineStr"/>
      <c r="AH529" t="inlineStr">
        <is>
          <t>RS</t>
        </is>
      </c>
      <c r="AI529" t="inlineStr">
        <is>
          <t>LAGOA VERMELHA</t>
        </is>
      </c>
      <c r="AJ529" t="inlineStr">
        <is>
          <t>Fabricação de móveis com predominância de madeira</t>
        </is>
      </c>
      <c r="AK529" t="inlineStr">
        <is>
          <t>DEMAIS</t>
        </is>
      </c>
      <c r="AL529" t="inlineStr">
        <is>
          <t>ATIVA</t>
        </is>
      </c>
      <c r="AM529" s="17" t="inlineStr">
        <is>
          <t>https://recuperacaojudicial.squarespace.com/s/RJ-Credimoveis-QGC-01082025.pdf</t>
        </is>
      </c>
      <c r="AN529" s="18" t="inlineStr">
        <is>
          <t>p16 r24</t>
        </is>
      </c>
      <c r="AO529" s="18" t="inlineStr">
        <is>
          <t>p16: R$ 219.780,00</t>
        </is>
      </c>
      <c r="AP529" s="18" t="inlineStr">
        <is>
          <t>QGC</t>
        </is>
      </c>
      <c r="AQ529" s="18" t="inlineStr">
        <is>
          <t>2026-01-28</t>
        </is>
      </c>
      <c r="AR529" s="18" t="inlineStr">
        <is>
          <t>OK</t>
        </is>
      </c>
      <c r="AS529" s="18" t="inlineStr">
        <is>
          <t>ROWS:p16r24</t>
        </is>
      </c>
      <c r="AT529" s="18" t="inlineStr">
        <is>
          <t>849d4fe5adce</t>
        </is>
      </c>
    </row>
    <row r="530">
      <c r="A530" s="9" t="n">
        <v>529</v>
      </c>
      <c r="B530" s="9" t="inlineStr">
        <is>
          <t>NEW</t>
        </is>
      </c>
      <c r="C530" s="9" t="inlineStr"/>
      <c r="D530" s="9" t="n">
        <v>0</v>
      </c>
      <c r="E530" s="9" t="inlineStr"/>
      <c r="F530" s="9" t="inlineStr"/>
      <c r="G530" s="9" t="inlineStr"/>
      <c r="H530" s="9" t="inlineStr"/>
      <c r="I530" t="inlineStr">
        <is>
          <t>DXS GESTAO E CONSULTORIA EMPRESARIAL LTDA</t>
        </is>
      </c>
      <c r="J530" t="inlineStr">
        <is>
          <t>DSX GESTÃO E CONSULTORIA EMPRESARIAL EIRELI (</t>
        </is>
      </c>
      <c r="K530" t="inlineStr">
        <is>
          <t>30177427</t>
        </is>
      </c>
      <c r="L530" t="inlineStr">
        <is>
          <t>30177427000120</t>
        </is>
      </c>
      <c r="M530" s="10" t="n">
        <v>219405.51</v>
      </c>
      <c r="N530" t="n">
        <v>1</v>
      </c>
      <c r="O530" s="11" t="inlineStr">
        <is>
          <t>C</t>
        </is>
      </c>
      <c r="P530" s="11" t="inlineStr">
        <is>
          <t>ACTIVE</t>
        </is>
      </c>
      <c r="Q530" s="12" t="n">
        <v>44354</v>
      </c>
      <c r="R530" s="11">
        <f>IF(Q530="","",ROUND((TODAY()-Q530)/365.25,1))</f>
        <v/>
      </c>
      <c r="S530" s="13">
        <f>IFERROR(VLOOKUP(O530,Assumptions!$A$7:$F$11,2,FALSE),0.25)</f>
        <v/>
      </c>
      <c r="T530" s="14">
        <f>IF(O530="A",MAX(1,IFERROR(VLOOKUP(O530,Assumptions!$A$7:$F$11,3,FALSE),3)+IFERROR(VLOOKUP(O530,Assumptions!$A$7:$F$11,4,FALSE),8)/2-MAX(0,IF(R530="",0,R530)-IFERROR(VLOOKUP(O530,Assumptions!$A$7:$F$11,5,FALSE),1.5))),IFERROR(VLOOKUP(O530,Assumptions!$A$7:$F$11,5,FALSE),2.5)+IFERROR(VLOOKUP(O530,Assumptions!$A$7:$F$11,3,FALSE),3)+IFERROR(VLOOKUP(O530,Assumptions!$A$7:$F$11,4,FALSE),8)/2)</f>
        <v/>
      </c>
      <c r="U530" s="15">
        <f>M530*S530/(1+Assumptions!$B$3)^T530</f>
        <v/>
      </c>
      <c r="V530" s="11">
        <f>IF(M530=0,"",ROUND(U530/M530*100,1))</f>
        <v/>
      </c>
      <c r="W530" s="16">
        <f>U530*Assumptions!$B$4</f>
        <v/>
      </c>
      <c r="X530" s="11">
        <f>IF(M530=0,"",ROUND(W530/M530*100,1))</f>
        <v/>
      </c>
      <c r="Y530" t="inlineStr">
        <is>
          <t>VECTOR INDÚSTRIA DE PRODUTOS METALÚRGICOS LTDA.</t>
        </is>
      </c>
      <c r="Z530" t="inlineStr">
        <is>
          <t>5014104-85.2021.8.21.0010</t>
        </is>
      </c>
      <c r="AA530" t="inlineStr">
        <is>
          <t>TJRS</t>
        </is>
      </c>
      <c r="AB530" t="inlineStr">
        <is>
          <t>scalzilliaj.com.br</t>
        </is>
      </c>
      <c r="AC530" t="inlineStr">
        <is>
          <t>ROSANA FERNANDES PACHECO</t>
        </is>
      </c>
      <c r="AD530" t="inlineStr">
        <is>
          <t>Administrador</t>
        </is>
      </c>
      <c r="AE530" t="inlineStr">
        <is>
          <t>(11) 4114-8566</t>
        </is>
      </c>
      <c r="AF530" t="inlineStr"/>
      <c r="AG530" t="inlineStr"/>
      <c r="AH530" t="inlineStr">
        <is>
          <t>SP</t>
        </is>
      </c>
      <c r="AI530" t="inlineStr">
        <is>
          <t>SAO PAULO</t>
        </is>
      </c>
      <c r="AJ530" t="inlineStr">
        <is>
          <t>Consultoria em tecnologia da informação</t>
        </is>
      </c>
      <c r="AK530" t="inlineStr">
        <is>
          <t>DEMAIS</t>
        </is>
      </c>
      <c r="AL530" t="inlineStr">
        <is>
          <t>ATIVA</t>
        </is>
      </c>
      <c r="AM530" s="17" t="inlineStr">
        <is>
          <t>https://scalzilliaj.com.br/sgc/download.php?file=files/processo_documento/processo_documento15513401112022_1_.pdf&amp;nome=15 - Edital do art. 7º, §2º (segunda lista de credores) e do art. 53 da Lei 11.101/2005 (recebimento do plano)</t>
        </is>
      </c>
      <c r="AN530" s="18" t="inlineStr">
        <is>
          <t>p6 r36</t>
        </is>
      </c>
      <c r="AO530" s="18" t="inlineStr">
        <is>
          <t>p6: R$ 219.405,51</t>
        </is>
      </c>
      <c r="AP530" s="18" t="inlineStr">
        <is>
          <t>AJ_LIST</t>
        </is>
      </c>
      <c r="AQ530" s="18" t="inlineStr">
        <is>
          <t>2022-11-01</t>
        </is>
      </c>
      <c r="AR530" s="18" t="inlineStr">
        <is>
          <t>OK_NO_TOTALS</t>
        </is>
      </c>
      <c r="AS530" s="18" t="inlineStr">
        <is>
          <t>ROWS:p6r36 UNRECONCILED_SOURCE</t>
        </is>
      </c>
      <c r="AT530" s="18" t="inlineStr">
        <is>
          <t>84c586360a66</t>
        </is>
      </c>
    </row>
    <row r="531">
      <c r="A531" s="9" t="n">
        <v>530</v>
      </c>
      <c r="B531" s="9" t="inlineStr">
        <is>
          <t>NEW</t>
        </is>
      </c>
      <c r="C531" s="9" t="inlineStr"/>
      <c r="D531" s="9" t="n">
        <v>0</v>
      </c>
      <c r="E531" s="9" t="inlineStr"/>
      <c r="F531" s="9" t="inlineStr"/>
      <c r="G531" s="9" t="inlineStr"/>
      <c r="H531" s="9" t="inlineStr"/>
      <c r="I531" t="inlineStr">
        <is>
          <t>EDENTEC INDUSTRIA E COMERCIO LTDA</t>
        </is>
      </c>
      <c r="J531" t="inlineStr">
        <is>
          <t>EDENTEC INDUSTRIA E COMERCIO LTDA</t>
        </is>
      </c>
      <c r="K531" t="inlineStr">
        <is>
          <t>47799028</t>
        </is>
      </c>
      <c r="L531" t="inlineStr">
        <is>
          <t>47799028000102</t>
        </is>
      </c>
      <c r="M531" s="10" t="n">
        <v>219345.95</v>
      </c>
      <c r="N531" t="n">
        <v>1</v>
      </c>
      <c r="O531" s="11" t="inlineStr">
        <is>
          <t>C</t>
        </is>
      </c>
      <c r="P531" s="11" t="inlineStr">
        <is>
          <t>ACTIVE</t>
        </is>
      </c>
      <c r="Q531" s="12" t="n">
        <v>45068</v>
      </c>
      <c r="R531" s="11">
        <f>IF(Q531="","",ROUND((TODAY()-Q531)/365.25,1))</f>
        <v/>
      </c>
      <c r="S531" s="13">
        <f>IFERROR(VLOOKUP(O531,Assumptions!$A$7:$F$11,2,FALSE),0.25)</f>
        <v/>
      </c>
      <c r="T531" s="14">
        <f>IF(O531="A",MAX(1,IFERROR(VLOOKUP(O531,Assumptions!$A$7:$F$11,3,FALSE),3)+IFERROR(VLOOKUP(O531,Assumptions!$A$7:$F$11,4,FALSE),8)/2-MAX(0,IF(R531="",0,R531)-IFERROR(VLOOKUP(O531,Assumptions!$A$7:$F$11,5,FALSE),1.5))),IFERROR(VLOOKUP(O531,Assumptions!$A$7:$F$11,5,FALSE),2.5)+IFERROR(VLOOKUP(O531,Assumptions!$A$7:$F$11,3,FALSE),3)+IFERROR(VLOOKUP(O531,Assumptions!$A$7:$F$11,4,FALSE),8)/2)</f>
        <v/>
      </c>
      <c r="U531" s="15">
        <f>M531*S531/(1+Assumptions!$B$3)^T531</f>
        <v/>
      </c>
      <c r="V531" s="11">
        <f>IF(M531=0,"",ROUND(U531/M531*100,1))</f>
        <v/>
      </c>
      <c r="W531" s="16">
        <f>U531*Assumptions!$B$4</f>
        <v/>
      </c>
      <c r="X531" s="11">
        <f>IF(M531=0,"",ROUND(W531/M531*100,1))</f>
        <v/>
      </c>
      <c r="Y531" t="inlineStr">
        <is>
          <t>Grupo Conduscabos</t>
        </is>
      </c>
      <c r="Z531" t="inlineStr">
        <is>
          <t>8005129-09.2023.8.05.0039</t>
        </is>
      </c>
      <c r="AA531" t="inlineStr">
        <is>
          <t>TJBA</t>
        </is>
      </c>
      <c r="AB531" t="inlineStr">
        <is>
          <t>assistjud.com.br</t>
        </is>
      </c>
      <c r="AC531" t="inlineStr">
        <is>
          <t>RUBENS RIZZARDO</t>
        </is>
      </c>
      <c r="AD531" t="inlineStr">
        <is>
          <t>Sócio-Administrador</t>
        </is>
      </c>
      <c r="AE531" t="inlineStr"/>
      <c r="AF531" t="inlineStr"/>
      <c r="AG531" t="inlineStr"/>
      <c r="AH531" t="inlineStr">
        <is>
          <t>SP</t>
        </is>
      </c>
      <c r="AI531" t="inlineStr">
        <is>
          <t>SOROCABA</t>
        </is>
      </c>
      <c r="AJ531" t="inlineStr">
        <is>
          <t>Fabricação de artefatos diversos de madeira, exceto móveis</t>
        </is>
      </c>
      <c r="AK531" t="inlineStr">
        <is>
          <t>DEMAIS</t>
        </is>
      </c>
      <c r="AL531" t="inlineStr">
        <is>
          <t>ATIVA</t>
        </is>
      </c>
      <c r="AM531" s="17" t="inlineStr">
        <is>
          <t>https://assistjud.com.br/wp-content/uploads/elementor/forms/65098c80a5824.pdf</t>
        </is>
      </c>
      <c r="AN531" s="18" t="inlineStr">
        <is>
          <t>p7 r3</t>
        </is>
      </c>
      <c r="AO531" s="18" t="inlineStr">
        <is>
          <t>p7: R$ 219.345,95</t>
        </is>
      </c>
      <c r="AP531" s="18" t="inlineStr">
        <is>
          <t>AJ_LIST</t>
        </is>
      </c>
      <c r="AQ531" s="18" t="inlineStr">
        <is>
          <t>2023-09-18</t>
        </is>
      </c>
      <c r="AR531" s="18" t="inlineStr">
        <is>
          <t>OK_NO_TOTALS</t>
        </is>
      </c>
      <c r="AS531" s="18" t="inlineStr">
        <is>
          <t>ROWS:p7r3 UNRECONCILED_SOURCE</t>
        </is>
      </c>
      <c r="AT531" s="18" t="inlineStr">
        <is>
          <t>a0ae32a59c29</t>
        </is>
      </c>
    </row>
    <row r="532">
      <c r="A532" s="9" t="n">
        <v>531</v>
      </c>
      <c r="B532" s="9" t="inlineStr">
        <is>
          <t>NEW</t>
        </is>
      </c>
      <c r="C532" s="9" t="inlineStr"/>
      <c r="D532" s="9" t="n">
        <v>0</v>
      </c>
      <c r="E532" s="9" t="inlineStr"/>
      <c r="F532" s="9" t="inlineStr"/>
      <c r="G532" s="9" t="inlineStr"/>
      <c r="H532" s="9" t="inlineStr"/>
      <c r="I532" t="inlineStr">
        <is>
          <t>LINHASITA INDUSTRIA DE LINHAS PARA COSER LTDA</t>
        </is>
      </c>
      <c r="J532" t="inlineStr">
        <is>
          <t>LINHASITA IND.DE LINHAS P/COSER LTDA.</t>
        </is>
      </c>
      <c r="K532" t="inlineStr">
        <is>
          <t>46645768</t>
        </is>
      </c>
      <c r="L532" t="inlineStr">
        <is>
          <t>46645768000113</t>
        </is>
      </c>
      <c r="M532" s="10" t="n">
        <v>218971.2</v>
      </c>
      <c r="N532" t="n">
        <v>1</v>
      </c>
      <c r="O532" s="11" t="inlineStr">
        <is>
          <t>D</t>
        </is>
      </c>
      <c r="P532" s="11" t="inlineStr"/>
      <c r="Q532" s="12" t="inlineStr"/>
      <c r="R532" s="11">
        <f>IF(Q532="","",ROUND((TODAY()-Q532)/365.25,1))</f>
        <v/>
      </c>
      <c r="S532" s="13">
        <f>IFERROR(VLOOKUP(O532,Assumptions!$A$7:$F$11,2,FALSE),0.25)</f>
        <v/>
      </c>
      <c r="T532" s="14">
        <f>IF(O532="A",MAX(1,IFERROR(VLOOKUP(O532,Assumptions!$A$7:$F$11,3,FALSE),3)+IFERROR(VLOOKUP(O532,Assumptions!$A$7:$F$11,4,FALSE),8)/2-MAX(0,IF(R532="",0,R532)-IFERROR(VLOOKUP(O532,Assumptions!$A$7:$F$11,5,FALSE),1.5))),IFERROR(VLOOKUP(O532,Assumptions!$A$7:$F$11,5,FALSE),2.5)+IFERROR(VLOOKUP(O532,Assumptions!$A$7:$F$11,3,FALSE),3)+IFERROR(VLOOKUP(O532,Assumptions!$A$7:$F$11,4,FALSE),8)/2)</f>
        <v/>
      </c>
      <c r="U532" s="15">
        <f>M532*S532/(1+Assumptions!$B$3)^T532</f>
        <v/>
      </c>
      <c r="V532" s="11">
        <f>IF(M532=0,"",ROUND(U532/M532*100,1))</f>
        <v/>
      </c>
      <c r="W532" s="16">
        <f>U532*Assumptions!$B$4</f>
        <v/>
      </c>
      <c r="X532" s="11">
        <f>IF(M532=0,"",ROUND(W532/M532*100,1))</f>
        <v/>
      </c>
      <c r="Y532" t="inlineStr">
        <is>
          <t>Mannes</t>
        </is>
      </c>
      <c r="Z532" t="inlineStr">
        <is>
          <t>0005010-50.2013.8.24.0026</t>
        </is>
      </c>
      <c r="AA532" t="inlineStr"/>
      <c r="AB532" t="inlineStr">
        <is>
          <t>administradorajudicialgs.com.br</t>
        </is>
      </c>
      <c r="AC532" t="inlineStr">
        <is>
          <t>FERNANDA VALERIA ROSSI</t>
        </is>
      </c>
      <c r="AD532" t="inlineStr">
        <is>
          <t>Sócio-Administrador</t>
        </is>
      </c>
      <c r="AE532" t="inlineStr">
        <is>
          <t>(11) 4487-6600</t>
        </is>
      </c>
      <c r="AF532" t="inlineStr"/>
      <c r="AG532" t="inlineStr"/>
      <c r="AH532" t="inlineStr">
        <is>
          <t>SP</t>
        </is>
      </c>
      <c r="AI532" t="inlineStr">
        <is>
          <t>ITATIBA</t>
        </is>
      </c>
      <c r="AJ532" t="inlineStr">
        <is>
          <t>Fabricação de linhas para costurar e bordar</t>
        </is>
      </c>
      <c r="AK532" t="inlineStr">
        <is>
          <t>DEMAIS</t>
        </is>
      </c>
      <c r="AL532" t="inlineStr">
        <is>
          <t>ATIVA</t>
        </is>
      </c>
      <c r="AM532" s="17" t="inlineStr">
        <is>
          <t>https://administradorajudicialgs.com.br/wp-content/uploads/2024/12/relacao-de-credores-da-falida.pdf</t>
        </is>
      </c>
      <c r="AN532" s="18" t="inlineStr">
        <is>
          <t>p16 r15</t>
        </is>
      </c>
      <c r="AO532" s="18" t="inlineStr">
        <is>
          <t>p16: R$ 218.971,20</t>
        </is>
      </c>
      <c r="AP532" s="18" t="inlineStr">
        <is>
          <t>OTHER</t>
        </is>
      </c>
      <c r="AQ532" s="18" t="inlineStr">
        <is>
          <t>2025-03-25</t>
        </is>
      </c>
      <c r="AR532" s="18" t="inlineStr">
        <is>
          <t>OK_NO_TOTALS</t>
        </is>
      </c>
      <c r="AS532" s="18" t="inlineStr">
        <is>
          <t>ROWS:p16r15 UNRECONCILED_SOURCE CASE_NUMBER_CORRECTED</t>
        </is>
      </c>
      <c r="AT532" s="18" t="inlineStr">
        <is>
          <t>ea17ba43b261</t>
        </is>
      </c>
    </row>
    <row r="533">
      <c r="A533" s="9" t="n">
        <v>532</v>
      </c>
      <c r="B533" s="9" t="inlineStr">
        <is>
          <t>NEW</t>
        </is>
      </c>
      <c r="C533" s="9" t="inlineStr"/>
      <c r="D533" s="9" t="n">
        <v>0</v>
      </c>
      <c r="E533" s="9" t="inlineStr"/>
      <c r="F533" s="9" t="inlineStr"/>
      <c r="G533" s="9" t="inlineStr"/>
      <c r="H533" s="9" t="inlineStr"/>
      <c r="I533" t="inlineStr">
        <is>
          <t>APC DO BRASIL LTDA.</t>
        </is>
      </c>
      <c r="J533" t="inlineStr">
        <is>
          <t>Apc Do Brasil Ltda</t>
        </is>
      </c>
      <c r="K533" t="inlineStr">
        <is>
          <t>04310390</t>
        </is>
      </c>
      <c r="L533" t="inlineStr">
        <is>
          <t>04310390000661</t>
        </is>
      </c>
      <c r="M533" s="10" t="n">
        <v>218400</v>
      </c>
      <c r="N533" t="n">
        <v>1</v>
      </c>
      <c r="O533" s="11" t="inlineStr">
        <is>
          <t>B</t>
        </is>
      </c>
      <c r="P533" s="11" t="inlineStr">
        <is>
          <t>ACTIVE</t>
        </is>
      </c>
      <c r="Q533" s="12" t="n">
        <v>46130</v>
      </c>
      <c r="R533" s="11">
        <f>IF(Q533="","",ROUND((TODAY()-Q533)/365.25,1))</f>
        <v/>
      </c>
      <c r="S533" s="13">
        <f>IFERROR(VLOOKUP(O533,Assumptions!$A$7:$F$11,2,FALSE),0.25)</f>
        <v/>
      </c>
      <c r="T533" s="14">
        <f>IF(O533="A",MAX(1,IFERROR(VLOOKUP(O533,Assumptions!$A$7:$F$11,3,FALSE),3)+IFERROR(VLOOKUP(O533,Assumptions!$A$7:$F$11,4,FALSE),8)/2-MAX(0,IF(R533="",0,R533)-IFERROR(VLOOKUP(O533,Assumptions!$A$7:$F$11,5,FALSE),1.5))),IFERROR(VLOOKUP(O533,Assumptions!$A$7:$F$11,5,FALSE),2.5)+IFERROR(VLOOKUP(O533,Assumptions!$A$7:$F$11,3,FALSE),3)+IFERROR(VLOOKUP(O533,Assumptions!$A$7:$F$11,4,FALSE),8)/2)</f>
        <v/>
      </c>
      <c r="U533" s="15">
        <f>M533*S533/(1+Assumptions!$B$3)^T533</f>
        <v/>
      </c>
      <c r="V533" s="11">
        <f>IF(M533=0,"",ROUND(U533/M533*100,1))</f>
        <v/>
      </c>
      <c r="W533" s="16">
        <f>U533*Assumptions!$B$4</f>
        <v/>
      </c>
      <c r="X533" s="11">
        <f>IF(M533=0,"",ROUND(W533/M533*100,1))</f>
        <v/>
      </c>
      <c r="Y533" t="inlineStr">
        <is>
          <t>GRUPO 3E</t>
        </is>
      </c>
      <c r="Z533" t="inlineStr">
        <is>
          <t>5341375-33.2026.8.09.0049</t>
        </is>
      </c>
      <c r="AA533" t="inlineStr">
        <is>
          <t>TJGO</t>
        </is>
      </c>
      <c r="AB533" t="inlineStr">
        <is>
          <t>stenius.com.br</t>
        </is>
      </c>
      <c r="AC533" t="inlineStr">
        <is>
          <t>ALBERTO GIBERT PEREZ</t>
        </is>
      </c>
      <c r="AD533" t="inlineStr">
        <is>
          <t>Administrador</t>
        </is>
      </c>
      <c r="AE533" t="inlineStr">
        <is>
          <t>(49) 3331-3882</t>
        </is>
      </c>
      <c r="AF533" t="inlineStr"/>
      <c r="AG533" t="inlineStr"/>
      <c r="AH533" t="inlineStr">
        <is>
          <t>SC</t>
        </is>
      </c>
      <c r="AI533" t="inlineStr">
        <is>
          <t>CHAPECO</t>
        </is>
      </c>
      <c r="AJ533" t="inlineStr">
        <is>
          <t>Preparação de subprodutos do abate</t>
        </is>
      </c>
      <c r="AK533" t="inlineStr">
        <is>
          <t>DEMAIS</t>
        </is>
      </c>
      <c r="AL533" t="inlineStr">
        <is>
          <t>ATIVA</t>
        </is>
      </c>
      <c r="AM533" s="17" t="inlineStr">
        <is>
          <t>https://stenius.com.br/wp-content/uploads/2026/06/EDITAL-GRUPO-3E.pdf</t>
        </is>
      </c>
      <c r="AN533" s="18" t="inlineStr">
        <is>
          <t>p10 r3</t>
        </is>
      </c>
      <c r="AO533" s="18" t="inlineStr">
        <is>
          <t>p10: R$ 218.400,00</t>
        </is>
      </c>
      <c r="AP533" s="18" t="inlineStr">
        <is>
          <t>DEBTOR_LIST</t>
        </is>
      </c>
      <c r="AQ533" s="18" t="inlineStr">
        <is>
          <t>2026-06-22</t>
        </is>
      </c>
      <c r="AR533" s="18" t="inlineStr">
        <is>
          <t>OK_NO_TOTALS</t>
        </is>
      </c>
      <c r="AS533" s="18" t="inlineStr">
        <is>
          <t>ROWS:p10r3 UNRECONCILED_SOURCE</t>
        </is>
      </c>
      <c r="AT533" s="18" t="inlineStr">
        <is>
          <t>8e8832093a15</t>
        </is>
      </c>
    </row>
    <row r="534">
      <c r="A534" s="9" t="n">
        <v>533</v>
      </c>
      <c r="B534" s="9" t="inlineStr">
        <is>
          <t>NEW</t>
        </is>
      </c>
      <c r="C534" s="9" t="inlineStr"/>
      <c r="D534" s="9" t="n">
        <v>0</v>
      </c>
      <c r="E534" s="9" t="inlineStr"/>
      <c r="F534" s="9" t="inlineStr"/>
      <c r="G534" s="9" t="inlineStr"/>
      <c r="H534" s="9" t="inlineStr"/>
      <c r="I534" t="inlineStr">
        <is>
          <t>SIEMENS HEALTHCARE DIAGNOSTICOS LTDA.</t>
        </is>
      </c>
      <c r="J534" t="inlineStr">
        <is>
          <t>SIEMENS HEALTHCARE DIAGNOSTICOS LTDA</t>
        </is>
      </c>
      <c r="K534" t="inlineStr">
        <is>
          <t>01449930</t>
        </is>
      </c>
      <c r="L534" t="inlineStr">
        <is>
          <t>01449930000513</t>
        </is>
      </c>
      <c r="M534" s="10" t="n">
        <v>217731.21</v>
      </c>
      <c r="N534" t="n">
        <v>1</v>
      </c>
      <c r="O534" s="11" t="inlineStr">
        <is>
          <t>B</t>
        </is>
      </c>
      <c r="P534" s="11" t="inlineStr">
        <is>
          <t>ACTIVE</t>
        </is>
      </c>
      <c r="Q534" s="12" t="n">
        <v>46112</v>
      </c>
      <c r="R534" s="11">
        <f>IF(Q534="","",ROUND((TODAY()-Q534)/365.25,1))</f>
        <v/>
      </c>
      <c r="S534" s="13">
        <f>IFERROR(VLOOKUP(O534,Assumptions!$A$7:$F$11,2,FALSE),0.25)</f>
        <v/>
      </c>
      <c r="T534" s="14">
        <f>IF(O534="A",MAX(1,IFERROR(VLOOKUP(O534,Assumptions!$A$7:$F$11,3,FALSE),3)+IFERROR(VLOOKUP(O534,Assumptions!$A$7:$F$11,4,FALSE),8)/2-MAX(0,IF(R534="",0,R534)-IFERROR(VLOOKUP(O534,Assumptions!$A$7:$F$11,5,FALSE),1.5))),IFERROR(VLOOKUP(O534,Assumptions!$A$7:$F$11,5,FALSE),2.5)+IFERROR(VLOOKUP(O534,Assumptions!$A$7:$F$11,3,FALSE),3)+IFERROR(VLOOKUP(O534,Assumptions!$A$7:$F$11,4,FALSE),8)/2)</f>
        <v/>
      </c>
      <c r="U534" s="15">
        <f>M534*S534/(1+Assumptions!$B$3)^T534</f>
        <v/>
      </c>
      <c r="V534" s="11">
        <f>IF(M534=0,"",ROUND(U534/M534*100,1))</f>
        <v/>
      </c>
      <c r="W534" s="16">
        <f>U534*Assumptions!$B$4</f>
        <v/>
      </c>
      <c r="X534" s="11">
        <f>IF(M534=0,"",ROUND(W534/M534*100,1))</f>
        <v/>
      </c>
      <c r="Y534" t="inlineStr">
        <is>
          <t>GRUPO DIAGSON</t>
        </is>
      </c>
      <c r="Z534" t="inlineStr">
        <is>
          <t>0822279-56.2026.8.15.2001</t>
        </is>
      </c>
      <c r="AA534" t="inlineStr">
        <is>
          <t>TJPB</t>
        </is>
      </c>
      <c r="AB534" t="inlineStr">
        <is>
          <t>lrflideres.com.br</t>
        </is>
      </c>
      <c r="AC534" t="inlineStr">
        <is>
          <t>ADRIANA SILVA DA COSTA</t>
        </is>
      </c>
      <c r="AD534" t="inlineStr">
        <is>
          <t>Administrador</t>
        </is>
      </c>
      <c r="AE534" t="inlineStr">
        <is>
          <t>(11) 4585-7350</t>
        </is>
      </c>
      <c r="AF534" t="inlineStr"/>
      <c r="AG534" t="inlineStr"/>
      <c r="AH534" t="inlineStr">
        <is>
          <t>SP</t>
        </is>
      </c>
      <c r="AI534" t="inlineStr">
        <is>
          <t>SAO PAULO</t>
        </is>
      </c>
      <c r="AJ534" t="inlineStr">
        <is>
          <t>Comércio atacadista de instrumentos e materiais para uso médico, cirúrgico, hospitalar e de laboratórios</t>
        </is>
      </c>
      <c r="AK534" t="inlineStr">
        <is>
          <t>DEMAIS</t>
        </is>
      </c>
      <c r="AL534" t="inlineStr">
        <is>
          <t>ATIVA</t>
        </is>
      </c>
      <c r="AM534" s="17" t="inlineStr">
        <is>
          <t>https://lrflideres.com.br/wp-content/plugins/download-attachments/includes/download.php?id=7418</t>
        </is>
      </c>
      <c r="AN534" s="18" t="inlineStr">
        <is>
          <t>p2 r82</t>
        </is>
      </c>
      <c r="AO534" s="18" t="inlineStr">
        <is>
          <t>p2: R$ 217.731,21</t>
        </is>
      </c>
      <c r="AP534" s="18" t="inlineStr">
        <is>
          <t>DEBTOR_LIST</t>
        </is>
      </c>
      <c r="AQ534" s="18" t="inlineStr">
        <is>
          <t>2026-07-28</t>
        </is>
      </c>
      <c r="AR534" s="18" t="inlineStr">
        <is>
          <t>QUARANTINED</t>
        </is>
      </c>
      <c r="AS534" s="18" t="inlineStr">
        <is>
          <t>PARTIAL_DOC_CLASS_III_RECONCILED ROWS:p2r82</t>
        </is>
      </c>
      <c r="AT534" s="18" t="inlineStr">
        <is>
          <t>088be5223af3</t>
        </is>
      </c>
    </row>
    <row r="535">
      <c r="A535" s="9" t="n">
        <v>534</v>
      </c>
      <c r="B535" s="9" t="inlineStr">
        <is>
          <t>NEW</t>
        </is>
      </c>
      <c r="C535" s="9" t="inlineStr"/>
      <c r="D535" s="9" t="n">
        <v>0</v>
      </c>
      <c r="E535" s="9" t="inlineStr"/>
      <c r="F535" s="9" t="inlineStr"/>
      <c r="G535" s="9" t="inlineStr"/>
      <c r="H535" s="9" t="inlineStr"/>
      <c r="I535" t="inlineStr">
        <is>
          <t>TETO PLANEJAMENTO E INCORPORACOES LTDA</t>
        </is>
      </c>
      <c r="J535" t="inlineStr">
        <is>
          <t>TETO PLANEJAMENTO E INCORPORACOES LTDA</t>
        </is>
      </c>
      <c r="K535" t="inlineStr">
        <is>
          <t>10811586</t>
        </is>
      </c>
      <c r="L535" t="inlineStr">
        <is>
          <t>10811586000128</t>
        </is>
      </c>
      <c r="M535" s="10" t="n">
        <v>217484.26</v>
      </c>
      <c r="N535" t="n">
        <v>1</v>
      </c>
      <c r="O535" s="11" t="inlineStr">
        <is>
          <t>C</t>
        </is>
      </c>
      <c r="P535" s="11" t="inlineStr"/>
      <c r="Q535" s="12" t="inlineStr"/>
      <c r="R535" s="11">
        <f>IF(Q535="","",ROUND((TODAY()-Q535)/365.25,1))</f>
        <v/>
      </c>
      <c r="S535" s="13">
        <f>IFERROR(VLOOKUP(O535,Assumptions!$A$7:$F$11,2,FALSE),0.25)</f>
        <v/>
      </c>
      <c r="T535" s="14">
        <f>IF(O535="A",MAX(1,IFERROR(VLOOKUP(O535,Assumptions!$A$7:$F$11,3,FALSE),3)+IFERROR(VLOOKUP(O535,Assumptions!$A$7:$F$11,4,FALSE),8)/2-MAX(0,IF(R535="",0,R535)-IFERROR(VLOOKUP(O535,Assumptions!$A$7:$F$11,5,FALSE),1.5))),IFERROR(VLOOKUP(O535,Assumptions!$A$7:$F$11,5,FALSE),2.5)+IFERROR(VLOOKUP(O535,Assumptions!$A$7:$F$11,3,FALSE),3)+IFERROR(VLOOKUP(O535,Assumptions!$A$7:$F$11,4,FALSE),8)/2)</f>
        <v/>
      </c>
      <c r="U535" s="15">
        <f>M535*S535/(1+Assumptions!$B$3)^T535</f>
        <v/>
      </c>
      <c r="V535" s="11">
        <f>IF(M535=0,"",ROUND(U535/M535*100,1))</f>
        <v/>
      </c>
      <c r="W535" s="16">
        <f>U535*Assumptions!$B$4</f>
        <v/>
      </c>
      <c r="X535" s="11">
        <f>IF(M535=0,"",ROUND(W535/M535*100,1))</f>
        <v/>
      </c>
      <c r="Y535" t="inlineStr">
        <is>
          <t>GRUPO ARNON DE MELLO</t>
        </is>
      </c>
      <c r="Z535" t="inlineStr">
        <is>
          <t>0700256-03.2019.8.02.0066</t>
        </is>
      </c>
      <c r="AA535" t="inlineStr"/>
      <c r="AB535" t="inlineStr">
        <is>
          <t>recuperacaojudicial.squarespace.com</t>
        </is>
      </c>
      <c r="AC535" t="inlineStr">
        <is>
          <t>ANGELA MARIA DE ALBUQUERQUE SANTANA</t>
        </is>
      </c>
      <c r="AD535" t="inlineStr">
        <is>
          <t>Sócio-Administrador</t>
        </is>
      </c>
      <c r="AE535" t="inlineStr">
        <is>
          <t>(82) 3313-7983</t>
        </is>
      </c>
      <c r="AF535" t="inlineStr"/>
      <c r="AG535" t="inlineStr"/>
      <c r="AH535" t="inlineStr">
        <is>
          <t>AL</t>
        </is>
      </c>
      <c r="AI535" t="inlineStr">
        <is>
          <t>MACEIO</t>
        </is>
      </c>
      <c r="AJ535" t="inlineStr">
        <is>
          <t>Construção de edifícios</t>
        </is>
      </c>
      <c r="AK535" t="inlineStr">
        <is>
          <t>DEMAIS</t>
        </is>
      </c>
      <c r="AL535" t="inlineStr">
        <is>
          <t>ATIVA</t>
        </is>
      </c>
      <c r="AM535" s="17" t="inlineStr">
        <is>
          <t>https://recuperacaojudicial.squarespace.com/s/RJ-Grupo-Arnon-de-Melo-Lista-de-Credores-Consolidada-abril-2022.pdf</t>
        </is>
      </c>
      <c r="AN535" s="18" t="inlineStr">
        <is>
          <t>p9 r36</t>
        </is>
      </c>
      <c r="AO535" s="18" t="inlineStr">
        <is>
          <t>p9: R$ 217.484,26</t>
        </is>
      </c>
      <c r="AP535" s="18" t="inlineStr">
        <is>
          <t>AJ_LIST</t>
        </is>
      </c>
      <c r="AQ535" s="18" t="inlineStr"/>
      <c r="AR535" s="18" t="inlineStr">
        <is>
          <t>OK_NO_TOTALS</t>
        </is>
      </c>
      <c r="AS535" s="18" t="inlineStr">
        <is>
          <t>ROWS:p9r36 UNRECONCILED_SOURCE</t>
        </is>
      </c>
      <c r="AT535" s="18" t="inlineStr">
        <is>
          <t>60fd9c017d90</t>
        </is>
      </c>
    </row>
    <row r="536">
      <c r="A536" s="9" t="n">
        <v>535</v>
      </c>
      <c r="B536" s="9" t="inlineStr">
        <is>
          <t>NEW</t>
        </is>
      </c>
      <c r="C536" s="9" t="inlineStr"/>
      <c r="D536" s="9" t="n">
        <v>0</v>
      </c>
      <c r="E536" s="9" t="inlineStr"/>
      <c r="F536" s="9" t="inlineStr"/>
      <c r="G536" s="9" t="inlineStr"/>
      <c r="H536" s="9" t="inlineStr"/>
      <c r="I536" t="inlineStr">
        <is>
          <t>POLYBRAS - POLIMEROS BRASILEIROS LTDA</t>
        </is>
      </c>
      <c r="J536" t="inlineStr">
        <is>
          <t>POLYBRAS - POLIMEROS BRASILEIROS LTDA</t>
        </is>
      </c>
      <c r="K536" t="inlineStr">
        <is>
          <t>17799898</t>
        </is>
      </c>
      <c r="L536" t="inlineStr">
        <is>
          <t>17799898000102</t>
        </is>
      </c>
      <c r="M536" s="10" t="n">
        <v>217457.66</v>
      </c>
      <c r="N536" t="n">
        <v>1</v>
      </c>
      <c r="O536" s="11" t="inlineStr">
        <is>
          <t>C</t>
        </is>
      </c>
      <c r="P536" s="11" t="inlineStr">
        <is>
          <t>ACTIVE</t>
        </is>
      </c>
      <c r="Q536" s="12" t="n">
        <v>45016</v>
      </c>
      <c r="R536" s="11">
        <f>IF(Q536="","",ROUND((TODAY()-Q536)/365.25,1))</f>
        <v/>
      </c>
      <c r="S536" s="13">
        <f>IFERROR(VLOOKUP(O536,Assumptions!$A$7:$F$11,2,FALSE),0.25)</f>
        <v/>
      </c>
      <c r="T536" s="14">
        <f>IF(O536="A",MAX(1,IFERROR(VLOOKUP(O536,Assumptions!$A$7:$F$11,3,FALSE),3)+IFERROR(VLOOKUP(O536,Assumptions!$A$7:$F$11,4,FALSE),8)/2-MAX(0,IF(R536="",0,R536)-IFERROR(VLOOKUP(O536,Assumptions!$A$7:$F$11,5,FALSE),1.5))),IFERROR(VLOOKUP(O536,Assumptions!$A$7:$F$11,5,FALSE),2.5)+IFERROR(VLOOKUP(O536,Assumptions!$A$7:$F$11,3,FALSE),3)+IFERROR(VLOOKUP(O536,Assumptions!$A$7:$F$11,4,FALSE),8)/2)</f>
        <v/>
      </c>
      <c r="U536" s="15">
        <f>M536*S536/(1+Assumptions!$B$3)^T536</f>
        <v/>
      </c>
      <c r="V536" s="11">
        <f>IF(M536=0,"",ROUND(U536/M536*100,1))</f>
        <v/>
      </c>
      <c r="W536" s="16">
        <f>U536*Assumptions!$B$4</f>
        <v/>
      </c>
      <c r="X536" s="11">
        <f>IF(M536=0,"",ROUND(W536/M536*100,1))</f>
        <v/>
      </c>
      <c r="Y536" t="inlineStr">
        <is>
          <t>GRUPO IMPLASVERDE</t>
        </is>
      </c>
      <c r="Z536" t="inlineStr">
        <is>
          <t>0800778-16.2023.8.20.5104</t>
        </is>
      </c>
      <c r="AA536" t="inlineStr">
        <is>
          <t>TJRN</t>
        </is>
      </c>
      <c r="AB536" t="inlineStr">
        <is>
          <t>recuperacaojudicial.squarespace.com</t>
        </is>
      </c>
      <c r="AC536" t="inlineStr">
        <is>
          <t>KENIA KELLY MEDEIROS BORGES DE ANDRADE</t>
        </is>
      </c>
      <c r="AD536" t="inlineStr">
        <is>
          <t>Sócio-Administrador</t>
        </is>
      </c>
      <c r="AE536" t="inlineStr">
        <is>
          <t>(84) 9614-2641</t>
        </is>
      </c>
      <c r="AF536" t="inlineStr"/>
      <c r="AG536" t="inlineStr"/>
      <c r="AH536" t="inlineStr">
        <is>
          <t>RN</t>
        </is>
      </c>
      <c r="AI536" t="inlineStr">
        <is>
          <t>MOSSORO</t>
        </is>
      </c>
      <c r="AJ536" t="inlineStr">
        <is>
          <t>Recuperação de materiais plásticos</t>
        </is>
      </c>
      <c r="AK536" t="inlineStr">
        <is>
          <t>EMPRESA DE PEQUENO PORTE</t>
        </is>
      </c>
      <c r="AL536" t="inlineStr">
        <is>
          <t>ATIVA</t>
        </is>
      </c>
      <c r="AM536" s="17" t="inlineStr">
        <is>
          <t>http://recuperacaojudicial.squarespace.com/s/LISTA-DE-CREDORES-CONSOLIDADA-ATE-04102024.pdf</t>
        </is>
      </c>
      <c r="AN536" s="18" t="inlineStr">
        <is>
          <t>p6 r18</t>
        </is>
      </c>
      <c r="AO536" s="18" t="inlineStr">
        <is>
          <t>p6: R$ 217.457,66</t>
        </is>
      </c>
      <c r="AP536" s="18" t="inlineStr">
        <is>
          <t>AJ_LIST</t>
        </is>
      </c>
      <c r="AQ536" s="18" t="inlineStr">
        <is>
          <t>2024-10-04</t>
        </is>
      </c>
      <c r="AR536" s="18" t="inlineStr">
        <is>
          <t>OK</t>
        </is>
      </c>
      <c r="AS536" s="18" t="inlineStr">
        <is>
          <t>ROWS:p6r18 VALUE_COL:Valor_Do_Crédito</t>
        </is>
      </c>
      <c r="AT536" s="18" t="inlineStr">
        <is>
          <t>7501ec99fc8e</t>
        </is>
      </c>
    </row>
    <row r="537">
      <c r="A537" s="9" t="n">
        <v>536</v>
      </c>
      <c r="B537" s="9" t="inlineStr">
        <is>
          <t>NEW</t>
        </is>
      </c>
      <c r="C537" s="9" t="inlineStr"/>
      <c r="D537" s="9" t="n">
        <v>0</v>
      </c>
      <c r="E537" s="9" t="inlineStr"/>
      <c r="F537" s="9" t="inlineStr"/>
      <c r="G537" s="9" t="inlineStr"/>
      <c r="H537" s="9" t="inlineStr"/>
      <c r="I537" t="inlineStr">
        <is>
          <t>LABORATORIO GLOBO SA</t>
        </is>
      </c>
      <c r="J537" t="inlineStr">
        <is>
          <t>Laboratorio Globo S.A.</t>
        </is>
      </c>
      <c r="K537" t="inlineStr">
        <is>
          <t>17115437</t>
        </is>
      </c>
      <c r="L537" t="inlineStr">
        <is>
          <t>17115437000173</t>
        </is>
      </c>
      <c r="M537" s="10" t="n">
        <v>216418.96</v>
      </c>
      <c r="N537" t="n">
        <v>1</v>
      </c>
      <c r="O537" s="11" t="inlineStr">
        <is>
          <t>C</t>
        </is>
      </c>
      <c r="P537" s="11" t="inlineStr">
        <is>
          <t>ACTIVE</t>
        </is>
      </c>
      <c r="Q537" s="12" t="n">
        <v>44987</v>
      </c>
      <c r="R537" s="11">
        <f>IF(Q537="","",ROUND((TODAY()-Q537)/365.25,1))</f>
        <v/>
      </c>
      <c r="S537" s="13">
        <f>IFERROR(VLOOKUP(O537,Assumptions!$A$7:$F$11,2,FALSE),0.25)</f>
        <v/>
      </c>
      <c r="T537" s="14">
        <f>IF(O537="A",MAX(1,IFERROR(VLOOKUP(O537,Assumptions!$A$7:$F$11,3,FALSE),3)+IFERROR(VLOOKUP(O537,Assumptions!$A$7:$F$11,4,FALSE),8)/2-MAX(0,IF(R537="",0,R537)-IFERROR(VLOOKUP(O537,Assumptions!$A$7:$F$11,5,FALSE),1.5))),IFERROR(VLOOKUP(O537,Assumptions!$A$7:$F$11,5,FALSE),2.5)+IFERROR(VLOOKUP(O537,Assumptions!$A$7:$F$11,3,FALSE),3)+IFERROR(VLOOKUP(O537,Assumptions!$A$7:$F$11,4,FALSE),8)/2)</f>
        <v/>
      </c>
      <c r="U537" s="15">
        <f>M537*S537/(1+Assumptions!$B$3)^T537</f>
        <v/>
      </c>
      <c r="V537" s="11">
        <f>IF(M537=0,"",ROUND(U537/M537*100,1))</f>
        <v/>
      </c>
      <c r="W537" s="16">
        <f>U537*Assumptions!$B$4</f>
        <v/>
      </c>
      <c r="X537" s="11">
        <f>IF(M537=0,"",ROUND(W537/M537*100,1))</f>
        <v/>
      </c>
      <c r="Y537" t="inlineStr">
        <is>
          <t>GRUPO DP4</t>
        </is>
      </c>
      <c r="Z537" t="inlineStr">
        <is>
          <t>0005010-98.2023.8.16.0001</t>
        </is>
      </c>
      <c r="AA537" t="inlineStr">
        <is>
          <t>TJPR</t>
        </is>
      </c>
      <c r="AB537" t="inlineStr">
        <is>
          <t>marquesadmjudicial.com.br</t>
        </is>
      </c>
      <c r="AC537" t="inlineStr">
        <is>
          <t>RODRIGO DE ANDRADE CALDAS E SOUSA</t>
        </is>
      </c>
      <c r="AD537" t="inlineStr">
        <is>
          <t>Presidente</t>
        </is>
      </c>
      <c r="AE537" t="inlineStr">
        <is>
          <t>(31) 3623-3500</t>
        </is>
      </c>
      <c r="AF537" t="inlineStr">
        <is>
          <t>(31) 3623-3545</t>
        </is>
      </c>
      <c r="AG537" t="inlineStr"/>
      <c r="AH537" t="inlineStr">
        <is>
          <t>MG</t>
        </is>
      </c>
      <c r="AI537" t="inlineStr">
        <is>
          <t>SAO JOSE DA LAPA</t>
        </is>
      </c>
      <c r="AJ537" t="inlineStr">
        <is>
          <t>Fabricação de medicamentos alopáticos para uso humano</t>
        </is>
      </c>
      <c r="AK537" t="inlineStr">
        <is>
          <t>DEMAIS</t>
        </is>
      </c>
      <c r="AL537" t="inlineStr">
        <is>
          <t>ATIVA</t>
        </is>
      </c>
      <c r="AM537" s="17" t="inlineStr">
        <is>
          <t>https://marquesadmjudicial.com.br/sgc/download.php?file=files/processo_documento/processo_documento15293208032024_1_.pdf&amp;nome=Relação Nominal de Credores da AJ-Sintética</t>
        </is>
      </c>
      <c r="AN537" s="18" t="inlineStr">
        <is>
          <t>p27 r11</t>
        </is>
      </c>
      <c r="AO537" s="18" t="inlineStr">
        <is>
          <t>p27: R$ 216.418,96</t>
        </is>
      </c>
      <c r="AP537" s="18" t="inlineStr">
        <is>
          <t>AJ_LIST</t>
        </is>
      </c>
      <c r="AQ537" s="18" t="inlineStr">
        <is>
          <t>2023-03-02</t>
        </is>
      </c>
      <c r="AR537" s="18" t="inlineStr">
        <is>
          <t>QUARANTINED</t>
        </is>
      </c>
      <c r="AS537" s="18" t="inlineStr">
        <is>
          <t>PARTIAL_DOC_CLASS_III_RECONCILED ROWS:p27r11</t>
        </is>
      </c>
      <c r="AT537" s="18" t="inlineStr">
        <is>
          <t>b465a5d11eec</t>
        </is>
      </c>
    </row>
    <row r="538">
      <c r="A538" s="9" t="n">
        <v>537</v>
      </c>
      <c r="B538" s="9" t="inlineStr">
        <is>
          <t>NEW</t>
        </is>
      </c>
      <c r="C538" s="9" t="inlineStr"/>
      <c r="D538" s="9" t="n">
        <v>0</v>
      </c>
      <c r="E538" s="9" t="inlineStr"/>
      <c r="F538" s="9" t="inlineStr"/>
      <c r="G538" s="9" t="inlineStr"/>
      <c r="H538" s="9" t="inlineStr"/>
      <c r="I538" t="inlineStr">
        <is>
          <t>ARAPLAC INDUSTRIA E COMERCIO DE MOVEIS LTDA</t>
        </is>
      </c>
      <c r="J538" t="inlineStr">
        <is>
          <t>77.215.606/0001-79</t>
        </is>
      </c>
      <c r="K538" t="inlineStr">
        <is>
          <t>77215606</t>
        </is>
      </c>
      <c r="L538" t="inlineStr">
        <is>
          <t>77215606000179</t>
        </is>
      </c>
      <c r="M538" s="10" t="n">
        <v>216381.53</v>
      </c>
      <c r="N538" t="n">
        <v>1</v>
      </c>
      <c r="O538" s="11" t="inlineStr">
        <is>
          <t>C</t>
        </is>
      </c>
      <c r="P538" s="11" t="inlineStr">
        <is>
          <t>ACTIVE</t>
        </is>
      </c>
      <c r="Q538" s="12" t="n">
        <v>43894</v>
      </c>
      <c r="R538" s="11">
        <f>IF(Q538="","",ROUND((TODAY()-Q538)/365.25,1))</f>
        <v/>
      </c>
      <c r="S538" s="13">
        <f>IFERROR(VLOOKUP(O538,Assumptions!$A$7:$F$11,2,FALSE),0.25)</f>
        <v/>
      </c>
      <c r="T538" s="14">
        <f>IF(O538="A",MAX(1,IFERROR(VLOOKUP(O538,Assumptions!$A$7:$F$11,3,FALSE),3)+IFERROR(VLOOKUP(O538,Assumptions!$A$7:$F$11,4,FALSE),8)/2-MAX(0,IF(R538="",0,R538)-IFERROR(VLOOKUP(O538,Assumptions!$A$7:$F$11,5,FALSE),1.5))),IFERROR(VLOOKUP(O538,Assumptions!$A$7:$F$11,5,FALSE),2.5)+IFERROR(VLOOKUP(O538,Assumptions!$A$7:$F$11,3,FALSE),3)+IFERROR(VLOOKUP(O538,Assumptions!$A$7:$F$11,4,FALSE),8)/2)</f>
        <v/>
      </c>
      <c r="U538" s="15">
        <f>M538*S538/(1+Assumptions!$B$3)^T538</f>
        <v/>
      </c>
      <c r="V538" s="11">
        <f>IF(M538=0,"",ROUND(U538/M538*100,1))</f>
        <v/>
      </c>
      <c r="W538" s="16">
        <f>U538*Assumptions!$B$4</f>
        <v/>
      </c>
      <c r="X538" s="11">
        <f>IF(M538=0,"",ROUND(W538/M538*100,1))</f>
        <v/>
      </c>
      <c r="Y538" t="inlineStr">
        <is>
          <t>CREDIMÓVEIS NOVOLAR LTDA.</t>
        </is>
      </c>
      <c r="Z538" t="inlineStr">
        <is>
          <t>0007565-40.2020.8.17.2370</t>
        </is>
      </c>
      <c r="AA538" t="inlineStr">
        <is>
          <t>TJPE</t>
        </is>
      </c>
      <c r="AB538" t="inlineStr">
        <is>
          <t>recuperacaojudicial.squarespace.com</t>
        </is>
      </c>
      <c r="AC538" t="inlineStr">
        <is>
          <t>MARCUS VINICIUS BOTTIGELLI LAZARO</t>
        </is>
      </c>
      <c r="AD538" t="inlineStr">
        <is>
          <t>Administrador</t>
        </is>
      </c>
      <c r="AE538" t="inlineStr">
        <is>
          <t>(43) 3172-2355</t>
        </is>
      </c>
      <c r="AF538" t="inlineStr"/>
      <c r="AG538" t="inlineStr"/>
      <c r="AH538" t="inlineStr">
        <is>
          <t>PR</t>
        </is>
      </c>
      <c r="AI538" t="inlineStr">
        <is>
          <t>ARAPONGAS</t>
        </is>
      </c>
      <c r="AJ538" t="inlineStr">
        <is>
          <t>Fabricação de móveis com predominância de madeira</t>
        </is>
      </c>
      <c r="AK538" t="inlineStr">
        <is>
          <t>DEMAIS</t>
        </is>
      </c>
      <c r="AL538" t="inlineStr">
        <is>
          <t>ATIVA</t>
        </is>
      </c>
      <c r="AM538" s="17" t="inlineStr">
        <is>
          <t>https://recuperacaojudicial.squarespace.com/s/RJ-Credimoveis-QGC-01082025.pdf</t>
        </is>
      </c>
      <c r="AN538" s="18" t="inlineStr">
        <is>
          <t>p15 r8</t>
        </is>
      </c>
      <c r="AO538" s="18" t="inlineStr">
        <is>
          <t>p15: R$ 216.381,53</t>
        </is>
      </c>
      <c r="AP538" s="18" t="inlineStr">
        <is>
          <t>QGC</t>
        </is>
      </c>
      <c r="AQ538" s="18" t="inlineStr">
        <is>
          <t>2026-01-28</t>
        </is>
      </c>
      <c r="AR538" s="18" t="inlineStr">
        <is>
          <t>OK</t>
        </is>
      </c>
      <c r="AS538" s="18" t="inlineStr">
        <is>
          <t>ROWS:p15r8</t>
        </is>
      </c>
      <c r="AT538" s="18" t="inlineStr">
        <is>
          <t>849d4fe5adce</t>
        </is>
      </c>
    </row>
    <row r="539">
      <c r="A539" s="9" t="n">
        <v>538</v>
      </c>
      <c r="B539" s="9" t="inlineStr">
        <is>
          <t>NEW</t>
        </is>
      </c>
      <c r="C539" s="9" t="inlineStr"/>
      <c r="D539" s="9" t="n">
        <v>0</v>
      </c>
      <c r="E539" s="9" t="inlineStr"/>
      <c r="F539" s="9" t="inlineStr"/>
      <c r="G539" s="9" t="inlineStr"/>
      <c r="H539" s="9" t="inlineStr"/>
      <c r="I539" t="inlineStr">
        <is>
          <t>T &amp; T COMERCIO E REPRESENTACAO LTDA</t>
        </is>
      </c>
      <c r="J539" t="inlineStr">
        <is>
          <t>Friato</t>
        </is>
      </c>
      <c r="K539" t="inlineStr">
        <is>
          <t>08718921</t>
        </is>
      </c>
      <c r="L539" t="inlineStr">
        <is>
          <t>08718921000104</t>
        </is>
      </c>
      <c r="M539" s="10" t="n">
        <v>216279.12</v>
      </c>
      <c r="N539" t="n">
        <v>1</v>
      </c>
      <c r="O539" s="11" t="inlineStr">
        <is>
          <t>B</t>
        </is>
      </c>
      <c r="P539" s="11" t="inlineStr">
        <is>
          <t>ACTIVE</t>
        </is>
      </c>
      <c r="Q539" s="12" t="n">
        <v>46130</v>
      </c>
      <c r="R539" s="11">
        <f>IF(Q539="","",ROUND((TODAY()-Q539)/365.25,1))</f>
        <v/>
      </c>
      <c r="S539" s="13">
        <f>IFERROR(VLOOKUP(O539,Assumptions!$A$7:$F$11,2,FALSE),0.25)</f>
        <v/>
      </c>
      <c r="T539" s="14">
        <f>IF(O539="A",MAX(1,IFERROR(VLOOKUP(O539,Assumptions!$A$7:$F$11,3,FALSE),3)+IFERROR(VLOOKUP(O539,Assumptions!$A$7:$F$11,4,FALSE),8)/2-MAX(0,IF(R539="",0,R539)-IFERROR(VLOOKUP(O539,Assumptions!$A$7:$F$11,5,FALSE),1.5))),IFERROR(VLOOKUP(O539,Assumptions!$A$7:$F$11,5,FALSE),2.5)+IFERROR(VLOOKUP(O539,Assumptions!$A$7:$F$11,3,FALSE),3)+IFERROR(VLOOKUP(O539,Assumptions!$A$7:$F$11,4,FALSE),8)/2)</f>
        <v/>
      </c>
      <c r="U539" s="15">
        <f>M539*S539/(1+Assumptions!$B$3)^T539</f>
        <v/>
      </c>
      <c r="V539" s="11">
        <f>IF(M539=0,"",ROUND(U539/M539*100,1))</f>
        <v/>
      </c>
      <c r="W539" s="16">
        <f>U539*Assumptions!$B$4</f>
        <v/>
      </c>
      <c r="X539" s="11">
        <f>IF(M539=0,"",ROUND(W539/M539*100,1))</f>
        <v/>
      </c>
      <c r="Y539" t="inlineStr">
        <is>
          <t>GRUPO 3E</t>
        </is>
      </c>
      <c r="Z539" t="inlineStr">
        <is>
          <t>5341375-33.2026.8.09.0049</t>
        </is>
      </c>
      <c r="AA539" t="inlineStr">
        <is>
          <t>TJGO</t>
        </is>
      </c>
      <c r="AB539" t="inlineStr">
        <is>
          <t>stenius.com.br</t>
        </is>
      </c>
      <c r="AC539" t="inlineStr">
        <is>
          <t>TALITA TOMAZINI MOREIRA</t>
        </is>
      </c>
      <c r="AD539" t="inlineStr">
        <is>
          <t>Sócio-Administrador</t>
        </is>
      </c>
      <c r="AE539" t="inlineStr">
        <is>
          <t>(62) 3259-6518</t>
        </is>
      </c>
      <c r="AF539" t="inlineStr"/>
      <c r="AG539" t="inlineStr"/>
      <c r="AH539" t="inlineStr">
        <is>
          <t>GO</t>
        </is>
      </c>
      <c r="AI539" t="inlineStr">
        <is>
          <t>APARECIDA DE GOIANIA</t>
        </is>
      </c>
      <c r="AJ539" t="inlineStr">
        <is>
          <t>Transporte rodoviário de carga, exceto produtos perigosos e mudanças, intermunicipal, interestadual e internacional</t>
        </is>
      </c>
      <c r="AK539" t="inlineStr">
        <is>
          <t>DEMAIS</t>
        </is>
      </c>
      <c r="AL539" t="inlineStr">
        <is>
          <t>ATIVA</t>
        </is>
      </c>
      <c r="AM539" s="17" t="inlineStr">
        <is>
          <t>https://stenius.com.br/wp-content/uploads/2026/06/EDITAL-GRUPO-3E.pdf</t>
        </is>
      </c>
      <c r="AN539" s="18" t="inlineStr">
        <is>
          <t>p13 r51</t>
        </is>
      </c>
      <c r="AO539" s="18" t="inlineStr">
        <is>
          <t>p13: R$ 216.279,12</t>
        </is>
      </c>
      <c r="AP539" s="18" t="inlineStr">
        <is>
          <t>DEBTOR_LIST</t>
        </is>
      </c>
      <c r="AQ539" s="18" t="inlineStr">
        <is>
          <t>2026-06-22</t>
        </is>
      </c>
      <c r="AR539" s="18" t="inlineStr">
        <is>
          <t>OK_NO_TOTALS</t>
        </is>
      </c>
      <c r="AS539" s="18" t="inlineStr">
        <is>
          <t>ROWS:p13r51 UNRECONCILED_SOURCE</t>
        </is>
      </c>
      <c r="AT539" s="18" t="inlineStr">
        <is>
          <t>8e8832093a15</t>
        </is>
      </c>
    </row>
    <row r="540">
      <c r="A540" s="9" t="n">
        <v>539</v>
      </c>
      <c r="B540" s="9" t="inlineStr">
        <is>
          <t>NEW</t>
        </is>
      </c>
      <c r="C540" s="9" t="inlineStr"/>
      <c r="D540" s="9" t="n">
        <v>0</v>
      </c>
      <c r="E540" s="9" t="inlineStr"/>
      <c r="F540" s="9" t="inlineStr"/>
      <c r="G540" s="9" t="inlineStr"/>
      <c r="H540" s="9" t="inlineStr"/>
      <c r="I540" t="inlineStr">
        <is>
          <t>UZ3 INDUSTRIA TEXTIL LTDA</t>
        </is>
      </c>
      <c r="J540" t="inlineStr">
        <is>
          <t>UZ3 INDUSTRIA TEXTIL EIRELI</t>
        </is>
      </c>
      <c r="K540" t="inlineStr">
        <is>
          <t>07206989</t>
        </is>
      </c>
      <c r="L540" t="inlineStr">
        <is>
          <t>07206989000133</t>
        </is>
      </c>
      <c r="M540" s="10" t="n">
        <v>215699.34</v>
      </c>
      <c r="N540" t="n">
        <v>3</v>
      </c>
      <c r="O540" s="11" t="inlineStr">
        <is>
          <t>C</t>
        </is>
      </c>
      <c r="P540" s="11" t="inlineStr">
        <is>
          <t>ACTIVE</t>
        </is>
      </c>
      <c r="Q540" s="12" t="n">
        <v>44571</v>
      </c>
      <c r="R540" s="11">
        <f>IF(Q540="","",ROUND((TODAY()-Q540)/365.25,1))</f>
        <v/>
      </c>
      <c r="S540" s="13">
        <f>IFERROR(VLOOKUP(O540,Assumptions!$A$7:$F$11,2,FALSE),0.25)</f>
        <v/>
      </c>
      <c r="T540" s="14">
        <f>IF(O540="A",MAX(1,IFERROR(VLOOKUP(O540,Assumptions!$A$7:$F$11,3,FALSE),3)+IFERROR(VLOOKUP(O540,Assumptions!$A$7:$F$11,4,FALSE),8)/2-MAX(0,IF(R540="",0,R540)-IFERROR(VLOOKUP(O540,Assumptions!$A$7:$F$11,5,FALSE),1.5))),IFERROR(VLOOKUP(O540,Assumptions!$A$7:$F$11,5,FALSE),2.5)+IFERROR(VLOOKUP(O540,Assumptions!$A$7:$F$11,3,FALSE),3)+IFERROR(VLOOKUP(O540,Assumptions!$A$7:$F$11,4,FALSE),8)/2)</f>
        <v/>
      </c>
      <c r="U540" s="15">
        <f>M540*S540/(1+Assumptions!$B$3)^T540</f>
        <v/>
      </c>
      <c r="V540" s="11">
        <f>IF(M540=0,"",ROUND(U540/M540*100,1))</f>
        <v/>
      </c>
      <c r="W540" s="16">
        <f>U540*Assumptions!$B$4</f>
        <v/>
      </c>
      <c r="X540" s="11">
        <f>IF(M540=0,"",ROUND(W540/M540*100,1))</f>
        <v/>
      </c>
      <c r="Y540" t="inlineStr">
        <is>
          <t>GRUPO CATTAN</t>
        </is>
      </c>
      <c r="Z540" t="inlineStr">
        <is>
          <t>0002484-82.2022.8.17.2001</t>
        </is>
      </c>
      <c r="AA540" t="inlineStr">
        <is>
          <t>TJPE</t>
        </is>
      </c>
      <c r="AB540" t="inlineStr">
        <is>
          <t>lrflideres.com.br</t>
        </is>
      </c>
      <c r="AC540" t="inlineStr">
        <is>
          <t>DILNEI HEINZEN</t>
        </is>
      </c>
      <c r="AD540" t="inlineStr">
        <is>
          <t>Sócio-Administrador</t>
        </is>
      </c>
      <c r="AE540" t="inlineStr">
        <is>
          <t>(47) 2123-2500</t>
        </is>
      </c>
      <c r="AF540" t="inlineStr">
        <is>
          <t>(47) 2123-2501</t>
        </is>
      </c>
      <c r="AG540" t="inlineStr"/>
      <c r="AH540" t="inlineStr">
        <is>
          <t>SC</t>
        </is>
      </c>
      <c r="AI540" t="inlineStr">
        <is>
          <t>INDAIAL</t>
        </is>
      </c>
      <c r="AJ540" t="inlineStr">
        <is>
          <t>Confecção de peças de vestuário, exceto roupas íntimas e as confeccionadas sob medida</t>
        </is>
      </c>
      <c r="AK540" t="inlineStr">
        <is>
          <t>DEMAIS</t>
        </is>
      </c>
      <c r="AL540" t="inlineStr">
        <is>
          <t>ATIVA</t>
        </is>
      </c>
      <c r="AM540" s="17" t="inlineStr">
        <is>
          <t>https://lrflideres.com.br/wp-content/plugins/download-attachments/includes/download.php?id=4023</t>
        </is>
      </c>
      <c r="AN540" s="18" t="inlineStr">
        <is>
          <t>p4 r94; p7 r126; p9 r92</t>
        </is>
      </c>
      <c r="AO540" s="18" t="inlineStr">
        <is>
          <t>p4: R$ 3.985,80; p7: R$ 179.097,50; p9: R$ 32.616,04</t>
        </is>
      </c>
      <c r="AP540" s="18" t="inlineStr">
        <is>
          <t>DEBTOR_LIST</t>
        </is>
      </c>
      <c r="AQ540" s="18" t="inlineStr"/>
      <c r="AR540" s="18" t="inlineStr">
        <is>
          <t>QUARANTINED</t>
        </is>
      </c>
      <c r="AS540" s="18" t="inlineStr">
        <is>
          <t>PARTIAL_DOC_CLASS_III_RECONCILED ROWS:p4r94,p7r126,p9r92</t>
        </is>
      </c>
      <c r="AT540" s="18" t="inlineStr">
        <is>
          <t>f3b6182e3aa2</t>
        </is>
      </c>
    </row>
    <row r="541">
      <c r="A541" s="9" t="n">
        <v>540</v>
      </c>
      <c r="B541" s="9" t="inlineStr">
        <is>
          <t>NEW</t>
        </is>
      </c>
      <c r="C541" s="9" t="inlineStr"/>
      <c r="D541" s="9" t="n">
        <v>0</v>
      </c>
      <c r="E541" s="9" t="inlineStr"/>
      <c r="F541" s="9" t="inlineStr"/>
      <c r="G541" s="9" t="inlineStr"/>
      <c r="H541" s="9" t="inlineStr"/>
      <c r="I541" t="inlineStr">
        <is>
          <t>G GOTUZZO E CIA LTDA</t>
        </is>
      </c>
      <c r="J541" t="inlineStr">
        <is>
          <t>G. GOTUZZO CIA LTDA. (</t>
        </is>
      </c>
      <c r="K541" t="inlineStr">
        <is>
          <t>87651345</t>
        </is>
      </c>
      <c r="L541" t="inlineStr">
        <is>
          <t>87651345000193</t>
        </is>
      </c>
      <c r="M541" s="10" t="n">
        <v>213107.83</v>
      </c>
      <c r="N541" t="n">
        <v>1</v>
      </c>
      <c r="O541" s="11" t="inlineStr">
        <is>
          <t>C</t>
        </is>
      </c>
      <c r="P541" s="11" t="inlineStr">
        <is>
          <t>ACTIVE</t>
        </is>
      </c>
      <c r="Q541" s="12" t="n">
        <v>44735</v>
      </c>
      <c r="R541" s="11">
        <f>IF(Q541="","",ROUND((TODAY()-Q541)/365.25,1))</f>
        <v/>
      </c>
      <c r="S541" s="13">
        <f>IFERROR(VLOOKUP(O541,Assumptions!$A$7:$F$11,2,FALSE),0.25)</f>
        <v/>
      </c>
      <c r="T541" s="14">
        <f>IF(O541="A",MAX(1,IFERROR(VLOOKUP(O541,Assumptions!$A$7:$F$11,3,FALSE),3)+IFERROR(VLOOKUP(O541,Assumptions!$A$7:$F$11,4,FALSE),8)/2-MAX(0,IF(R541="",0,R541)-IFERROR(VLOOKUP(O541,Assumptions!$A$7:$F$11,5,FALSE),1.5))),IFERROR(VLOOKUP(O541,Assumptions!$A$7:$F$11,5,FALSE),2.5)+IFERROR(VLOOKUP(O541,Assumptions!$A$7:$F$11,3,FALSE),3)+IFERROR(VLOOKUP(O541,Assumptions!$A$7:$F$11,4,FALSE),8)/2)</f>
        <v/>
      </c>
      <c r="U541" s="15">
        <f>M541*S541/(1+Assumptions!$B$3)^T541</f>
        <v/>
      </c>
      <c r="V541" s="11">
        <f>IF(M541=0,"",ROUND(U541/M541*100,1))</f>
        <v/>
      </c>
      <c r="W541" s="16">
        <f>U541*Assumptions!$B$4</f>
        <v/>
      </c>
      <c r="X541" s="11">
        <f>IF(M541=0,"",ROUND(W541/M541*100,1))</f>
        <v/>
      </c>
      <c r="Y541" t="inlineStr">
        <is>
          <t>ASSOCIAÇÃO DE CARIDADE SANTA CASA DO RIO GRANDE</t>
        </is>
      </c>
      <c r="Z541" t="inlineStr">
        <is>
          <t>5012306-16.2022.8.21.0023</t>
        </is>
      </c>
      <c r="AA541" t="inlineStr">
        <is>
          <t>TJRS</t>
        </is>
      </c>
      <c r="AB541" t="inlineStr">
        <is>
          <t>scalzilliaj.com.br</t>
        </is>
      </c>
      <c r="AC541" t="inlineStr">
        <is>
          <t>GETULIO GOTUZZO</t>
        </is>
      </c>
      <c r="AD541" t="inlineStr">
        <is>
          <t>Sócio-Administrador</t>
        </is>
      </c>
      <c r="AE541" t="inlineStr">
        <is>
          <t>(53) 3284-3000</t>
        </is>
      </c>
      <c r="AF541" t="inlineStr">
        <is>
          <t>(53) 3284-3013</t>
        </is>
      </c>
      <c r="AG541" t="inlineStr"/>
      <c r="AH541" t="inlineStr">
        <is>
          <t>RS</t>
        </is>
      </c>
      <c r="AI541" t="inlineStr">
        <is>
          <t>PELOTAS</t>
        </is>
      </c>
      <c r="AJ541" t="inlineStr">
        <is>
          <t>Comércio atacadista de instrumentos e materiais para uso médico, cirúrgico, hospitalar e de laboratórios</t>
        </is>
      </c>
      <c r="AK541" t="inlineStr">
        <is>
          <t>DEMAIS</t>
        </is>
      </c>
      <c r="AL541" t="inlineStr">
        <is>
          <t>ATIVA</t>
        </is>
      </c>
      <c r="AM541" s="17" t="inlineStr">
        <is>
          <t>https://scalzilliaj.com.br/sgc/download.php?file=files/processo_documento/processo_documento09120721032023_1_.pdf&amp;nome=15 - Edital do art. 7º, §2º e 53 da Lei 11.101/2005 (segunda lista de credores e recebimento do plano))</t>
        </is>
      </c>
      <c r="AN541" s="18" t="inlineStr">
        <is>
          <t>p27 r38</t>
        </is>
      </c>
      <c r="AO541" s="18" t="inlineStr">
        <is>
          <t>p27: R$ 213.107,83</t>
        </is>
      </c>
      <c r="AP541" s="18" t="inlineStr">
        <is>
          <t>AJ_LIST</t>
        </is>
      </c>
      <c r="AQ541" s="18" t="inlineStr">
        <is>
          <t>2023-03-21</t>
        </is>
      </c>
      <c r="AR541" s="18" t="inlineStr">
        <is>
          <t>OK_NO_TOTALS</t>
        </is>
      </c>
      <c r="AS541" s="18" t="inlineStr">
        <is>
          <t>ROWS:p27r38 UNRECONCILED_SOURCE</t>
        </is>
      </c>
      <c r="AT541" s="18" t="inlineStr">
        <is>
          <t>ebfb999b457c</t>
        </is>
      </c>
    </row>
    <row r="542">
      <c r="A542" s="9" t="n">
        <v>541</v>
      </c>
      <c r="B542" s="9" t="inlineStr">
        <is>
          <t>NEW</t>
        </is>
      </c>
      <c r="C542" s="9" t="inlineStr"/>
      <c r="D542" s="9" t="n">
        <v>0</v>
      </c>
      <c r="E542" s="9" t="inlineStr"/>
      <c r="F542" s="9" t="inlineStr"/>
      <c r="G542" s="9" t="inlineStr"/>
      <c r="H542" s="9" t="inlineStr"/>
      <c r="I542" t="inlineStr">
        <is>
          <t>CANADA LOCADORA DE EQUIPAMENTOS LIMITADA</t>
        </is>
      </c>
      <c r="J542" t="inlineStr">
        <is>
          <t>Canada Locadora de Equipamentos Ltda</t>
        </is>
      </c>
      <c r="K542" t="inlineStr">
        <is>
          <t>02694691</t>
        </is>
      </c>
      <c r="L542" t="inlineStr">
        <is>
          <t>02694691000104</t>
        </is>
      </c>
      <c r="M542" s="10" t="n">
        <v>212769.31</v>
      </c>
      <c r="N542" t="n">
        <v>1</v>
      </c>
      <c r="O542" s="11" t="inlineStr">
        <is>
          <t>B</t>
        </is>
      </c>
      <c r="P542" s="11" t="inlineStr"/>
      <c r="Q542" s="12" t="n">
        <v>45756</v>
      </c>
      <c r="R542" s="11">
        <f>IF(Q542="","",ROUND((TODAY()-Q542)/365.25,1))</f>
        <v/>
      </c>
      <c r="S542" s="13">
        <f>IFERROR(VLOOKUP(O542,Assumptions!$A$7:$F$11,2,FALSE),0.25)</f>
        <v/>
      </c>
      <c r="T542" s="14">
        <f>IF(O542="A",MAX(1,IFERROR(VLOOKUP(O542,Assumptions!$A$7:$F$11,3,FALSE),3)+IFERROR(VLOOKUP(O542,Assumptions!$A$7:$F$11,4,FALSE),8)/2-MAX(0,IF(R542="",0,R542)-IFERROR(VLOOKUP(O542,Assumptions!$A$7:$F$11,5,FALSE),1.5))),IFERROR(VLOOKUP(O542,Assumptions!$A$7:$F$11,5,FALSE),2.5)+IFERROR(VLOOKUP(O542,Assumptions!$A$7:$F$11,3,FALSE),3)+IFERROR(VLOOKUP(O542,Assumptions!$A$7:$F$11,4,FALSE),8)/2)</f>
        <v/>
      </c>
      <c r="U542" s="15">
        <f>M542*S542/(1+Assumptions!$B$3)^T542</f>
        <v/>
      </c>
      <c r="V542" s="11">
        <f>IF(M542=0,"",ROUND(U542/M542*100,1))</f>
        <v/>
      </c>
      <c r="W542" s="16">
        <f>U542*Assumptions!$B$4</f>
        <v/>
      </c>
      <c r="X542" s="11">
        <f>IF(M542=0,"",ROUND(W542/M542*100,1))</f>
        <v/>
      </c>
      <c r="Y542" t="inlineStr">
        <is>
          <t>GRUPO EGESA (EGESA ENG S.A, EGESUR PART E EMP S.A, MATRIX INFRA LTDA, BEMVIVER ENG AMBIENTAL E SERV LTDA, DKF CONST E EMP LTDA, EGEPEL LTDA, ETR ASSESSORIA EMP E PART LTDA, MVT ENG E SERV LTDA, PARQUES DO VALE LTDA, ELMO RIBEIRO E ANA RIBEIRO)</t>
        </is>
      </c>
      <c r="Z542" t="inlineStr">
        <is>
          <t>5088952-81.2025.8.13.0024</t>
        </is>
      </c>
      <c r="AA542" t="inlineStr">
        <is>
          <t>TJMG</t>
        </is>
      </c>
      <c r="AB542" t="inlineStr">
        <is>
          <t>scalzilliaj.com.br</t>
        </is>
      </c>
      <c r="AC542" t="inlineStr">
        <is>
          <t>DANIELA ZIEGLER MAGALHAES</t>
        </is>
      </c>
      <c r="AD542" t="inlineStr">
        <is>
          <t>Sócio-Administrador</t>
        </is>
      </c>
      <c r="AE542" t="inlineStr">
        <is>
          <t>(31) 3589-4500</t>
        </is>
      </c>
      <c r="AF542" t="inlineStr"/>
      <c r="AG542" t="inlineStr"/>
      <c r="AH542" t="inlineStr">
        <is>
          <t>MG</t>
        </is>
      </c>
      <c r="AI542" t="inlineStr">
        <is>
          <t>NOVA LIMA</t>
        </is>
      </c>
      <c r="AJ542" t="inlineStr">
        <is>
          <t>Fabricação de máquinas e equipamentos para uso industrial específico não especificados anteriormente, peças e acessórios</t>
        </is>
      </c>
      <c r="AK542" t="inlineStr">
        <is>
          <t>EMPRESA DE PEQUENO PORTE</t>
        </is>
      </c>
      <c r="AL542" t="inlineStr">
        <is>
          <t>ATIVA</t>
        </is>
      </c>
      <c r="AM542" s="17" t="inlineStr">
        <is>
          <t>https://scalzilliaj.com.br/sgc/download.php?file=files/processo_documento/processo_documento09514021082025_1_.pdf&amp;nome=04 - Relação de credores das Recuperandas</t>
        </is>
      </c>
      <c r="AN542" s="18" t="inlineStr">
        <is>
          <t>p64 r2</t>
        </is>
      </c>
      <c r="AO542" s="18" t="inlineStr">
        <is>
          <t>p64: R$ 212.769,31</t>
        </is>
      </c>
      <c r="AP542" s="18" t="inlineStr">
        <is>
          <t>DEBTOR_LIST</t>
        </is>
      </c>
      <c r="AQ542" s="18" t="inlineStr"/>
      <c r="AR542" s="18" t="inlineStr">
        <is>
          <t>OK</t>
        </is>
      </c>
      <c r="AS542" s="18" t="inlineStr">
        <is>
          <t>ROWS:p64r2 VALUE_COL:Valor_Atualizado CASE_NUMBER_CORRECTED CASE_FROM_PORTAL</t>
        </is>
      </c>
      <c r="AT542" s="18" t="inlineStr">
        <is>
          <t>24ed98480a57</t>
        </is>
      </c>
    </row>
    <row r="543">
      <c r="A543" s="9" t="n">
        <v>542</v>
      </c>
      <c r="B543" s="9" t="inlineStr">
        <is>
          <t>NEW</t>
        </is>
      </c>
      <c r="C543" s="9" t="inlineStr"/>
      <c r="D543" s="9" t="n">
        <v>0</v>
      </c>
      <c r="E543" s="9" t="inlineStr"/>
      <c r="F543" s="9" t="inlineStr"/>
      <c r="G543" s="9" t="inlineStr"/>
      <c r="H543" s="9" t="inlineStr"/>
      <c r="I543" t="inlineStr">
        <is>
          <t>TRADESTAR IMPORTACAO E EXPORTACAO LTDA</t>
        </is>
      </c>
      <c r="J543" t="inlineStr">
        <is>
          <t>TRADESTAR IMPORTACAO E EXPORTACAO LTDA</t>
        </is>
      </c>
      <c r="K543" t="inlineStr">
        <is>
          <t>21233373</t>
        </is>
      </c>
      <c r="L543" t="inlineStr">
        <is>
          <t>21233373000182</t>
        </is>
      </c>
      <c r="M543" s="10" t="n">
        <v>210630</v>
      </c>
      <c r="N543" t="n">
        <v>1</v>
      </c>
      <c r="O543" s="11" t="inlineStr">
        <is>
          <t>B</t>
        </is>
      </c>
      <c r="P543" s="11" t="inlineStr"/>
      <c r="Q543" s="12" t="inlineStr"/>
      <c r="R543" s="11">
        <f>IF(Q543="","",ROUND((TODAY()-Q543)/365.25,1))</f>
        <v/>
      </c>
      <c r="S543" s="13">
        <f>IFERROR(VLOOKUP(O543,Assumptions!$A$7:$F$11,2,FALSE),0.25)</f>
        <v/>
      </c>
      <c r="T543" s="14">
        <f>IF(O543="A",MAX(1,IFERROR(VLOOKUP(O543,Assumptions!$A$7:$F$11,3,FALSE),3)+IFERROR(VLOOKUP(O543,Assumptions!$A$7:$F$11,4,FALSE),8)/2-MAX(0,IF(R543="",0,R543)-IFERROR(VLOOKUP(O543,Assumptions!$A$7:$F$11,5,FALSE),1.5))),IFERROR(VLOOKUP(O543,Assumptions!$A$7:$F$11,5,FALSE),2.5)+IFERROR(VLOOKUP(O543,Assumptions!$A$7:$F$11,3,FALSE),3)+IFERROR(VLOOKUP(O543,Assumptions!$A$7:$F$11,4,FALSE),8)/2)</f>
        <v/>
      </c>
      <c r="U543" s="15">
        <f>M543*S543/(1+Assumptions!$B$3)^T543</f>
        <v/>
      </c>
      <c r="V543" s="11">
        <f>IF(M543=0,"",ROUND(U543/M543*100,1))</f>
        <v/>
      </c>
      <c r="W543" s="16">
        <f>U543*Assumptions!$B$4</f>
        <v/>
      </c>
      <c r="X543" s="11">
        <f>IF(M543=0,"",ROUND(W543/M543*100,1))</f>
        <v/>
      </c>
      <c r="Y543" t="inlineStr">
        <is>
          <t>Base</t>
        </is>
      </c>
      <c r="Z543" t="inlineStr">
        <is>
          <t>1022634-27.2024.8.26.0100</t>
        </is>
      </c>
      <c r="AA543" t="inlineStr"/>
      <c r="AB543" t="inlineStr">
        <is>
          <t>ajruiz.com.br</t>
        </is>
      </c>
      <c r="AC543" t="inlineStr">
        <is>
          <t>JULIANO FONTES FORNASARO</t>
        </is>
      </c>
      <c r="AD543" t="inlineStr">
        <is>
          <t>Sócio-Administrador</t>
        </is>
      </c>
      <c r="AE543" t="inlineStr">
        <is>
          <t>(41) 3771-9936</t>
        </is>
      </c>
      <c r="AF543" t="inlineStr"/>
      <c r="AG543" t="inlineStr"/>
      <c r="AH543" t="inlineStr">
        <is>
          <t>SC</t>
        </is>
      </c>
      <c r="AI543" t="inlineStr">
        <is>
          <t>GARUVA</t>
        </is>
      </c>
      <c r="AJ543" t="inlineStr">
        <is>
          <t>Comércio atacadista de mercadorias em geral, sem predominância de alimentos ou de insumos agropecuários</t>
        </is>
      </c>
      <c r="AK543" t="inlineStr">
        <is>
          <t>DEMAIS</t>
        </is>
      </c>
      <c r="AL543" t="inlineStr">
        <is>
          <t>ATIVA</t>
        </is>
      </c>
      <c r="AM543" s="17" t="inlineStr">
        <is>
          <t>https://ajruiz.com.br/sites/default/files/public/arquivos-processos/2024-04/relacao_de_credores_recuperanda_1.pdf</t>
        </is>
      </c>
      <c r="AN543" s="18" t="inlineStr">
        <is>
          <t>p10 r5</t>
        </is>
      </c>
      <c r="AO543" s="18" t="inlineStr">
        <is>
          <t>p10: R$ 210.630,00</t>
        </is>
      </c>
      <c r="AP543" s="18" t="inlineStr">
        <is>
          <t>QGC</t>
        </is>
      </c>
      <c r="AQ543" s="18" t="inlineStr">
        <is>
          <t>2024-01-31</t>
        </is>
      </c>
      <c r="AR543" s="18" t="inlineStr">
        <is>
          <t>OK</t>
        </is>
      </c>
      <c r="AS543" s="18" t="inlineStr">
        <is>
          <t>ROWS:p10r5 CASE_NUMBER_CORRECTED</t>
        </is>
      </c>
      <c r="AT543" s="18" t="inlineStr">
        <is>
          <t>380922480f80</t>
        </is>
      </c>
    </row>
    <row r="544">
      <c r="A544" s="9" t="n">
        <v>543</v>
      </c>
      <c r="B544" s="9" t="inlineStr">
        <is>
          <t>NEW</t>
        </is>
      </c>
      <c r="C544" s="9" t="inlineStr"/>
      <c r="D544" s="9" t="n">
        <v>0</v>
      </c>
      <c r="E544" s="9" t="inlineStr"/>
      <c r="F544" s="9" t="inlineStr"/>
      <c r="G544" s="9" t="inlineStr"/>
      <c r="H544" s="9" t="inlineStr"/>
      <c r="I544" t="inlineStr">
        <is>
          <t>RADICAL STYLE INDUSTRIA E COMERCIO DE CONFECCOES LTDA</t>
        </is>
      </c>
      <c r="J544" t="inlineStr">
        <is>
          <t>RADICAL STYLE INDUSTRIA E COMERCIO DE CONFECCOES LTDA</t>
        </is>
      </c>
      <c r="K544" t="inlineStr">
        <is>
          <t>08584931</t>
        </is>
      </c>
      <c r="L544" t="inlineStr">
        <is>
          <t>08584931000196</t>
        </is>
      </c>
      <c r="M544" s="10" t="n">
        <v>210265.38</v>
      </c>
      <c r="N544" t="n">
        <v>3</v>
      </c>
      <c r="O544" s="11" t="inlineStr">
        <is>
          <t>C</t>
        </is>
      </c>
      <c r="P544" s="11" t="inlineStr">
        <is>
          <t>ACTIVE</t>
        </is>
      </c>
      <c r="Q544" s="12" t="n">
        <v>44571</v>
      </c>
      <c r="R544" s="11">
        <f>IF(Q544="","",ROUND((TODAY()-Q544)/365.25,1))</f>
        <v/>
      </c>
      <c r="S544" s="13">
        <f>IFERROR(VLOOKUP(O544,Assumptions!$A$7:$F$11,2,FALSE),0.25)</f>
        <v/>
      </c>
      <c r="T544" s="14">
        <f>IF(O544="A",MAX(1,IFERROR(VLOOKUP(O544,Assumptions!$A$7:$F$11,3,FALSE),3)+IFERROR(VLOOKUP(O544,Assumptions!$A$7:$F$11,4,FALSE),8)/2-MAX(0,IF(R544="",0,R544)-IFERROR(VLOOKUP(O544,Assumptions!$A$7:$F$11,5,FALSE),1.5))),IFERROR(VLOOKUP(O544,Assumptions!$A$7:$F$11,5,FALSE),2.5)+IFERROR(VLOOKUP(O544,Assumptions!$A$7:$F$11,3,FALSE),3)+IFERROR(VLOOKUP(O544,Assumptions!$A$7:$F$11,4,FALSE),8)/2)</f>
        <v/>
      </c>
      <c r="U544" s="15">
        <f>M544*S544/(1+Assumptions!$B$3)^T544</f>
        <v/>
      </c>
      <c r="V544" s="11">
        <f>IF(M544=0,"",ROUND(U544/M544*100,1))</f>
        <v/>
      </c>
      <c r="W544" s="16">
        <f>U544*Assumptions!$B$4</f>
        <v/>
      </c>
      <c r="X544" s="11">
        <f>IF(M544=0,"",ROUND(W544/M544*100,1))</f>
        <v/>
      </c>
      <c r="Y544" t="inlineStr">
        <is>
          <t>GRUPO CATTAN</t>
        </is>
      </c>
      <c r="Z544" t="inlineStr">
        <is>
          <t>0002484-82.2022.8.17.2001</t>
        </is>
      </c>
      <c r="AA544" t="inlineStr">
        <is>
          <t>TJPE</t>
        </is>
      </c>
      <c r="AB544" t="inlineStr">
        <is>
          <t>lrflideres.com.br</t>
        </is>
      </c>
      <c r="AC544" t="inlineStr">
        <is>
          <t>ARNALDO GIACOMOSSI</t>
        </is>
      </c>
      <c r="AD544" t="inlineStr">
        <is>
          <t>Administrador</t>
        </is>
      </c>
      <c r="AE544" t="inlineStr">
        <is>
          <t>(47) 3355-1000</t>
        </is>
      </c>
      <c r="AF544" t="inlineStr"/>
      <c r="AG544" t="inlineStr"/>
      <c r="AH544" t="inlineStr">
        <is>
          <t>SC</t>
        </is>
      </c>
      <c r="AI544" t="inlineStr">
        <is>
          <t>TIJUCAS</t>
        </is>
      </c>
      <c r="AJ544" t="inlineStr">
        <is>
          <t>Confecção de peças de vestuário, exceto roupas íntimas e as confeccionadas sob medida</t>
        </is>
      </c>
      <c r="AK544" t="inlineStr">
        <is>
          <t>DEMAIS</t>
        </is>
      </c>
      <c r="AL544" t="inlineStr">
        <is>
          <t>ATIVA</t>
        </is>
      </c>
      <c r="AM544" s="17" t="inlineStr">
        <is>
          <t>https://lrflideres.com.br/wp-content/plugins/download-attachments/includes/download.php?id=4023</t>
        </is>
      </c>
      <c r="AN544" s="18" t="inlineStr">
        <is>
          <t>p4 r89; p7 r116; p9 r87</t>
        </is>
      </c>
      <c r="AO544" s="18" t="inlineStr">
        <is>
          <t>p4: R$ 73.074,78; p7: R$ 107.424,36; p9: R$ 29.766,24</t>
        </is>
      </c>
      <c r="AP544" s="18" t="inlineStr">
        <is>
          <t>DEBTOR_LIST</t>
        </is>
      </c>
      <c r="AQ544" s="18" t="inlineStr"/>
      <c r="AR544" s="18" t="inlineStr">
        <is>
          <t>QUARANTINED</t>
        </is>
      </c>
      <c r="AS544" s="18" t="inlineStr">
        <is>
          <t>PARTIAL_DOC_CLASS_III_RECONCILED ROWS:p4r89,p7r116,p9r87</t>
        </is>
      </c>
      <c r="AT544" s="18" t="inlineStr">
        <is>
          <t>f3b6182e3aa2</t>
        </is>
      </c>
    </row>
    <row r="545">
      <c r="A545" s="9" t="n">
        <v>544</v>
      </c>
      <c r="B545" s="9" t="inlineStr">
        <is>
          <t>NEW</t>
        </is>
      </c>
      <c r="C545" s="9" t="inlineStr"/>
      <c r="D545" s="9" t="n">
        <v>0</v>
      </c>
      <c r="E545" s="9" t="inlineStr"/>
      <c r="F545" s="9" t="inlineStr"/>
      <c r="G545" s="9" t="inlineStr"/>
      <c r="H545" s="9" t="inlineStr"/>
      <c r="I545" t="inlineStr">
        <is>
          <t>REISTAR INDUSTRIA E COMERCIO DE ELETRONICOS LTDA EM RECUPERACAO JUDICIAL</t>
        </is>
      </c>
      <c r="J545" t="inlineStr">
        <is>
          <t>05.949.989/0002-89</t>
        </is>
      </c>
      <c r="K545" t="inlineStr">
        <is>
          <t>05949989</t>
        </is>
      </c>
      <c r="L545" t="inlineStr">
        <is>
          <t>05949989000289</t>
        </is>
      </c>
      <c r="M545" s="10" t="n">
        <v>210200.14</v>
      </c>
      <c r="N545" t="n">
        <v>1</v>
      </c>
      <c r="O545" s="11" t="inlineStr">
        <is>
          <t>C</t>
        </is>
      </c>
      <c r="P545" s="11" t="inlineStr">
        <is>
          <t>ACTIVE</t>
        </is>
      </c>
      <c r="Q545" s="12" t="n">
        <v>43894</v>
      </c>
      <c r="R545" s="11">
        <f>IF(Q545="","",ROUND((TODAY()-Q545)/365.25,1))</f>
        <v/>
      </c>
      <c r="S545" s="13">
        <f>IFERROR(VLOOKUP(O545,Assumptions!$A$7:$F$11,2,FALSE),0.25)</f>
        <v/>
      </c>
      <c r="T545" s="14">
        <f>IF(O545="A",MAX(1,IFERROR(VLOOKUP(O545,Assumptions!$A$7:$F$11,3,FALSE),3)+IFERROR(VLOOKUP(O545,Assumptions!$A$7:$F$11,4,FALSE),8)/2-MAX(0,IF(R545="",0,R545)-IFERROR(VLOOKUP(O545,Assumptions!$A$7:$F$11,5,FALSE),1.5))),IFERROR(VLOOKUP(O545,Assumptions!$A$7:$F$11,5,FALSE),2.5)+IFERROR(VLOOKUP(O545,Assumptions!$A$7:$F$11,3,FALSE),3)+IFERROR(VLOOKUP(O545,Assumptions!$A$7:$F$11,4,FALSE),8)/2)</f>
        <v/>
      </c>
      <c r="U545" s="15">
        <f>M545*S545/(1+Assumptions!$B$3)^T545</f>
        <v/>
      </c>
      <c r="V545" s="11">
        <f>IF(M545=0,"",ROUND(U545/M545*100,1))</f>
        <v/>
      </c>
      <c r="W545" s="16">
        <f>U545*Assumptions!$B$4</f>
        <v/>
      </c>
      <c r="X545" s="11">
        <f>IF(M545=0,"",ROUND(W545/M545*100,1))</f>
        <v/>
      </c>
      <c r="Y545" t="inlineStr">
        <is>
          <t>CREDIMÓVEIS NOVOLAR LTDA.</t>
        </is>
      </c>
      <c r="Z545" t="inlineStr">
        <is>
          <t>0007565-40.2020.8.17.2370</t>
        </is>
      </c>
      <c r="AA545" t="inlineStr">
        <is>
          <t>TJPE</t>
        </is>
      </c>
      <c r="AB545" t="inlineStr">
        <is>
          <t>recuperacaojudicial.squarespace.com</t>
        </is>
      </c>
      <c r="AC545" t="inlineStr">
        <is>
          <t>GUILHERME DE BESSA RIBEIRO SANTOS</t>
        </is>
      </c>
      <c r="AD545" t="inlineStr">
        <is>
          <t>Sócio-Administrador</t>
        </is>
      </c>
      <c r="AE545" t="inlineStr">
        <is>
          <t>(71) 9249-0015</t>
        </is>
      </c>
      <c r="AF545" t="inlineStr"/>
      <c r="AG545" t="inlineStr"/>
      <c r="AH545" t="inlineStr">
        <is>
          <t>BA</t>
        </is>
      </c>
      <c r="AI545" t="inlineStr">
        <is>
          <t>CAMACARI</t>
        </is>
      </c>
      <c r="AJ545" t="inlineStr">
        <is>
          <t>Fabricação de aparelhos de recepção, reprodução, gravação e amplificação de áudio e vídeo</t>
        </is>
      </c>
      <c r="AK545" t="inlineStr">
        <is>
          <t>DEMAIS</t>
        </is>
      </c>
      <c r="AL545" t="inlineStr">
        <is>
          <t>ATIVA</t>
        </is>
      </c>
      <c r="AM545" s="17" t="inlineStr">
        <is>
          <t>https://recuperacaojudicial.squarespace.com/s/RJ-Credimoveis-QGC-01082025.pdf</t>
        </is>
      </c>
      <c r="AN545" s="18" t="inlineStr">
        <is>
          <t>p16 r51</t>
        </is>
      </c>
      <c r="AO545" s="18" t="inlineStr">
        <is>
          <t>p16: R$ 210.200,14</t>
        </is>
      </c>
      <c r="AP545" s="18" t="inlineStr">
        <is>
          <t>QGC</t>
        </is>
      </c>
      <c r="AQ545" s="18" t="inlineStr">
        <is>
          <t>2026-01-28</t>
        </is>
      </c>
      <c r="AR545" s="18" t="inlineStr">
        <is>
          <t>OK</t>
        </is>
      </c>
      <c r="AS545" s="18" t="inlineStr">
        <is>
          <t>ROWS:p16r51</t>
        </is>
      </c>
      <c r="AT545" s="18" t="inlineStr">
        <is>
          <t>849d4fe5adce</t>
        </is>
      </c>
    </row>
    <row r="546">
      <c r="A546" s="9" t="n">
        <v>545</v>
      </c>
      <c r="B546" s="9" t="inlineStr">
        <is>
          <t>NEW</t>
        </is>
      </c>
      <c r="C546" s="9" t="inlineStr"/>
      <c r="D546" s="9" t="n">
        <v>0</v>
      </c>
      <c r="E546" s="9" t="inlineStr"/>
      <c r="F546" s="9" t="inlineStr"/>
      <c r="G546" s="9" t="inlineStr"/>
      <c r="H546" s="9" t="inlineStr"/>
      <c r="I546" t="inlineStr">
        <is>
          <t>COMPANHIA VALENCA INDUSTRIAL</t>
        </is>
      </c>
      <c r="J546" t="inlineStr">
        <is>
          <t>Cia Valenca Industrial (CNPJ n°</t>
        </is>
      </c>
      <c r="K546" t="inlineStr">
        <is>
          <t>15102098</t>
        </is>
      </c>
      <c r="L546" t="inlineStr">
        <is>
          <t>15102098000165</t>
        </is>
      </c>
      <c r="M546" s="10" t="n">
        <v>209967.04</v>
      </c>
      <c r="N546" t="n">
        <v>1</v>
      </c>
      <c r="O546" s="11" t="inlineStr">
        <is>
          <t>B</t>
        </is>
      </c>
      <c r="P546" s="11" t="inlineStr">
        <is>
          <t>ACTIVE</t>
        </is>
      </c>
      <c r="Q546" s="12" t="n">
        <v>45755</v>
      </c>
      <c r="R546" s="11">
        <f>IF(Q546="","",ROUND((TODAY()-Q546)/365.25,1))</f>
        <v/>
      </c>
      <c r="S546" s="13">
        <f>IFERROR(VLOOKUP(O546,Assumptions!$A$7:$F$11,2,FALSE),0.25)</f>
        <v/>
      </c>
      <c r="T546" s="14">
        <f>IF(O546="A",MAX(1,IFERROR(VLOOKUP(O546,Assumptions!$A$7:$F$11,3,FALSE),3)+IFERROR(VLOOKUP(O546,Assumptions!$A$7:$F$11,4,FALSE),8)/2-MAX(0,IF(R546="",0,R546)-IFERROR(VLOOKUP(O546,Assumptions!$A$7:$F$11,5,FALSE),1.5))),IFERROR(VLOOKUP(O546,Assumptions!$A$7:$F$11,5,FALSE),2.5)+IFERROR(VLOOKUP(O546,Assumptions!$A$7:$F$11,3,FALSE),3)+IFERROR(VLOOKUP(O546,Assumptions!$A$7:$F$11,4,FALSE),8)/2)</f>
        <v/>
      </c>
      <c r="U546" s="15">
        <f>M546*S546/(1+Assumptions!$B$3)^T546</f>
        <v/>
      </c>
      <c r="V546" s="11">
        <f>IF(M546=0,"",ROUND(U546/M546*100,1))</f>
        <v/>
      </c>
      <c r="W546" s="16">
        <f>U546*Assumptions!$B$4</f>
        <v/>
      </c>
      <c r="X546" s="11">
        <f>IF(M546=0,"",ROUND(W546/M546*100,1))</f>
        <v/>
      </c>
      <c r="Y546" t="inlineStr">
        <is>
          <t>GRUPO BE EIGHT</t>
        </is>
      </c>
      <c r="Z546" t="inlineStr">
        <is>
          <t>0008897-71.2025.8.16.0017</t>
        </is>
      </c>
      <c r="AA546" t="inlineStr">
        <is>
          <t>TJPR</t>
        </is>
      </c>
      <c r="AB546" t="inlineStr">
        <is>
          <t>marquesadmjudicial.com.br</t>
        </is>
      </c>
      <c r="AC546" t="inlineStr">
        <is>
          <t>JAIRO ALENCAR ARARIPE JUNIOR</t>
        </is>
      </c>
      <c r="AD546" t="inlineStr">
        <is>
          <t>Diretor</t>
        </is>
      </c>
      <c r="AE546" t="inlineStr">
        <is>
          <t>(75) 3643-3188</t>
        </is>
      </c>
      <c r="AF546" t="inlineStr">
        <is>
          <t>(75) 3643-3189</t>
        </is>
      </c>
      <c r="AG546" t="inlineStr"/>
      <c r="AH546" t="inlineStr">
        <is>
          <t>BA</t>
        </is>
      </c>
      <c r="AI546" t="inlineStr">
        <is>
          <t>VALENCA</t>
        </is>
      </c>
      <c r="AJ546" t="inlineStr">
        <is>
          <t>Tecelagem de fios de algodão</t>
        </is>
      </c>
      <c r="AK546" t="inlineStr">
        <is>
          <t>DEMAIS</t>
        </is>
      </c>
      <c r="AL546" t="inlineStr">
        <is>
          <t>ATIVA</t>
        </is>
      </c>
      <c r="AM546" s="17" t="inlineStr">
        <is>
          <t>https://marquesadmjudicial.com.br/sgc/download.php?file=files/processo_documento/processo_documento09444722082025_1_.pdf&amp;nome=2° Edital - Relação de Credores AJ e PRJ</t>
        </is>
      </c>
      <c r="AN546" s="18" t="inlineStr">
        <is>
          <t>p2 r154</t>
        </is>
      </c>
      <c r="AO546" s="18" t="inlineStr">
        <is>
          <t>p2: R$ 209.967,04</t>
        </is>
      </c>
      <c r="AP546" s="18" t="inlineStr">
        <is>
          <t>AJ_LIST</t>
        </is>
      </c>
      <c r="AQ546" s="18" t="inlineStr">
        <is>
          <t>2025-04-08</t>
        </is>
      </c>
      <c r="AR546" s="18" t="inlineStr">
        <is>
          <t>OK_NO_TOTALS</t>
        </is>
      </c>
      <c r="AS546" s="18" t="inlineStr">
        <is>
          <t>ROWS:p2r154 UNRECONCILED_SOURCE</t>
        </is>
      </c>
      <c r="AT546" s="18" t="inlineStr">
        <is>
          <t>1180d0ff83f8</t>
        </is>
      </c>
    </row>
    <row r="547">
      <c r="A547" s="9" t="n">
        <v>546</v>
      </c>
      <c r="B547" s="9" t="inlineStr">
        <is>
          <t>NEW</t>
        </is>
      </c>
      <c r="C547" s="9" t="inlineStr"/>
      <c r="D547" s="9" t="n">
        <v>0</v>
      </c>
      <c r="E547" s="9" t="inlineStr"/>
      <c r="F547" s="9" t="inlineStr"/>
      <c r="G547" s="9" t="inlineStr"/>
      <c r="H547" s="9" t="inlineStr"/>
      <c r="I547" t="inlineStr">
        <is>
          <t>L. J. MOVEIS LTDA</t>
        </is>
      </c>
      <c r="J547" t="inlineStr">
        <is>
          <t>01.792.254/0001-52</t>
        </is>
      </c>
      <c r="K547" t="inlineStr">
        <is>
          <t>01792254</t>
        </is>
      </c>
      <c r="L547" t="inlineStr">
        <is>
          <t>01792254000152</t>
        </is>
      </c>
      <c r="M547" s="10" t="n">
        <v>209470.24</v>
      </c>
      <c r="N547" t="n">
        <v>1</v>
      </c>
      <c r="O547" s="11" t="inlineStr">
        <is>
          <t>C</t>
        </is>
      </c>
      <c r="P547" s="11" t="inlineStr">
        <is>
          <t>ACTIVE</t>
        </is>
      </c>
      <c r="Q547" s="12" t="n">
        <v>43894</v>
      </c>
      <c r="R547" s="11">
        <f>IF(Q547="","",ROUND((TODAY()-Q547)/365.25,1))</f>
        <v/>
      </c>
      <c r="S547" s="13">
        <f>IFERROR(VLOOKUP(O547,Assumptions!$A$7:$F$11,2,FALSE),0.25)</f>
        <v/>
      </c>
      <c r="T547" s="14">
        <f>IF(O547="A",MAX(1,IFERROR(VLOOKUP(O547,Assumptions!$A$7:$F$11,3,FALSE),3)+IFERROR(VLOOKUP(O547,Assumptions!$A$7:$F$11,4,FALSE),8)/2-MAX(0,IF(R547="",0,R547)-IFERROR(VLOOKUP(O547,Assumptions!$A$7:$F$11,5,FALSE),1.5))),IFERROR(VLOOKUP(O547,Assumptions!$A$7:$F$11,5,FALSE),2.5)+IFERROR(VLOOKUP(O547,Assumptions!$A$7:$F$11,3,FALSE),3)+IFERROR(VLOOKUP(O547,Assumptions!$A$7:$F$11,4,FALSE),8)/2)</f>
        <v/>
      </c>
      <c r="U547" s="15">
        <f>M547*S547/(1+Assumptions!$B$3)^T547</f>
        <v/>
      </c>
      <c r="V547" s="11">
        <f>IF(M547=0,"",ROUND(U547/M547*100,1))</f>
        <v/>
      </c>
      <c r="W547" s="16">
        <f>U547*Assumptions!$B$4</f>
        <v/>
      </c>
      <c r="X547" s="11">
        <f>IF(M547=0,"",ROUND(W547/M547*100,1))</f>
        <v/>
      </c>
      <c r="Y547" t="inlineStr">
        <is>
          <t>CREDIMÓVEIS NOVOLAR LTDA.</t>
        </is>
      </c>
      <c r="Z547" t="inlineStr">
        <is>
          <t>0007565-40.2020.8.17.2370</t>
        </is>
      </c>
      <c r="AA547" t="inlineStr">
        <is>
          <t>TJPE</t>
        </is>
      </c>
      <c r="AB547" t="inlineStr">
        <is>
          <t>recuperacaojudicial.squarespace.com</t>
        </is>
      </c>
      <c r="AC547" t="inlineStr">
        <is>
          <t>MARIA HELENA DO CARMO LIMA</t>
        </is>
      </c>
      <c r="AD547" t="inlineStr">
        <is>
          <t>Sócio-Administrador</t>
        </is>
      </c>
      <c r="AE547" t="inlineStr">
        <is>
          <t>(32) 3406-0153</t>
        </is>
      </c>
      <c r="AF547" t="inlineStr">
        <is>
          <t>(32) 3406-0154</t>
        </is>
      </c>
      <c r="AG547" t="inlineStr"/>
      <c r="AH547" t="inlineStr">
        <is>
          <t>MG</t>
        </is>
      </c>
      <c r="AI547" t="inlineStr">
        <is>
          <t>SAO GERALDO</t>
        </is>
      </c>
      <c r="AJ547" t="inlineStr">
        <is>
          <t>Fabricação de móveis com predominância de madeira</t>
        </is>
      </c>
      <c r="AK547" t="inlineStr">
        <is>
          <t>DEMAIS</t>
        </is>
      </c>
      <c r="AL547" t="inlineStr">
        <is>
          <t>ATIVA</t>
        </is>
      </c>
      <c r="AM547" s="17" t="inlineStr">
        <is>
          <t>https://recuperacaojudicial.squarespace.com/s/RJ-Credimoveis-QGC-01082025.pdf</t>
        </is>
      </c>
      <c r="AN547" s="18" t="inlineStr">
        <is>
          <t>p16 r6</t>
        </is>
      </c>
      <c r="AO547" s="18" t="inlineStr">
        <is>
          <t>p16: R$ 209.470,24</t>
        </is>
      </c>
      <c r="AP547" s="18" t="inlineStr">
        <is>
          <t>QGC</t>
        </is>
      </c>
      <c r="AQ547" s="18" t="inlineStr">
        <is>
          <t>2026-01-28</t>
        </is>
      </c>
      <c r="AR547" s="18" t="inlineStr">
        <is>
          <t>OK</t>
        </is>
      </c>
      <c r="AS547" s="18" t="inlineStr">
        <is>
          <t>ROWS:p16r6</t>
        </is>
      </c>
      <c r="AT547" s="18" t="inlineStr">
        <is>
          <t>849d4fe5adce</t>
        </is>
      </c>
    </row>
    <row r="548">
      <c r="A548" s="9" t="n">
        <v>547</v>
      </c>
      <c r="B548" s="9" t="inlineStr">
        <is>
          <t>NEW</t>
        </is>
      </c>
      <c r="C548" s="9" t="inlineStr"/>
      <c r="D548" s="9" t="n">
        <v>0</v>
      </c>
      <c r="E548" s="9" t="inlineStr"/>
      <c r="F548" s="9" t="inlineStr"/>
      <c r="G548" s="9" t="inlineStr"/>
      <c r="H548" s="9" t="inlineStr"/>
      <c r="I548" t="inlineStr">
        <is>
          <t>EMBALARTE EMBALAGENS LTDA</t>
        </is>
      </c>
      <c r="J548" t="inlineStr">
        <is>
          <t>Embalarte Embalagens</t>
        </is>
      </c>
      <c r="K548" t="inlineStr">
        <is>
          <t>62859128</t>
        </is>
      </c>
      <c r="L548" t="inlineStr">
        <is>
          <t>62859128000162</t>
        </is>
      </c>
      <c r="M548" s="10" t="n">
        <v>209405.66</v>
      </c>
      <c r="N548" t="n">
        <v>1</v>
      </c>
      <c r="O548" s="11" t="inlineStr">
        <is>
          <t>B</t>
        </is>
      </c>
      <c r="P548" s="11" t="inlineStr">
        <is>
          <t>ACTIVE</t>
        </is>
      </c>
      <c r="Q548" s="12" t="n">
        <v>46130</v>
      </c>
      <c r="R548" s="11">
        <f>IF(Q548="","",ROUND((TODAY()-Q548)/365.25,1))</f>
        <v/>
      </c>
      <c r="S548" s="13">
        <f>IFERROR(VLOOKUP(O548,Assumptions!$A$7:$F$11,2,FALSE),0.25)</f>
        <v/>
      </c>
      <c r="T548" s="14">
        <f>IF(O548="A",MAX(1,IFERROR(VLOOKUP(O548,Assumptions!$A$7:$F$11,3,FALSE),3)+IFERROR(VLOOKUP(O548,Assumptions!$A$7:$F$11,4,FALSE),8)/2-MAX(0,IF(R548="",0,R548)-IFERROR(VLOOKUP(O548,Assumptions!$A$7:$F$11,5,FALSE),1.5))),IFERROR(VLOOKUP(O548,Assumptions!$A$7:$F$11,5,FALSE),2.5)+IFERROR(VLOOKUP(O548,Assumptions!$A$7:$F$11,3,FALSE),3)+IFERROR(VLOOKUP(O548,Assumptions!$A$7:$F$11,4,FALSE),8)/2)</f>
        <v/>
      </c>
      <c r="U548" s="15">
        <f>M548*S548/(1+Assumptions!$B$3)^T548</f>
        <v/>
      </c>
      <c r="V548" s="11">
        <f>IF(M548=0,"",ROUND(U548/M548*100,1))</f>
        <v/>
      </c>
      <c r="W548" s="16">
        <f>U548*Assumptions!$B$4</f>
        <v/>
      </c>
      <c r="X548" s="11">
        <f>IF(M548=0,"",ROUND(W548/M548*100,1))</f>
        <v/>
      </c>
      <c r="Y548" t="inlineStr">
        <is>
          <t>GRUPO 3E</t>
        </is>
      </c>
      <c r="Z548" t="inlineStr">
        <is>
          <t>5341375-33.2026.8.09.0049</t>
        </is>
      </c>
      <c r="AA548" t="inlineStr">
        <is>
          <t>TJGO</t>
        </is>
      </c>
      <c r="AB548" t="inlineStr">
        <is>
          <t>stenius.com.br</t>
        </is>
      </c>
      <c r="AC548" t="inlineStr">
        <is>
          <t>JOAO MARIA PIEDADE DOS SANTOS</t>
        </is>
      </c>
      <c r="AD548" t="inlineStr">
        <is>
          <t>Sócio-Administrador</t>
        </is>
      </c>
      <c r="AE548" t="inlineStr">
        <is>
          <t>(62) 3920-3700</t>
        </is>
      </c>
      <c r="AF548" t="inlineStr"/>
      <c r="AG548" t="inlineStr"/>
      <c r="AH548" t="inlineStr">
        <is>
          <t>GO</t>
        </is>
      </c>
      <c r="AI548" t="inlineStr">
        <is>
          <t>GOIANIA</t>
        </is>
      </c>
      <c r="AJ548" t="inlineStr">
        <is>
          <t>Comércio atacadista de embalagens</t>
        </is>
      </c>
      <c r="AK548" t="inlineStr">
        <is>
          <t>MICRO EMPRESA</t>
        </is>
      </c>
      <c r="AL548" t="inlineStr">
        <is>
          <t>ATIVA</t>
        </is>
      </c>
      <c r="AM548" s="17" t="inlineStr">
        <is>
          <t>https://stenius.com.br/wp-content/uploads/2026/06/EDITAL-GRUPO-3E.pdf</t>
        </is>
      </c>
      <c r="AN548" s="18" t="inlineStr">
        <is>
          <t>p13 r2</t>
        </is>
      </c>
      <c r="AO548" s="18" t="inlineStr">
        <is>
          <t>p13: R$ 209.405,66</t>
        </is>
      </c>
      <c r="AP548" s="18" t="inlineStr">
        <is>
          <t>DEBTOR_LIST</t>
        </is>
      </c>
      <c r="AQ548" s="18" t="inlineStr">
        <is>
          <t>2026-06-22</t>
        </is>
      </c>
      <c r="AR548" s="18" t="inlineStr">
        <is>
          <t>OK_NO_TOTALS</t>
        </is>
      </c>
      <c r="AS548" s="18" t="inlineStr">
        <is>
          <t>ROWS:p13r2 UNRECONCILED_SOURCE</t>
        </is>
      </c>
      <c r="AT548" s="18" t="inlineStr">
        <is>
          <t>8e8832093a15</t>
        </is>
      </c>
    </row>
    <row r="549">
      <c r="A549" s="9" t="n">
        <v>548</v>
      </c>
      <c r="B549" s="9" t="inlineStr">
        <is>
          <t>NEW</t>
        </is>
      </c>
      <c r="C549" s="9" t="inlineStr"/>
      <c r="D549" s="9" t="n">
        <v>0</v>
      </c>
      <c r="E549" s="9" t="inlineStr"/>
      <c r="F549" s="9" t="inlineStr"/>
      <c r="G549" s="9" t="inlineStr"/>
      <c r="H549" s="9" t="inlineStr"/>
      <c r="I549" t="inlineStr">
        <is>
          <t>WAL CONSULTORIA AERONAUTICA LTDA</t>
        </is>
      </c>
      <c r="J549" t="inlineStr">
        <is>
          <t>Wal Consultoria Aeronáutica LTDA</t>
        </is>
      </c>
      <c r="K549" t="inlineStr">
        <is>
          <t>08464282</t>
        </is>
      </c>
      <c r="L549" t="inlineStr">
        <is>
          <t>08464282000190</t>
        </is>
      </c>
      <c r="M549" s="10" t="n">
        <v>208303.18</v>
      </c>
      <c r="N549" t="n">
        <v>1</v>
      </c>
      <c r="O549" s="11" t="inlineStr">
        <is>
          <t>B</t>
        </is>
      </c>
      <c r="P549" s="11" t="inlineStr"/>
      <c r="Q549" s="12" t="n">
        <v>45756</v>
      </c>
      <c r="R549" s="11">
        <f>IF(Q549="","",ROUND((TODAY()-Q549)/365.25,1))</f>
        <v/>
      </c>
      <c r="S549" s="13">
        <f>IFERROR(VLOOKUP(O549,Assumptions!$A$7:$F$11,2,FALSE),0.25)</f>
        <v/>
      </c>
      <c r="T549" s="14">
        <f>IF(O549="A",MAX(1,IFERROR(VLOOKUP(O549,Assumptions!$A$7:$F$11,3,FALSE),3)+IFERROR(VLOOKUP(O549,Assumptions!$A$7:$F$11,4,FALSE),8)/2-MAX(0,IF(R549="",0,R549)-IFERROR(VLOOKUP(O549,Assumptions!$A$7:$F$11,5,FALSE),1.5))),IFERROR(VLOOKUP(O549,Assumptions!$A$7:$F$11,5,FALSE),2.5)+IFERROR(VLOOKUP(O549,Assumptions!$A$7:$F$11,3,FALSE),3)+IFERROR(VLOOKUP(O549,Assumptions!$A$7:$F$11,4,FALSE),8)/2)</f>
        <v/>
      </c>
      <c r="U549" s="15">
        <f>M549*S549/(1+Assumptions!$B$3)^T549</f>
        <v/>
      </c>
      <c r="V549" s="11">
        <f>IF(M549=0,"",ROUND(U549/M549*100,1))</f>
        <v/>
      </c>
      <c r="W549" s="16">
        <f>U549*Assumptions!$B$4</f>
        <v/>
      </c>
      <c r="X549" s="11">
        <f>IF(M549=0,"",ROUND(W549/M549*100,1))</f>
        <v/>
      </c>
      <c r="Y549" t="inlineStr">
        <is>
          <t>GRUPO EGESA (EGESA ENG S.A, EGESUR PART E EMP S.A, MATRIX INFRA LTDA, BEMVIVER ENG AMBIENTAL E SERV LTDA, DKF CONST E EMP LTDA, EGEPEL LTDA, ETR ASSESSORIA EMP E PART LTDA, MVT ENG E SERV LTDA, PARQUES DO VALE LTDA, ELMO RIBEIRO E ANA RIBEIRO)</t>
        </is>
      </c>
      <c r="Z549" t="inlineStr">
        <is>
          <t>5088952-81.2025.8.13.0024</t>
        </is>
      </c>
      <c r="AA549" t="inlineStr">
        <is>
          <t>TJMG</t>
        </is>
      </c>
      <c r="AB549" t="inlineStr">
        <is>
          <t>scalzilliaj.com.br</t>
        </is>
      </c>
      <c r="AC549" t="inlineStr">
        <is>
          <t>ADRIANE COSTA ZOGLIO</t>
        </is>
      </c>
      <c r="AD549" t="inlineStr">
        <is>
          <t>Sócio-Administrador</t>
        </is>
      </c>
      <c r="AE549" t="inlineStr">
        <is>
          <t>(31) 2536-4813</t>
        </is>
      </c>
      <c r="AF549" t="inlineStr"/>
      <c r="AG549" t="inlineStr"/>
      <c r="AH549" t="inlineStr">
        <is>
          <t>MG</t>
        </is>
      </c>
      <c r="AI549" t="inlineStr">
        <is>
          <t>BELO HORIZONTE</t>
        </is>
      </c>
      <c r="AJ549" t="inlineStr">
        <is>
          <t>Outras atividades profissionais, científicas e técnicas não especificadas anteriormente</t>
        </is>
      </c>
      <c r="AK549" t="inlineStr">
        <is>
          <t>DEMAIS</t>
        </is>
      </c>
      <c r="AL549" t="inlineStr">
        <is>
          <t>ATIVA</t>
        </is>
      </c>
      <c r="AM549" s="17" t="inlineStr">
        <is>
          <t>https://scalzilliaj.com.br/sgc/download.php?file=files/processo_documento/processo_documento09514021082025_1_.pdf&amp;nome=04 - Relação de credores das Recuperandas</t>
        </is>
      </c>
      <c r="AN549" s="18" t="inlineStr">
        <is>
          <t>p76 r6</t>
        </is>
      </c>
      <c r="AO549" s="18" t="inlineStr">
        <is>
          <t>p76: R$ 208.303,18</t>
        </is>
      </c>
      <c r="AP549" s="18" t="inlineStr">
        <is>
          <t>DEBTOR_LIST</t>
        </is>
      </c>
      <c r="AQ549" s="18" t="inlineStr"/>
      <c r="AR549" s="18" t="inlineStr">
        <is>
          <t>OK</t>
        </is>
      </c>
      <c r="AS549" s="18" t="inlineStr">
        <is>
          <t>ROWS:p76r6 VALUE_COL:Valor_Atualizado CASE_NUMBER_CORRECTED CASE_FROM_PORTAL</t>
        </is>
      </c>
      <c r="AT549" s="18" t="inlineStr">
        <is>
          <t>24ed98480a57</t>
        </is>
      </c>
    </row>
    <row r="550">
      <c r="A550" s="9" t="n">
        <v>549</v>
      </c>
      <c r="B550" s="9" t="inlineStr">
        <is>
          <t>NEW</t>
        </is>
      </c>
      <c r="C550" s="9" t="inlineStr"/>
      <c r="D550" s="9" t="n">
        <v>0</v>
      </c>
      <c r="E550" s="9" t="inlineStr"/>
      <c r="F550" s="9" t="inlineStr"/>
      <c r="G550" s="9" t="inlineStr"/>
      <c r="H550" s="9" t="inlineStr"/>
      <c r="I550" t="inlineStr">
        <is>
          <t>CONSULTAR ASSIST TEC EM DOCUMENTACAO E INFORMACAO LTDA</t>
        </is>
      </c>
      <c r="J550" t="inlineStr">
        <is>
          <t>CONSULTAR ASSIST TEC EM DOC. E AVALIACAO LTDA</t>
        </is>
      </c>
      <c r="K550" t="inlineStr">
        <is>
          <t>69975530</t>
        </is>
      </c>
      <c r="L550" t="inlineStr">
        <is>
          <t>69975530000151</t>
        </is>
      </c>
      <c r="M550" s="10" t="n">
        <v>207006.28</v>
      </c>
      <c r="N550" t="n">
        <v>1</v>
      </c>
      <c r="O550" s="11" t="inlineStr">
        <is>
          <t>C</t>
        </is>
      </c>
      <c r="P550" s="11" t="inlineStr"/>
      <c r="Q550" s="12" t="inlineStr"/>
      <c r="R550" s="11">
        <f>IF(Q550="","",ROUND((TODAY()-Q550)/365.25,1))</f>
        <v/>
      </c>
      <c r="S550" s="13">
        <f>IFERROR(VLOOKUP(O550,Assumptions!$A$7:$F$11,2,FALSE),0.25)</f>
        <v/>
      </c>
      <c r="T550" s="14">
        <f>IF(O550="A",MAX(1,IFERROR(VLOOKUP(O550,Assumptions!$A$7:$F$11,3,FALSE),3)+IFERROR(VLOOKUP(O550,Assumptions!$A$7:$F$11,4,FALSE),8)/2-MAX(0,IF(R550="",0,R550)-IFERROR(VLOOKUP(O550,Assumptions!$A$7:$F$11,5,FALSE),1.5))),IFERROR(VLOOKUP(O550,Assumptions!$A$7:$F$11,5,FALSE),2.5)+IFERROR(VLOOKUP(O550,Assumptions!$A$7:$F$11,3,FALSE),3)+IFERROR(VLOOKUP(O550,Assumptions!$A$7:$F$11,4,FALSE),8)/2)</f>
        <v/>
      </c>
      <c r="U550" s="15">
        <f>M550*S550/(1+Assumptions!$B$3)^T550</f>
        <v/>
      </c>
      <c r="V550" s="11">
        <f>IF(M550=0,"",ROUND(U550/M550*100,1))</f>
        <v/>
      </c>
      <c r="W550" s="16">
        <f>U550*Assumptions!$B$4</f>
        <v/>
      </c>
      <c r="X550" s="11">
        <f>IF(M550=0,"",ROUND(W550/M550*100,1))</f>
        <v/>
      </c>
      <c r="Y550" t="inlineStr">
        <is>
          <t>GRUPO ARNON DE MELLO</t>
        </is>
      </c>
      <c r="Z550" t="inlineStr">
        <is>
          <t>0700256-03.2019.8.02.0066</t>
        </is>
      </c>
      <c r="AA550" t="inlineStr"/>
      <c r="AB550" t="inlineStr">
        <is>
          <t>recuperacaojudicial.squarespace.com</t>
        </is>
      </c>
      <c r="AC550" t="inlineStr">
        <is>
          <t>ANDRE LUIZ SILVA DOS SANTOS</t>
        </is>
      </c>
      <c r="AD550" t="inlineStr">
        <is>
          <t>Sócio-Administrador</t>
        </is>
      </c>
      <c r="AE550" t="inlineStr">
        <is>
          <t>(82) 9941-0392</t>
        </is>
      </c>
      <c r="AF550" t="inlineStr"/>
      <c r="AG550" t="inlineStr"/>
      <c r="AH550" t="inlineStr">
        <is>
          <t>AL</t>
        </is>
      </c>
      <c r="AI550" t="inlineStr">
        <is>
          <t>MACEIO</t>
        </is>
      </c>
      <c r="AJ550" t="inlineStr">
        <is>
          <t>Preparação de documentos e serviços especializados de apoio administrativo não especificados anteriormente</t>
        </is>
      </c>
      <c r="AK550" t="inlineStr">
        <is>
          <t>MICRO EMPRESA</t>
        </is>
      </c>
      <c r="AL550" t="inlineStr">
        <is>
          <t>ATIVA</t>
        </is>
      </c>
      <c r="AM550" s="17" t="inlineStr">
        <is>
          <t>https://recuperacaojudicial.squarespace.com/s/RJ-Grupo-Arnon-de-Melo-Lista-de-Credores-Consolidada-abril-2022.pdf</t>
        </is>
      </c>
      <c r="AN550" s="18" t="inlineStr">
        <is>
          <t>p7 r53</t>
        </is>
      </c>
      <c r="AO550" s="18" t="inlineStr">
        <is>
          <t>p7: R$ 207.006,28</t>
        </is>
      </c>
      <c r="AP550" s="18" t="inlineStr">
        <is>
          <t>AJ_LIST</t>
        </is>
      </c>
      <c r="AQ550" s="18" t="inlineStr"/>
      <c r="AR550" s="18" t="inlineStr">
        <is>
          <t>OK_NO_TOTALS</t>
        </is>
      </c>
      <c r="AS550" s="18" t="inlineStr">
        <is>
          <t>ROWS:p7r53 UNRECONCILED_SOURCE</t>
        </is>
      </c>
      <c r="AT550" s="18" t="inlineStr">
        <is>
          <t>60fd9c017d90</t>
        </is>
      </c>
    </row>
    <row r="551">
      <c r="A551" s="9" t="n">
        <v>550</v>
      </c>
      <c r="B551" s="9" t="inlineStr">
        <is>
          <t>NEW</t>
        </is>
      </c>
      <c r="C551" s="9" t="inlineStr"/>
      <c r="D551" s="9" t="n">
        <v>0</v>
      </c>
      <c r="E551" s="9" t="inlineStr"/>
      <c r="F551" s="9" t="inlineStr"/>
      <c r="G551" s="9" t="inlineStr"/>
      <c r="H551" s="9" t="inlineStr"/>
      <c r="I551" t="inlineStr">
        <is>
          <t>DPC DISTRIBUIDOR ATACADISTA S/A</t>
        </is>
      </c>
      <c r="J551" t="inlineStr">
        <is>
          <t>Dpc Distribuidor Atacadista S/A</t>
        </is>
      </c>
      <c r="K551" t="inlineStr">
        <is>
          <t>66471517</t>
        </is>
      </c>
      <c r="L551" t="inlineStr">
        <is>
          <t>66471517000177, 66471517002030</t>
        </is>
      </c>
      <c r="M551" s="10" t="n">
        <v>206466.35</v>
      </c>
      <c r="N551" t="n">
        <v>2</v>
      </c>
      <c r="O551" s="11" t="inlineStr">
        <is>
          <t>B</t>
        </is>
      </c>
      <c r="P551" s="11" t="inlineStr">
        <is>
          <t>ACTIVE</t>
        </is>
      </c>
      <c r="Q551" s="12" t="n">
        <v>46130</v>
      </c>
      <c r="R551" s="11">
        <f>IF(Q551="","",ROUND((TODAY()-Q551)/365.25,1))</f>
        <v/>
      </c>
      <c r="S551" s="13">
        <f>IFERROR(VLOOKUP(O551,Assumptions!$A$7:$F$11,2,FALSE),0.25)</f>
        <v/>
      </c>
      <c r="T551" s="14">
        <f>IF(O551="A",MAX(1,IFERROR(VLOOKUP(O551,Assumptions!$A$7:$F$11,3,FALSE),3)+IFERROR(VLOOKUP(O551,Assumptions!$A$7:$F$11,4,FALSE),8)/2-MAX(0,IF(R551="",0,R551)-IFERROR(VLOOKUP(O551,Assumptions!$A$7:$F$11,5,FALSE),1.5))),IFERROR(VLOOKUP(O551,Assumptions!$A$7:$F$11,5,FALSE),2.5)+IFERROR(VLOOKUP(O551,Assumptions!$A$7:$F$11,3,FALSE),3)+IFERROR(VLOOKUP(O551,Assumptions!$A$7:$F$11,4,FALSE),8)/2)</f>
        <v/>
      </c>
      <c r="U551" s="15">
        <f>M551*S551/(1+Assumptions!$B$3)^T551</f>
        <v/>
      </c>
      <c r="V551" s="11">
        <f>IF(M551=0,"",ROUND(U551/M551*100,1))</f>
        <v/>
      </c>
      <c r="W551" s="16">
        <f>U551*Assumptions!$B$4</f>
        <v/>
      </c>
      <c r="X551" s="11">
        <f>IF(M551=0,"",ROUND(W551/M551*100,1))</f>
        <v/>
      </c>
      <c r="Y551" t="inlineStr">
        <is>
          <t>GRUPO 3E</t>
        </is>
      </c>
      <c r="Z551" t="inlineStr">
        <is>
          <t>5341375-33.2026.8.09.0049</t>
        </is>
      </c>
      <c r="AA551" t="inlineStr">
        <is>
          <t>TJGO</t>
        </is>
      </c>
      <c r="AB551" t="inlineStr">
        <is>
          <t>stenius.com.br</t>
        </is>
      </c>
      <c r="AC551" t="inlineStr">
        <is>
          <t>ALVARO JOAO ARAUJO LACERDA</t>
        </is>
      </c>
      <c r="AD551" t="inlineStr">
        <is>
          <t>Presidente</t>
        </is>
      </c>
      <c r="AE551" t="inlineStr">
        <is>
          <t>(33) 3329-0000</t>
        </is>
      </c>
      <c r="AF551" t="inlineStr"/>
      <c r="AG551" t="inlineStr"/>
      <c r="AH551" t="inlineStr">
        <is>
          <t>MG</t>
        </is>
      </c>
      <c r="AI551" t="inlineStr">
        <is>
          <t>CARATINGA</t>
        </is>
      </c>
      <c r="AJ551" t="inlineStr">
        <is>
          <t>Comércio atacadista de produtos de higiene pessoal</t>
        </is>
      </c>
      <c r="AK551" t="inlineStr">
        <is>
          <t>DEMAIS</t>
        </is>
      </c>
      <c r="AL551" t="inlineStr">
        <is>
          <t>ATIVA</t>
        </is>
      </c>
      <c r="AM551" s="17" t="inlineStr">
        <is>
          <t>https://stenius.com.br/wp-content/uploads/2026/06/EDITAL-GRUPO-3E.pdf</t>
        </is>
      </c>
      <c r="AN551" s="18" t="inlineStr">
        <is>
          <t>p12 r53; p12 r54</t>
        </is>
      </c>
      <c r="AO551" s="18" t="inlineStr">
        <is>
          <t>p12: R$ 171.927,72; p12: R$ 34.538,63</t>
        </is>
      </c>
      <c r="AP551" s="18" t="inlineStr">
        <is>
          <t>DEBTOR_LIST</t>
        </is>
      </c>
      <c r="AQ551" s="18" t="inlineStr">
        <is>
          <t>2026-06-22</t>
        </is>
      </c>
      <c r="AR551" s="18" t="inlineStr">
        <is>
          <t>OK_NO_TOTALS</t>
        </is>
      </c>
      <c r="AS551" s="18" t="inlineStr">
        <is>
          <t>ROWS:p12r53,p12r54 UNRECONCILED_SOURCE</t>
        </is>
      </c>
      <c r="AT551" s="18" t="inlineStr">
        <is>
          <t>8e8832093a15</t>
        </is>
      </c>
    </row>
    <row r="552">
      <c r="A552" s="9" t="n">
        <v>551</v>
      </c>
      <c r="B552" s="9" t="inlineStr">
        <is>
          <t>NEW</t>
        </is>
      </c>
      <c r="C552" s="9" t="inlineStr"/>
      <c r="D552" s="9" t="n">
        <v>0</v>
      </c>
      <c r="E552" s="9" t="inlineStr"/>
      <c r="F552" s="9" t="inlineStr"/>
      <c r="G552" s="9" t="inlineStr"/>
      <c r="H552" s="9" t="inlineStr"/>
      <c r="I552" t="inlineStr">
        <is>
          <t>SEPAC SERRADOS E PASTA DE CELULOSE LTDA</t>
        </is>
      </c>
      <c r="J552" t="inlineStr">
        <is>
          <t>Sepac</t>
        </is>
      </c>
      <c r="K552" t="inlineStr">
        <is>
          <t>75655720</t>
        </is>
      </c>
      <c r="L552" t="inlineStr">
        <is>
          <t>75655720000194</t>
        </is>
      </c>
      <c r="M552" s="10" t="n">
        <v>206015.81</v>
      </c>
      <c r="N552" t="n">
        <v>1</v>
      </c>
      <c r="O552" s="11" t="inlineStr">
        <is>
          <t>B</t>
        </is>
      </c>
      <c r="P552" s="11" t="inlineStr">
        <is>
          <t>ACTIVE</t>
        </is>
      </c>
      <c r="Q552" s="12" t="n">
        <v>46130</v>
      </c>
      <c r="R552" s="11">
        <f>IF(Q552="","",ROUND((TODAY()-Q552)/365.25,1))</f>
        <v/>
      </c>
      <c r="S552" s="13">
        <f>IFERROR(VLOOKUP(O552,Assumptions!$A$7:$F$11,2,FALSE),0.25)</f>
        <v/>
      </c>
      <c r="T552" s="14">
        <f>IF(O552="A",MAX(1,IFERROR(VLOOKUP(O552,Assumptions!$A$7:$F$11,3,FALSE),3)+IFERROR(VLOOKUP(O552,Assumptions!$A$7:$F$11,4,FALSE),8)/2-MAX(0,IF(R552="",0,R552)-IFERROR(VLOOKUP(O552,Assumptions!$A$7:$F$11,5,FALSE),1.5))),IFERROR(VLOOKUP(O552,Assumptions!$A$7:$F$11,5,FALSE),2.5)+IFERROR(VLOOKUP(O552,Assumptions!$A$7:$F$11,3,FALSE),3)+IFERROR(VLOOKUP(O552,Assumptions!$A$7:$F$11,4,FALSE),8)/2)</f>
        <v/>
      </c>
      <c r="U552" s="15">
        <f>M552*S552/(1+Assumptions!$B$3)^T552</f>
        <v/>
      </c>
      <c r="V552" s="11">
        <f>IF(M552=0,"",ROUND(U552/M552*100,1))</f>
        <v/>
      </c>
      <c r="W552" s="16">
        <f>U552*Assumptions!$B$4</f>
        <v/>
      </c>
      <c r="X552" s="11">
        <f>IF(M552=0,"",ROUND(W552/M552*100,1))</f>
        <v/>
      </c>
      <c r="Y552" t="inlineStr">
        <is>
          <t>GRUPO 3E</t>
        </is>
      </c>
      <c r="Z552" t="inlineStr">
        <is>
          <t>5341375-33.2026.8.09.0049</t>
        </is>
      </c>
      <c r="AA552" t="inlineStr">
        <is>
          <t>TJGO</t>
        </is>
      </c>
      <c r="AB552" t="inlineStr">
        <is>
          <t>stenius.com.br</t>
        </is>
      </c>
      <c r="AC552" t="inlineStr">
        <is>
          <t>RENATO TYSKI ZAPSZALKA</t>
        </is>
      </c>
      <c r="AD552" t="inlineStr">
        <is>
          <t>Administrador</t>
        </is>
      </c>
      <c r="AE552" t="inlineStr">
        <is>
          <t>(42) 3542-8000</t>
        </is>
      </c>
      <c r="AF552" t="inlineStr"/>
      <c r="AG552" t="inlineStr"/>
      <c r="AH552" t="inlineStr">
        <is>
          <t>PR</t>
        </is>
      </c>
      <c r="AI552" t="inlineStr">
        <is>
          <t>MALLET</t>
        </is>
      </c>
      <c r="AJ552" t="inlineStr">
        <is>
          <t>Fabricação de produtos de papel para uso doméstico e higiênico-sanitário não especificados anteriormente</t>
        </is>
      </c>
      <c r="AK552" t="inlineStr">
        <is>
          <t>DEMAIS</t>
        </is>
      </c>
      <c r="AL552" t="inlineStr">
        <is>
          <t>ATIVA</t>
        </is>
      </c>
      <c r="AM552" s="17" t="inlineStr">
        <is>
          <t>https://stenius.com.br/wp-content/uploads/2026/06/EDITAL-GRUPO-3E.pdf</t>
        </is>
      </c>
      <c r="AN552" s="18" t="inlineStr">
        <is>
          <t>p17 r68</t>
        </is>
      </c>
      <c r="AO552" s="18" t="inlineStr">
        <is>
          <t>p17: R$ 206.015,81</t>
        </is>
      </c>
      <c r="AP552" s="18" t="inlineStr">
        <is>
          <t>DEBTOR_LIST</t>
        </is>
      </c>
      <c r="AQ552" s="18" t="inlineStr">
        <is>
          <t>2026-06-22</t>
        </is>
      </c>
      <c r="AR552" s="18" t="inlineStr">
        <is>
          <t>OK_NO_TOTALS</t>
        </is>
      </c>
      <c r="AS552" s="18" t="inlineStr">
        <is>
          <t>ROWS:p17r68 UNRECONCILED_SOURCE</t>
        </is>
      </c>
      <c r="AT552" s="18" t="inlineStr">
        <is>
          <t>8e8832093a15</t>
        </is>
      </c>
    </row>
    <row r="553">
      <c r="A553" s="9" t="n">
        <v>552</v>
      </c>
      <c r="B553" s="9" t="inlineStr">
        <is>
          <t>NEW</t>
        </is>
      </c>
      <c r="C553" s="9" t="inlineStr"/>
      <c r="D553" s="9" t="n">
        <v>0</v>
      </c>
      <c r="E553" s="9" t="inlineStr"/>
      <c r="F553" s="9" t="inlineStr"/>
      <c r="G553" s="9" t="inlineStr"/>
      <c r="H553" s="9" t="inlineStr"/>
      <c r="I553" t="inlineStr">
        <is>
          <t>POLIMAN INDUSTRIA E COMERCIO DE MOVEIS LTDA</t>
        </is>
      </c>
      <c r="J553" t="inlineStr">
        <is>
          <t>02.721.927/0001-46</t>
        </is>
      </c>
      <c r="K553" t="inlineStr">
        <is>
          <t>02721927</t>
        </is>
      </c>
      <c r="L553" t="inlineStr">
        <is>
          <t>02721927000146</t>
        </is>
      </c>
      <c r="M553" s="10" t="n">
        <v>205935.56</v>
      </c>
      <c r="N553" t="n">
        <v>1</v>
      </c>
      <c r="O553" s="11" t="inlineStr">
        <is>
          <t>C</t>
        </is>
      </c>
      <c r="P553" s="11" t="inlineStr">
        <is>
          <t>ACTIVE</t>
        </is>
      </c>
      <c r="Q553" s="12" t="n">
        <v>43894</v>
      </c>
      <c r="R553" s="11">
        <f>IF(Q553="","",ROUND((TODAY()-Q553)/365.25,1))</f>
        <v/>
      </c>
      <c r="S553" s="13">
        <f>IFERROR(VLOOKUP(O553,Assumptions!$A$7:$F$11,2,FALSE),0.25)</f>
        <v/>
      </c>
      <c r="T553" s="14">
        <f>IF(O553="A",MAX(1,IFERROR(VLOOKUP(O553,Assumptions!$A$7:$F$11,3,FALSE),3)+IFERROR(VLOOKUP(O553,Assumptions!$A$7:$F$11,4,FALSE),8)/2-MAX(0,IF(R553="",0,R553)-IFERROR(VLOOKUP(O553,Assumptions!$A$7:$F$11,5,FALSE),1.5))),IFERROR(VLOOKUP(O553,Assumptions!$A$7:$F$11,5,FALSE),2.5)+IFERROR(VLOOKUP(O553,Assumptions!$A$7:$F$11,3,FALSE),3)+IFERROR(VLOOKUP(O553,Assumptions!$A$7:$F$11,4,FALSE),8)/2)</f>
        <v/>
      </c>
      <c r="U553" s="15">
        <f>M553*S553/(1+Assumptions!$B$3)^T553</f>
        <v/>
      </c>
      <c r="V553" s="11">
        <f>IF(M553=0,"",ROUND(U553/M553*100,1))</f>
        <v/>
      </c>
      <c r="W553" s="16">
        <f>U553*Assumptions!$B$4</f>
        <v/>
      </c>
      <c r="X553" s="11">
        <f>IF(M553=0,"",ROUND(W553/M553*100,1))</f>
        <v/>
      </c>
      <c r="Y553" t="inlineStr">
        <is>
          <t>CREDIMÓVEIS NOVOLAR LTDA.</t>
        </is>
      </c>
      <c r="Z553" t="inlineStr">
        <is>
          <t>0007565-40.2020.8.17.2370</t>
        </is>
      </c>
      <c r="AA553" t="inlineStr">
        <is>
          <t>TJPE</t>
        </is>
      </c>
      <c r="AB553" t="inlineStr">
        <is>
          <t>recuperacaojudicial.squarespace.com</t>
        </is>
      </c>
      <c r="AC553" t="inlineStr">
        <is>
          <t>ANA PAULA MANFRIN</t>
        </is>
      </c>
      <c r="AD553" t="inlineStr">
        <is>
          <t>Administrador</t>
        </is>
      </c>
      <c r="AE553" t="inlineStr">
        <is>
          <t>(43) 3276-8600</t>
        </is>
      </c>
      <c r="AF553" t="inlineStr">
        <is>
          <t>(43) 3274-6316</t>
        </is>
      </c>
      <c r="AG553" t="inlineStr"/>
      <c r="AH553" t="inlineStr">
        <is>
          <t>PR</t>
        </is>
      </c>
      <c r="AI553" t="inlineStr">
        <is>
          <t>ARAPONGAS</t>
        </is>
      </c>
      <c r="AJ553" t="inlineStr">
        <is>
          <t>Fabricação de móveis com predominância de madeira</t>
        </is>
      </c>
      <c r="AK553" t="inlineStr">
        <is>
          <t>DEMAIS</t>
        </is>
      </c>
      <c r="AL553" t="inlineStr">
        <is>
          <t>ATIVA</t>
        </is>
      </c>
      <c r="AM553" s="17" t="inlineStr">
        <is>
          <t>https://recuperacaojudicial.squarespace.com/s/RJ-Credimoveis-QGC-01082025.pdf</t>
        </is>
      </c>
      <c r="AN553" s="18" t="inlineStr">
        <is>
          <t>p16 r42</t>
        </is>
      </c>
      <c r="AO553" s="18" t="inlineStr">
        <is>
          <t>p16: R$ 205.935,56</t>
        </is>
      </c>
      <c r="AP553" s="18" t="inlineStr">
        <is>
          <t>QGC</t>
        </is>
      </c>
      <c r="AQ553" s="18" t="inlineStr">
        <is>
          <t>2026-01-28</t>
        </is>
      </c>
      <c r="AR553" s="18" t="inlineStr">
        <is>
          <t>OK</t>
        </is>
      </c>
      <c r="AS553" s="18" t="inlineStr">
        <is>
          <t>ROWS:p16r42</t>
        </is>
      </c>
      <c r="AT553" s="18" t="inlineStr">
        <is>
          <t>849d4fe5adce</t>
        </is>
      </c>
    </row>
    <row r="554">
      <c r="A554" s="9" t="n">
        <v>553</v>
      </c>
      <c r="B554" s="9" t="inlineStr">
        <is>
          <t>NEW</t>
        </is>
      </c>
      <c r="C554" s="9" t="inlineStr"/>
      <c r="D554" s="9" t="n">
        <v>0</v>
      </c>
      <c r="E554" s="9" t="inlineStr"/>
      <c r="F554" s="9" t="inlineStr"/>
      <c r="G554" s="9" t="inlineStr"/>
      <c r="H554" s="9" t="inlineStr"/>
      <c r="I554" t="inlineStr">
        <is>
          <t>AEROMECANICA LTDA</t>
        </is>
      </c>
      <c r="J554" t="inlineStr">
        <is>
          <t>AEROMECANICA MANHANI BARELLA, LEILA REGINA MANHANI BARELLA, B&amp;F AGRO LTDA (</t>
        </is>
      </c>
      <c r="K554" t="inlineStr">
        <is>
          <t>03609434</t>
        </is>
      </c>
      <c r="L554" t="inlineStr">
        <is>
          <t>03609434000181</t>
        </is>
      </c>
      <c r="M554" s="10" t="n">
        <v>205080.7</v>
      </c>
      <c r="N554" t="n">
        <v>1</v>
      </c>
      <c r="O554" s="11" t="inlineStr">
        <is>
          <t>B</t>
        </is>
      </c>
      <c r="P554" s="11" t="inlineStr">
        <is>
          <t>ACTIVE</t>
        </is>
      </c>
      <c r="Q554" s="12" t="n">
        <v>45594</v>
      </c>
      <c r="R554" s="11">
        <f>IF(Q554="","",ROUND((TODAY()-Q554)/365.25,1))</f>
        <v/>
      </c>
      <c r="S554" s="13">
        <f>IFERROR(VLOOKUP(O554,Assumptions!$A$7:$F$11,2,FALSE),0.25)</f>
        <v/>
      </c>
      <c r="T554" s="14">
        <f>IF(O554="A",MAX(1,IFERROR(VLOOKUP(O554,Assumptions!$A$7:$F$11,3,FALSE),3)+IFERROR(VLOOKUP(O554,Assumptions!$A$7:$F$11,4,FALSE),8)/2-MAX(0,IF(R554="",0,R554)-IFERROR(VLOOKUP(O554,Assumptions!$A$7:$F$11,5,FALSE),1.5))),IFERROR(VLOOKUP(O554,Assumptions!$A$7:$F$11,5,FALSE),2.5)+IFERROR(VLOOKUP(O554,Assumptions!$A$7:$F$11,3,FALSE),3)+IFERROR(VLOOKUP(O554,Assumptions!$A$7:$F$11,4,FALSE),8)/2)</f>
        <v/>
      </c>
      <c r="U554" s="15">
        <f>M554*S554/(1+Assumptions!$B$3)^T554</f>
        <v/>
      </c>
      <c r="V554" s="11">
        <f>IF(M554=0,"",ROUND(U554/M554*100,1))</f>
        <v/>
      </c>
      <c r="W554" s="16">
        <f>U554*Assumptions!$B$4</f>
        <v/>
      </c>
      <c r="X554" s="11">
        <f>IF(M554=0,"",ROUND(W554/M554*100,1))</f>
        <v/>
      </c>
      <c r="Y554" t="inlineStr">
        <is>
          <t>ENIVALDO BARELLA TIRONI, MATEUS MANHANI BARELLA, LEILA REGINA MANHANI BARELLA, B&amp;F AGRO COMÉRCIO DE GRÃOS E INSUMOS AGRÍCOLAS LTDA, BARELLA &amp; FILHOS LTDA E M M LOCAÇÃO EIRELI</t>
        </is>
      </c>
      <c r="Z554" t="inlineStr">
        <is>
          <t>0028131-73.2024.8.16.0017</t>
        </is>
      </c>
      <c r="AA554" t="inlineStr">
        <is>
          <t>TJPR</t>
        </is>
      </c>
      <c r="AB554" t="inlineStr">
        <is>
          <t>scalzilliaj.com.br</t>
        </is>
      </c>
      <c r="AC554" t="inlineStr">
        <is>
          <t>JOAOMAR NASCIMENTO DE AZEVEDO JUNIOR</t>
        </is>
      </c>
      <c r="AD554" t="inlineStr">
        <is>
          <t>Sócio-Administrador</t>
        </is>
      </c>
      <c r="AE554" t="inlineStr">
        <is>
          <t>(41) 3888-3200</t>
        </is>
      </c>
      <c r="AF554" t="inlineStr"/>
      <c r="AG554" t="inlineStr"/>
      <c r="AH554" t="inlineStr">
        <is>
          <t>PR</t>
        </is>
      </c>
      <c r="AI554" t="inlineStr">
        <is>
          <t>CURITIBA</t>
        </is>
      </c>
      <c r="AJ554" t="inlineStr">
        <is>
          <t>Manutenção e reparação de aeronaves, exceto a manutenção na pista</t>
        </is>
      </c>
      <c r="AK554" t="inlineStr">
        <is>
          <t>DEMAIS</t>
        </is>
      </c>
      <c r="AL554" t="inlineStr">
        <is>
          <t>ATIVA</t>
        </is>
      </c>
      <c r="AM554" s="17" t="inlineStr">
        <is>
          <t>https://scalzilliaj.com.br/sgc/download.php?file=files/processo_documento/processo_documento15542620022025_1_.pdf&amp;nome=11 - Relação de credores - art. 7º, §2º, da LREF</t>
        </is>
      </c>
      <c r="AN554" s="18" t="inlineStr">
        <is>
          <t>p1 r8</t>
        </is>
      </c>
      <c r="AO554" s="18" t="inlineStr">
        <is>
          <t>p1: R$ 205.080,70</t>
        </is>
      </c>
      <c r="AP554" s="18" t="inlineStr">
        <is>
          <t>AJ_LIST</t>
        </is>
      </c>
      <c r="AQ554" s="18" t="inlineStr">
        <is>
          <t>2025-02-19</t>
        </is>
      </c>
      <c r="AR554" s="18" t="inlineStr">
        <is>
          <t>OK_NO_TOTALS</t>
        </is>
      </c>
      <c r="AS554" s="18" t="inlineStr">
        <is>
          <t>ROWS:p1r8 UNRECONCILED_SOURCE</t>
        </is>
      </c>
      <c r="AT554" s="18" t="inlineStr">
        <is>
          <t>70eb7014739f</t>
        </is>
      </c>
    </row>
    <row r="555">
      <c r="A555" s="9" t="n">
        <v>554</v>
      </c>
      <c r="B555" s="9" t="inlineStr">
        <is>
          <t>NEW</t>
        </is>
      </c>
      <c r="C555" s="9" t="inlineStr"/>
      <c r="D555" s="9" t="n">
        <v>0</v>
      </c>
      <c r="E555" s="9" t="inlineStr"/>
      <c r="F555" s="9" t="inlineStr"/>
      <c r="G555" s="9" t="inlineStr"/>
      <c r="H555" s="9" t="inlineStr"/>
      <c r="I555" t="inlineStr">
        <is>
          <t>SAFEGOLD GERENCIAMENTO DE CAPITAL LTDA</t>
        </is>
      </c>
      <c r="J555" t="inlineStr">
        <is>
          <t>SAFEGOLD GERENCIAMENTO DE CAPITAL LTDA (</t>
        </is>
      </c>
      <c r="K555" t="inlineStr">
        <is>
          <t>13177802</t>
        </is>
      </c>
      <c r="L555" t="inlineStr">
        <is>
          <t>13177802000113</t>
        </is>
      </c>
      <c r="M555" s="10" t="n">
        <v>203501.15</v>
      </c>
      <c r="N555" t="n">
        <v>1</v>
      </c>
      <c r="O555" s="11" t="inlineStr">
        <is>
          <t>C</t>
        </is>
      </c>
      <c r="P555" s="11" t="inlineStr">
        <is>
          <t>ACTIVE</t>
        </is>
      </c>
      <c r="Q555" s="12" t="n">
        <v>44354</v>
      </c>
      <c r="R555" s="11">
        <f>IF(Q555="","",ROUND((TODAY()-Q555)/365.25,1))</f>
        <v/>
      </c>
      <c r="S555" s="13">
        <f>IFERROR(VLOOKUP(O555,Assumptions!$A$7:$F$11,2,FALSE),0.25)</f>
        <v/>
      </c>
      <c r="T555" s="14">
        <f>IF(O555="A",MAX(1,IFERROR(VLOOKUP(O555,Assumptions!$A$7:$F$11,3,FALSE),3)+IFERROR(VLOOKUP(O555,Assumptions!$A$7:$F$11,4,FALSE),8)/2-MAX(0,IF(R555="",0,R555)-IFERROR(VLOOKUP(O555,Assumptions!$A$7:$F$11,5,FALSE),1.5))),IFERROR(VLOOKUP(O555,Assumptions!$A$7:$F$11,5,FALSE),2.5)+IFERROR(VLOOKUP(O555,Assumptions!$A$7:$F$11,3,FALSE),3)+IFERROR(VLOOKUP(O555,Assumptions!$A$7:$F$11,4,FALSE),8)/2)</f>
        <v/>
      </c>
      <c r="U555" s="15">
        <f>M555*S555/(1+Assumptions!$B$3)^T555</f>
        <v/>
      </c>
      <c r="V555" s="11">
        <f>IF(M555=0,"",ROUND(U555/M555*100,1))</f>
        <v/>
      </c>
      <c r="W555" s="16">
        <f>U555*Assumptions!$B$4</f>
        <v/>
      </c>
      <c r="X555" s="11">
        <f>IF(M555=0,"",ROUND(W555/M555*100,1))</f>
        <v/>
      </c>
      <c r="Y555" t="inlineStr">
        <is>
          <t>VECTOR INDÚSTRIA DE PRODUTOS METALÚRGICOS LTDA.</t>
        </is>
      </c>
      <c r="Z555" t="inlineStr">
        <is>
          <t>5014104-85.2021.8.21.0010</t>
        </is>
      </c>
      <c r="AA555" t="inlineStr">
        <is>
          <t>TJRS</t>
        </is>
      </c>
      <c r="AB555" t="inlineStr">
        <is>
          <t>scalzilliaj.com.br</t>
        </is>
      </c>
      <c r="AC555" t="inlineStr">
        <is>
          <t>EZEQUIEL DOUGLAS WILBERT</t>
        </is>
      </c>
      <c r="AD555" t="inlineStr">
        <is>
          <t>Sócio-Administrador</t>
        </is>
      </c>
      <c r="AE555" t="inlineStr">
        <is>
          <t>(41) 3500-8044</t>
        </is>
      </c>
      <c r="AF555" t="inlineStr"/>
      <c r="AG555" t="inlineStr"/>
      <c r="AH555" t="inlineStr">
        <is>
          <t>PR</t>
        </is>
      </c>
      <c r="AI555" t="inlineStr">
        <is>
          <t>CURITIBA</t>
        </is>
      </c>
      <c r="AJ555" t="inlineStr">
        <is>
          <t>Atividades de consultoria em gestão empresarial, exceto consultoria técnica específica</t>
        </is>
      </c>
      <c r="AK555" t="inlineStr">
        <is>
          <t>DEMAIS</t>
        </is>
      </c>
      <c r="AL555" t="inlineStr">
        <is>
          <t>ATIVA</t>
        </is>
      </c>
      <c r="AM555" s="17" t="inlineStr">
        <is>
          <t>https://scalzilliaj.com.br/sgc/download.php?file=files/processo_documento/processo_documento15513401112022_1_.pdf&amp;nome=15 - Edital do art. 7º, §2º (segunda lista de credores) e do art. 53 da Lei 11.101/2005 (recebimento do plano)</t>
        </is>
      </c>
      <c r="AN555" s="18" t="inlineStr">
        <is>
          <t>p9 r25</t>
        </is>
      </c>
      <c r="AO555" s="18" t="inlineStr">
        <is>
          <t>p9: R$ 203.501,15</t>
        </is>
      </c>
      <c r="AP555" s="18" t="inlineStr">
        <is>
          <t>AJ_LIST</t>
        </is>
      </c>
      <c r="AQ555" s="18" t="inlineStr">
        <is>
          <t>2022-11-01</t>
        </is>
      </c>
      <c r="AR555" s="18" t="inlineStr">
        <is>
          <t>OK_NO_TOTALS</t>
        </is>
      </c>
      <c r="AS555" s="18" t="inlineStr">
        <is>
          <t>ROWS:p9r25 UNRECONCILED_SOURCE</t>
        </is>
      </c>
      <c r="AT555" s="18" t="inlineStr">
        <is>
          <t>84c586360a66</t>
        </is>
      </c>
    </row>
    <row r="556">
      <c r="A556" s="9" t="n">
        <v>555</v>
      </c>
      <c r="B556" s="9" t="inlineStr">
        <is>
          <t>NEW</t>
        </is>
      </c>
      <c r="C556" s="9" t="inlineStr"/>
      <c r="D556" s="9" t="n">
        <v>0</v>
      </c>
      <c r="E556" s="9" t="inlineStr"/>
      <c r="F556" s="9" t="inlineStr"/>
      <c r="G556" s="9" t="inlineStr"/>
      <c r="H556" s="9" t="inlineStr"/>
      <c r="I556" t="inlineStr">
        <is>
          <t>CONSENCO EDIFICACOES E INCORPORACOES TUCCI CAVALCANTE LTDA</t>
        </is>
      </c>
      <c r="J556" t="inlineStr">
        <is>
          <t>CONSENCO EDIFICACOES E INCORPORACOES TUCCI CAVALCANTE LTDA</t>
        </is>
      </c>
      <c r="K556" t="inlineStr">
        <is>
          <t>14898243</t>
        </is>
      </c>
      <c r="L556" t="inlineStr">
        <is>
          <t>14898243000101</t>
        </is>
      </c>
      <c r="M556" s="10" t="n">
        <v>203452.29</v>
      </c>
      <c r="N556" t="n">
        <v>1</v>
      </c>
      <c r="O556" s="11" t="inlineStr">
        <is>
          <t>C</t>
        </is>
      </c>
      <c r="P556" s="11" t="inlineStr"/>
      <c r="Q556" s="12" t="inlineStr"/>
      <c r="R556" s="11">
        <f>IF(Q556="","",ROUND((TODAY()-Q556)/365.25,1))</f>
        <v/>
      </c>
      <c r="S556" s="13">
        <f>IFERROR(VLOOKUP(O556,Assumptions!$A$7:$F$11,2,FALSE),0.25)</f>
        <v/>
      </c>
      <c r="T556" s="14">
        <f>IF(O556="A",MAX(1,IFERROR(VLOOKUP(O556,Assumptions!$A$7:$F$11,3,FALSE),3)+IFERROR(VLOOKUP(O556,Assumptions!$A$7:$F$11,4,FALSE),8)/2-MAX(0,IF(R556="",0,R556)-IFERROR(VLOOKUP(O556,Assumptions!$A$7:$F$11,5,FALSE),1.5))),IFERROR(VLOOKUP(O556,Assumptions!$A$7:$F$11,5,FALSE),2.5)+IFERROR(VLOOKUP(O556,Assumptions!$A$7:$F$11,3,FALSE),3)+IFERROR(VLOOKUP(O556,Assumptions!$A$7:$F$11,4,FALSE),8)/2)</f>
        <v/>
      </c>
      <c r="U556" s="15">
        <f>M556*S556/(1+Assumptions!$B$3)^T556</f>
        <v/>
      </c>
      <c r="V556" s="11">
        <f>IF(M556=0,"",ROUND(U556/M556*100,1))</f>
        <v/>
      </c>
      <c r="W556" s="16">
        <f>U556*Assumptions!$B$4</f>
        <v/>
      </c>
      <c r="X556" s="11">
        <f>IF(M556=0,"",ROUND(W556/M556*100,1))</f>
        <v/>
      </c>
      <c r="Y556" t="inlineStr">
        <is>
          <t>GRUPO ARNON DE MELLO</t>
        </is>
      </c>
      <c r="Z556" t="inlineStr">
        <is>
          <t>0700256-03.2019.8.02.0066</t>
        </is>
      </c>
      <c r="AA556" t="inlineStr"/>
      <c r="AB556" t="inlineStr">
        <is>
          <t>recuperacaojudicial.squarespace.com</t>
        </is>
      </c>
      <c r="AC556" t="inlineStr">
        <is>
          <t>DIEGO TUCCI CAVALCANTE OLIVEIRA</t>
        </is>
      </c>
      <c r="AD556" t="inlineStr">
        <is>
          <t>Sócio-Administrador</t>
        </is>
      </c>
      <c r="AE556" t="inlineStr">
        <is>
          <t>(82) 3355-8557</t>
        </is>
      </c>
      <c r="AF556" t="inlineStr"/>
      <c r="AG556" t="inlineStr"/>
      <c r="AH556" t="inlineStr">
        <is>
          <t>AL</t>
        </is>
      </c>
      <c r="AI556" t="inlineStr">
        <is>
          <t>MACEIO</t>
        </is>
      </c>
      <c r="AJ556" t="inlineStr">
        <is>
          <t>Construção de edifícios</t>
        </is>
      </c>
      <c r="AK556" t="inlineStr">
        <is>
          <t>DEMAIS</t>
        </is>
      </c>
      <c r="AL556" t="inlineStr">
        <is>
          <t>ATIVA</t>
        </is>
      </c>
      <c r="AM556" s="17" t="inlineStr">
        <is>
          <t>https://recuperacaojudicial.squarespace.com/s/RJ-Grupo-Arnon-de-Melo-Lista-de-Credores-Consolidada-abril-2022.pdf</t>
        </is>
      </c>
      <c r="AN556" s="18" t="inlineStr">
        <is>
          <t>p7 r51</t>
        </is>
      </c>
      <c r="AO556" s="18" t="inlineStr">
        <is>
          <t>p7: R$ 203.452,29</t>
        </is>
      </c>
      <c r="AP556" s="18" t="inlineStr">
        <is>
          <t>AJ_LIST</t>
        </is>
      </c>
      <c r="AQ556" s="18" t="inlineStr"/>
      <c r="AR556" s="18" t="inlineStr">
        <is>
          <t>OK_NO_TOTALS</t>
        </is>
      </c>
      <c r="AS556" s="18" t="inlineStr">
        <is>
          <t>ROWS:p7r51 UNRECONCILED_SOURCE</t>
        </is>
      </c>
      <c r="AT556" s="18" t="inlineStr">
        <is>
          <t>60fd9c017d90</t>
        </is>
      </c>
    </row>
    <row r="557">
      <c r="A557" s="9" t="n">
        <v>556</v>
      </c>
      <c r="B557" s="9" t="inlineStr">
        <is>
          <t>NEW</t>
        </is>
      </c>
      <c r="C557" s="9" t="inlineStr"/>
      <c r="D557" s="9" t="n">
        <v>0</v>
      </c>
      <c r="E557" s="9" t="inlineStr"/>
      <c r="F557" s="9" t="inlineStr"/>
      <c r="G557" s="9" t="inlineStr"/>
      <c r="H557" s="9" t="inlineStr"/>
      <c r="I557" t="inlineStr">
        <is>
          <t>LAMINADOS PROGRESSO LTDA</t>
        </is>
      </c>
      <c r="J557" t="inlineStr">
        <is>
          <t>LAMINADOS PROGRESSO LTDA</t>
        </is>
      </c>
      <c r="K557" t="inlineStr">
        <is>
          <t>86765971</t>
        </is>
      </c>
      <c r="L557" t="inlineStr">
        <is>
          <t>86765971000148</t>
        </is>
      </c>
      <c r="M557" s="10" t="n">
        <v>203412.12</v>
      </c>
      <c r="N557" t="n">
        <v>1</v>
      </c>
      <c r="O557" s="11" t="inlineStr">
        <is>
          <t>D</t>
        </is>
      </c>
      <c r="P557" s="11" t="inlineStr"/>
      <c r="Q557" s="12" t="inlineStr"/>
      <c r="R557" s="11">
        <f>IF(Q557="","",ROUND((TODAY()-Q557)/365.25,1))</f>
        <v/>
      </c>
      <c r="S557" s="13">
        <f>IFERROR(VLOOKUP(O557,Assumptions!$A$7:$F$11,2,FALSE),0.25)</f>
        <v/>
      </c>
      <c r="T557" s="14">
        <f>IF(O557="A",MAX(1,IFERROR(VLOOKUP(O557,Assumptions!$A$7:$F$11,3,FALSE),3)+IFERROR(VLOOKUP(O557,Assumptions!$A$7:$F$11,4,FALSE),8)/2-MAX(0,IF(R557="",0,R557)-IFERROR(VLOOKUP(O557,Assumptions!$A$7:$F$11,5,FALSE),1.5))),IFERROR(VLOOKUP(O557,Assumptions!$A$7:$F$11,5,FALSE),2.5)+IFERROR(VLOOKUP(O557,Assumptions!$A$7:$F$11,3,FALSE),3)+IFERROR(VLOOKUP(O557,Assumptions!$A$7:$F$11,4,FALSE),8)/2)</f>
        <v/>
      </c>
      <c r="U557" s="15">
        <f>M557*S557/(1+Assumptions!$B$3)^T557</f>
        <v/>
      </c>
      <c r="V557" s="11">
        <f>IF(M557=0,"",ROUND(U557/M557*100,1))</f>
        <v/>
      </c>
      <c r="W557" s="16">
        <f>U557*Assumptions!$B$4</f>
        <v/>
      </c>
      <c r="X557" s="11">
        <f>IF(M557=0,"",ROUND(W557/M557*100,1))</f>
        <v/>
      </c>
      <c r="Y557" t="inlineStr">
        <is>
          <t>Mannes</t>
        </is>
      </c>
      <c r="Z557" t="inlineStr">
        <is>
          <t>0005010-50.2013.8.24.0026</t>
        </is>
      </c>
      <c r="AA557" t="inlineStr"/>
      <c r="AB557" t="inlineStr">
        <is>
          <t>administradorajudicialgs.com.br</t>
        </is>
      </c>
      <c r="AC557" t="inlineStr">
        <is>
          <t>JOAO CESAR BOBATO</t>
        </is>
      </c>
      <c r="AD557" t="inlineStr">
        <is>
          <t>Sócio-Administrador</t>
        </is>
      </c>
      <c r="AE557" t="inlineStr">
        <is>
          <t>000000000000</t>
        </is>
      </c>
      <c r="AF557" t="inlineStr"/>
      <c r="AG557" t="inlineStr"/>
      <c r="AH557" t="inlineStr">
        <is>
          <t>PR</t>
        </is>
      </c>
      <c r="AI557" t="inlineStr">
        <is>
          <t>IMBITUVA</t>
        </is>
      </c>
      <c r="AJ557" t="inlineStr">
        <is>
          <t>Fabricação de madeira laminada e de chapas de madeira compensada, prensada e aglomerada</t>
        </is>
      </c>
      <c r="AK557" t="inlineStr">
        <is>
          <t>EMPRESA DE PEQUENO PORTE</t>
        </is>
      </c>
      <c r="AL557" t="inlineStr">
        <is>
          <t>ATIVA</t>
        </is>
      </c>
      <c r="AM557" s="17" t="inlineStr">
        <is>
          <t>https://administradorajudicialgs.com.br/wp-content/uploads/2024/12/relacao-de-credores-da-falida.pdf</t>
        </is>
      </c>
      <c r="AN557" s="18" t="inlineStr">
        <is>
          <t>p16 r5</t>
        </is>
      </c>
      <c r="AO557" s="18" t="inlineStr">
        <is>
          <t>p16: R$ 203.412,12</t>
        </is>
      </c>
      <c r="AP557" s="18" t="inlineStr">
        <is>
          <t>OTHER</t>
        </is>
      </c>
      <c r="AQ557" s="18" t="inlineStr">
        <is>
          <t>2025-03-25</t>
        </is>
      </c>
      <c r="AR557" s="18" t="inlineStr">
        <is>
          <t>OK_NO_TOTALS</t>
        </is>
      </c>
      <c r="AS557" s="18" t="inlineStr">
        <is>
          <t>ROWS:p16r5 UNRECONCILED_SOURCE CASE_NUMBER_CORRECTED</t>
        </is>
      </c>
      <c r="AT557" s="18" t="inlineStr">
        <is>
          <t>ea17ba43b261</t>
        </is>
      </c>
    </row>
    <row r="558">
      <c r="A558" s="9" t="n">
        <v>557</v>
      </c>
      <c r="B558" s="9" t="inlineStr">
        <is>
          <t>NEW</t>
        </is>
      </c>
      <c r="C558" s="9" t="inlineStr"/>
      <c r="D558" s="9" t="n">
        <v>0</v>
      </c>
      <c r="E558" s="9" t="inlineStr"/>
      <c r="F558" s="9" t="inlineStr"/>
      <c r="G558" s="9" t="inlineStr"/>
      <c r="H558" s="9" t="inlineStr"/>
      <c r="I558" t="inlineStr">
        <is>
          <t>NUTRANE NUTRICAO ANIMAL LTDA</t>
        </is>
      </c>
      <c r="J558" t="inlineStr">
        <is>
          <t>DURANCHO – NUTRIÇÃO ANIMAL</t>
        </is>
      </c>
      <c r="K558" t="inlineStr">
        <is>
          <t>04591114</t>
        </is>
      </c>
      <c r="L558" t="inlineStr">
        <is>
          <t>04591114000104</t>
        </is>
      </c>
      <c r="M558" s="10" t="n">
        <v>201080.88</v>
      </c>
      <c r="N558" t="n">
        <v>1</v>
      </c>
      <c r="O558" s="11" t="inlineStr">
        <is>
          <t>C</t>
        </is>
      </c>
      <c r="P558" s="11" t="inlineStr"/>
      <c r="Q558" s="12" t="inlineStr"/>
      <c r="R558" s="11">
        <f>IF(Q558="","",ROUND((TODAY()-Q558)/365.25,1))</f>
        <v/>
      </c>
      <c r="S558" s="13">
        <f>IFERROR(VLOOKUP(O558,Assumptions!$A$7:$F$11,2,FALSE),0.25)</f>
        <v/>
      </c>
      <c r="T558" s="14">
        <f>IF(O558="A",MAX(1,IFERROR(VLOOKUP(O558,Assumptions!$A$7:$F$11,3,FALSE),3)+IFERROR(VLOOKUP(O558,Assumptions!$A$7:$F$11,4,FALSE),8)/2-MAX(0,IF(R558="",0,R558)-IFERROR(VLOOKUP(O558,Assumptions!$A$7:$F$11,5,FALSE),1.5))),IFERROR(VLOOKUP(O558,Assumptions!$A$7:$F$11,5,FALSE),2.5)+IFERROR(VLOOKUP(O558,Assumptions!$A$7:$F$11,3,FALSE),3)+IFERROR(VLOOKUP(O558,Assumptions!$A$7:$F$11,4,FALSE),8)/2)</f>
        <v/>
      </c>
      <c r="U558" s="15">
        <f>M558*S558/(1+Assumptions!$B$3)^T558</f>
        <v/>
      </c>
      <c r="V558" s="11">
        <f>IF(M558=0,"",ROUND(U558/M558*100,1))</f>
        <v/>
      </c>
      <c r="W558" s="16">
        <f>U558*Assumptions!$B$4</f>
        <v/>
      </c>
      <c r="X558" s="11">
        <f>IF(M558=0,"",ROUND(W558/M558*100,1))</f>
        <v/>
      </c>
      <c r="Y558" t="inlineStr">
        <is>
          <t>AGROPECUÁRIA SERROTE REDONDO</t>
        </is>
      </c>
      <c r="Z558" t="inlineStr">
        <is>
          <t>0000206-69.2013.8.17.1340</t>
        </is>
      </c>
      <c r="AA558" t="inlineStr"/>
      <c r="AB558" t="inlineStr">
        <is>
          <t>lrflideres.com.br</t>
        </is>
      </c>
      <c r="AC558" t="inlineStr">
        <is>
          <t>OTAVIO BEZERRA DO REGO BARROS</t>
        </is>
      </c>
      <c r="AD558" t="inlineStr">
        <is>
          <t>Sócio-Administrador</t>
        </is>
      </c>
      <c r="AE558" t="inlineStr">
        <is>
          <t>(87) 3835-3486</t>
        </is>
      </c>
      <c r="AF558" t="inlineStr"/>
      <c r="AG558" t="inlineStr"/>
      <c r="AH558" t="inlineStr">
        <is>
          <t>PE</t>
        </is>
      </c>
      <c r="AI558" t="inlineStr">
        <is>
          <t>PESQUEIRA</t>
        </is>
      </c>
      <c r="AJ558" t="inlineStr">
        <is>
          <t>Fabricação de alimentos para animais</t>
        </is>
      </c>
      <c r="AK558" t="inlineStr">
        <is>
          <t>DEMAIS</t>
        </is>
      </c>
      <c r="AL558" t="inlineStr">
        <is>
          <t>ATIVA</t>
        </is>
      </c>
      <c r="AM558" s="17" t="inlineStr">
        <is>
          <t>https://lrflideres.com.br/wp-content/plugins/download-attachments/includes/download.php?id=5001</t>
        </is>
      </c>
      <c r="AN558" s="18" t="inlineStr">
        <is>
          <t>p2 r1</t>
        </is>
      </c>
      <c r="AO558" s="18" t="inlineStr">
        <is>
          <t>p2: R$ 201.080,88</t>
        </is>
      </c>
      <c r="AP558" s="18" t="inlineStr">
        <is>
          <t>UNKNOWN</t>
        </is>
      </c>
      <c r="AQ558" s="18" t="inlineStr"/>
      <c r="AR558" s="18" t="inlineStr">
        <is>
          <t>OK</t>
        </is>
      </c>
      <c r="AS558" s="18" t="inlineStr">
        <is>
          <t>ALT_VALUE:49.140,00 ROWS:p2r1</t>
        </is>
      </c>
      <c r="AT558" s="18" t="inlineStr">
        <is>
          <t>7c0ce2830d0d</t>
        </is>
      </c>
    </row>
    <row r="559">
      <c r="A559" s="9" t="n">
        <v>558</v>
      </c>
      <c r="B559" s="9" t="inlineStr">
        <is>
          <t>NEW</t>
        </is>
      </c>
      <c r="C559" s="9" t="inlineStr"/>
      <c r="D559" s="9" t="n">
        <v>0</v>
      </c>
      <c r="E559" s="9" t="inlineStr"/>
      <c r="F559" s="9" t="inlineStr"/>
      <c r="G559" s="9" t="inlineStr"/>
      <c r="H559" s="9" t="inlineStr"/>
      <c r="I559" t="inlineStr">
        <is>
          <t>JC DISTRIBUICAO LOGISTICA IMPORTACAO E EXPORTACAO DE PRODUTOS INDUSTRIALIZADOS S/A</t>
        </is>
      </c>
      <c r="J559" t="inlineStr">
        <is>
          <t>Jc Distribuicao</t>
        </is>
      </c>
      <c r="K559" t="inlineStr">
        <is>
          <t>06314327</t>
        </is>
      </c>
      <c r="L559" t="inlineStr">
        <is>
          <t>06314327000203, 06314327000548</t>
        </is>
      </c>
      <c r="M559" s="10" t="n">
        <v>200738.49</v>
      </c>
      <c r="N559" t="n">
        <v>2</v>
      </c>
      <c r="O559" s="11" t="inlineStr">
        <is>
          <t>B</t>
        </is>
      </c>
      <c r="P559" s="11" t="inlineStr">
        <is>
          <t>ACTIVE</t>
        </is>
      </c>
      <c r="Q559" s="12" t="n">
        <v>46130</v>
      </c>
      <c r="R559" s="11">
        <f>IF(Q559="","",ROUND((TODAY()-Q559)/365.25,1))</f>
        <v/>
      </c>
      <c r="S559" s="13">
        <f>IFERROR(VLOOKUP(O559,Assumptions!$A$7:$F$11,2,FALSE),0.25)</f>
        <v/>
      </c>
      <c r="T559" s="14">
        <f>IF(O559="A",MAX(1,IFERROR(VLOOKUP(O559,Assumptions!$A$7:$F$11,3,FALSE),3)+IFERROR(VLOOKUP(O559,Assumptions!$A$7:$F$11,4,FALSE),8)/2-MAX(0,IF(R559="",0,R559)-IFERROR(VLOOKUP(O559,Assumptions!$A$7:$F$11,5,FALSE),1.5))),IFERROR(VLOOKUP(O559,Assumptions!$A$7:$F$11,5,FALSE),2.5)+IFERROR(VLOOKUP(O559,Assumptions!$A$7:$F$11,3,FALSE),3)+IFERROR(VLOOKUP(O559,Assumptions!$A$7:$F$11,4,FALSE),8)/2)</f>
        <v/>
      </c>
      <c r="U559" s="15">
        <f>M559*S559/(1+Assumptions!$B$3)^T559</f>
        <v/>
      </c>
      <c r="V559" s="11">
        <f>IF(M559=0,"",ROUND(U559/M559*100,1))</f>
        <v/>
      </c>
      <c r="W559" s="16">
        <f>U559*Assumptions!$B$4</f>
        <v/>
      </c>
      <c r="X559" s="11">
        <f>IF(M559=0,"",ROUND(W559/M559*100,1))</f>
        <v/>
      </c>
      <c r="Y559" t="inlineStr">
        <is>
          <t>GRUPO 3E</t>
        </is>
      </c>
      <c r="Z559" t="inlineStr">
        <is>
          <t>5341375-33.2026.8.09.0049</t>
        </is>
      </c>
      <c r="AA559" t="inlineStr">
        <is>
          <t>TJGO</t>
        </is>
      </c>
      <c r="AB559" t="inlineStr">
        <is>
          <t>stenius.com.br</t>
        </is>
      </c>
      <c r="AC559" t="inlineStr">
        <is>
          <t>JOSE RODRIGUES DA COSTA NETO</t>
        </is>
      </c>
      <c r="AD559" t="inlineStr">
        <is>
          <t>Presidente</t>
        </is>
      </c>
      <c r="AE559" t="inlineStr">
        <is>
          <t>(62) 3240-9500</t>
        </is>
      </c>
      <c r="AF559" t="inlineStr"/>
      <c r="AG559" t="inlineStr"/>
      <c r="AH559" t="inlineStr">
        <is>
          <t>GO</t>
        </is>
      </c>
      <c r="AI559" t="inlineStr">
        <is>
          <t>APARECIDA DE GOIANIA</t>
        </is>
      </c>
      <c r="AJ559" t="inlineStr">
        <is>
          <t>Atividades de consultoria em gestão empresarial, exceto consultoria técnica específica</t>
        </is>
      </c>
      <c r="AK559" t="inlineStr">
        <is>
          <t>DEMAIS</t>
        </is>
      </c>
      <c r="AL559" t="inlineStr">
        <is>
          <t>ATIVA</t>
        </is>
      </c>
      <c r="AM559" s="17" t="inlineStr">
        <is>
          <t>https://stenius.com.br/wp-content/uploads/2026/06/EDITAL-GRUPO-3E.pdf</t>
        </is>
      </c>
      <c r="AN559" s="18" t="inlineStr">
        <is>
          <t>p14 r69; p14 r70</t>
        </is>
      </c>
      <c r="AO559" s="18" t="inlineStr">
        <is>
          <t>p14: R$ 160.290,36; p14: R$ 40.448,13</t>
        </is>
      </c>
      <c r="AP559" s="18" t="inlineStr">
        <is>
          <t>DEBTOR_LIST</t>
        </is>
      </c>
      <c r="AQ559" s="18" t="inlineStr">
        <is>
          <t>2026-06-22</t>
        </is>
      </c>
      <c r="AR559" s="18" t="inlineStr">
        <is>
          <t>OK_NO_TOTALS</t>
        </is>
      </c>
      <c r="AS559" s="18" t="inlineStr">
        <is>
          <t>ROWS:p14r69,p14r70 UNRECONCILED_SOURCE</t>
        </is>
      </c>
      <c r="AT559" s="18" t="inlineStr">
        <is>
          <t>8e8832093a15</t>
        </is>
      </c>
    </row>
    <row r="560">
      <c r="A560" s="9" t="n">
        <v>559</v>
      </c>
      <c r="B560" s="9" t="inlineStr">
        <is>
          <t>NEW</t>
        </is>
      </c>
      <c r="C560" s="9" t="inlineStr"/>
      <c r="D560" s="9" t="n">
        <v>0</v>
      </c>
      <c r="E560" s="9" t="inlineStr"/>
      <c r="F560" s="9" t="inlineStr"/>
      <c r="G560" s="9" t="inlineStr"/>
      <c r="H560" s="9" t="inlineStr"/>
      <c r="I560" t="inlineStr">
        <is>
          <t>WEG LINHARES EQUIPAMENTOS ELETRICOS S/A</t>
        </is>
      </c>
      <c r="J560" t="inlineStr">
        <is>
          <t>WEG LINHARES EQUIPAMENTOS ELETRICOS LTDA (</t>
        </is>
      </c>
      <c r="K560" t="inlineStr">
        <is>
          <t>10885321</t>
        </is>
      </c>
      <c r="L560" t="inlineStr">
        <is>
          <t>10885321000174</t>
        </is>
      </c>
      <c r="M560" s="10" t="n">
        <v>200577.9</v>
      </c>
      <c r="N560" t="n">
        <v>1</v>
      </c>
      <c r="O560" s="11" t="inlineStr">
        <is>
          <t>C</t>
        </is>
      </c>
      <c r="P560" s="11" t="inlineStr">
        <is>
          <t>ACTIVE</t>
        </is>
      </c>
      <c r="Q560" s="12" t="n">
        <v>44354</v>
      </c>
      <c r="R560" s="11">
        <f>IF(Q560="","",ROUND((TODAY()-Q560)/365.25,1))</f>
        <v/>
      </c>
      <c r="S560" s="13">
        <f>IFERROR(VLOOKUP(O560,Assumptions!$A$7:$F$11,2,FALSE),0.25)</f>
        <v/>
      </c>
      <c r="T560" s="14">
        <f>IF(O560="A",MAX(1,IFERROR(VLOOKUP(O560,Assumptions!$A$7:$F$11,3,FALSE),3)+IFERROR(VLOOKUP(O560,Assumptions!$A$7:$F$11,4,FALSE),8)/2-MAX(0,IF(R560="",0,R560)-IFERROR(VLOOKUP(O560,Assumptions!$A$7:$F$11,5,FALSE),1.5))),IFERROR(VLOOKUP(O560,Assumptions!$A$7:$F$11,5,FALSE),2.5)+IFERROR(VLOOKUP(O560,Assumptions!$A$7:$F$11,3,FALSE),3)+IFERROR(VLOOKUP(O560,Assumptions!$A$7:$F$11,4,FALSE),8)/2)</f>
        <v/>
      </c>
      <c r="U560" s="15">
        <f>M560*S560/(1+Assumptions!$B$3)^T560</f>
        <v/>
      </c>
      <c r="V560" s="11">
        <f>IF(M560=0,"",ROUND(U560/M560*100,1))</f>
        <v/>
      </c>
      <c r="W560" s="16">
        <f>U560*Assumptions!$B$4</f>
        <v/>
      </c>
      <c r="X560" s="11">
        <f>IF(M560=0,"",ROUND(W560/M560*100,1))</f>
        <v/>
      </c>
      <c r="Y560" t="inlineStr">
        <is>
          <t>VECTOR INDÚSTRIA DE PRODUTOS METALÚRGICOS LTDA.</t>
        </is>
      </c>
      <c r="Z560" t="inlineStr">
        <is>
          <t>5014104-85.2021.8.21.0010</t>
        </is>
      </c>
      <c r="AA560" t="inlineStr">
        <is>
          <t>TJRS</t>
        </is>
      </c>
      <c r="AB560" t="inlineStr">
        <is>
          <t>scalzilliaj.com.br</t>
        </is>
      </c>
      <c r="AC560" t="inlineStr">
        <is>
          <t>ANDRE LUIS RODRIGUES</t>
        </is>
      </c>
      <c r="AD560" t="inlineStr">
        <is>
          <t>Diretor</t>
        </is>
      </c>
      <c r="AE560" t="inlineStr">
        <is>
          <t>(27) 3048-1714</t>
        </is>
      </c>
      <c r="AF560" t="inlineStr"/>
      <c r="AG560" t="inlineStr"/>
      <c r="AH560" t="inlineStr">
        <is>
          <t>ES</t>
        </is>
      </c>
      <c r="AI560" t="inlineStr">
        <is>
          <t>LINHARES</t>
        </is>
      </c>
      <c r="AJ560" t="inlineStr">
        <is>
          <t>Fabricação de motores elétricos, peças e acessórios</t>
        </is>
      </c>
      <c r="AK560" t="inlineStr">
        <is>
          <t>DEMAIS</t>
        </is>
      </c>
      <c r="AL560" t="inlineStr">
        <is>
          <t>ATIVA</t>
        </is>
      </c>
      <c r="AM560" s="17" t="inlineStr">
        <is>
          <t>https://scalzilliaj.com.br/sgc/download.php?file=files/processo_documento/processo_documento15513401112022_1_.pdf&amp;nome=15 - Edital do art. 7º, §2º (segunda lista de credores) e do art. 53 da Lei 11.101/2005 (recebimento do plano)</t>
        </is>
      </c>
      <c r="AN560" s="18" t="inlineStr">
        <is>
          <t>p10 r35</t>
        </is>
      </c>
      <c r="AO560" s="18" t="inlineStr">
        <is>
          <t>p10: R$ 200.577,90</t>
        </is>
      </c>
      <c r="AP560" s="18" t="inlineStr">
        <is>
          <t>AJ_LIST</t>
        </is>
      </c>
      <c r="AQ560" s="18" t="inlineStr">
        <is>
          <t>2022-11-01</t>
        </is>
      </c>
      <c r="AR560" s="18" t="inlineStr">
        <is>
          <t>OK_NO_TOTALS</t>
        </is>
      </c>
      <c r="AS560" s="18" t="inlineStr">
        <is>
          <t>ROWS:p10r35 UNRECONCILED_SOURCE</t>
        </is>
      </c>
      <c r="AT560" s="18" t="inlineStr">
        <is>
          <t>84c586360a66</t>
        </is>
      </c>
    </row>
  </sheetData>
  <autoFilter ref="A1:AT560"/>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showDropDown="0" showInputMessage="0" showErrorMessage="0" allowBlank="1" type="list">
      <formula1>"NEW,QUEUED,EMAILED,CALLED,VOICEMAIL,CONNECTED,INTERESTED,NOT INTERESTED,CALL BACK,DEAD,TERMS AGREED,CESSÃO SIGNED,SUBSTITUTED IN LIST,SETTLED"</formula1>
    </dataValidation>
  </dataValidations>
  <hyperlinks>
    <hyperlink xmlns:r="http://schemas.openxmlformats.org/officeDocument/2006/relationships" ref="AM2" r:id="rId1"/>
    <hyperlink xmlns:r="http://schemas.openxmlformats.org/officeDocument/2006/relationships" ref="AM3" r:id="rId2"/>
    <hyperlink xmlns:r="http://schemas.openxmlformats.org/officeDocument/2006/relationships" ref="AM4" r:id="rId3"/>
    <hyperlink xmlns:r="http://schemas.openxmlformats.org/officeDocument/2006/relationships" ref="AM5" r:id="rId4"/>
    <hyperlink xmlns:r="http://schemas.openxmlformats.org/officeDocument/2006/relationships" ref="AM6" r:id="rId5"/>
    <hyperlink xmlns:r="http://schemas.openxmlformats.org/officeDocument/2006/relationships" ref="AM7" r:id="rId6"/>
    <hyperlink xmlns:r="http://schemas.openxmlformats.org/officeDocument/2006/relationships" ref="AM8" r:id="rId7"/>
    <hyperlink xmlns:r="http://schemas.openxmlformats.org/officeDocument/2006/relationships" ref="AM9" r:id="rId8"/>
    <hyperlink xmlns:r="http://schemas.openxmlformats.org/officeDocument/2006/relationships" ref="AM10" r:id="rId9"/>
    <hyperlink xmlns:r="http://schemas.openxmlformats.org/officeDocument/2006/relationships" ref="AM11" r:id="rId10"/>
    <hyperlink xmlns:r="http://schemas.openxmlformats.org/officeDocument/2006/relationships" ref="AM12" r:id="rId11"/>
    <hyperlink xmlns:r="http://schemas.openxmlformats.org/officeDocument/2006/relationships" ref="AM13" r:id="rId12"/>
    <hyperlink xmlns:r="http://schemas.openxmlformats.org/officeDocument/2006/relationships" ref="AM14" r:id="rId13"/>
    <hyperlink xmlns:r="http://schemas.openxmlformats.org/officeDocument/2006/relationships" ref="AM15" r:id="rId14"/>
    <hyperlink xmlns:r="http://schemas.openxmlformats.org/officeDocument/2006/relationships" ref="AM16" r:id="rId15"/>
    <hyperlink xmlns:r="http://schemas.openxmlformats.org/officeDocument/2006/relationships" ref="AM17" r:id="rId16"/>
    <hyperlink xmlns:r="http://schemas.openxmlformats.org/officeDocument/2006/relationships" ref="AM18" r:id="rId17"/>
    <hyperlink xmlns:r="http://schemas.openxmlformats.org/officeDocument/2006/relationships" ref="AM19" r:id="rId18"/>
    <hyperlink xmlns:r="http://schemas.openxmlformats.org/officeDocument/2006/relationships" ref="AM20" r:id="rId19"/>
    <hyperlink xmlns:r="http://schemas.openxmlformats.org/officeDocument/2006/relationships" ref="AM21" r:id="rId20"/>
    <hyperlink xmlns:r="http://schemas.openxmlformats.org/officeDocument/2006/relationships" ref="AM22" r:id="rId21"/>
    <hyperlink xmlns:r="http://schemas.openxmlformats.org/officeDocument/2006/relationships" ref="AM23" r:id="rId22"/>
    <hyperlink xmlns:r="http://schemas.openxmlformats.org/officeDocument/2006/relationships" ref="AM24" r:id="rId23"/>
    <hyperlink xmlns:r="http://schemas.openxmlformats.org/officeDocument/2006/relationships" ref="AM25" r:id="rId24"/>
    <hyperlink xmlns:r="http://schemas.openxmlformats.org/officeDocument/2006/relationships" ref="AM26" r:id="rId25"/>
    <hyperlink xmlns:r="http://schemas.openxmlformats.org/officeDocument/2006/relationships" ref="AM27" r:id="rId26"/>
    <hyperlink xmlns:r="http://schemas.openxmlformats.org/officeDocument/2006/relationships" ref="AM28" r:id="rId27"/>
    <hyperlink xmlns:r="http://schemas.openxmlformats.org/officeDocument/2006/relationships" ref="AM29" r:id="rId28"/>
    <hyperlink xmlns:r="http://schemas.openxmlformats.org/officeDocument/2006/relationships" ref="AM30" r:id="rId29"/>
    <hyperlink xmlns:r="http://schemas.openxmlformats.org/officeDocument/2006/relationships" ref="AM31" r:id="rId30"/>
    <hyperlink xmlns:r="http://schemas.openxmlformats.org/officeDocument/2006/relationships" ref="AM32" r:id="rId31"/>
    <hyperlink xmlns:r="http://schemas.openxmlformats.org/officeDocument/2006/relationships" ref="AM33" r:id="rId32"/>
    <hyperlink xmlns:r="http://schemas.openxmlformats.org/officeDocument/2006/relationships" ref="AM34" r:id="rId33"/>
    <hyperlink xmlns:r="http://schemas.openxmlformats.org/officeDocument/2006/relationships" ref="AM35" r:id="rId34"/>
    <hyperlink xmlns:r="http://schemas.openxmlformats.org/officeDocument/2006/relationships" ref="AM36" r:id="rId35"/>
    <hyperlink xmlns:r="http://schemas.openxmlformats.org/officeDocument/2006/relationships" ref="AM37" r:id="rId36"/>
    <hyperlink xmlns:r="http://schemas.openxmlformats.org/officeDocument/2006/relationships" ref="AM38" r:id="rId37"/>
    <hyperlink xmlns:r="http://schemas.openxmlformats.org/officeDocument/2006/relationships" ref="AM39" r:id="rId38"/>
    <hyperlink xmlns:r="http://schemas.openxmlformats.org/officeDocument/2006/relationships" ref="AM40" r:id="rId39"/>
    <hyperlink xmlns:r="http://schemas.openxmlformats.org/officeDocument/2006/relationships" ref="AM41" r:id="rId40"/>
    <hyperlink xmlns:r="http://schemas.openxmlformats.org/officeDocument/2006/relationships" ref="AM42" r:id="rId41"/>
    <hyperlink xmlns:r="http://schemas.openxmlformats.org/officeDocument/2006/relationships" ref="AM43" r:id="rId42"/>
    <hyperlink xmlns:r="http://schemas.openxmlformats.org/officeDocument/2006/relationships" ref="AM44" r:id="rId43"/>
    <hyperlink xmlns:r="http://schemas.openxmlformats.org/officeDocument/2006/relationships" ref="AM45" r:id="rId44"/>
    <hyperlink xmlns:r="http://schemas.openxmlformats.org/officeDocument/2006/relationships" ref="AM46" r:id="rId45"/>
    <hyperlink xmlns:r="http://schemas.openxmlformats.org/officeDocument/2006/relationships" ref="AM47" r:id="rId46"/>
    <hyperlink xmlns:r="http://schemas.openxmlformats.org/officeDocument/2006/relationships" ref="AM48" r:id="rId47"/>
    <hyperlink xmlns:r="http://schemas.openxmlformats.org/officeDocument/2006/relationships" ref="AM49" r:id="rId48"/>
    <hyperlink xmlns:r="http://schemas.openxmlformats.org/officeDocument/2006/relationships" ref="AM50" r:id="rId49"/>
    <hyperlink xmlns:r="http://schemas.openxmlformats.org/officeDocument/2006/relationships" ref="AM51" r:id="rId50"/>
    <hyperlink xmlns:r="http://schemas.openxmlformats.org/officeDocument/2006/relationships" ref="AM52" r:id="rId51"/>
    <hyperlink xmlns:r="http://schemas.openxmlformats.org/officeDocument/2006/relationships" ref="AM53" r:id="rId52"/>
    <hyperlink xmlns:r="http://schemas.openxmlformats.org/officeDocument/2006/relationships" ref="AM54" r:id="rId53"/>
    <hyperlink xmlns:r="http://schemas.openxmlformats.org/officeDocument/2006/relationships" ref="AM55" r:id="rId54"/>
    <hyperlink xmlns:r="http://schemas.openxmlformats.org/officeDocument/2006/relationships" ref="AM56" r:id="rId55"/>
    <hyperlink xmlns:r="http://schemas.openxmlformats.org/officeDocument/2006/relationships" ref="AM57" r:id="rId56"/>
    <hyperlink xmlns:r="http://schemas.openxmlformats.org/officeDocument/2006/relationships" ref="AM58" r:id="rId57"/>
    <hyperlink xmlns:r="http://schemas.openxmlformats.org/officeDocument/2006/relationships" ref="AM59" r:id="rId58"/>
    <hyperlink xmlns:r="http://schemas.openxmlformats.org/officeDocument/2006/relationships" ref="AM60" r:id="rId59"/>
    <hyperlink xmlns:r="http://schemas.openxmlformats.org/officeDocument/2006/relationships" ref="AM61" r:id="rId60"/>
    <hyperlink xmlns:r="http://schemas.openxmlformats.org/officeDocument/2006/relationships" ref="AM62" r:id="rId61"/>
    <hyperlink xmlns:r="http://schemas.openxmlformats.org/officeDocument/2006/relationships" ref="AM63" r:id="rId62"/>
    <hyperlink xmlns:r="http://schemas.openxmlformats.org/officeDocument/2006/relationships" ref="AM64" r:id="rId63"/>
    <hyperlink xmlns:r="http://schemas.openxmlformats.org/officeDocument/2006/relationships" ref="AM65" r:id="rId64"/>
    <hyperlink xmlns:r="http://schemas.openxmlformats.org/officeDocument/2006/relationships" ref="AM66" r:id="rId65"/>
    <hyperlink xmlns:r="http://schemas.openxmlformats.org/officeDocument/2006/relationships" ref="AM67" r:id="rId66"/>
    <hyperlink xmlns:r="http://schemas.openxmlformats.org/officeDocument/2006/relationships" ref="AM68" r:id="rId67"/>
    <hyperlink xmlns:r="http://schemas.openxmlformats.org/officeDocument/2006/relationships" ref="AM69" r:id="rId68"/>
    <hyperlink xmlns:r="http://schemas.openxmlformats.org/officeDocument/2006/relationships" ref="AM70" r:id="rId69"/>
    <hyperlink xmlns:r="http://schemas.openxmlformats.org/officeDocument/2006/relationships" ref="AM71" r:id="rId70"/>
    <hyperlink xmlns:r="http://schemas.openxmlformats.org/officeDocument/2006/relationships" ref="AM72" r:id="rId71"/>
    <hyperlink xmlns:r="http://schemas.openxmlformats.org/officeDocument/2006/relationships" ref="AM73" r:id="rId72"/>
    <hyperlink xmlns:r="http://schemas.openxmlformats.org/officeDocument/2006/relationships" ref="AM74" r:id="rId73"/>
    <hyperlink xmlns:r="http://schemas.openxmlformats.org/officeDocument/2006/relationships" ref="AM75" r:id="rId74"/>
    <hyperlink xmlns:r="http://schemas.openxmlformats.org/officeDocument/2006/relationships" ref="AM76" r:id="rId75"/>
    <hyperlink xmlns:r="http://schemas.openxmlformats.org/officeDocument/2006/relationships" ref="AM77" r:id="rId76"/>
    <hyperlink xmlns:r="http://schemas.openxmlformats.org/officeDocument/2006/relationships" ref="AM78" r:id="rId77"/>
    <hyperlink xmlns:r="http://schemas.openxmlformats.org/officeDocument/2006/relationships" ref="AM79" r:id="rId78"/>
    <hyperlink xmlns:r="http://schemas.openxmlformats.org/officeDocument/2006/relationships" ref="AM80" r:id="rId79"/>
    <hyperlink xmlns:r="http://schemas.openxmlformats.org/officeDocument/2006/relationships" ref="AM81" r:id="rId80"/>
    <hyperlink xmlns:r="http://schemas.openxmlformats.org/officeDocument/2006/relationships" ref="AM82" r:id="rId81"/>
    <hyperlink xmlns:r="http://schemas.openxmlformats.org/officeDocument/2006/relationships" ref="AM83" r:id="rId82"/>
    <hyperlink xmlns:r="http://schemas.openxmlformats.org/officeDocument/2006/relationships" ref="AM84" r:id="rId83"/>
    <hyperlink xmlns:r="http://schemas.openxmlformats.org/officeDocument/2006/relationships" ref="AM85" r:id="rId84"/>
    <hyperlink xmlns:r="http://schemas.openxmlformats.org/officeDocument/2006/relationships" ref="AM86" r:id="rId85"/>
    <hyperlink xmlns:r="http://schemas.openxmlformats.org/officeDocument/2006/relationships" ref="AM87" r:id="rId86"/>
    <hyperlink xmlns:r="http://schemas.openxmlformats.org/officeDocument/2006/relationships" ref="AM88" r:id="rId87"/>
    <hyperlink xmlns:r="http://schemas.openxmlformats.org/officeDocument/2006/relationships" ref="AM89" r:id="rId88"/>
    <hyperlink xmlns:r="http://schemas.openxmlformats.org/officeDocument/2006/relationships" ref="AM90" r:id="rId89"/>
    <hyperlink xmlns:r="http://schemas.openxmlformats.org/officeDocument/2006/relationships" ref="AM91" r:id="rId90"/>
    <hyperlink xmlns:r="http://schemas.openxmlformats.org/officeDocument/2006/relationships" ref="AM92" r:id="rId91"/>
    <hyperlink xmlns:r="http://schemas.openxmlformats.org/officeDocument/2006/relationships" ref="AM93" r:id="rId92"/>
    <hyperlink xmlns:r="http://schemas.openxmlformats.org/officeDocument/2006/relationships" ref="AM94" r:id="rId93"/>
    <hyperlink xmlns:r="http://schemas.openxmlformats.org/officeDocument/2006/relationships" ref="AM95" r:id="rId94"/>
    <hyperlink xmlns:r="http://schemas.openxmlformats.org/officeDocument/2006/relationships" ref="AM96" r:id="rId95"/>
    <hyperlink xmlns:r="http://schemas.openxmlformats.org/officeDocument/2006/relationships" ref="AM97" r:id="rId96"/>
    <hyperlink xmlns:r="http://schemas.openxmlformats.org/officeDocument/2006/relationships" ref="AM98" r:id="rId97"/>
    <hyperlink xmlns:r="http://schemas.openxmlformats.org/officeDocument/2006/relationships" ref="AM99" r:id="rId98"/>
    <hyperlink xmlns:r="http://schemas.openxmlformats.org/officeDocument/2006/relationships" ref="AM100" r:id="rId99"/>
    <hyperlink xmlns:r="http://schemas.openxmlformats.org/officeDocument/2006/relationships" ref="AM101" r:id="rId100"/>
    <hyperlink xmlns:r="http://schemas.openxmlformats.org/officeDocument/2006/relationships" ref="AM102" r:id="rId101"/>
    <hyperlink xmlns:r="http://schemas.openxmlformats.org/officeDocument/2006/relationships" ref="AM103" r:id="rId102"/>
    <hyperlink xmlns:r="http://schemas.openxmlformats.org/officeDocument/2006/relationships" ref="AM104" r:id="rId103"/>
    <hyperlink xmlns:r="http://schemas.openxmlformats.org/officeDocument/2006/relationships" ref="AM105" r:id="rId104"/>
    <hyperlink xmlns:r="http://schemas.openxmlformats.org/officeDocument/2006/relationships" ref="AM106" r:id="rId105"/>
    <hyperlink xmlns:r="http://schemas.openxmlformats.org/officeDocument/2006/relationships" ref="AM107" r:id="rId106"/>
    <hyperlink xmlns:r="http://schemas.openxmlformats.org/officeDocument/2006/relationships" ref="AM108" r:id="rId107"/>
    <hyperlink xmlns:r="http://schemas.openxmlformats.org/officeDocument/2006/relationships" ref="AM109" r:id="rId108"/>
    <hyperlink xmlns:r="http://schemas.openxmlformats.org/officeDocument/2006/relationships" ref="AM110" r:id="rId109"/>
    <hyperlink xmlns:r="http://schemas.openxmlformats.org/officeDocument/2006/relationships" ref="AM111" r:id="rId110"/>
    <hyperlink xmlns:r="http://schemas.openxmlformats.org/officeDocument/2006/relationships" ref="AM112" r:id="rId111"/>
    <hyperlink xmlns:r="http://schemas.openxmlformats.org/officeDocument/2006/relationships" ref="AM113" r:id="rId112"/>
    <hyperlink xmlns:r="http://schemas.openxmlformats.org/officeDocument/2006/relationships" ref="AM114" r:id="rId113"/>
    <hyperlink xmlns:r="http://schemas.openxmlformats.org/officeDocument/2006/relationships" ref="AM115" r:id="rId114"/>
    <hyperlink xmlns:r="http://schemas.openxmlformats.org/officeDocument/2006/relationships" ref="AM116" r:id="rId115"/>
    <hyperlink xmlns:r="http://schemas.openxmlformats.org/officeDocument/2006/relationships" ref="AM117" r:id="rId116"/>
    <hyperlink xmlns:r="http://schemas.openxmlformats.org/officeDocument/2006/relationships" ref="AM118" r:id="rId117"/>
    <hyperlink xmlns:r="http://schemas.openxmlformats.org/officeDocument/2006/relationships" ref="AM119" r:id="rId118"/>
    <hyperlink xmlns:r="http://schemas.openxmlformats.org/officeDocument/2006/relationships" ref="AM120" r:id="rId119"/>
    <hyperlink xmlns:r="http://schemas.openxmlformats.org/officeDocument/2006/relationships" ref="AM121" r:id="rId120"/>
    <hyperlink xmlns:r="http://schemas.openxmlformats.org/officeDocument/2006/relationships" ref="AM122" r:id="rId121"/>
    <hyperlink xmlns:r="http://schemas.openxmlformats.org/officeDocument/2006/relationships" ref="AM123" r:id="rId122"/>
    <hyperlink xmlns:r="http://schemas.openxmlformats.org/officeDocument/2006/relationships" ref="AM124" r:id="rId123"/>
    <hyperlink xmlns:r="http://schemas.openxmlformats.org/officeDocument/2006/relationships" ref="AM125" r:id="rId124"/>
    <hyperlink xmlns:r="http://schemas.openxmlformats.org/officeDocument/2006/relationships" ref="AM126" r:id="rId125"/>
    <hyperlink xmlns:r="http://schemas.openxmlformats.org/officeDocument/2006/relationships" ref="AM127" r:id="rId126"/>
    <hyperlink xmlns:r="http://schemas.openxmlformats.org/officeDocument/2006/relationships" ref="AM128" r:id="rId127"/>
    <hyperlink xmlns:r="http://schemas.openxmlformats.org/officeDocument/2006/relationships" ref="AM129" r:id="rId128"/>
    <hyperlink xmlns:r="http://schemas.openxmlformats.org/officeDocument/2006/relationships" ref="AM130" r:id="rId129"/>
    <hyperlink xmlns:r="http://schemas.openxmlformats.org/officeDocument/2006/relationships" ref="AM131" r:id="rId130"/>
    <hyperlink xmlns:r="http://schemas.openxmlformats.org/officeDocument/2006/relationships" ref="AM132" r:id="rId131"/>
    <hyperlink xmlns:r="http://schemas.openxmlformats.org/officeDocument/2006/relationships" ref="AM133" r:id="rId132"/>
    <hyperlink xmlns:r="http://schemas.openxmlformats.org/officeDocument/2006/relationships" ref="AM134" r:id="rId133"/>
    <hyperlink xmlns:r="http://schemas.openxmlformats.org/officeDocument/2006/relationships" ref="AM135" r:id="rId134"/>
    <hyperlink xmlns:r="http://schemas.openxmlformats.org/officeDocument/2006/relationships" ref="AM136" r:id="rId135"/>
    <hyperlink xmlns:r="http://schemas.openxmlformats.org/officeDocument/2006/relationships" ref="AM137" r:id="rId136"/>
    <hyperlink xmlns:r="http://schemas.openxmlformats.org/officeDocument/2006/relationships" ref="AM138" r:id="rId137"/>
    <hyperlink xmlns:r="http://schemas.openxmlformats.org/officeDocument/2006/relationships" ref="AM139" r:id="rId138"/>
    <hyperlink xmlns:r="http://schemas.openxmlformats.org/officeDocument/2006/relationships" ref="AM140" r:id="rId139"/>
    <hyperlink xmlns:r="http://schemas.openxmlformats.org/officeDocument/2006/relationships" ref="AM141" r:id="rId140"/>
    <hyperlink xmlns:r="http://schemas.openxmlformats.org/officeDocument/2006/relationships" ref="AM142" r:id="rId141"/>
    <hyperlink xmlns:r="http://schemas.openxmlformats.org/officeDocument/2006/relationships" ref="AM143" r:id="rId142"/>
    <hyperlink xmlns:r="http://schemas.openxmlformats.org/officeDocument/2006/relationships" ref="AM144" r:id="rId143"/>
    <hyperlink xmlns:r="http://schemas.openxmlformats.org/officeDocument/2006/relationships" ref="AM145" r:id="rId144"/>
    <hyperlink xmlns:r="http://schemas.openxmlformats.org/officeDocument/2006/relationships" ref="AM146" r:id="rId145"/>
    <hyperlink xmlns:r="http://schemas.openxmlformats.org/officeDocument/2006/relationships" ref="AM147" r:id="rId146"/>
    <hyperlink xmlns:r="http://schemas.openxmlformats.org/officeDocument/2006/relationships" ref="AM148" r:id="rId147"/>
    <hyperlink xmlns:r="http://schemas.openxmlformats.org/officeDocument/2006/relationships" ref="AM149" r:id="rId148"/>
    <hyperlink xmlns:r="http://schemas.openxmlformats.org/officeDocument/2006/relationships" ref="AM150" r:id="rId149"/>
    <hyperlink xmlns:r="http://schemas.openxmlformats.org/officeDocument/2006/relationships" ref="AM151" r:id="rId150"/>
    <hyperlink xmlns:r="http://schemas.openxmlformats.org/officeDocument/2006/relationships" ref="AM152" r:id="rId151"/>
    <hyperlink xmlns:r="http://schemas.openxmlformats.org/officeDocument/2006/relationships" ref="AM153" r:id="rId152"/>
    <hyperlink xmlns:r="http://schemas.openxmlformats.org/officeDocument/2006/relationships" ref="AM154" r:id="rId153"/>
    <hyperlink xmlns:r="http://schemas.openxmlformats.org/officeDocument/2006/relationships" ref="AM155" r:id="rId154"/>
    <hyperlink xmlns:r="http://schemas.openxmlformats.org/officeDocument/2006/relationships" ref="AM156" r:id="rId155"/>
    <hyperlink xmlns:r="http://schemas.openxmlformats.org/officeDocument/2006/relationships" ref="AM157" r:id="rId156"/>
    <hyperlink xmlns:r="http://schemas.openxmlformats.org/officeDocument/2006/relationships" ref="AM158" r:id="rId157"/>
    <hyperlink xmlns:r="http://schemas.openxmlformats.org/officeDocument/2006/relationships" ref="AM159" r:id="rId158"/>
    <hyperlink xmlns:r="http://schemas.openxmlformats.org/officeDocument/2006/relationships" ref="AM160" r:id="rId159"/>
    <hyperlink xmlns:r="http://schemas.openxmlformats.org/officeDocument/2006/relationships" ref="AM161" r:id="rId160"/>
    <hyperlink xmlns:r="http://schemas.openxmlformats.org/officeDocument/2006/relationships" ref="AM162" r:id="rId161"/>
    <hyperlink xmlns:r="http://schemas.openxmlformats.org/officeDocument/2006/relationships" ref="AM163" r:id="rId162"/>
    <hyperlink xmlns:r="http://schemas.openxmlformats.org/officeDocument/2006/relationships" ref="AM164" r:id="rId163"/>
    <hyperlink xmlns:r="http://schemas.openxmlformats.org/officeDocument/2006/relationships" ref="AM165" r:id="rId164"/>
    <hyperlink xmlns:r="http://schemas.openxmlformats.org/officeDocument/2006/relationships" ref="AM166" r:id="rId165"/>
    <hyperlink xmlns:r="http://schemas.openxmlformats.org/officeDocument/2006/relationships" ref="AM167" r:id="rId166"/>
    <hyperlink xmlns:r="http://schemas.openxmlformats.org/officeDocument/2006/relationships" ref="AM168" r:id="rId167"/>
    <hyperlink xmlns:r="http://schemas.openxmlformats.org/officeDocument/2006/relationships" ref="AM169" r:id="rId168"/>
    <hyperlink xmlns:r="http://schemas.openxmlformats.org/officeDocument/2006/relationships" ref="AM170" r:id="rId169"/>
    <hyperlink xmlns:r="http://schemas.openxmlformats.org/officeDocument/2006/relationships" ref="AM171" r:id="rId170"/>
    <hyperlink xmlns:r="http://schemas.openxmlformats.org/officeDocument/2006/relationships" ref="AM172" r:id="rId171"/>
    <hyperlink xmlns:r="http://schemas.openxmlformats.org/officeDocument/2006/relationships" ref="AM173" r:id="rId172"/>
    <hyperlink xmlns:r="http://schemas.openxmlformats.org/officeDocument/2006/relationships" ref="AM174" r:id="rId173"/>
    <hyperlink xmlns:r="http://schemas.openxmlformats.org/officeDocument/2006/relationships" ref="AM175" r:id="rId174"/>
    <hyperlink xmlns:r="http://schemas.openxmlformats.org/officeDocument/2006/relationships" ref="AM176" r:id="rId175"/>
    <hyperlink xmlns:r="http://schemas.openxmlformats.org/officeDocument/2006/relationships" ref="AM177" r:id="rId176"/>
    <hyperlink xmlns:r="http://schemas.openxmlformats.org/officeDocument/2006/relationships" ref="AM178" r:id="rId177"/>
    <hyperlink xmlns:r="http://schemas.openxmlformats.org/officeDocument/2006/relationships" ref="AM179" r:id="rId178"/>
    <hyperlink xmlns:r="http://schemas.openxmlformats.org/officeDocument/2006/relationships" ref="AM180" r:id="rId179"/>
    <hyperlink xmlns:r="http://schemas.openxmlformats.org/officeDocument/2006/relationships" ref="AM181" r:id="rId180"/>
    <hyperlink xmlns:r="http://schemas.openxmlformats.org/officeDocument/2006/relationships" ref="AM182" r:id="rId181"/>
    <hyperlink xmlns:r="http://schemas.openxmlformats.org/officeDocument/2006/relationships" ref="AM183" r:id="rId182"/>
    <hyperlink xmlns:r="http://schemas.openxmlformats.org/officeDocument/2006/relationships" ref="AM184" r:id="rId183"/>
    <hyperlink xmlns:r="http://schemas.openxmlformats.org/officeDocument/2006/relationships" ref="AM185" r:id="rId184"/>
    <hyperlink xmlns:r="http://schemas.openxmlformats.org/officeDocument/2006/relationships" ref="AM186" r:id="rId185"/>
    <hyperlink xmlns:r="http://schemas.openxmlformats.org/officeDocument/2006/relationships" ref="AM187" r:id="rId186"/>
    <hyperlink xmlns:r="http://schemas.openxmlformats.org/officeDocument/2006/relationships" ref="AM188" r:id="rId187"/>
    <hyperlink xmlns:r="http://schemas.openxmlformats.org/officeDocument/2006/relationships" ref="AM189" r:id="rId188"/>
    <hyperlink xmlns:r="http://schemas.openxmlformats.org/officeDocument/2006/relationships" ref="AM190" r:id="rId189"/>
    <hyperlink xmlns:r="http://schemas.openxmlformats.org/officeDocument/2006/relationships" ref="AM191" r:id="rId190"/>
    <hyperlink xmlns:r="http://schemas.openxmlformats.org/officeDocument/2006/relationships" ref="AM192" r:id="rId191"/>
    <hyperlink xmlns:r="http://schemas.openxmlformats.org/officeDocument/2006/relationships" ref="AM193" r:id="rId192"/>
    <hyperlink xmlns:r="http://schemas.openxmlformats.org/officeDocument/2006/relationships" ref="AM194" r:id="rId193"/>
    <hyperlink xmlns:r="http://schemas.openxmlformats.org/officeDocument/2006/relationships" ref="AM195" r:id="rId194"/>
    <hyperlink xmlns:r="http://schemas.openxmlformats.org/officeDocument/2006/relationships" ref="AM196" r:id="rId195"/>
    <hyperlink xmlns:r="http://schemas.openxmlformats.org/officeDocument/2006/relationships" ref="AM197" r:id="rId196"/>
    <hyperlink xmlns:r="http://schemas.openxmlformats.org/officeDocument/2006/relationships" ref="AM198" r:id="rId197"/>
    <hyperlink xmlns:r="http://schemas.openxmlformats.org/officeDocument/2006/relationships" ref="AM199" r:id="rId198"/>
    <hyperlink xmlns:r="http://schemas.openxmlformats.org/officeDocument/2006/relationships" ref="AM200" r:id="rId199"/>
    <hyperlink xmlns:r="http://schemas.openxmlformats.org/officeDocument/2006/relationships" ref="AM201" r:id="rId200"/>
    <hyperlink xmlns:r="http://schemas.openxmlformats.org/officeDocument/2006/relationships" ref="AM202" r:id="rId201"/>
    <hyperlink xmlns:r="http://schemas.openxmlformats.org/officeDocument/2006/relationships" ref="AM203" r:id="rId202"/>
    <hyperlink xmlns:r="http://schemas.openxmlformats.org/officeDocument/2006/relationships" ref="AM204" r:id="rId203"/>
    <hyperlink xmlns:r="http://schemas.openxmlformats.org/officeDocument/2006/relationships" ref="AM205" r:id="rId204"/>
    <hyperlink xmlns:r="http://schemas.openxmlformats.org/officeDocument/2006/relationships" ref="AM206" r:id="rId205"/>
    <hyperlink xmlns:r="http://schemas.openxmlformats.org/officeDocument/2006/relationships" ref="AM207" r:id="rId206"/>
    <hyperlink xmlns:r="http://schemas.openxmlformats.org/officeDocument/2006/relationships" ref="AM208" r:id="rId207"/>
    <hyperlink xmlns:r="http://schemas.openxmlformats.org/officeDocument/2006/relationships" ref="AM209" r:id="rId208"/>
    <hyperlink xmlns:r="http://schemas.openxmlformats.org/officeDocument/2006/relationships" ref="AM210" r:id="rId209"/>
    <hyperlink xmlns:r="http://schemas.openxmlformats.org/officeDocument/2006/relationships" ref="AM211" r:id="rId210"/>
    <hyperlink xmlns:r="http://schemas.openxmlformats.org/officeDocument/2006/relationships" ref="AM212" r:id="rId211"/>
    <hyperlink xmlns:r="http://schemas.openxmlformats.org/officeDocument/2006/relationships" ref="AM213" r:id="rId212"/>
    <hyperlink xmlns:r="http://schemas.openxmlformats.org/officeDocument/2006/relationships" ref="AM214" r:id="rId213"/>
    <hyperlink xmlns:r="http://schemas.openxmlformats.org/officeDocument/2006/relationships" ref="AM215" r:id="rId214"/>
    <hyperlink xmlns:r="http://schemas.openxmlformats.org/officeDocument/2006/relationships" ref="AM216" r:id="rId215"/>
    <hyperlink xmlns:r="http://schemas.openxmlformats.org/officeDocument/2006/relationships" ref="AM217" r:id="rId216"/>
    <hyperlink xmlns:r="http://schemas.openxmlformats.org/officeDocument/2006/relationships" ref="AM218" r:id="rId217"/>
    <hyperlink xmlns:r="http://schemas.openxmlformats.org/officeDocument/2006/relationships" ref="AM219" r:id="rId218"/>
    <hyperlink xmlns:r="http://schemas.openxmlformats.org/officeDocument/2006/relationships" ref="AM220" r:id="rId219"/>
    <hyperlink xmlns:r="http://schemas.openxmlformats.org/officeDocument/2006/relationships" ref="AM221" r:id="rId220"/>
    <hyperlink xmlns:r="http://schemas.openxmlformats.org/officeDocument/2006/relationships" ref="AM222" r:id="rId221"/>
    <hyperlink xmlns:r="http://schemas.openxmlformats.org/officeDocument/2006/relationships" ref="AM223" r:id="rId222"/>
    <hyperlink xmlns:r="http://schemas.openxmlformats.org/officeDocument/2006/relationships" ref="AM224" r:id="rId223"/>
    <hyperlink xmlns:r="http://schemas.openxmlformats.org/officeDocument/2006/relationships" ref="AM225" r:id="rId224"/>
    <hyperlink xmlns:r="http://schemas.openxmlformats.org/officeDocument/2006/relationships" ref="AM226" r:id="rId225"/>
    <hyperlink xmlns:r="http://schemas.openxmlformats.org/officeDocument/2006/relationships" ref="AM227" r:id="rId226"/>
    <hyperlink xmlns:r="http://schemas.openxmlformats.org/officeDocument/2006/relationships" ref="AM228" r:id="rId227"/>
    <hyperlink xmlns:r="http://schemas.openxmlformats.org/officeDocument/2006/relationships" ref="AM229" r:id="rId228"/>
    <hyperlink xmlns:r="http://schemas.openxmlformats.org/officeDocument/2006/relationships" ref="AM230" r:id="rId229"/>
    <hyperlink xmlns:r="http://schemas.openxmlformats.org/officeDocument/2006/relationships" ref="AM231" r:id="rId230"/>
    <hyperlink xmlns:r="http://schemas.openxmlformats.org/officeDocument/2006/relationships" ref="AM232" r:id="rId231"/>
    <hyperlink xmlns:r="http://schemas.openxmlformats.org/officeDocument/2006/relationships" ref="AM233" r:id="rId232"/>
    <hyperlink xmlns:r="http://schemas.openxmlformats.org/officeDocument/2006/relationships" ref="AM234" r:id="rId233"/>
    <hyperlink xmlns:r="http://schemas.openxmlformats.org/officeDocument/2006/relationships" ref="AM235" r:id="rId234"/>
    <hyperlink xmlns:r="http://schemas.openxmlformats.org/officeDocument/2006/relationships" ref="AM236" r:id="rId235"/>
    <hyperlink xmlns:r="http://schemas.openxmlformats.org/officeDocument/2006/relationships" ref="AM237" r:id="rId236"/>
    <hyperlink xmlns:r="http://schemas.openxmlformats.org/officeDocument/2006/relationships" ref="AM238" r:id="rId237"/>
    <hyperlink xmlns:r="http://schemas.openxmlformats.org/officeDocument/2006/relationships" ref="AM239" r:id="rId238"/>
    <hyperlink xmlns:r="http://schemas.openxmlformats.org/officeDocument/2006/relationships" ref="AM240" r:id="rId239"/>
    <hyperlink xmlns:r="http://schemas.openxmlformats.org/officeDocument/2006/relationships" ref="AM241" r:id="rId240"/>
    <hyperlink xmlns:r="http://schemas.openxmlformats.org/officeDocument/2006/relationships" ref="AM242" r:id="rId241"/>
    <hyperlink xmlns:r="http://schemas.openxmlformats.org/officeDocument/2006/relationships" ref="AM243" r:id="rId242"/>
    <hyperlink xmlns:r="http://schemas.openxmlformats.org/officeDocument/2006/relationships" ref="AM244" r:id="rId243"/>
    <hyperlink xmlns:r="http://schemas.openxmlformats.org/officeDocument/2006/relationships" ref="AM245" r:id="rId244"/>
    <hyperlink xmlns:r="http://schemas.openxmlformats.org/officeDocument/2006/relationships" ref="AM246" r:id="rId245"/>
    <hyperlink xmlns:r="http://schemas.openxmlformats.org/officeDocument/2006/relationships" ref="AM247" r:id="rId246"/>
    <hyperlink xmlns:r="http://schemas.openxmlformats.org/officeDocument/2006/relationships" ref="AM248" r:id="rId247"/>
    <hyperlink xmlns:r="http://schemas.openxmlformats.org/officeDocument/2006/relationships" ref="AM249" r:id="rId248"/>
    <hyperlink xmlns:r="http://schemas.openxmlformats.org/officeDocument/2006/relationships" ref="AM250" r:id="rId249"/>
    <hyperlink xmlns:r="http://schemas.openxmlformats.org/officeDocument/2006/relationships" ref="AM251" r:id="rId250"/>
    <hyperlink xmlns:r="http://schemas.openxmlformats.org/officeDocument/2006/relationships" ref="AM252" r:id="rId251"/>
    <hyperlink xmlns:r="http://schemas.openxmlformats.org/officeDocument/2006/relationships" ref="AM253" r:id="rId252"/>
    <hyperlink xmlns:r="http://schemas.openxmlformats.org/officeDocument/2006/relationships" ref="AM254" r:id="rId253"/>
    <hyperlink xmlns:r="http://schemas.openxmlformats.org/officeDocument/2006/relationships" ref="AM255" r:id="rId254"/>
    <hyperlink xmlns:r="http://schemas.openxmlformats.org/officeDocument/2006/relationships" ref="AM256" r:id="rId255"/>
    <hyperlink xmlns:r="http://schemas.openxmlformats.org/officeDocument/2006/relationships" ref="AM257" r:id="rId256"/>
    <hyperlink xmlns:r="http://schemas.openxmlformats.org/officeDocument/2006/relationships" ref="AM258" r:id="rId257"/>
    <hyperlink xmlns:r="http://schemas.openxmlformats.org/officeDocument/2006/relationships" ref="AM259" r:id="rId258"/>
    <hyperlink xmlns:r="http://schemas.openxmlformats.org/officeDocument/2006/relationships" ref="AM260" r:id="rId259"/>
    <hyperlink xmlns:r="http://schemas.openxmlformats.org/officeDocument/2006/relationships" ref="AM261" r:id="rId260"/>
    <hyperlink xmlns:r="http://schemas.openxmlformats.org/officeDocument/2006/relationships" ref="AM262" r:id="rId261"/>
    <hyperlink xmlns:r="http://schemas.openxmlformats.org/officeDocument/2006/relationships" ref="AM263" r:id="rId262"/>
    <hyperlink xmlns:r="http://schemas.openxmlformats.org/officeDocument/2006/relationships" ref="AM264" r:id="rId263"/>
    <hyperlink xmlns:r="http://schemas.openxmlformats.org/officeDocument/2006/relationships" ref="AM265" r:id="rId264"/>
    <hyperlink xmlns:r="http://schemas.openxmlformats.org/officeDocument/2006/relationships" ref="AM266" r:id="rId265"/>
    <hyperlink xmlns:r="http://schemas.openxmlformats.org/officeDocument/2006/relationships" ref="AM267" r:id="rId266"/>
    <hyperlink xmlns:r="http://schemas.openxmlformats.org/officeDocument/2006/relationships" ref="AM268" r:id="rId267"/>
    <hyperlink xmlns:r="http://schemas.openxmlformats.org/officeDocument/2006/relationships" ref="AM269" r:id="rId268"/>
    <hyperlink xmlns:r="http://schemas.openxmlformats.org/officeDocument/2006/relationships" ref="AM270" r:id="rId269"/>
    <hyperlink xmlns:r="http://schemas.openxmlformats.org/officeDocument/2006/relationships" ref="AM271" r:id="rId270"/>
    <hyperlink xmlns:r="http://schemas.openxmlformats.org/officeDocument/2006/relationships" ref="AM272" r:id="rId271"/>
    <hyperlink xmlns:r="http://schemas.openxmlformats.org/officeDocument/2006/relationships" ref="AM273" r:id="rId272"/>
    <hyperlink xmlns:r="http://schemas.openxmlformats.org/officeDocument/2006/relationships" ref="AM274" r:id="rId273"/>
    <hyperlink xmlns:r="http://schemas.openxmlformats.org/officeDocument/2006/relationships" ref="AM275" r:id="rId274"/>
    <hyperlink xmlns:r="http://schemas.openxmlformats.org/officeDocument/2006/relationships" ref="AM276" r:id="rId275"/>
    <hyperlink xmlns:r="http://schemas.openxmlformats.org/officeDocument/2006/relationships" ref="AM277" r:id="rId276"/>
    <hyperlink xmlns:r="http://schemas.openxmlformats.org/officeDocument/2006/relationships" ref="AM278" r:id="rId277"/>
    <hyperlink xmlns:r="http://schemas.openxmlformats.org/officeDocument/2006/relationships" ref="AM279" r:id="rId278"/>
    <hyperlink xmlns:r="http://schemas.openxmlformats.org/officeDocument/2006/relationships" ref="AM280" r:id="rId279"/>
    <hyperlink xmlns:r="http://schemas.openxmlformats.org/officeDocument/2006/relationships" ref="AM281" r:id="rId280"/>
    <hyperlink xmlns:r="http://schemas.openxmlformats.org/officeDocument/2006/relationships" ref="AM282" r:id="rId281"/>
    <hyperlink xmlns:r="http://schemas.openxmlformats.org/officeDocument/2006/relationships" ref="AM283" r:id="rId282"/>
    <hyperlink xmlns:r="http://schemas.openxmlformats.org/officeDocument/2006/relationships" ref="AM284" r:id="rId283"/>
    <hyperlink xmlns:r="http://schemas.openxmlformats.org/officeDocument/2006/relationships" ref="AM285" r:id="rId284"/>
    <hyperlink xmlns:r="http://schemas.openxmlformats.org/officeDocument/2006/relationships" ref="AM286" r:id="rId285"/>
    <hyperlink xmlns:r="http://schemas.openxmlformats.org/officeDocument/2006/relationships" ref="AM287" r:id="rId286"/>
    <hyperlink xmlns:r="http://schemas.openxmlformats.org/officeDocument/2006/relationships" ref="AM288" r:id="rId287"/>
    <hyperlink xmlns:r="http://schemas.openxmlformats.org/officeDocument/2006/relationships" ref="AM289" r:id="rId288"/>
    <hyperlink xmlns:r="http://schemas.openxmlformats.org/officeDocument/2006/relationships" ref="AM290" r:id="rId289"/>
    <hyperlink xmlns:r="http://schemas.openxmlformats.org/officeDocument/2006/relationships" ref="AM291" r:id="rId290"/>
    <hyperlink xmlns:r="http://schemas.openxmlformats.org/officeDocument/2006/relationships" ref="AM292" r:id="rId291"/>
    <hyperlink xmlns:r="http://schemas.openxmlformats.org/officeDocument/2006/relationships" ref="AM293" r:id="rId292"/>
    <hyperlink xmlns:r="http://schemas.openxmlformats.org/officeDocument/2006/relationships" ref="AM294" r:id="rId293"/>
    <hyperlink xmlns:r="http://schemas.openxmlformats.org/officeDocument/2006/relationships" ref="AM295" r:id="rId294"/>
    <hyperlink xmlns:r="http://schemas.openxmlformats.org/officeDocument/2006/relationships" ref="AM296" r:id="rId295"/>
    <hyperlink xmlns:r="http://schemas.openxmlformats.org/officeDocument/2006/relationships" ref="AM297" r:id="rId296"/>
    <hyperlink xmlns:r="http://schemas.openxmlformats.org/officeDocument/2006/relationships" ref="AM298" r:id="rId297"/>
    <hyperlink xmlns:r="http://schemas.openxmlformats.org/officeDocument/2006/relationships" ref="AM299" r:id="rId298"/>
    <hyperlink xmlns:r="http://schemas.openxmlformats.org/officeDocument/2006/relationships" ref="AM300" r:id="rId299"/>
    <hyperlink xmlns:r="http://schemas.openxmlformats.org/officeDocument/2006/relationships" ref="AM301" r:id="rId300"/>
    <hyperlink xmlns:r="http://schemas.openxmlformats.org/officeDocument/2006/relationships" ref="AM302" r:id="rId301"/>
    <hyperlink xmlns:r="http://schemas.openxmlformats.org/officeDocument/2006/relationships" ref="AM303" r:id="rId302"/>
    <hyperlink xmlns:r="http://schemas.openxmlformats.org/officeDocument/2006/relationships" ref="AM304" r:id="rId303"/>
    <hyperlink xmlns:r="http://schemas.openxmlformats.org/officeDocument/2006/relationships" ref="AM305" r:id="rId304"/>
    <hyperlink xmlns:r="http://schemas.openxmlformats.org/officeDocument/2006/relationships" ref="AM306" r:id="rId305"/>
    <hyperlink xmlns:r="http://schemas.openxmlformats.org/officeDocument/2006/relationships" ref="AM307" r:id="rId306"/>
    <hyperlink xmlns:r="http://schemas.openxmlformats.org/officeDocument/2006/relationships" ref="AM308" r:id="rId307"/>
    <hyperlink xmlns:r="http://schemas.openxmlformats.org/officeDocument/2006/relationships" ref="AM309" r:id="rId308"/>
    <hyperlink xmlns:r="http://schemas.openxmlformats.org/officeDocument/2006/relationships" ref="AM310" r:id="rId309"/>
    <hyperlink xmlns:r="http://schemas.openxmlformats.org/officeDocument/2006/relationships" ref="AM311" r:id="rId310"/>
    <hyperlink xmlns:r="http://schemas.openxmlformats.org/officeDocument/2006/relationships" ref="AM312" r:id="rId311"/>
    <hyperlink xmlns:r="http://schemas.openxmlformats.org/officeDocument/2006/relationships" ref="AM313" r:id="rId312"/>
    <hyperlink xmlns:r="http://schemas.openxmlformats.org/officeDocument/2006/relationships" ref="AM314" r:id="rId313"/>
    <hyperlink xmlns:r="http://schemas.openxmlformats.org/officeDocument/2006/relationships" ref="AM315" r:id="rId314"/>
    <hyperlink xmlns:r="http://schemas.openxmlformats.org/officeDocument/2006/relationships" ref="AM316" r:id="rId315"/>
    <hyperlink xmlns:r="http://schemas.openxmlformats.org/officeDocument/2006/relationships" ref="AM317" r:id="rId316"/>
    <hyperlink xmlns:r="http://schemas.openxmlformats.org/officeDocument/2006/relationships" ref="AM318" r:id="rId317"/>
    <hyperlink xmlns:r="http://schemas.openxmlformats.org/officeDocument/2006/relationships" ref="AM319" r:id="rId318"/>
    <hyperlink xmlns:r="http://schemas.openxmlformats.org/officeDocument/2006/relationships" ref="AM320" r:id="rId319"/>
    <hyperlink xmlns:r="http://schemas.openxmlformats.org/officeDocument/2006/relationships" ref="AM321" r:id="rId320"/>
    <hyperlink xmlns:r="http://schemas.openxmlformats.org/officeDocument/2006/relationships" ref="AM322" r:id="rId321"/>
    <hyperlink xmlns:r="http://schemas.openxmlformats.org/officeDocument/2006/relationships" ref="AM323" r:id="rId322"/>
    <hyperlink xmlns:r="http://schemas.openxmlformats.org/officeDocument/2006/relationships" ref="AM324" r:id="rId323"/>
    <hyperlink xmlns:r="http://schemas.openxmlformats.org/officeDocument/2006/relationships" ref="AM325" r:id="rId324"/>
    <hyperlink xmlns:r="http://schemas.openxmlformats.org/officeDocument/2006/relationships" ref="AM326" r:id="rId325"/>
    <hyperlink xmlns:r="http://schemas.openxmlformats.org/officeDocument/2006/relationships" ref="AM327" r:id="rId326"/>
    <hyperlink xmlns:r="http://schemas.openxmlformats.org/officeDocument/2006/relationships" ref="AM328" r:id="rId327"/>
    <hyperlink xmlns:r="http://schemas.openxmlformats.org/officeDocument/2006/relationships" ref="AM329" r:id="rId328"/>
    <hyperlink xmlns:r="http://schemas.openxmlformats.org/officeDocument/2006/relationships" ref="AM330" r:id="rId329"/>
    <hyperlink xmlns:r="http://schemas.openxmlformats.org/officeDocument/2006/relationships" ref="AM331" r:id="rId330"/>
    <hyperlink xmlns:r="http://schemas.openxmlformats.org/officeDocument/2006/relationships" ref="AM332" r:id="rId331"/>
    <hyperlink xmlns:r="http://schemas.openxmlformats.org/officeDocument/2006/relationships" ref="AM333" r:id="rId332"/>
    <hyperlink xmlns:r="http://schemas.openxmlformats.org/officeDocument/2006/relationships" ref="AM334" r:id="rId333"/>
    <hyperlink xmlns:r="http://schemas.openxmlformats.org/officeDocument/2006/relationships" ref="AM335" r:id="rId334"/>
    <hyperlink xmlns:r="http://schemas.openxmlformats.org/officeDocument/2006/relationships" ref="AM336" r:id="rId335"/>
    <hyperlink xmlns:r="http://schemas.openxmlformats.org/officeDocument/2006/relationships" ref="AM337" r:id="rId336"/>
    <hyperlink xmlns:r="http://schemas.openxmlformats.org/officeDocument/2006/relationships" ref="AM338" r:id="rId337"/>
    <hyperlink xmlns:r="http://schemas.openxmlformats.org/officeDocument/2006/relationships" ref="AM339" r:id="rId338"/>
    <hyperlink xmlns:r="http://schemas.openxmlformats.org/officeDocument/2006/relationships" ref="AM340" r:id="rId339"/>
    <hyperlink xmlns:r="http://schemas.openxmlformats.org/officeDocument/2006/relationships" ref="AM341" r:id="rId340"/>
    <hyperlink xmlns:r="http://schemas.openxmlformats.org/officeDocument/2006/relationships" ref="AM342" r:id="rId341"/>
    <hyperlink xmlns:r="http://schemas.openxmlformats.org/officeDocument/2006/relationships" ref="AM343" r:id="rId342"/>
    <hyperlink xmlns:r="http://schemas.openxmlformats.org/officeDocument/2006/relationships" ref="AM344" r:id="rId343"/>
    <hyperlink xmlns:r="http://schemas.openxmlformats.org/officeDocument/2006/relationships" ref="AM345" r:id="rId344"/>
    <hyperlink xmlns:r="http://schemas.openxmlformats.org/officeDocument/2006/relationships" ref="AM346" r:id="rId345"/>
    <hyperlink xmlns:r="http://schemas.openxmlformats.org/officeDocument/2006/relationships" ref="AM347" r:id="rId346"/>
    <hyperlink xmlns:r="http://schemas.openxmlformats.org/officeDocument/2006/relationships" ref="AM348" r:id="rId347"/>
    <hyperlink xmlns:r="http://schemas.openxmlformats.org/officeDocument/2006/relationships" ref="AM349" r:id="rId348"/>
    <hyperlink xmlns:r="http://schemas.openxmlformats.org/officeDocument/2006/relationships" ref="AM350" r:id="rId349"/>
    <hyperlink xmlns:r="http://schemas.openxmlformats.org/officeDocument/2006/relationships" ref="AM351" r:id="rId350"/>
    <hyperlink xmlns:r="http://schemas.openxmlformats.org/officeDocument/2006/relationships" ref="AM352" r:id="rId351"/>
    <hyperlink xmlns:r="http://schemas.openxmlformats.org/officeDocument/2006/relationships" ref="AM353" r:id="rId352"/>
    <hyperlink xmlns:r="http://schemas.openxmlformats.org/officeDocument/2006/relationships" ref="AM354" r:id="rId353"/>
    <hyperlink xmlns:r="http://schemas.openxmlformats.org/officeDocument/2006/relationships" ref="AM355" r:id="rId354"/>
    <hyperlink xmlns:r="http://schemas.openxmlformats.org/officeDocument/2006/relationships" ref="AM356" r:id="rId355"/>
    <hyperlink xmlns:r="http://schemas.openxmlformats.org/officeDocument/2006/relationships" ref="AM357" r:id="rId356"/>
    <hyperlink xmlns:r="http://schemas.openxmlformats.org/officeDocument/2006/relationships" ref="AM358" r:id="rId357"/>
    <hyperlink xmlns:r="http://schemas.openxmlformats.org/officeDocument/2006/relationships" ref="AM359" r:id="rId358"/>
    <hyperlink xmlns:r="http://schemas.openxmlformats.org/officeDocument/2006/relationships" ref="AM360" r:id="rId359"/>
    <hyperlink xmlns:r="http://schemas.openxmlformats.org/officeDocument/2006/relationships" ref="AM361" r:id="rId360"/>
    <hyperlink xmlns:r="http://schemas.openxmlformats.org/officeDocument/2006/relationships" ref="AM362" r:id="rId361"/>
    <hyperlink xmlns:r="http://schemas.openxmlformats.org/officeDocument/2006/relationships" ref="AM363" r:id="rId362"/>
    <hyperlink xmlns:r="http://schemas.openxmlformats.org/officeDocument/2006/relationships" ref="AM364" r:id="rId363"/>
    <hyperlink xmlns:r="http://schemas.openxmlformats.org/officeDocument/2006/relationships" ref="AM365" r:id="rId364"/>
    <hyperlink xmlns:r="http://schemas.openxmlformats.org/officeDocument/2006/relationships" ref="AM366" r:id="rId365"/>
    <hyperlink xmlns:r="http://schemas.openxmlformats.org/officeDocument/2006/relationships" ref="AM367" r:id="rId366"/>
    <hyperlink xmlns:r="http://schemas.openxmlformats.org/officeDocument/2006/relationships" ref="AM368" r:id="rId367"/>
    <hyperlink xmlns:r="http://schemas.openxmlformats.org/officeDocument/2006/relationships" ref="AM369" r:id="rId368"/>
    <hyperlink xmlns:r="http://schemas.openxmlformats.org/officeDocument/2006/relationships" ref="AM370" r:id="rId369"/>
    <hyperlink xmlns:r="http://schemas.openxmlformats.org/officeDocument/2006/relationships" ref="AM371" r:id="rId370"/>
    <hyperlink xmlns:r="http://schemas.openxmlformats.org/officeDocument/2006/relationships" ref="AM372" r:id="rId371"/>
    <hyperlink xmlns:r="http://schemas.openxmlformats.org/officeDocument/2006/relationships" ref="AM373" r:id="rId372"/>
    <hyperlink xmlns:r="http://schemas.openxmlformats.org/officeDocument/2006/relationships" ref="AM374" r:id="rId373"/>
    <hyperlink xmlns:r="http://schemas.openxmlformats.org/officeDocument/2006/relationships" ref="AM375" r:id="rId374"/>
    <hyperlink xmlns:r="http://schemas.openxmlformats.org/officeDocument/2006/relationships" ref="AM376" r:id="rId375"/>
    <hyperlink xmlns:r="http://schemas.openxmlformats.org/officeDocument/2006/relationships" ref="AM377" r:id="rId376"/>
    <hyperlink xmlns:r="http://schemas.openxmlformats.org/officeDocument/2006/relationships" ref="AM378" r:id="rId377"/>
    <hyperlink xmlns:r="http://schemas.openxmlformats.org/officeDocument/2006/relationships" ref="AM379" r:id="rId378"/>
    <hyperlink xmlns:r="http://schemas.openxmlformats.org/officeDocument/2006/relationships" ref="AM380" r:id="rId379"/>
    <hyperlink xmlns:r="http://schemas.openxmlformats.org/officeDocument/2006/relationships" ref="AM381" r:id="rId380"/>
    <hyperlink xmlns:r="http://schemas.openxmlformats.org/officeDocument/2006/relationships" ref="AM382" r:id="rId381"/>
    <hyperlink xmlns:r="http://schemas.openxmlformats.org/officeDocument/2006/relationships" ref="AM383" r:id="rId382"/>
    <hyperlink xmlns:r="http://schemas.openxmlformats.org/officeDocument/2006/relationships" ref="AM384" r:id="rId383"/>
    <hyperlink xmlns:r="http://schemas.openxmlformats.org/officeDocument/2006/relationships" ref="AM385" r:id="rId384"/>
    <hyperlink xmlns:r="http://schemas.openxmlformats.org/officeDocument/2006/relationships" ref="AM386" r:id="rId385"/>
    <hyperlink xmlns:r="http://schemas.openxmlformats.org/officeDocument/2006/relationships" ref="AM387" r:id="rId386"/>
    <hyperlink xmlns:r="http://schemas.openxmlformats.org/officeDocument/2006/relationships" ref="AM388" r:id="rId387"/>
    <hyperlink xmlns:r="http://schemas.openxmlformats.org/officeDocument/2006/relationships" ref="AM389" r:id="rId388"/>
    <hyperlink xmlns:r="http://schemas.openxmlformats.org/officeDocument/2006/relationships" ref="AM390" r:id="rId389"/>
    <hyperlink xmlns:r="http://schemas.openxmlformats.org/officeDocument/2006/relationships" ref="AM391" r:id="rId390"/>
    <hyperlink xmlns:r="http://schemas.openxmlformats.org/officeDocument/2006/relationships" ref="AM392" r:id="rId391"/>
    <hyperlink xmlns:r="http://schemas.openxmlformats.org/officeDocument/2006/relationships" ref="AM393" r:id="rId392"/>
    <hyperlink xmlns:r="http://schemas.openxmlformats.org/officeDocument/2006/relationships" ref="AM394" r:id="rId393"/>
    <hyperlink xmlns:r="http://schemas.openxmlformats.org/officeDocument/2006/relationships" ref="AM395" r:id="rId394"/>
    <hyperlink xmlns:r="http://schemas.openxmlformats.org/officeDocument/2006/relationships" ref="AM396" r:id="rId395"/>
    <hyperlink xmlns:r="http://schemas.openxmlformats.org/officeDocument/2006/relationships" ref="AM397" r:id="rId396"/>
    <hyperlink xmlns:r="http://schemas.openxmlformats.org/officeDocument/2006/relationships" ref="AM398" r:id="rId397"/>
    <hyperlink xmlns:r="http://schemas.openxmlformats.org/officeDocument/2006/relationships" ref="AM399" r:id="rId398"/>
    <hyperlink xmlns:r="http://schemas.openxmlformats.org/officeDocument/2006/relationships" ref="AM400" r:id="rId399"/>
    <hyperlink xmlns:r="http://schemas.openxmlformats.org/officeDocument/2006/relationships" ref="AM401" r:id="rId400"/>
    <hyperlink xmlns:r="http://schemas.openxmlformats.org/officeDocument/2006/relationships" ref="AM402" r:id="rId401"/>
    <hyperlink xmlns:r="http://schemas.openxmlformats.org/officeDocument/2006/relationships" ref="AM403" r:id="rId402"/>
    <hyperlink xmlns:r="http://schemas.openxmlformats.org/officeDocument/2006/relationships" ref="AM404" r:id="rId403"/>
    <hyperlink xmlns:r="http://schemas.openxmlformats.org/officeDocument/2006/relationships" ref="AM405" r:id="rId404"/>
    <hyperlink xmlns:r="http://schemas.openxmlformats.org/officeDocument/2006/relationships" ref="AM406" r:id="rId405"/>
    <hyperlink xmlns:r="http://schemas.openxmlformats.org/officeDocument/2006/relationships" ref="AM407" r:id="rId406"/>
    <hyperlink xmlns:r="http://schemas.openxmlformats.org/officeDocument/2006/relationships" ref="AM408" r:id="rId407"/>
    <hyperlink xmlns:r="http://schemas.openxmlformats.org/officeDocument/2006/relationships" ref="AM409" r:id="rId408"/>
    <hyperlink xmlns:r="http://schemas.openxmlformats.org/officeDocument/2006/relationships" ref="AM410" r:id="rId409"/>
    <hyperlink xmlns:r="http://schemas.openxmlformats.org/officeDocument/2006/relationships" ref="AM411" r:id="rId410"/>
    <hyperlink xmlns:r="http://schemas.openxmlformats.org/officeDocument/2006/relationships" ref="AM412" r:id="rId411"/>
    <hyperlink xmlns:r="http://schemas.openxmlformats.org/officeDocument/2006/relationships" ref="AM413" r:id="rId412"/>
    <hyperlink xmlns:r="http://schemas.openxmlformats.org/officeDocument/2006/relationships" ref="AM414" r:id="rId413"/>
    <hyperlink xmlns:r="http://schemas.openxmlformats.org/officeDocument/2006/relationships" ref="AM415" r:id="rId414"/>
    <hyperlink xmlns:r="http://schemas.openxmlformats.org/officeDocument/2006/relationships" ref="AM416" r:id="rId415"/>
    <hyperlink xmlns:r="http://schemas.openxmlformats.org/officeDocument/2006/relationships" ref="AM417" r:id="rId416"/>
    <hyperlink xmlns:r="http://schemas.openxmlformats.org/officeDocument/2006/relationships" ref="AM418" r:id="rId417"/>
    <hyperlink xmlns:r="http://schemas.openxmlformats.org/officeDocument/2006/relationships" ref="AM419" r:id="rId418"/>
    <hyperlink xmlns:r="http://schemas.openxmlformats.org/officeDocument/2006/relationships" ref="AM420" r:id="rId419"/>
    <hyperlink xmlns:r="http://schemas.openxmlformats.org/officeDocument/2006/relationships" ref="AM421" r:id="rId420"/>
    <hyperlink xmlns:r="http://schemas.openxmlformats.org/officeDocument/2006/relationships" ref="AM422" r:id="rId421"/>
    <hyperlink xmlns:r="http://schemas.openxmlformats.org/officeDocument/2006/relationships" ref="AM423" r:id="rId422"/>
    <hyperlink xmlns:r="http://schemas.openxmlformats.org/officeDocument/2006/relationships" ref="AM424" r:id="rId423"/>
    <hyperlink xmlns:r="http://schemas.openxmlformats.org/officeDocument/2006/relationships" ref="AM425" r:id="rId424"/>
    <hyperlink xmlns:r="http://schemas.openxmlformats.org/officeDocument/2006/relationships" ref="AM426" r:id="rId425"/>
    <hyperlink xmlns:r="http://schemas.openxmlformats.org/officeDocument/2006/relationships" ref="AM427" r:id="rId426"/>
    <hyperlink xmlns:r="http://schemas.openxmlformats.org/officeDocument/2006/relationships" ref="AM428" r:id="rId427"/>
    <hyperlink xmlns:r="http://schemas.openxmlformats.org/officeDocument/2006/relationships" ref="AM429" r:id="rId428"/>
    <hyperlink xmlns:r="http://schemas.openxmlformats.org/officeDocument/2006/relationships" ref="AM430" r:id="rId429"/>
    <hyperlink xmlns:r="http://schemas.openxmlformats.org/officeDocument/2006/relationships" ref="AM431" r:id="rId430"/>
    <hyperlink xmlns:r="http://schemas.openxmlformats.org/officeDocument/2006/relationships" ref="AM432" r:id="rId431"/>
    <hyperlink xmlns:r="http://schemas.openxmlformats.org/officeDocument/2006/relationships" ref="AM433" r:id="rId432"/>
    <hyperlink xmlns:r="http://schemas.openxmlformats.org/officeDocument/2006/relationships" ref="AM434" r:id="rId433"/>
    <hyperlink xmlns:r="http://schemas.openxmlformats.org/officeDocument/2006/relationships" ref="AM435" r:id="rId434"/>
    <hyperlink xmlns:r="http://schemas.openxmlformats.org/officeDocument/2006/relationships" ref="AM436" r:id="rId435"/>
    <hyperlink xmlns:r="http://schemas.openxmlformats.org/officeDocument/2006/relationships" ref="AM437" r:id="rId436"/>
    <hyperlink xmlns:r="http://schemas.openxmlformats.org/officeDocument/2006/relationships" ref="AM438" r:id="rId437"/>
    <hyperlink xmlns:r="http://schemas.openxmlformats.org/officeDocument/2006/relationships" ref="AM439" r:id="rId438"/>
    <hyperlink xmlns:r="http://schemas.openxmlformats.org/officeDocument/2006/relationships" ref="AM440" r:id="rId439"/>
    <hyperlink xmlns:r="http://schemas.openxmlformats.org/officeDocument/2006/relationships" ref="AM441" r:id="rId440"/>
    <hyperlink xmlns:r="http://schemas.openxmlformats.org/officeDocument/2006/relationships" ref="AM442" r:id="rId441"/>
    <hyperlink xmlns:r="http://schemas.openxmlformats.org/officeDocument/2006/relationships" ref="AM443" r:id="rId442"/>
    <hyperlink xmlns:r="http://schemas.openxmlformats.org/officeDocument/2006/relationships" ref="AM444" r:id="rId443"/>
    <hyperlink xmlns:r="http://schemas.openxmlformats.org/officeDocument/2006/relationships" ref="AM445" r:id="rId444"/>
    <hyperlink xmlns:r="http://schemas.openxmlformats.org/officeDocument/2006/relationships" ref="AM446" r:id="rId445"/>
    <hyperlink xmlns:r="http://schemas.openxmlformats.org/officeDocument/2006/relationships" ref="AM447" r:id="rId446"/>
    <hyperlink xmlns:r="http://schemas.openxmlformats.org/officeDocument/2006/relationships" ref="AM448" r:id="rId447"/>
    <hyperlink xmlns:r="http://schemas.openxmlformats.org/officeDocument/2006/relationships" ref="AM449" r:id="rId448"/>
    <hyperlink xmlns:r="http://schemas.openxmlformats.org/officeDocument/2006/relationships" ref="AM450" r:id="rId449"/>
    <hyperlink xmlns:r="http://schemas.openxmlformats.org/officeDocument/2006/relationships" ref="AM451" r:id="rId450"/>
    <hyperlink xmlns:r="http://schemas.openxmlformats.org/officeDocument/2006/relationships" ref="AM452" r:id="rId451"/>
    <hyperlink xmlns:r="http://schemas.openxmlformats.org/officeDocument/2006/relationships" ref="AM453" r:id="rId452"/>
    <hyperlink xmlns:r="http://schemas.openxmlformats.org/officeDocument/2006/relationships" ref="AM454" r:id="rId453"/>
    <hyperlink xmlns:r="http://schemas.openxmlformats.org/officeDocument/2006/relationships" ref="AM455" r:id="rId454"/>
    <hyperlink xmlns:r="http://schemas.openxmlformats.org/officeDocument/2006/relationships" ref="AM456" r:id="rId455"/>
    <hyperlink xmlns:r="http://schemas.openxmlformats.org/officeDocument/2006/relationships" ref="AM457" r:id="rId456"/>
    <hyperlink xmlns:r="http://schemas.openxmlformats.org/officeDocument/2006/relationships" ref="AM458" r:id="rId457"/>
    <hyperlink xmlns:r="http://schemas.openxmlformats.org/officeDocument/2006/relationships" ref="AM459" r:id="rId458"/>
    <hyperlink xmlns:r="http://schemas.openxmlformats.org/officeDocument/2006/relationships" ref="AM460" r:id="rId459"/>
    <hyperlink xmlns:r="http://schemas.openxmlformats.org/officeDocument/2006/relationships" ref="AM461" r:id="rId460"/>
    <hyperlink xmlns:r="http://schemas.openxmlformats.org/officeDocument/2006/relationships" ref="AM462" r:id="rId461"/>
    <hyperlink xmlns:r="http://schemas.openxmlformats.org/officeDocument/2006/relationships" ref="AM463" r:id="rId462"/>
    <hyperlink xmlns:r="http://schemas.openxmlformats.org/officeDocument/2006/relationships" ref="AM464" r:id="rId463"/>
    <hyperlink xmlns:r="http://schemas.openxmlformats.org/officeDocument/2006/relationships" ref="AM465" r:id="rId464"/>
    <hyperlink xmlns:r="http://schemas.openxmlformats.org/officeDocument/2006/relationships" ref="AM466" r:id="rId465"/>
    <hyperlink xmlns:r="http://schemas.openxmlformats.org/officeDocument/2006/relationships" ref="AM467" r:id="rId466"/>
    <hyperlink xmlns:r="http://schemas.openxmlformats.org/officeDocument/2006/relationships" ref="AM468" r:id="rId467"/>
    <hyperlink xmlns:r="http://schemas.openxmlformats.org/officeDocument/2006/relationships" ref="AM469" r:id="rId468"/>
    <hyperlink xmlns:r="http://schemas.openxmlformats.org/officeDocument/2006/relationships" ref="AM470" r:id="rId469"/>
    <hyperlink xmlns:r="http://schemas.openxmlformats.org/officeDocument/2006/relationships" ref="AM471" r:id="rId470"/>
    <hyperlink xmlns:r="http://schemas.openxmlformats.org/officeDocument/2006/relationships" ref="AM472" r:id="rId471"/>
    <hyperlink xmlns:r="http://schemas.openxmlformats.org/officeDocument/2006/relationships" ref="AM473" r:id="rId472"/>
    <hyperlink xmlns:r="http://schemas.openxmlformats.org/officeDocument/2006/relationships" ref="AM474" r:id="rId473"/>
    <hyperlink xmlns:r="http://schemas.openxmlformats.org/officeDocument/2006/relationships" ref="AM475" r:id="rId474"/>
    <hyperlink xmlns:r="http://schemas.openxmlformats.org/officeDocument/2006/relationships" ref="AM476" r:id="rId475"/>
    <hyperlink xmlns:r="http://schemas.openxmlformats.org/officeDocument/2006/relationships" ref="AM477" r:id="rId476"/>
    <hyperlink xmlns:r="http://schemas.openxmlformats.org/officeDocument/2006/relationships" ref="AM478" r:id="rId477"/>
    <hyperlink xmlns:r="http://schemas.openxmlformats.org/officeDocument/2006/relationships" ref="AM479" r:id="rId478"/>
    <hyperlink xmlns:r="http://schemas.openxmlformats.org/officeDocument/2006/relationships" ref="AM480" r:id="rId479"/>
    <hyperlink xmlns:r="http://schemas.openxmlformats.org/officeDocument/2006/relationships" ref="AM481" r:id="rId480"/>
    <hyperlink xmlns:r="http://schemas.openxmlformats.org/officeDocument/2006/relationships" ref="AM482" r:id="rId481"/>
    <hyperlink xmlns:r="http://schemas.openxmlformats.org/officeDocument/2006/relationships" ref="AM483" r:id="rId482"/>
    <hyperlink xmlns:r="http://schemas.openxmlformats.org/officeDocument/2006/relationships" ref="AM484" r:id="rId483"/>
    <hyperlink xmlns:r="http://schemas.openxmlformats.org/officeDocument/2006/relationships" ref="AM485" r:id="rId484"/>
    <hyperlink xmlns:r="http://schemas.openxmlformats.org/officeDocument/2006/relationships" ref="AM486" r:id="rId485"/>
    <hyperlink xmlns:r="http://schemas.openxmlformats.org/officeDocument/2006/relationships" ref="AM487" r:id="rId486"/>
    <hyperlink xmlns:r="http://schemas.openxmlformats.org/officeDocument/2006/relationships" ref="AM488" r:id="rId487"/>
    <hyperlink xmlns:r="http://schemas.openxmlformats.org/officeDocument/2006/relationships" ref="AM489" r:id="rId488"/>
    <hyperlink xmlns:r="http://schemas.openxmlformats.org/officeDocument/2006/relationships" ref="AM490" r:id="rId489"/>
    <hyperlink xmlns:r="http://schemas.openxmlformats.org/officeDocument/2006/relationships" ref="AM491" r:id="rId490"/>
    <hyperlink xmlns:r="http://schemas.openxmlformats.org/officeDocument/2006/relationships" ref="AM492" r:id="rId491"/>
    <hyperlink xmlns:r="http://schemas.openxmlformats.org/officeDocument/2006/relationships" ref="AM493" r:id="rId492"/>
    <hyperlink xmlns:r="http://schemas.openxmlformats.org/officeDocument/2006/relationships" ref="AM494" r:id="rId493"/>
    <hyperlink xmlns:r="http://schemas.openxmlformats.org/officeDocument/2006/relationships" ref="AM495" r:id="rId494"/>
    <hyperlink xmlns:r="http://schemas.openxmlformats.org/officeDocument/2006/relationships" ref="AM496" r:id="rId495"/>
    <hyperlink xmlns:r="http://schemas.openxmlformats.org/officeDocument/2006/relationships" ref="AM497" r:id="rId496"/>
    <hyperlink xmlns:r="http://schemas.openxmlformats.org/officeDocument/2006/relationships" ref="AM498" r:id="rId497"/>
    <hyperlink xmlns:r="http://schemas.openxmlformats.org/officeDocument/2006/relationships" ref="AM499" r:id="rId498"/>
    <hyperlink xmlns:r="http://schemas.openxmlformats.org/officeDocument/2006/relationships" ref="AM500" r:id="rId499"/>
    <hyperlink xmlns:r="http://schemas.openxmlformats.org/officeDocument/2006/relationships" ref="AM501" r:id="rId500"/>
    <hyperlink xmlns:r="http://schemas.openxmlformats.org/officeDocument/2006/relationships" ref="AM502" r:id="rId501"/>
    <hyperlink xmlns:r="http://schemas.openxmlformats.org/officeDocument/2006/relationships" ref="AM503" r:id="rId502"/>
    <hyperlink xmlns:r="http://schemas.openxmlformats.org/officeDocument/2006/relationships" ref="AM504" r:id="rId503"/>
    <hyperlink xmlns:r="http://schemas.openxmlformats.org/officeDocument/2006/relationships" ref="AM505" r:id="rId504"/>
    <hyperlink xmlns:r="http://schemas.openxmlformats.org/officeDocument/2006/relationships" ref="AM506" r:id="rId505"/>
    <hyperlink xmlns:r="http://schemas.openxmlformats.org/officeDocument/2006/relationships" ref="AM507" r:id="rId506"/>
    <hyperlink xmlns:r="http://schemas.openxmlformats.org/officeDocument/2006/relationships" ref="AM508" r:id="rId507"/>
    <hyperlink xmlns:r="http://schemas.openxmlformats.org/officeDocument/2006/relationships" ref="AM509" r:id="rId508"/>
    <hyperlink xmlns:r="http://schemas.openxmlformats.org/officeDocument/2006/relationships" ref="AM510" r:id="rId509"/>
    <hyperlink xmlns:r="http://schemas.openxmlformats.org/officeDocument/2006/relationships" ref="AM511" r:id="rId510"/>
    <hyperlink xmlns:r="http://schemas.openxmlformats.org/officeDocument/2006/relationships" ref="AM512" r:id="rId511"/>
    <hyperlink xmlns:r="http://schemas.openxmlformats.org/officeDocument/2006/relationships" ref="AM513" r:id="rId512"/>
    <hyperlink xmlns:r="http://schemas.openxmlformats.org/officeDocument/2006/relationships" ref="AM514" r:id="rId513"/>
    <hyperlink xmlns:r="http://schemas.openxmlformats.org/officeDocument/2006/relationships" ref="AM515" r:id="rId514"/>
    <hyperlink xmlns:r="http://schemas.openxmlformats.org/officeDocument/2006/relationships" ref="AM516" r:id="rId515"/>
    <hyperlink xmlns:r="http://schemas.openxmlformats.org/officeDocument/2006/relationships" ref="AM517" r:id="rId516"/>
    <hyperlink xmlns:r="http://schemas.openxmlformats.org/officeDocument/2006/relationships" ref="AM518" r:id="rId517"/>
    <hyperlink xmlns:r="http://schemas.openxmlformats.org/officeDocument/2006/relationships" ref="AM519" r:id="rId518"/>
    <hyperlink xmlns:r="http://schemas.openxmlformats.org/officeDocument/2006/relationships" ref="AM520" r:id="rId519"/>
    <hyperlink xmlns:r="http://schemas.openxmlformats.org/officeDocument/2006/relationships" ref="AM521" r:id="rId520"/>
    <hyperlink xmlns:r="http://schemas.openxmlformats.org/officeDocument/2006/relationships" ref="AM522" r:id="rId521"/>
    <hyperlink xmlns:r="http://schemas.openxmlformats.org/officeDocument/2006/relationships" ref="AM523" r:id="rId522"/>
    <hyperlink xmlns:r="http://schemas.openxmlformats.org/officeDocument/2006/relationships" ref="AM524" r:id="rId523"/>
    <hyperlink xmlns:r="http://schemas.openxmlformats.org/officeDocument/2006/relationships" ref="AM525" r:id="rId524"/>
    <hyperlink xmlns:r="http://schemas.openxmlformats.org/officeDocument/2006/relationships" ref="AM526" r:id="rId525"/>
    <hyperlink xmlns:r="http://schemas.openxmlformats.org/officeDocument/2006/relationships" ref="AM527" r:id="rId526"/>
    <hyperlink xmlns:r="http://schemas.openxmlformats.org/officeDocument/2006/relationships" ref="AM528" r:id="rId527"/>
    <hyperlink xmlns:r="http://schemas.openxmlformats.org/officeDocument/2006/relationships" ref="AM529" r:id="rId528"/>
    <hyperlink xmlns:r="http://schemas.openxmlformats.org/officeDocument/2006/relationships" ref="AM530" r:id="rId529"/>
    <hyperlink xmlns:r="http://schemas.openxmlformats.org/officeDocument/2006/relationships" ref="AM531" r:id="rId530"/>
    <hyperlink xmlns:r="http://schemas.openxmlformats.org/officeDocument/2006/relationships" ref="AM532" r:id="rId531"/>
    <hyperlink xmlns:r="http://schemas.openxmlformats.org/officeDocument/2006/relationships" ref="AM533" r:id="rId532"/>
    <hyperlink xmlns:r="http://schemas.openxmlformats.org/officeDocument/2006/relationships" ref="AM534" r:id="rId533"/>
    <hyperlink xmlns:r="http://schemas.openxmlformats.org/officeDocument/2006/relationships" ref="AM535" r:id="rId534"/>
    <hyperlink xmlns:r="http://schemas.openxmlformats.org/officeDocument/2006/relationships" ref="AM536" r:id="rId535"/>
    <hyperlink xmlns:r="http://schemas.openxmlformats.org/officeDocument/2006/relationships" ref="AM537" r:id="rId536"/>
    <hyperlink xmlns:r="http://schemas.openxmlformats.org/officeDocument/2006/relationships" ref="AM538" r:id="rId537"/>
    <hyperlink xmlns:r="http://schemas.openxmlformats.org/officeDocument/2006/relationships" ref="AM539" r:id="rId538"/>
    <hyperlink xmlns:r="http://schemas.openxmlformats.org/officeDocument/2006/relationships" ref="AM540" r:id="rId539"/>
    <hyperlink xmlns:r="http://schemas.openxmlformats.org/officeDocument/2006/relationships" ref="AM541" r:id="rId540"/>
    <hyperlink xmlns:r="http://schemas.openxmlformats.org/officeDocument/2006/relationships" ref="AM542" r:id="rId541"/>
    <hyperlink xmlns:r="http://schemas.openxmlformats.org/officeDocument/2006/relationships" ref="AM543" r:id="rId542"/>
    <hyperlink xmlns:r="http://schemas.openxmlformats.org/officeDocument/2006/relationships" ref="AM544" r:id="rId543"/>
    <hyperlink xmlns:r="http://schemas.openxmlformats.org/officeDocument/2006/relationships" ref="AM545" r:id="rId544"/>
    <hyperlink xmlns:r="http://schemas.openxmlformats.org/officeDocument/2006/relationships" ref="AM546" r:id="rId545"/>
    <hyperlink xmlns:r="http://schemas.openxmlformats.org/officeDocument/2006/relationships" ref="AM547" r:id="rId546"/>
    <hyperlink xmlns:r="http://schemas.openxmlformats.org/officeDocument/2006/relationships" ref="AM548" r:id="rId547"/>
    <hyperlink xmlns:r="http://schemas.openxmlformats.org/officeDocument/2006/relationships" ref="AM549" r:id="rId548"/>
    <hyperlink xmlns:r="http://schemas.openxmlformats.org/officeDocument/2006/relationships" ref="AM550" r:id="rId549"/>
    <hyperlink xmlns:r="http://schemas.openxmlformats.org/officeDocument/2006/relationships" ref="AM551" r:id="rId550"/>
    <hyperlink xmlns:r="http://schemas.openxmlformats.org/officeDocument/2006/relationships" ref="AM552" r:id="rId551"/>
    <hyperlink xmlns:r="http://schemas.openxmlformats.org/officeDocument/2006/relationships" ref="AM553" r:id="rId552"/>
    <hyperlink xmlns:r="http://schemas.openxmlformats.org/officeDocument/2006/relationships" ref="AM554" r:id="rId553"/>
    <hyperlink xmlns:r="http://schemas.openxmlformats.org/officeDocument/2006/relationships" ref="AM555" r:id="rId554"/>
    <hyperlink xmlns:r="http://schemas.openxmlformats.org/officeDocument/2006/relationships" ref="AM556" r:id="rId555"/>
    <hyperlink xmlns:r="http://schemas.openxmlformats.org/officeDocument/2006/relationships" ref="AM557" r:id="rId556"/>
    <hyperlink xmlns:r="http://schemas.openxmlformats.org/officeDocument/2006/relationships" ref="AM558" r:id="rId557"/>
    <hyperlink xmlns:r="http://schemas.openxmlformats.org/officeDocument/2006/relationships" ref="AM559" r:id="rId558"/>
    <hyperlink xmlns:r="http://schemas.openxmlformats.org/officeDocument/2006/relationships" ref="AM560" r:id="rId5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237"/>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9" customWidth="1" min="4" max="4"/>
    <col width="12" customWidth="1" min="5" max="5"/>
    <col width="22" customWidth="1" min="6" max="6"/>
    <col width="12" customWidth="1" min="7" max="7"/>
    <col width="40" customWidth="1" min="8" max="8"/>
    <col width="42" customWidth="1" min="9" max="9"/>
    <col width="42" customWidth="1" min="10" max="10"/>
    <col width="11" customWidth="1" min="11" max="11"/>
    <col width="22" customWidth="1" min="12" max="12"/>
    <col width="18" customWidth="1" min="13" max="13"/>
    <col width="7" customWidth="1" min="14" max="14"/>
    <col width="10" customWidth="1" min="15" max="15"/>
    <col width="12" customWidth="1" min="16" max="16"/>
    <col width="12" customWidth="1" min="17" max="17"/>
    <col width="9" customWidth="1" min="18" max="18"/>
    <col width="10" customWidth="1" min="19" max="19"/>
    <col width="10" customWidth="1" min="20" max="20"/>
    <col width="18" customWidth="1" min="21" max="21"/>
    <col width="10" customWidth="1" min="22" max="22"/>
    <col width="18" customWidth="1" min="23" max="23"/>
    <col width="10" customWidth="1" min="24" max="24"/>
    <col width="40" customWidth="1" min="25" max="25"/>
    <col width="26" customWidth="1" min="26" max="26"/>
    <col width="8" customWidth="1" min="27" max="27"/>
    <col width="26" customWidth="1" min="28" max="28"/>
    <col width="34" customWidth="1" min="29" max="29"/>
    <col width="20" customWidth="1" min="30" max="30"/>
    <col width="16" customWidth="1" min="31" max="31"/>
    <col width="16" customWidth="1" min="32" max="32"/>
    <col width="30" customWidth="1" min="33" max="33"/>
    <col width="5" customWidth="1" min="34" max="34"/>
    <col width="20" customWidth="1" min="35" max="35"/>
    <col width="40" customWidth="1" min="36" max="36"/>
    <col width="12" customWidth="1" min="37" max="37"/>
    <col width="10" customWidth="1" min="38" max="38"/>
    <col width="60" customWidth="1" min="39" max="39"/>
    <col width="22" customWidth="1" min="40" max="40"/>
    <col width="34" customWidth="1" min="41" max="41"/>
    <col width="12" customWidth="1" min="42" max="42"/>
    <col width="12" customWidth="1" min="43" max="43"/>
    <col width="14" customWidth="1" min="44" max="44"/>
    <col width="40" customWidth="1" min="45" max="45"/>
    <col width="14" customWidth="1" min="46" max="46"/>
  </cols>
  <sheetData>
    <row r="1" ht="32" customHeight="1">
      <c r="A1" s="8" t="inlineStr">
        <is>
          <t>Rank</t>
        </is>
      </c>
      <c r="B1" s="8" t="inlineStr">
        <is>
          <t>Status</t>
        </is>
      </c>
      <c r="C1" s="8" t="inlineStr">
        <is>
          <t>Owner</t>
        </is>
      </c>
      <c r="D1" s="8" t="inlineStr">
        <is>
          <t>Attempts</t>
        </is>
      </c>
      <c r="E1" s="8" t="inlineStr">
        <is>
          <t>Last touch</t>
        </is>
      </c>
      <c r="F1" s="8" t="inlineStr">
        <is>
          <t>Next action</t>
        </is>
      </c>
      <c r="G1" s="8" t="inlineStr">
        <is>
          <t>Next date</t>
        </is>
      </c>
      <c r="H1" s="8" t="inlineStr">
        <is>
          <t>Notes</t>
        </is>
      </c>
      <c r="I1" s="8" t="inlineStr">
        <is>
          <t>Company (RFB)</t>
        </is>
      </c>
      <c r="J1" s="8" t="inlineStr">
        <is>
          <t>Name as printed</t>
        </is>
      </c>
      <c r="K1" s="8" t="inlineStr">
        <is>
          <t>CNPJ root</t>
        </is>
      </c>
      <c r="L1" s="8" t="inlineStr">
        <is>
          <t>Establishment CNPJs</t>
        </is>
      </c>
      <c r="M1" s="8" t="inlineStr">
        <is>
          <t>Class III face (R$)</t>
        </is>
      </c>
      <c r="N1" s="8" t="inlineStr">
        <is>
          <t>Claims</t>
        </is>
      </c>
      <c r="O1" s="8" t="inlineStr">
        <is>
          <t>Debtor band</t>
        </is>
      </c>
      <c r="P1" s="8" t="inlineStr">
        <is>
          <t>Stage</t>
        </is>
      </c>
      <c r="Q1" s="8" t="inlineStr">
        <is>
          <t>Case filed</t>
        </is>
      </c>
      <c r="R1" s="8" t="inlineStr">
        <is>
          <t>Years since filing</t>
        </is>
      </c>
      <c r="S1" s="8" t="inlineStr">
        <is>
          <t>Est. recovery %</t>
        </is>
      </c>
      <c r="T1" s="8" t="inlineStr">
        <is>
          <t>Years to payment (est.)</t>
        </is>
      </c>
      <c r="U1" s="8" t="inlineStr">
        <is>
          <t>Fund price @ IRR (R$)</t>
        </is>
      </c>
      <c r="V1" s="8" t="inlineStr">
        <is>
          <t>Fund price (cents)</t>
        </is>
      </c>
      <c r="W1" s="8" t="inlineStr">
        <is>
          <t>OUR QUOTE (R$)</t>
        </is>
      </c>
      <c r="X1" s="8" t="inlineStr">
        <is>
          <t>Quote (cents)</t>
        </is>
      </c>
      <c r="Y1" s="8" t="inlineStr">
        <is>
          <t>Debtor</t>
        </is>
      </c>
      <c r="Z1" s="8" t="inlineStr">
        <is>
          <t>Case number</t>
        </is>
      </c>
      <c r="AA1" s="8" t="inlineStr">
        <is>
          <t>Court</t>
        </is>
      </c>
      <c r="AB1" s="8" t="inlineStr">
        <is>
          <t>Administrator (site)</t>
        </is>
      </c>
      <c r="AC1" s="8" t="inlineStr">
        <is>
          <t>Decision-maker</t>
        </is>
      </c>
      <c r="AD1" s="8" t="inlineStr">
        <is>
          <t>Role</t>
        </is>
      </c>
      <c r="AE1" s="8" t="inlineStr">
        <is>
          <t>Phone</t>
        </is>
      </c>
      <c r="AF1" s="8" t="inlineStr">
        <is>
          <t>Phone 2</t>
        </is>
      </c>
      <c r="AG1" s="8" t="inlineStr">
        <is>
          <t>Email</t>
        </is>
      </c>
      <c r="AH1" s="8" t="inlineStr">
        <is>
          <t>UF</t>
        </is>
      </c>
      <c r="AI1" s="8" t="inlineStr">
        <is>
          <t>City</t>
        </is>
      </c>
      <c r="AJ1" s="8" t="inlineStr">
        <is>
          <t>CNAE</t>
        </is>
      </c>
      <c r="AK1" s="8" t="inlineStr">
        <is>
          <t>Porte</t>
        </is>
      </c>
      <c r="AL1" s="8" t="inlineStr">
        <is>
          <t>Situação</t>
        </is>
      </c>
      <c r="AM1" s="8" t="inlineStr">
        <is>
          <t>PROOF: source document</t>
        </is>
      </c>
      <c r="AN1" s="8" t="inlineStr">
        <is>
          <t>Page / row</t>
        </is>
      </c>
      <c r="AO1" s="8" t="inlineStr">
        <is>
          <t>Value as printed</t>
        </is>
      </c>
      <c r="AP1" s="8" t="inlineStr">
        <is>
          <t>Which list</t>
        </is>
      </c>
      <c r="AQ1" s="8" t="inlineStr">
        <is>
          <t>Published</t>
        </is>
      </c>
      <c r="AR1" s="8" t="inlineStr">
        <is>
          <t>Reconciled</t>
        </is>
      </c>
      <c r="AS1" s="8" t="inlineStr">
        <is>
          <t>Data flags</t>
        </is>
      </c>
      <c r="AT1" s="8" t="inlineStr">
        <is>
          <t>Doc id</t>
        </is>
      </c>
    </row>
    <row r="2">
      <c r="A2" s="9" t="n">
        <v>1</v>
      </c>
      <c r="B2" s="9" t="inlineStr">
        <is>
          <t>NEW</t>
        </is>
      </c>
      <c r="C2" s="9" t="inlineStr"/>
      <c r="D2" s="9" t="n">
        <v>0</v>
      </c>
      <c r="E2" s="9" t="inlineStr"/>
      <c r="F2" s="9" t="inlineStr"/>
      <c r="G2" s="9" t="inlineStr"/>
      <c r="H2" s="9" t="inlineStr"/>
      <c r="I2" t="inlineStr">
        <is>
          <t>PRO SHOWS COMERCIO DE ELETRO ELETRONICOS S.A.</t>
        </is>
      </c>
      <c r="J2" t="inlineStr">
        <is>
          <t>Rodovia BR 101, nº 9.555, Setor C3, Cidade Nova, CEP nº 88.308-620, Itajaí/SC</t>
        </is>
      </c>
      <c r="K2" t="inlineStr">
        <is>
          <t>06007513</t>
        </is>
      </c>
      <c r="L2" t="inlineStr">
        <is>
          <t>06007513000453</t>
        </is>
      </c>
      <c r="M2" s="10" t="n">
        <v>199819.8</v>
      </c>
      <c r="N2" t="n">
        <v>2</v>
      </c>
      <c r="O2" s="11" t="inlineStr">
        <is>
          <t>B</t>
        </is>
      </c>
      <c r="P2" s="11" t="inlineStr">
        <is>
          <t>ACTIVE</t>
        </is>
      </c>
      <c r="Q2" s="12" t="n">
        <v>45644</v>
      </c>
      <c r="R2" s="11">
        <f>IF(Q2="","",ROUND((TODAY()-Q2)/365.25,1))</f>
        <v/>
      </c>
      <c r="S2" s="13">
        <f>IFERROR(VLOOKUP(O2,Assumptions!$A$7:$F$11,2,FALSE),0.25)</f>
        <v/>
      </c>
      <c r="T2" s="14">
        <f>IF(O2="A",MAX(1,IFERROR(VLOOKUP(O2,Assumptions!$A$7:$F$11,3,FALSE),3)+IFERROR(VLOOKUP(O2,Assumptions!$A$7:$F$11,4,FALSE),8)/2-MAX(0,IF(R2="",0,R2)-IFERROR(VLOOKUP(O2,Assumptions!$A$7:$F$11,5,FALSE),1.5))),IFERROR(VLOOKUP(O2,Assumptions!$A$7:$F$11,5,FALSE),2.5)+IFERROR(VLOOKUP(O2,Assumptions!$A$7:$F$11,3,FALSE),3)+IFERROR(VLOOKUP(O2,Assumptions!$A$7:$F$11,4,FALSE),8)/2)</f>
        <v/>
      </c>
      <c r="U2" s="15">
        <f>M2*S2/(1+Assumptions!$B$3)^T2</f>
        <v/>
      </c>
      <c r="V2" s="11">
        <f>IF(M2=0,"",ROUND(U2/M2*100,1))</f>
        <v/>
      </c>
      <c r="W2" s="16">
        <f>U2*Assumptions!$B$4</f>
        <v/>
      </c>
      <c r="X2" s="11">
        <f>IF(M2=0,"",ROUND(W2/M2*100,1))</f>
        <v/>
      </c>
      <c r="Y2" t="inlineStr">
        <is>
          <t>GRUPO RIVER MUSIC</t>
        </is>
      </c>
      <c r="Z2" t="inlineStr">
        <is>
          <t>1001174-80.2024.8.26.0359</t>
        </is>
      </c>
      <c r="AA2" t="inlineStr">
        <is>
          <t>TJSP</t>
        </is>
      </c>
      <c r="AB2" t="inlineStr">
        <is>
          <t>ativosajce.com.br</t>
        </is>
      </c>
      <c r="AC2" t="inlineStr">
        <is>
          <t>VLADIMIR DE SOUZA</t>
        </is>
      </c>
      <c r="AD2" t="inlineStr">
        <is>
          <t>Diretor</t>
        </is>
      </c>
      <c r="AE2" t="inlineStr">
        <is>
          <t>(51) 3034-8100</t>
        </is>
      </c>
      <c r="AF2" t="inlineStr"/>
      <c r="AG2" t="inlineStr"/>
      <c r="AH2" t="inlineStr">
        <is>
          <t>RS</t>
        </is>
      </c>
      <c r="AI2" t="inlineStr">
        <is>
          <t>CANOAS</t>
        </is>
      </c>
      <c r="AJ2" t="inlineStr">
        <is>
          <t>Comércio atacadista de aparelhos eletrônicos de uso pessoal e doméstico</t>
        </is>
      </c>
      <c r="AK2" t="inlineStr">
        <is>
          <t>DEMAIS</t>
        </is>
      </c>
      <c r="AL2" t="inlineStr">
        <is>
          <t>ATIVA</t>
        </is>
      </c>
      <c r="AM2" s="17" t="inlineStr">
        <is>
          <t>https://ativosajce.com.br/admin/download.php?file=files/processo_documento/processo_documento18543908052025_1_.pdf&amp;nome=Relação de Credores - art. 52, §1º da Lei 11.101/05 - 27/01/2025</t>
        </is>
      </c>
      <c r="AN2" s="18" t="inlineStr">
        <is>
          <t>p3 r9; p3 r24</t>
        </is>
      </c>
      <c r="AO2" s="18" t="inlineStr">
        <is>
          <t>p3: R$ 13.044,12; p3: R$ 186.775,68</t>
        </is>
      </c>
      <c r="AP2" s="18" t="inlineStr">
        <is>
          <t>UNKNOWN</t>
        </is>
      </c>
      <c r="AQ2" s="18" t="inlineStr"/>
      <c r="AR2" s="18" t="inlineStr">
        <is>
          <t>OK_NO_TOTALS</t>
        </is>
      </c>
      <c r="AS2" s="18" t="inlineStr">
        <is>
          <t>ROWS:p3r9,p3r24 UNRECONCILED_SOURCE VALUE_COL:Valor_Do_Créidto</t>
        </is>
      </c>
      <c r="AT2" s="18" t="inlineStr">
        <is>
          <t>442539f948e0</t>
        </is>
      </c>
    </row>
    <row r="3">
      <c r="A3" s="9" t="n">
        <v>2</v>
      </c>
      <c r="B3" s="9" t="inlineStr">
        <is>
          <t>NEW</t>
        </is>
      </c>
      <c r="C3" s="9" t="inlineStr"/>
      <c r="D3" s="9" t="n">
        <v>0</v>
      </c>
      <c r="E3" s="9" t="inlineStr"/>
      <c r="F3" s="9" t="inlineStr"/>
      <c r="G3" s="9" t="inlineStr"/>
      <c r="H3" s="9" t="inlineStr"/>
      <c r="I3" t="inlineStr">
        <is>
          <t>VOTORANTIM CIMENTOS S.A.</t>
        </is>
      </c>
      <c r="J3" t="inlineStr">
        <is>
          <t>RUA ANTÔNIO LUCHIARI QUADRA7463 LOTE 003 C1-D1 1 DISTRITO INDUSTRIAL 13054700</t>
        </is>
      </c>
      <c r="K3" t="inlineStr">
        <is>
          <t>01637895</t>
        </is>
      </c>
      <c r="L3" t="inlineStr">
        <is>
          <t>01637895000728, 01637895001023, 01637895002852, 01637895008893, 01637895012300, 01637895015830, 01637895024074</t>
        </is>
      </c>
      <c r="M3" s="10" t="n">
        <v>199439.99</v>
      </c>
      <c r="N3" t="n">
        <v>7</v>
      </c>
      <c r="O3" s="11" t="inlineStr">
        <is>
          <t>B</t>
        </is>
      </c>
      <c r="P3" s="11" t="inlineStr">
        <is>
          <t>ACTIVE</t>
        </is>
      </c>
      <c r="Q3" s="12" t="n">
        <v>45964</v>
      </c>
      <c r="R3" s="11">
        <f>IF(Q3="","",ROUND((TODAY()-Q3)/365.25,1))</f>
        <v/>
      </c>
      <c r="S3" s="13">
        <f>IFERROR(VLOOKUP(O3,Assumptions!$A$7:$F$11,2,FALSE),0.25)</f>
        <v/>
      </c>
      <c r="T3" s="14">
        <f>IF(O3="A",MAX(1,IFERROR(VLOOKUP(O3,Assumptions!$A$7:$F$11,3,FALSE),3)+IFERROR(VLOOKUP(O3,Assumptions!$A$7:$F$11,4,FALSE),8)/2-MAX(0,IF(R3="",0,R3)-IFERROR(VLOOKUP(O3,Assumptions!$A$7:$F$11,5,FALSE),1.5))),IFERROR(VLOOKUP(O3,Assumptions!$A$7:$F$11,5,FALSE),2.5)+IFERROR(VLOOKUP(O3,Assumptions!$A$7:$F$11,3,FALSE),3)+IFERROR(VLOOKUP(O3,Assumptions!$A$7:$F$11,4,FALSE),8)/2)</f>
        <v/>
      </c>
      <c r="U3" s="15">
        <f>M3*S3/(1+Assumptions!$B$3)^T3</f>
        <v/>
      </c>
      <c r="V3" s="11">
        <f>IF(M3=0,"",ROUND(U3/M3*100,1))</f>
        <v/>
      </c>
      <c r="W3" s="16">
        <f>U3*Assumptions!$B$4</f>
        <v/>
      </c>
      <c r="X3" s="11">
        <f>IF(M3=0,"",ROUND(W3/M3*100,1))</f>
        <v/>
      </c>
      <c r="Y3" t="inlineStr">
        <is>
          <t>CENTURY CONSTRUÇÕES COMÉRCIO E SERVIÇOS LTDA.</t>
        </is>
      </c>
      <c r="Z3" t="inlineStr">
        <is>
          <t>4054599-35.2025.8.26.0100</t>
        </is>
      </c>
      <c r="AA3" t="inlineStr">
        <is>
          <t>TJSP</t>
        </is>
      </c>
      <c r="AB3" t="inlineStr">
        <is>
          <t>ativosajce.com.br</t>
        </is>
      </c>
      <c r="AC3" t="inlineStr">
        <is>
          <t>OSVALDO AYRES FILHO</t>
        </is>
      </c>
      <c r="AD3" t="inlineStr">
        <is>
          <t>Presidente</t>
        </is>
      </c>
      <c r="AE3" t="inlineStr">
        <is>
          <t>(41) 3388-5292</t>
        </is>
      </c>
      <c r="AF3" t="inlineStr"/>
      <c r="AG3" t="inlineStr"/>
      <c r="AH3" t="inlineStr">
        <is>
          <t>SP</t>
        </is>
      </c>
      <c r="AI3" t="inlineStr">
        <is>
          <t>SAO PAULO</t>
        </is>
      </c>
      <c r="AJ3" t="inlineStr">
        <is>
          <t>Fabricação de cimento</t>
        </is>
      </c>
      <c r="AK3" t="inlineStr">
        <is>
          <t>DEMAIS</t>
        </is>
      </c>
      <c r="AL3" t="inlineStr">
        <is>
          <t>ATIVA</t>
        </is>
      </c>
      <c r="AM3" s="17" t="inlineStr">
        <is>
          <t>https://ativosajce.com.br/admin/download.php?file=files/processo_documento/processo_documento16022716122025_1_.pdf&amp;nome=Relação de credores - art. 52, §1º da Lei 11.101/05 - 15/12/2025</t>
        </is>
      </c>
      <c r="AN3" s="18" t="inlineStr">
        <is>
          <t>p4 r73; p4 r74; p4 r75; p4 r76; p4 r77; p4 r78; p4 r79</t>
        </is>
      </c>
      <c r="AO3" s="18" t="inlineStr">
        <is>
          <t>p4: R$ 111.357,19; p4: R$ 38.068,00; p4: R$ 19.069,20; p4: R$ 12.099,20; p4: R$ 9.304,40; p4: R$ 8.372,00; p4: R$ 1.170,00</t>
        </is>
      </c>
      <c r="AP3" s="18" t="inlineStr">
        <is>
          <t>UNKNOWN</t>
        </is>
      </c>
      <c r="AQ3" s="18" t="inlineStr"/>
      <c r="AR3" s="18" t="inlineStr">
        <is>
          <t>OK_NO_TOTALS</t>
        </is>
      </c>
      <c r="AS3" s="18" t="inlineStr">
        <is>
          <t>ROWS:p4r73,p4r74,p4r75,p4r76,p4r77,p4r78,p4r79 UNRECONCILED_SOURCE</t>
        </is>
      </c>
      <c r="AT3" s="18" t="inlineStr">
        <is>
          <t>2fe04bf4466d</t>
        </is>
      </c>
    </row>
    <row r="4">
      <c r="A4" s="9" t="n">
        <v>3</v>
      </c>
      <c r="B4" s="9" t="inlineStr">
        <is>
          <t>NEW</t>
        </is>
      </c>
      <c r="C4" s="9" t="inlineStr"/>
      <c r="D4" s="9" t="n">
        <v>0</v>
      </c>
      <c r="E4" s="9" t="inlineStr"/>
      <c r="F4" s="9" t="inlineStr"/>
      <c r="G4" s="9" t="inlineStr"/>
      <c r="H4" s="9" t="inlineStr"/>
      <c r="I4" t="inlineStr">
        <is>
          <t>AUSTEX INDUSTRIA E COMERCIO LTDA</t>
        </is>
      </c>
      <c r="J4" t="inlineStr">
        <is>
          <t>AUSTEX IND E COM LTDA</t>
        </is>
      </c>
      <c r="K4" t="inlineStr">
        <is>
          <t>53359089</t>
        </is>
      </c>
      <c r="L4" t="inlineStr">
        <is>
          <t>53359089000143</t>
        </is>
      </c>
      <c r="M4" s="10" t="n">
        <v>199383.61</v>
      </c>
      <c r="N4" t="n">
        <v>1</v>
      </c>
      <c r="O4" s="11" t="inlineStr">
        <is>
          <t>D</t>
        </is>
      </c>
      <c r="P4" s="11" t="inlineStr"/>
      <c r="Q4" s="12" t="inlineStr"/>
      <c r="R4" s="11">
        <f>IF(Q4="","",ROUND((TODAY()-Q4)/365.25,1))</f>
        <v/>
      </c>
      <c r="S4" s="13">
        <f>IFERROR(VLOOKUP(O4,Assumptions!$A$7:$F$11,2,FALSE),0.25)</f>
        <v/>
      </c>
      <c r="T4" s="14">
        <f>IF(O4="A",MAX(1,IFERROR(VLOOKUP(O4,Assumptions!$A$7:$F$11,3,FALSE),3)+IFERROR(VLOOKUP(O4,Assumptions!$A$7:$F$11,4,FALSE),8)/2-MAX(0,IF(R4="",0,R4)-IFERROR(VLOOKUP(O4,Assumptions!$A$7:$F$11,5,FALSE),1.5))),IFERROR(VLOOKUP(O4,Assumptions!$A$7:$F$11,5,FALSE),2.5)+IFERROR(VLOOKUP(O4,Assumptions!$A$7:$F$11,3,FALSE),3)+IFERROR(VLOOKUP(O4,Assumptions!$A$7:$F$11,4,FALSE),8)/2)</f>
        <v/>
      </c>
      <c r="U4" s="15">
        <f>M4*S4/(1+Assumptions!$B$3)^T4</f>
        <v/>
      </c>
      <c r="V4" s="11">
        <f>IF(M4=0,"",ROUND(U4/M4*100,1))</f>
        <v/>
      </c>
      <c r="W4" s="16">
        <f>U4*Assumptions!$B$4</f>
        <v/>
      </c>
      <c r="X4" s="11">
        <f>IF(M4=0,"",ROUND(W4/M4*100,1))</f>
        <v/>
      </c>
      <c r="Y4" t="inlineStr">
        <is>
          <t>Mannes</t>
        </is>
      </c>
      <c r="Z4" t="inlineStr">
        <is>
          <t>0005010-50.2013.8.24.0026</t>
        </is>
      </c>
      <c r="AA4" t="inlineStr"/>
      <c r="AB4" t="inlineStr">
        <is>
          <t>administradorajudicialgs.com.br</t>
        </is>
      </c>
      <c r="AC4" t="inlineStr">
        <is>
          <t>HARRY MIKLAUTZ</t>
        </is>
      </c>
      <c r="AD4" t="inlineStr">
        <is>
          <t>Sócio-Administrador</t>
        </is>
      </c>
      <c r="AE4" t="inlineStr">
        <is>
          <t>(11) 2167-2112</t>
        </is>
      </c>
      <c r="AF4" t="inlineStr"/>
      <c r="AG4" t="inlineStr"/>
      <c r="AH4" t="inlineStr">
        <is>
          <t>SP</t>
        </is>
      </c>
      <c r="AI4" t="inlineStr">
        <is>
          <t>SAO PAULO</t>
        </is>
      </c>
      <c r="AJ4" t="inlineStr">
        <is>
          <t>Fabricação de tecidos especiais, inclusive artefatos</t>
        </is>
      </c>
      <c r="AK4" t="inlineStr">
        <is>
          <t>DEMAIS</t>
        </is>
      </c>
      <c r="AL4" t="inlineStr">
        <is>
          <t>ATIVA</t>
        </is>
      </c>
      <c r="AM4" s="17" t="inlineStr">
        <is>
          <t>https://administradorajudicialgs.com.br/wp-content/uploads/2024/12/relacao-de-credores-da-falida.pdf</t>
        </is>
      </c>
      <c r="AN4" s="18" t="inlineStr">
        <is>
          <t>p13 r1</t>
        </is>
      </c>
      <c r="AO4" s="18" t="inlineStr">
        <is>
          <t>p13: R$ 199.383,61</t>
        </is>
      </c>
      <c r="AP4" s="18" t="inlineStr">
        <is>
          <t>OTHER</t>
        </is>
      </c>
      <c r="AQ4" s="18" t="inlineStr">
        <is>
          <t>2025-03-25</t>
        </is>
      </c>
      <c r="AR4" s="18" t="inlineStr">
        <is>
          <t>OK_NO_TOTALS</t>
        </is>
      </c>
      <c r="AS4" s="18" t="inlineStr">
        <is>
          <t>ROWS:p13r1 UNRECONCILED_SOURCE CASE_NUMBER_CORRECTED</t>
        </is>
      </c>
      <c r="AT4" s="18" t="inlineStr">
        <is>
          <t>ea17ba43b261</t>
        </is>
      </c>
    </row>
    <row r="5">
      <c r="A5" s="9" t="n">
        <v>4</v>
      </c>
      <c r="B5" s="9" t="inlineStr">
        <is>
          <t>NEW</t>
        </is>
      </c>
      <c r="C5" s="9" t="inlineStr"/>
      <c r="D5" s="9" t="n">
        <v>0</v>
      </c>
      <c r="E5" s="9" t="inlineStr"/>
      <c r="F5" s="9" t="inlineStr"/>
      <c r="G5" s="9" t="inlineStr"/>
      <c r="H5" s="9" t="inlineStr"/>
      <c r="I5" t="inlineStr">
        <is>
          <t>BRITANIA ELETRONICOS S.A.</t>
        </is>
      </c>
      <c r="J5" t="inlineStr">
        <is>
          <t>07.019.308/0001-28</t>
        </is>
      </c>
      <c r="K5" t="inlineStr">
        <is>
          <t>07019308</t>
        </is>
      </c>
      <c r="L5" t="inlineStr">
        <is>
          <t>07019308000128</t>
        </is>
      </c>
      <c r="M5" s="10" t="n">
        <v>199134.45</v>
      </c>
      <c r="N5" t="n">
        <v>1</v>
      </c>
      <c r="O5" s="11" t="inlineStr">
        <is>
          <t>C</t>
        </is>
      </c>
      <c r="P5" s="11" t="inlineStr">
        <is>
          <t>ACTIVE</t>
        </is>
      </c>
      <c r="Q5" s="12" t="n">
        <v>43894</v>
      </c>
      <c r="R5" s="11">
        <f>IF(Q5="","",ROUND((TODAY()-Q5)/365.25,1))</f>
        <v/>
      </c>
      <c r="S5" s="13">
        <f>IFERROR(VLOOKUP(O5,Assumptions!$A$7:$F$11,2,FALSE),0.25)</f>
        <v/>
      </c>
      <c r="T5" s="14">
        <f>IF(O5="A",MAX(1,IFERROR(VLOOKUP(O5,Assumptions!$A$7:$F$11,3,FALSE),3)+IFERROR(VLOOKUP(O5,Assumptions!$A$7:$F$11,4,FALSE),8)/2-MAX(0,IF(R5="",0,R5)-IFERROR(VLOOKUP(O5,Assumptions!$A$7:$F$11,5,FALSE),1.5))),IFERROR(VLOOKUP(O5,Assumptions!$A$7:$F$11,5,FALSE),2.5)+IFERROR(VLOOKUP(O5,Assumptions!$A$7:$F$11,3,FALSE),3)+IFERROR(VLOOKUP(O5,Assumptions!$A$7:$F$11,4,FALSE),8)/2)</f>
        <v/>
      </c>
      <c r="U5" s="15">
        <f>M5*S5/(1+Assumptions!$B$3)^T5</f>
        <v/>
      </c>
      <c r="V5" s="11">
        <f>IF(M5=0,"",ROUND(U5/M5*100,1))</f>
        <v/>
      </c>
      <c r="W5" s="16">
        <f>U5*Assumptions!$B$4</f>
        <v/>
      </c>
      <c r="X5" s="11">
        <f>IF(M5=0,"",ROUND(W5/M5*100,1))</f>
        <v/>
      </c>
      <c r="Y5" t="inlineStr">
        <is>
          <t>CREDIMÓVEIS NOVOLAR LTDA.</t>
        </is>
      </c>
      <c r="Z5" t="inlineStr">
        <is>
          <t>0007565-40.2020.8.17.2370</t>
        </is>
      </c>
      <c r="AA5" t="inlineStr">
        <is>
          <t>TJPE</t>
        </is>
      </c>
      <c r="AB5" t="inlineStr">
        <is>
          <t>recuperacaojudicial.squarespace.com</t>
        </is>
      </c>
      <c r="AC5" t="inlineStr">
        <is>
          <t>CESAR EDUARDO ISAACSON BUFFARA</t>
        </is>
      </c>
      <c r="AD5" t="inlineStr">
        <is>
          <t>Presidente</t>
        </is>
      </c>
      <c r="AE5" t="inlineStr">
        <is>
          <t>(41) 3218-7700</t>
        </is>
      </c>
      <c r="AF5" t="inlineStr"/>
      <c r="AG5" t="inlineStr"/>
      <c r="AH5" t="inlineStr">
        <is>
          <t>SC</t>
        </is>
      </c>
      <c r="AI5" t="inlineStr">
        <is>
          <t>JOINVILLE</t>
        </is>
      </c>
      <c r="AJ5" t="inlineStr">
        <is>
          <t>Comércio atacadista de aparelhos eletrônicos de uso pessoal e doméstico</t>
        </is>
      </c>
      <c r="AK5" t="inlineStr">
        <is>
          <t>DEMAIS</t>
        </is>
      </c>
      <c r="AL5" t="inlineStr">
        <is>
          <t>ATIVA</t>
        </is>
      </c>
      <c r="AM5" s="17" t="inlineStr">
        <is>
          <t>https://recuperacaojudicial.squarespace.com/s/RJ-Credimoveis-QGC-01082025.pdf</t>
        </is>
      </c>
      <c r="AN5" s="18" t="inlineStr">
        <is>
          <t>p15 r23</t>
        </is>
      </c>
      <c r="AO5" s="18" t="inlineStr">
        <is>
          <t>p15: R$ 199.134,45</t>
        </is>
      </c>
      <c r="AP5" s="18" t="inlineStr">
        <is>
          <t>QGC</t>
        </is>
      </c>
      <c r="AQ5" s="18" t="inlineStr">
        <is>
          <t>2026-01-28</t>
        </is>
      </c>
      <c r="AR5" s="18" t="inlineStr">
        <is>
          <t>OK</t>
        </is>
      </c>
      <c r="AS5" s="18" t="inlineStr">
        <is>
          <t>ROWS:p15r23</t>
        </is>
      </c>
      <c r="AT5" s="18" t="inlineStr">
        <is>
          <t>849d4fe5adce</t>
        </is>
      </c>
    </row>
    <row r="6">
      <c r="A6" s="9" t="n">
        <v>5</v>
      </c>
      <c r="B6" s="9" t="inlineStr">
        <is>
          <t>NEW</t>
        </is>
      </c>
      <c r="C6" s="9" t="inlineStr"/>
      <c r="D6" s="9" t="n">
        <v>0</v>
      </c>
      <c r="E6" s="9" t="inlineStr"/>
      <c r="F6" s="9" t="inlineStr"/>
      <c r="G6" s="9" t="inlineStr"/>
      <c r="H6" s="9" t="inlineStr"/>
      <c r="I6" t="inlineStr">
        <is>
          <t>SEARA ALIMENTOS LTDA</t>
        </is>
      </c>
      <c r="J6" t="inlineStr">
        <is>
          <t>Seara Alimentos Ltda</t>
        </is>
      </c>
      <c r="K6" t="inlineStr">
        <is>
          <t>02914460</t>
        </is>
      </c>
      <c r="L6" t="inlineStr">
        <is>
          <t>02914460058230</t>
        </is>
      </c>
      <c r="M6" s="10" t="n">
        <v>198390</v>
      </c>
      <c r="N6" t="n">
        <v>1</v>
      </c>
      <c r="O6" s="11" t="inlineStr">
        <is>
          <t>C</t>
        </is>
      </c>
      <c r="P6" s="11" t="inlineStr">
        <is>
          <t>ACTIVE</t>
        </is>
      </c>
      <c r="Q6" s="12" t="n">
        <v>45275</v>
      </c>
      <c r="R6" s="11">
        <f>IF(Q6="","",ROUND((TODAY()-Q6)/365.25,1))</f>
        <v/>
      </c>
      <c r="S6" s="13">
        <f>IFERROR(VLOOKUP(O6,Assumptions!$A$7:$F$11,2,FALSE),0.25)</f>
        <v/>
      </c>
      <c r="T6" s="14">
        <f>IF(O6="A",MAX(1,IFERROR(VLOOKUP(O6,Assumptions!$A$7:$F$11,3,FALSE),3)+IFERROR(VLOOKUP(O6,Assumptions!$A$7:$F$11,4,FALSE),8)/2-MAX(0,IF(R6="",0,R6)-IFERROR(VLOOKUP(O6,Assumptions!$A$7:$F$11,5,FALSE),1.5))),IFERROR(VLOOKUP(O6,Assumptions!$A$7:$F$11,5,FALSE),2.5)+IFERROR(VLOOKUP(O6,Assumptions!$A$7:$F$11,3,FALSE),3)+IFERROR(VLOOKUP(O6,Assumptions!$A$7:$F$11,4,FALSE),8)/2)</f>
        <v/>
      </c>
      <c r="U6" s="15">
        <f>M6*S6/(1+Assumptions!$B$3)^T6</f>
        <v/>
      </c>
      <c r="V6" s="11">
        <f>IF(M6=0,"",ROUND(U6/M6*100,1))</f>
        <v/>
      </c>
      <c r="W6" s="16">
        <f>U6*Assumptions!$B$4</f>
        <v/>
      </c>
      <c r="X6" s="11">
        <f>IF(M6=0,"",ROUND(W6/M6*100,1))</f>
        <v/>
      </c>
      <c r="Y6" t="inlineStr">
        <is>
          <t>Grupo Agromeal</t>
        </is>
      </c>
      <c r="Z6" t="inlineStr">
        <is>
          <t>0003971-03.2023.8.16.0119</t>
        </is>
      </c>
      <c r="AA6" t="inlineStr">
        <is>
          <t>TJPR</t>
        </is>
      </c>
      <c r="AB6" t="inlineStr">
        <is>
          <t>marquesadmjudicial.com.br</t>
        </is>
      </c>
      <c r="AC6" t="inlineStr">
        <is>
          <t>ELISEO SANTIAGO PEREZ FERNANDEZ</t>
        </is>
      </c>
      <c r="AD6" t="inlineStr">
        <is>
          <t>Administrador</t>
        </is>
      </c>
      <c r="AE6" t="inlineStr">
        <is>
          <t>(47) 3344-7424</t>
        </is>
      </c>
      <c r="AF6" t="inlineStr"/>
      <c r="AG6" t="inlineStr"/>
      <c r="AH6" t="inlineStr">
        <is>
          <t>SC</t>
        </is>
      </c>
      <c r="AI6" t="inlineStr">
        <is>
          <t>ITAJAI</t>
        </is>
      </c>
      <c r="AJ6" t="inlineStr">
        <is>
          <t>Comércio atacadista de carnes bovinas e suínas e derivados</t>
        </is>
      </c>
      <c r="AK6" t="inlineStr">
        <is>
          <t>DEMAIS</t>
        </is>
      </c>
      <c r="AL6" t="inlineStr">
        <is>
          <t>ATIVA</t>
        </is>
      </c>
      <c r="AM6" s="17" t="inlineStr">
        <is>
          <t>https://marquesadmjudicial.com.br/sgc/download.php?file=files/processo_documento/processo_documento17040729052024_1_.pdf&amp;nome=Relação Nominal de Credores AJ-Sintética</t>
        </is>
      </c>
      <c r="AN6" s="18" t="inlineStr">
        <is>
          <t>p13 r3</t>
        </is>
      </c>
      <c r="AO6" s="18" t="inlineStr">
        <is>
          <t>p13: R$ 198.390,00</t>
        </is>
      </c>
      <c r="AP6" s="18" t="inlineStr">
        <is>
          <t>AJ_LIST</t>
        </is>
      </c>
      <c r="AQ6" s="18" t="inlineStr">
        <is>
          <t>2024-05-27</t>
        </is>
      </c>
      <c r="AR6" s="18" t="inlineStr">
        <is>
          <t>QUARANTINED</t>
        </is>
      </c>
      <c r="AS6" s="18" t="inlineStr">
        <is>
          <t>PARTIAL_DOC_CLASS_III_RECONCILED ROWS:p13r3</t>
        </is>
      </c>
      <c r="AT6" s="18" t="inlineStr">
        <is>
          <t>1209dafe77b7</t>
        </is>
      </c>
    </row>
    <row r="7">
      <c r="A7" s="9" t="n">
        <v>6</v>
      </c>
      <c r="B7" s="9" t="inlineStr">
        <is>
          <t>NEW</t>
        </is>
      </c>
      <c r="C7" s="9" t="inlineStr"/>
      <c r="D7" s="9" t="n">
        <v>0</v>
      </c>
      <c r="E7" s="9" t="inlineStr"/>
      <c r="F7" s="9" t="inlineStr"/>
      <c r="G7" s="9" t="inlineStr"/>
      <c r="H7" s="9" t="inlineStr"/>
      <c r="I7" t="inlineStr">
        <is>
          <t>FUNDO DE PROMOCOES COLETIVAS DO MARINGA PARK SHOPPING CENTER</t>
        </is>
      </c>
      <c r="J7" t="inlineStr">
        <is>
          <t>Fundo de Promoções Coletivas do Maringá Park Shopping Center</t>
        </is>
      </c>
      <c r="K7" t="inlineStr">
        <is>
          <t>01249612</t>
        </is>
      </c>
      <c r="L7" t="inlineStr">
        <is>
          <t>01249612000185</t>
        </is>
      </c>
      <c r="M7" s="10" t="n">
        <v>198105.81</v>
      </c>
      <c r="N7" t="n">
        <v>1</v>
      </c>
      <c r="O7" s="11" t="inlineStr">
        <is>
          <t>B</t>
        </is>
      </c>
      <c r="P7" s="11" t="inlineStr">
        <is>
          <t>ACTIVE</t>
        </is>
      </c>
      <c r="Q7" s="12" t="n">
        <v>45833</v>
      </c>
      <c r="R7" s="11">
        <f>IF(Q7="","",ROUND((TODAY()-Q7)/365.25,1))</f>
        <v/>
      </c>
      <c r="S7" s="13">
        <f>IFERROR(VLOOKUP(O7,Assumptions!$A$7:$F$11,2,FALSE),0.25)</f>
        <v/>
      </c>
      <c r="T7" s="14">
        <f>IF(O7="A",MAX(1,IFERROR(VLOOKUP(O7,Assumptions!$A$7:$F$11,3,FALSE),3)+IFERROR(VLOOKUP(O7,Assumptions!$A$7:$F$11,4,FALSE),8)/2-MAX(0,IF(R7="",0,R7)-IFERROR(VLOOKUP(O7,Assumptions!$A$7:$F$11,5,FALSE),1.5))),IFERROR(VLOOKUP(O7,Assumptions!$A$7:$F$11,5,FALSE),2.5)+IFERROR(VLOOKUP(O7,Assumptions!$A$7:$F$11,3,FALSE),3)+IFERROR(VLOOKUP(O7,Assumptions!$A$7:$F$11,4,FALSE),8)/2)</f>
        <v/>
      </c>
      <c r="U7" s="15">
        <f>M7*S7/(1+Assumptions!$B$3)^T7</f>
        <v/>
      </c>
      <c r="V7" s="11">
        <f>IF(M7=0,"",ROUND(U7/M7*100,1))</f>
        <v/>
      </c>
      <c r="W7" s="16">
        <f>U7*Assumptions!$B$4</f>
        <v/>
      </c>
      <c r="X7" s="11">
        <f>IF(M7=0,"",ROUND(W7/M7*100,1))</f>
        <v/>
      </c>
      <c r="Y7" t="inlineStr">
        <is>
          <t>GRUPO MARINGÁ PARK</t>
        </is>
      </c>
      <c r="Z7" t="inlineStr">
        <is>
          <t>0016033-22.2025.8.16.0017</t>
        </is>
      </c>
      <c r="AA7" t="inlineStr">
        <is>
          <t>TJPR</t>
        </is>
      </c>
      <c r="AB7" t="inlineStr">
        <is>
          <t>marquesadmjudicial.com.br</t>
        </is>
      </c>
      <c r="AC7" t="inlineStr">
        <is>
          <t>JOAO BATISTA FERREIRA</t>
        </is>
      </c>
      <c r="AD7" t="inlineStr">
        <is>
          <t>Administrador</t>
        </is>
      </c>
      <c r="AE7" t="inlineStr"/>
      <c r="AF7" t="inlineStr"/>
      <c r="AG7" t="inlineStr"/>
      <c r="AH7" t="inlineStr">
        <is>
          <t>PR</t>
        </is>
      </c>
      <c r="AI7" t="inlineStr">
        <is>
          <t>MARINGA</t>
        </is>
      </c>
      <c r="AJ7" t="inlineStr">
        <is>
          <t>Atividades de associações de defesa de direitos sociais</t>
        </is>
      </c>
      <c r="AK7" t="inlineStr">
        <is>
          <t>DEMAIS</t>
        </is>
      </c>
      <c r="AL7" t="inlineStr">
        <is>
          <t>ATIVA</t>
        </is>
      </c>
      <c r="AM7" s="17" t="inlineStr">
        <is>
          <t>https://marquesadmjudicial.com.br/sgc/download.php?file=files/processo_documento/processo_documento19270817122025_1_.pdf&amp;nome=Relação Nominal de Credores AJ</t>
        </is>
      </c>
      <c r="AN7" s="18" t="inlineStr">
        <is>
          <t>p4 r10</t>
        </is>
      </c>
      <c r="AO7" s="18" t="inlineStr">
        <is>
          <t>p4: R$ 198.105,81</t>
        </is>
      </c>
      <c r="AP7" s="18" t="inlineStr">
        <is>
          <t>AJ_LIST</t>
        </is>
      </c>
      <c r="AQ7" s="18" t="inlineStr">
        <is>
          <t>2025-12-17</t>
        </is>
      </c>
      <c r="AR7" s="18" t="inlineStr">
        <is>
          <t>OK</t>
        </is>
      </c>
      <c r="AS7" s="18" t="inlineStr">
        <is>
          <t>ROWS:p4r10</t>
        </is>
      </c>
      <c r="AT7" s="18" t="inlineStr">
        <is>
          <t>fcb10a251582</t>
        </is>
      </c>
    </row>
    <row r="8">
      <c r="A8" s="9" t="n">
        <v>7</v>
      </c>
      <c r="B8" s="9" t="inlineStr">
        <is>
          <t>NEW</t>
        </is>
      </c>
      <c r="C8" s="9" t="inlineStr"/>
      <c r="D8" s="9" t="n">
        <v>0</v>
      </c>
      <c r="E8" s="9" t="inlineStr"/>
      <c r="F8" s="9" t="inlineStr"/>
      <c r="G8" s="9" t="inlineStr"/>
      <c r="H8" s="9" t="inlineStr"/>
      <c r="I8" t="inlineStr">
        <is>
          <t>MAQENGE - INDUSTRIA METALURGICA LTDA</t>
        </is>
      </c>
      <c r="J8" t="inlineStr">
        <is>
          <t>MAQENGE IND METALURGICA LTDA (</t>
        </is>
      </c>
      <c r="K8" t="inlineStr">
        <is>
          <t>05000896</t>
        </is>
      </c>
      <c r="L8" t="inlineStr">
        <is>
          <t>05000896000122</t>
        </is>
      </c>
      <c r="M8" s="10" t="n">
        <v>197970.43</v>
      </c>
      <c r="N8" t="n">
        <v>1</v>
      </c>
      <c r="O8" s="11" t="inlineStr">
        <is>
          <t>C</t>
        </is>
      </c>
      <c r="P8" s="11" t="inlineStr">
        <is>
          <t>ACTIVE</t>
        </is>
      </c>
      <c r="Q8" s="12" t="n">
        <v>44354</v>
      </c>
      <c r="R8" s="11">
        <f>IF(Q8="","",ROUND((TODAY()-Q8)/365.25,1))</f>
        <v/>
      </c>
      <c r="S8" s="13">
        <f>IFERROR(VLOOKUP(O8,Assumptions!$A$7:$F$11,2,FALSE),0.25)</f>
        <v/>
      </c>
      <c r="T8" s="14">
        <f>IF(O8="A",MAX(1,IFERROR(VLOOKUP(O8,Assumptions!$A$7:$F$11,3,FALSE),3)+IFERROR(VLOOKUP(O8,Assumptions!$A$7:$F$11,4,FALSE),8)/2-MAX(0,IF(R8="",0,R8)-IFERROR(VLOOKUP(O8,Assumptions!$A$7:$F$11,5,FALSE),1.5))),IFERROR(VLOOKUP(O8,Assumptions!$A$7:$F$11,5,FALSE),2.5)+IFERROR(VLOOKUP(O8,Assumptions!$A$7:$F$11,3,FALSE),3)+IFERROR(VLOOKUP(O8,Assumptions!$A$7:$F$11,4,FALSE),8)/2)</f>
        <v/>
      </c>
      <c r="U8" s="15">
        <f>M8*S8/(1+Assumptions!$B$3)^T8</f>
        <v/>
      </c>
      <c r="V8" s="11">
        <f>IF(M8=0,"",ROUND(U8/M8*100,1))</f>
        <v/>
      </c>
      <c r="W8" s="16">
        <f>U8*Assumptions!$B$4</f>
        <v/>
      </c>
      <c r="X8" s="11">
        <f>IF(M8=0,"",ROUND(W8/M8*100,1))</f>
        <v/>
      </c>
      <c r="Y8" t="inlineStr">
        <is>
          <t>VECTOR INDÚSTRIA DE PRODUTOS METALÚRGICOS LTDA.</t>
        </is>
      </c>
      <c r="Z8" t="inlineStr">
        <is>
          <t>5014104-85.2021.8.21.0010</t>
        </is>
      </c>
      <c r="AA8" t="inlineStr">
        <is>
          <t>TJRS</t>
        </is>
      </c>
      <c r="AB8" t="inlineStr">
        <is>
          <t>scalzilliaj.com.br</t>
        </is>
      </c>
      <c r="AC8" t="inlineStr">
        <is>
          <t>JOSE LUIZ ZECHIN</t>
        </is>
      </c>
      <c r="AD8" t="inlineStr">
        <is>
          <t>Administrador</t>
        </is>
      </c>
      <c r="AE8" t="inlineStr">
        <is>
          <t>(54) 3535-3050</t>
        </is>
      </c>
      <c r="AF8" t="inlineStr">
        <is>
          <t>(54) 3535-3061</t>
        </is>
      </c>
      <c r="AG8" t="inlineStr"/>
      <c r="AH8" t="inlineStr">
        <is>
          <t>RS</t>
        </is>
      </c>
      <c r="AI8" t="inlineStr">
        <is>
          <t>CAXIAS DO SUL</t>
        </is>
      </c>
      <c r="AJ8" t="inlineStr">
        <is>
          <t>Fabricação de outras máquinas e equipamentos de uso geral não especificados anteriormente, peças e acessórios</t>
        </is>
      </c>
      <c r="AK8" t="inlineStr">
        <is>
          <t>DEMAIS</t>
        </is>
      </c>
      <c r="AL8" t="inlineStr">
        <is>
          <t>ATIVA</t>
        </is>
      </c>
      <c r="AM8" s="17" t="inlineStr">
        <is>
          <t>https://scalzilliaj.com.br/sgc/download.php?file=files/processo_documento/processo_documento15513401112022_1_.pdf&amp;nome=15 - Edital do art. 7º, §2º (segunda lista de credores) e do art. 53 da Lei 11.101/2005 (recebimento do plano)</t>
        </is>
      </c>
      <c r="AN8" s="18" t="inlineStr">
        <is>
          <t>p8 r13</t>
        </is>
      </c>
      <c r="AO8" s="18" t="inlineStr">
        <is>
          <t>p8: R$ 197.970,43</t>
        </is>
      </c>
      <c r="AP8" s="18" t="inlineStr">
        <is>
          <t>AJ_LIST</t>
        </is>
      </c>
      <c r="AQ8" s="18" t="inlineStr">
        <is>
          <t>2022-11-01</t>
        </is>
      </c>
      <c r="AR8" s="18" t="inlineStr">
        <is>
          <t>OK_NO_TOTALS</t>
        </is>
      </c>
      <c r="AS8" s="18" t="inlineStr">
        <is>
          <t>ROWS:p8r13 UNRECONCILED_SOURCE</t>
        </is>
      </c>
      <c r="AT8" s="18" t="inlineStr">
        <is>
          <t>84c586360a66</t>
        </is>
      </c>
    </row>
    <row r="9">
      <c r="A9" s="9" t="n">
        <v>8</v>
      </c>
      <c r="B9" s="9" t="inlineStr">
        <is>
          <t>NEW</t>
        </is>
      </c>
      <c r="C9" s="9" t="inlineStr"/>
      <c r="D9" s="9" t="n">
        <v>0</v>
      </c>
      <c r="E9" s="9" t="inlineStr"/>
      <c r="F9" s="9" t="inlineStr"/>
      <c r="G9" s="9" t="inlineStr"/>
      <c r="H9" s="9" t="inlineStr"/>
      <c r="I9" t="inlineStr">
        <is>
          <t>SOMAVE AGROINDUSTRIAL LTDA</t>
        </is>
      </c>
      <c r="J9" t="inlineStr">
        <is>
          <t>Somave Agroindustrial Ltda</t>
        </is>
      </c>
      <c r="K9" t="inlineStr">
        <is>
          <t>06353241</t>
        </is>
      </c>
      <c r="L9" t="inlineStr">
        <is>
          <t>06353241000109</t>
        </is>
      </c>
      <c r="M9" s="10" t="n">
        <v>197876</v>
      </c>
      <c r="N9" t="n">
        <v>1</v>
      </c>
      <c r="O9" s="11" t="inlineStr">
        <is>
          <t>C</t>
        </is>
      </c>
      <c r="P9" s="11" t="inlineStr">
        <is>
          <t>ACTIVE</t>
        </is>
      </c>
      <c r="Q9" s="12" t="n">
        <v>45275</v>
      </c>
      <c r="R9" s="11">
        <f>IF(Q9="","",ROUND((TODAY()-Q9)/365.25,1))</f>
        <v/>
      </c>
      <c r="S9" s="13">
        <f>IFERROR(VLOOKUP(O9,Assumptions!$A$7:$F$11,2,FALSE),0.25)</f>
        <v/>
      </c>
      <c r="T9" s="14">
        <f>IF(O9="A",MAX(1,IFERROR(VLOOKUP(O9,Assumptions!$A$7:$F$11,3,FALSE),3)+IFERROR(VLOOKUP(O9,Assumptions!$A$7:$F$11,4,FALSE),8)/2-MAX(0,IF(R9="",0,R9)-IFERROR(VLOOKUP(O9,Assumptions!$A$7:$F$11,5,FALSE),1.5))),IFERROR(VLOOKUP(O9,Assumptions!$A$7:$F$11,5,FALSE),2.5)+IFERROR(VLOOKUP(O9,Assumptions!$A$7:$F$11,3,FALSE),3)+IFERROR(VLOOKUP(O9,Assumptions!$A$7:$F$11,4,FALSE),8)/2)</f>
        <v/>
      </c>
      <c r="U9" s="15">
        <f>M9*S9/(1+Assumptions!$B$3)^T9</f>
        <v/>
      </c>
      <c r="V9" s="11">
        <f>IF(M9=0,"",ROUND(U9/M9*100,1))</f>
        <v/>
      </c>
      <c r="W9" s="16">
        <f>U9*Assumptions!$B$4</f>
        <v/>
      </c>
      <c r="X9" s="11">
        <f>IF(M9=0,"",ROUND(W9/M9*100,1))</f>
        <v/>
      </c>
      <c r="Y9" t="inlineStr">
        <is>
          <t>Grupo Agromeal</t>
        </is>
      </c>
      <c r="Z9" t="inlineStr">
        <is>
          <t>0003971-03.2023.8.16.0119</t>
        </is>
      </c>
      <c r="AA9" t="inlineStr">
        <is>
          <t>TJPR</t>
        </is>
      </c>
      <c r="AB9" t="inlineStr">
        <is>
          <t>marquesadmjudicial.com.br</t>
        </is>
      </c>
      <c r="AC9" t="inlineStr">
        <is>
          <t>ADEMIR PAULINO FERRARINI</t>
        </is>
      </c>
      <c r="AD9" t="inlineStr">
        <is>
          <t>Sócio-Administrador</t>
        </is>
      </c>
      <c r="AE9" t="inlineStr">
        <is>
          <t>(44) 3675-5000</t>
        </is>
      </c>
      <c r="AF9" t="inlineStr"/>
      <c r="AG9" t="inlineStr"/>
      <c r="AH9" t="inlineStr">
        <is>
          <t>PR</t>
        </is>
      </c>
      <c r="AI9" t="inlineStr">
        <is>
          <t>CIDADE GAUCHA</t>
        </is>
      </c>
      <c r="AJ9" t="inlineStr">
        <is>
          <t>Abate de aves</t>
        </is>
      </c>
      <c r="AK9" t="inlineStr">
        <is>
          <t>DEMAIS</t>
        </is>
      </c>
      <c r="AL9" t="inlineStr">
        <is>
          <t>ATIVA</t>
        </is>
      </c>
      <c r="AM9" s="17" t="inlineStr">
        <is>
          <t>https://marquesadmjudicial.com.br/sgc/download.php?file=files/processo_documento/processo_documento17040729052024_1_.pdf&amp;nome=Relação Nominal de Credores AJ-Sintética</t>
        </is>
      </c>
      <c r="AN9" s="18" t="inlineStr">
        <is>
          <t>p13 r6</t>
        </is>
      </c>
      <c r="AO9" s="18" t="inlineStr">
        <is>
          <t>p13: R$ 197.876,00</t>
        </is>
      </c>
      <c r="AP9" s="18" t="inlineStr">
        <is>
          <t>AJ_LIST</t>
        </is>
      </c>
      <c r="AQ9" s="18" t="inlineStr">
        <is>
          <t>2024-05-27</t>
        </is>
      </c>
      <c r="AR9" s="18" t="inlineStr">
        <is>
          <t>QUARANTINED</t>
        </is>
      </c>
      <c r="AS9" s="18" t="inlineStr">
        <is>
          <t>PARTIAL_DOC_CLASS_III_RECONCILED ROWS:p13r6</t>
        </is>
      </c>
      <c r="AT9" s="18" t="inlineStr">
        <is>
          <t>1209dafe77b7</t>
        </is>
      </c>
    </row>
    <row r="10">
      <c r="A10" s="9" t="n">
        <v>9</v>
      </c>
      <c r="B10" s="9" t="inlineStr">
        <is>
          <t>NEW</t>
        </is>
      </c>
      <c r="C10" s="9" t="inlineStr"/>
      <c r="D10" s="9" t="n">
        <v>0</v>
      </c>
      <c r="E10" s="9" t="inlineStr"/>
      <c r="F10" s="9" t="inlineStr"/>
      <c r="G10" s="9" t="inlineStr"/>
      <c r="H10" s="9" t="inlineStr"/>
      <c r="I10" t="inlineStr">
        <is>
          <t>SPORT CLUBE URBANISMO LTDA</t>
        </is>
      </c>
      <c r="J10" t="inlineStr">
        <is>
          <t>Alcar Techology In Business SC LTDA</t>
        </is>
      </c>
      <c r="K10" t="inlineStr">
        <is>
          <t>05119723</t>
        </is>
      </c>
      <c r="L10" t="inlineStr">
        <is>
          <t>05119723000128</t>
        </is>
      </c>
      <c r="M10" s="10" t="n">
        <v>197081.92</v>
      </c>
      <c r="N10" t="n">
        <v>1</v>
      </c>
      <c r="O10" s="11" t="inlineStr">
        <is>
          <t>B</t>
        </is>
      </c>
      <c r="P10" s="11" t="inlineStr"/>
      <c r="Q10" s="12" t="n">
        <v>45756</v>
      </c>
      <c r="R10" s="11">
        <f>IF(Q10="","",ROUND((TODAY()-Q10)/365.25,1))</f>
        <v/>
      </c>
      <c r="S10" s="13">
        <f>IFERROR(VLOOKUP(O10,Assumptions!$A$7:$F$11,2,FALSE),0.25)</f>
        <v/>
      </c>
      <c r="T10" s="14">
        <f>IF(O10="A",MAX(1,IFERROR(VLOOKUP(O10,Assumptions!$A$7:$F$11,3,FALSE),3)+IFERROR(VLOOKUP(O10,Assumptions!$A$7:$F$11,4,FALSE),8)/2-MAX(0,IF(R10="",0,R10)-IFERROR(VLOOKUP(O10,Assumptions!$A$7:$F$11,5,FALSE),1.5))),IFERROR(VLOOKUP(O10,Assumptions!$A$7:$F$11,5,FALSE),2.5)+IFERROR(VLOOKUP(O10,Assumptions!$A$7:$F$11,3,FALSE),3)+IFERROR(VLOOKUP(O10,Assumptions!$A$7:$F$11,4,FALSE),8)/2)</f>
        <v/>
      </c>
      <c r="U10" s="15">
        <f>M10*S10/(1+Assumptions!$B$3)^T10</f>
        <v/>
      </c>
      <c r="V10" s="11">
        <f>IF(M10=0,"",ROUND(U10/M10*100,1))</f>
        <v/>
      </c>
      <c r="W10" s="16">
        <f>U10*Assumptions!$B$4</f>
        <v/>
      </c>
      <c r="X10" s="11">
        <f>IF(M10=0,"",ROUND(W10/M10*100,1))</f>
        <v/>
      </c>
      <c r="Y10" t="inlineStr">
        <is>
          <t>GRUPO EGESA (EGESA ENG S.A, EGESUR PART E EMP S.A, MATRIX INFRA LTDA, BEMVIVER ENG AMBIENTAL E SERV LTDA, DKF CONST E EMP LTDA, EGEPEL LTDA, ETR ASSESSORIA EMP E PART LTDA, MVT ENG E SERV LTDA, PARQUES DO VALE LTDA, ELMO RIBEIRO E ANA RIBEIRO)</t>
        </is>
      </c>
      <c r="Z10" t="inlineStr">
        <is>
          <t>5088952-81.2025.8.13.0024</t>
        </is>
      </c>
      <c r="AA10" t="inlineStr">
        <is>
          <t>TJMG</t>
        </is>
      </c>
      <c r="AB10" t="inlineStr">
        <is>
          <t>scalzilliaj.com.br</t>
        </is>
      </c>
      <c r="AC10" t="inlineStr">
        <is>
          <t>KAMILLA ALEXANDRE FERNANDES BARRETO</t>
        </is>
      </c>
      <c r="AD10" t="inlineStr">
        <is>
          <t>Administrador</t>
        </is>
      </c>
      <c r="AE10" t="inlineStr">
        <is>
          <t>(84) 3015-7888</t>
        </is>
      </c>
      <c r="AF10" t="inlineStr"/>
      <c r="AG10" t="inlineStr"/>
      <c r="AH10" t="inlineStr">
        <is>
          <t>RN</t>
        </is>
      </c>
      <c r="AI10" t="inlineStr">
        <is>
          <t>EXTREMOZ</t>
        </is>
      </c>
      <c r="AJ10" t="inlineStr">
        <is>
          <t>Construção de edifícios</t>
        </is>
      </c>
      <c r="AK10" t="inlineStr">
        <is>
          <t>DEMAIS</t>
        </is>
      </c>
      <c r="AL10" t="inlineStr">
        <is>
          <t>ATIVA</t>
        </is>
      </c>
      <c r="AM10" s="17" t="inlineStr">
        <is>
          <t>https://scalzilliaj.com.br/sgc/download.php?file=files/processo_documento/processo_documento09514021082025_1_.pdf&amp;nome=04 - Relação de credores das Recuperandas</t>
        </is>
      </c>
      <c r="AN10" s="18" t="inlineStr">
        <is>
          <t>p61 r15</t>
        </is>
      </c>
      <c r="AO10" s="18" t="inlineStr">
        <is>
          <t>p61: R$ 197.081,92</t>
        </is>
      </c>
      <c r="AP10" s="18" t="inlineStr">
        <is>
          <t>DEBTOR_LIST</t>
        </is>
      </c>
      <c r="AQ10" s="18" t="inlineStr"/>
      <c r="AR10" s="18" t="inlineStr">
        <is>
          <t>OK</t>
        </is>
      </c>
      <c r="AS10" s="18" t="inlineStr">
        <is>
          <t>ROWS:p61r15 VALUE_COL:Valor_Atualizado CASE_NUMBER_CORRECTED CASE_FROM_PORTAL</t>
        </is>
      </c>
      <c r="AT10" s="18" t="inlineStr">
        <is>
          <t>24ed98480a57</t>
        </is>
      </c>
    </row>
    <row r="11">
      <c r="A11" s="9" t="n">
        <v>10</v>
      </c>
      <c r="B11" s="9" t="inlineStr">
        <is>
          <t>NEW</t>
        </is>
      </c>
      <c r="C11" s="9" t="inlineStr"/>
      <c r="D11" s="9" t="n">
        <v>0</v>
      </c>
      <c r="E11" s="9" t="inlineStr"/>
      <c r="F11" s="9" t="inlineStr"/>
      <c r="G11" s="9" t="inlineStr"/>
      <c r="H11" s="9" t="inlineStr"/>
      <c r="I11" t="inlineStr">
        <is>
          <t>URBANO AGROINDUSTRIAL LTDA</t>
        </is>
      </c>
      <c r="J11" t="inlineStr">
        <is>
          <t>Urbano Agroindustrial Ltda</t>
        </is>
      </c>
      <c r="K11" t="inlineStr">
        <is>
          <t>84432111</t>
        </is>
      </c>
      <c r="L11" t="inlineStr">
        <is>
          <t>84432111002100</t>
        </is>
      </c>
      <c r="M11" s="10" t="n">
        <v>197064.84</v>
      </c>
      <c r="N11" t="n">
        <v>1</v>
      </c>
      <c r="O11" s="11" t="inlineStr">
        <is>
          <t>B</t>
        </is>
      </c>
      <c r="P11" s="11" t="inlineStr">
        <is>
          <t>ACTIVE</t>
        </is>
      </c>
      <c r="Q11" s="12" t="n">
        <v>46130</v>
      </c>
      <c r="R11" s="11">
        <f>IF(Q11="","",ROUND((TODAY()-Q11)/365.25,1))</f>
        <v/>
      </c>
      <c r="S11" s="13">
        <f>IFERROR(VLOOKUP(O11,Assumptions!$A$7:$F$11,2,FALSE),0.25)</f>
        <v/>
      </c>
      <c r="T11" s="14">
        <f>IF(O11="A",MAX(1,IFERROR(VLOOKUP(O11,Assumptions!$A$7:$F$11,3,FALSE),3)+IFERROR(VLOOKUP(O11,Assumptions!$A$7:$F$11,4,FALSE),8)/2-MAX(0,IF(R11="",0,R11)-IFERROR(VLOOKUP(O11,Assumptions!$A$7:$F$11,5,FALSE),1.5))),IFERROR(VLOOKUP(O11,Assumptions!$A$7:$F$11,5,FALSE),2.5)+IFERROR(VLOOKUP(O11,Assumptions!$A$7:$F$11,3,FALSE),3)+IFERROR(VLOOKUP(O11,Assumptions!$A$7:$F$11,4,FALSE),8)/2)</f>
        <v/>
      </c>
      <c r="U11" s="15">
        <f>M11*S11/(1+Assumptions!$B$3)^T11</f>
        <v/>
      </c>
      <c r="V11" s="11">
        <f>IF(M11=0,"",ROUND(U11/M11*100,1))</f>
        <v/>
      </c>
      <c r="W11" s="16">
        <f>U11*Assumptions!$B$4</f>
        <v/>
      </c>
      <c r="X11" s="11">
        <f>IF(M11=0,"",ROUND(W11/M11*100,1))</f>
        <v/>
      </c>
      <c r="Y11" t="inlineStr">
        <is>
          <t>GRUPO 3E</t>
        </is>
      </c>
      <c r="Z11" t="inlineStr">
        <is>
          <t>5341375-33.2026.8.09.0049</t>
        </is>
      </c>
      <c r="AA11" t="inlineStr">
        <is>
          <t>TJGO</t>
        </is>
      </c>
      <c r="AB11" t="inlineStr">
        <is>
          <t>stenius.com.br</t>
        </is>
      </c>
      <c r="AC11" t="inlineStr">
        <is>
          <t>ADENOR FRANZNER</t>
        </is>
      </c>
      <c r="AD11" t="inlineStr">
        <is>
          <t>Administrador</t>
        </is>
      </c>
      <c r="AE11" t="inlineStr">
        <is>
          <t>(47) 3372-7503</t>
        </is>
      </c>
      <c r="AF11" t="inlineStr">
        <is>
          <t>(47) 3372-7500</t>
        </is>
      </c>
      <c r="AG11" t="inlineStr"/>
      <c r="AH11" t="inlineStr">
        <is>
          <t>SC</t>
        </is>
      </c>
      <c r="AI11" t="inlineStr">
        <is>
          <t>JARAGUA DO SUL</t>
        </is>
      </c>
      <c r="AJ11" t="inlineStr">
        <is>
          <t>Beneficiamento de arroz</t>
        </is>
      </c>
      <c r="AK11" t="inlineStr">
        <is>
          <t>DEMAIS</t>
        </is>
      </c>
      <c r="AL11" t="inlineStr">
        <is>
          <t>ATIVA</t>
        </is>
      </c>
      <c r="AM11" s="17" t="inlineStr">
        <is>
          <t>https://stenius.com.br/wp-content/uploads/2026/06/EDITAL-GRUPO-3E.pdf</t>
        </is>
      </c>
      <c r="AN11" s="18" t="inlineStr">
        <is>
          <t>p18 r56</t>
        </is>
      </c>
      <c r="AO11" s="18" t="inlineStr">
        <is>
          <t>p18: R$ 197.064,84</t>
        </is>
      </c>
      <c r="AP11" s="18" t="inlineStr">
        <is>
          <t>DEBTOR_LIST</t>
        </is>
      </c>
      <c r="AQ11" s="18" t="inlineStr">
        <is>
          <t>2026-06-22</t>
        </is>
      </c>
      <c r="AR11" s="18" t="inlineStr">
        <is>
          <t>OK_NO_TOTALS</t>
        </is>
      </c>
      <c r="AS11" s="18" t="inlineStr">
        <is>
          <t>ROWS:p18r56 UNRECONCILED_SOURCE</t>
        </is>
      </c>
      <c r="AT11" s="18" t="inlineStr">
        <is>
          <t>8e8832093a15</t>
        </is>
      </c>
    </row>
    <row r="12">
      <c r="A12" s="9" t="n">
        <v>11</v>
      </c>
      <c r="B12" s="9" t="inlineStr">
        <is>
          <t>NEW</t>
        </is>
      </c>
      <c r="C12" s="9" t="inlineStr"/>
      <c r="D12" s="9" t="n">
        <v>0</v>
      </c>
      <c r="E12" s="9" t="inlineStr"/>
      <c r="F12" s="9" t="inlineStr"/>
      <c r="G12" s="9" t="inlineStr"/>
      <c r="H12" s="9" t="inlineStr"/>
      <c r="I12" t="inlineStr">
        <is>
          <t>NEWMAQ ELETRODOMESTICOS LTDA</t>
        </is>
      </c>
      <c r="J12" t="inlineStr">
        <is>
          <t>05.382.997/0001-05</t>
        </is>
      </c>
      <c r="K12" t="inlineStr">
        <is>
          <t>05382997</t>
        </is>
      </c>
      <c r="L12" t="inlineStr">
        <is>
          <t>05382997000105</t>
        </is>
      </c>
      <c r="M12" s="10" t="n">
        <v>196076.08</v>
      </c>
      <c r="N12" t="n">
        <v>1</v>
      </c>
      <c r="O12" s="11" t="inlineStr">
        <is>
          <t>C</t>
        </is>
      </c>
      <c r="P12" s="11" t="inlineStr">
        <is>
          <t>ACTIVE</t>
        </is>
      </c>
      <c r="Q12" s="12" t="n">
        <v>43894</v>
      </c>
      <c r="R12" s="11">
        <f>IF(Q12="","",ROUND((TODAY()-Q12)/365.25,1))</f>
        <v/>
      </c>
      <c r="S12" s="13">
        <f>IFERROR(VLOOKUP(O12,Assumptions!$A$7:$F$11,2,FALSE),0.25)</f>
        <v/>
      </c>
      <c r="T12" s="14">
        <f>IF(O12="A",MAX(1,IFERROR(VLOOKUP(O12,Assumptions!$A$7:$F$11,3,FALSE),3)+IFERROR(VLOOKUP(O12,Assumptions!$A$7:$F$11,4,FALSE),8)/2-MAX(0,IF(R12="",0,R12)-IFERROR(VLOOKUP(O12,Assumptions!$A$7:$F$11,5,FALSE),1.5))),IFERROR(VLOOKUP(O12,Assumptions!$A$7:$F$11,5,FALSE),2.5)+IFERROR(VLOOKUP(O12,Assumptions!$A$7:$F$11,3,FALSE),3)+IFERROR(VLOOKUP(O12,Assumptions!$A$7:$F$11,4,FALSE),8)/2)</f>
        <v/>
      </c>
      <c r="U12" s="15">
        <f>M12*S12/(1+Assumptions!$B$3)^T12</f>
        <v/>
      </c>
      <c r="V12" s="11">
        <f>IF(M12=0,"",ROUND(U12/M12*100,1))</f>
        <v/>
      </c>
      <c r="W12" s="16">
        <f>U12*Assumptions!$B$4</f>
        <v/>
      </c>
      <c r="X12" s="11">
        <f>IF(M12=0,"",ROUND(W12/M12*100,1))</f>
        <v/>
      </c>
      <c r="Y12" t="inlineStr">
        <is>
          <t>CREDIMÓVEIS NOVOLAR LTDA.</t>
        </is>
      </c>
      <c r="Z12" t="inlineStr">
        <is>
          <t>0007565-40.2020.8.17.2370</t>
        </is>
      </c>
      <c r="AA12" t="inlineStr">
        <is>
          <t>TJPE</t>
        </is>
      </c>
      <c r="AB12" t="inlineStr">
        <is>
          <t>recuperacaojudicial.squarespace.com</t>
        </is>
      </c>
      <c r="AC12" t="inlineStr">
        <is>
          <t>JOSE RENATO PINHEIRO</t>
        </is>
      </c>
      <c r="AD12" t="inlineStr">
        <is>
          <t>Administrador</t>
        </is>
      </c>
      <c r="AE12" t="inlineStr">
        <is>
          <t>(19) 3113-1100</t>
        </is>
      </c>
      <c r="AF12" t="inlineStr"/>
      <c r="AG12" t="inlineStr"/>
      <c r="AH12" t="inlineStr">
        <is>
          <t>SP</t>
        </is>
      </c>
      <c r="AI12" t="inlineStr">
        <is>
          <t>LIMEIRA</t>
        </is>
      </c>
      <c r="AJ12" t="inlineStr">
        <is>
          <t>Fabricação de fogões, refrigeradores e máquinas de lavar e secar para uso doméstico, peças e acessórios</t>
        </is>
      </c>
      <c r="AK12" t="inlineStr">
        <is>
          <t>DEMAIS</t>
        </is>
      </c>
      <c r="AL12" t="inlineStr">
        <is>
          <t>ATIVA</t>
        </is>
      </c>
      <c r="AM12" s="17" t="inlineStr">
        <is>
          <t>https://recuperacaojudicial.squarespace.com/s/RJ-Credimoveis-QGC-01082025.pdf</t>
        </is>
      </c>
      <c r="AN12" s="18" t="inlineStr">
        <is>
          <t>p16 r32</t>
        </is>
      </c>
      <c r="AO12" s="18" t="inlineStr">
        <is>
          <t>p16: R$ 196.076,08</t>
        </is>
      </c>
      <c r="AP12" s="18" t="inlineStr">
        <is>
          <t>QGC</t>
        </is>
      </c>
      <c r="AQ12" s="18" t="inlineStr">
        <is>
          <t>2026-01-28</t>
        </is>
      </c>
      <c r="AR12" s="18" t="inlineStr">
        <is>
          <t>OK</t>
        </is>
      </c>
      <c r="AS12" s="18" t="inlineStr">
        <is>
          <t>ROWS:p16r32</t>
        </is>
      </c>
      <c r="AT12" s="18" t="inlineStr">
        <is>
          <t>849d4fe5adce</t>
        </is>
      </c>
    </row>
    <row r="13">
      <c r="A13" s="9" t="n">
        <v>12</v>
      </c>
      <c r="B13" s="9" t="inlineStr">
        <is>
          <t>NEW</t>
        </is>
      </c>
      <c r="C13" s="9" t="inlineStr"/>
      <c r="D13" s="9" t="n">
        <v>0</v>
      </c>
      <c r="E13" s="9" t="inlineStr"/>
      <c r="F13" s="9" t="inlineStr"/>
      <c r="G13" s="9" t="inlineStr"/>
      <c r="H13" s="9" t="inlineStr"/>
      <c r="I13" t="inlineStr">
        <is>
          <t>FOZBRASIL COMERCIO IMPORTACAO E EXPORTACAO LTDA</t>
        </is>
      </c>
      <c r="J13" t="inlineStr">
        <is>
          <t>06957870000130</t>
        </is>
      </c>
      <c r="K13" t="inlineStr">
        <is>
          <t>06957870</t>
        </is>
      </c>
      <c r="L13" t="inlineStr">
        <is>
          <t>06957870000130</t>
        </is>
      </c>
      <c r="M13" s="10" t="n">
        <v>195852.64</v>
      </c>
      <c r="N13" t="n">
        <v>1</v>
      </c>
      <c r="O13" s="11" t="inlineStr">
        <is>
          <t>C</t>
        </is>
      </c>
      <c r="P13" s="11" t="inlineStr">
        <is>
          <t>ACTIVE</t>
        </is>
      </c>
      <c r="Q13" s="12" t="n">
        <v>45057</v>
      </c>
      <c r="R13" s="11">
        <f>IF(Q13="","",ROUND((TODAY()-Q13)/365.25,1))</f>
        <v/>
      </c>
      <c r="S13" s="13">
        <f>IFERROR(VLOOKUP(O13,Assumptions!$A$7:$F$11,2,FALSE),0.25)</f>
        <v/>
      </c>
      <c r="T13" s="14">
        <f>IF(O13="A",MAX(1,IFERROR(VLOOKUP(O13,Assumptions!$A$7:$F$11,3,FALSE),3)+IFERROR(VLOOKUP(O13,Assumptions!$A$7:$F$11,4,FALSE),8)/2-MAX(0,IF(R13="",0,R13)-IFERROR(VLOOKUP(O13,Assumptions!$A$7:$F$11,5,FALSE),1.5))),IFERROR(VLOOKUP(O13,Assumptions!$A$7:$F$11,5,FALSE),2.5)+IFERROR(VLOOKUP(O13,Assumptions!$A$7:$F$11,3,FALSE),3)+IFERROR(VLOOKUP(O13,Assumptions!$A$7:$F$11,4,FALSE),8)/2)</f>
        <v/>
      </c>
      <c r="U13" s="15">
        <f>M13*S13/(1+Assumptions!$B$3)^T13</f>
        <v/>
      </c>
      <c r="V13" s="11">
        <f>IF(M13=0,"",ROUND(U13/M13*100,1))</f>
        <v/>
      </c>
      <c r="W13" s="16">
        <f>U13*Assumptions!$B$4</f>
        <v/>
      </c>
      <c r="X13" s="11">
        <f>IF(M13=0,"",ROUND(W13/M13*100,1))</f>
        <v/>
      </c>
      <c r="Y13" t="inlineStr">
        <is>
          <t>TOP TEXTIL EMBALAGENS LTDA</t>
        </is>
      </c>
      <c r="Z13" t="inlineStr">
        <is>
          <t>5011460-87.2023.8.24.0020</t>
        </is>
      </c>
      <c r="AA13" t="inlineStr">
        <is>
          <t>TJSC</t>
        </is>
      </c>
      <c r="AB13" t="inlineStr">
        <is>
          <t>cataliseaj.com.br</t>
        </is>
      </c>
      <c r="AC13" t="inlineStr">
        <is>
          <t>NEREO PALUDO</t>
        </is>
      </c>
      <c r="AD13" t="inlineStr">
        <is>
          <t>Sócio-Administrador</t>
        </is>
      </c>
      <c r="AE13" t="inlineStr">
        <is>
          <t>(45) 3027-6122</t>
        </is>
      </c>
      <c r="AF13" t="inlineStr"/>
      <c r="AG13" t="inlineStr"/>
      <c r="AH13" t="inlineStr">
        <is>
          <t>PR</t>
        </is>
      </c>
      <c r="AI13" t="inlineStr">
        <is>
          <t>FOZ DO IGUACU</t>
        </is>
      </c>
      <c r="AJ13" t="inlineStr">
        <is>
          <t>Comércio atacadista de cereais e leguminosas beneficiados, farinhas, amidos e féculas, com atividade de fracionamento e acondicionamento associada</t>
        </is>
      </c>
      <c r="AK13" t="inlineStr">
        <is>
          <t>DEMAIS</t>
        </is>
      </c>
      <c r="AL13" t="inlineStr">
        <is>
          <t>ATIVA</t>
        </is>
      </c>
      <c r="AM13" s="17" t="inlineStr">
        <is>
          <t>https://cataliseaj.com.br/sgc/download.php?file=files/processo_documento/processo_documento15092204102024_1_.pdf&amp;nome=02. RELAÇÃO DE CREDORES</t>
        </is>
      </c>
      <c r="AN13" s="18" t="inlineStr">
        <is>
          <t>p2 r44</t>
        </is>
      </c>
      <c r="AO13" s="18" t="inlineStr">
        <is>
          <t>p2: R$ 195.852,64</t>
        </is>
      </c>
      <c r="AP13" s="18" t="inlineStr">
        <is>
          <t>DEBTOR_LIST</t>
        </is>
      </c>
      <c r="AQ13" s="18" t="inlineStr"/>
      <c r="AR13" s="18" t="inlineStr">
        <is>
          <t>OK_NO_TOTALS</t>
        </is>
      </c>
      <c r="AS13" s="18" t="inlineStr">
        <is>
          <t>ROWS:p2r44 UNRECONCILED_SOURCE</t>
        </is>
      </c>
      <c r="AT13" s="18" t="inlineStr">
        <is>
          <t>741aed48dd00</t>
        </is>
      </c>
    </row>
    <row r="14">
      <c r="A14" s="9" t="n">
        <v>13</v>
      </c>
      <c r="B14" s="9" t="inlineStr">
        <is>
          <t>NEW</t>
        </is>
      </c>
      <c r="C14" s="9" t="inlineStr"/>
      <c r="D14" s="9" t="n">
        <v>0</v>
      </c>
      <c r="E14" s="9" t="inlineStr"/>
      <c r="F14" s="9" t="inlineStr"/>
      <c r="G14" s="9" t="inlineStr"/>
      <c r="H14" s="9" t="inlineStr"/>
      <c r="I14" t="inlineStr">
        <is>
          <t>CL BRASIL ALIMENTOS LTDA</t>
        </is>
      </c>
      <c r="J14" t="inlineStr">
        <is>
          <t>Supermercado Brasil 400</t>
        </is>
      </c>
      <c r="K14" t="inlineStr">
        <is>
          <t>40693000</t>
        </is>
      </c>
      <c r="L14" t="inlineStr">
        <is>
          <t>40693000000139, 40693000000210</t>
        </is>
      </c>
      <c r="M14" s="10" t="n">
        <v>194891.25</v>
      </c>
      <c r="N14" t="n">
        <v>2</v>
      </c>
      <c r="O14" s="11" t="inlineStr">
        <is>
          <t>B</t>
        </is>
      </c>
      <c r="P14" s="11" t="inlineStr">
        <is>
          <t>ACTIVE</t>
        </is>
      </c>
      <c r="Q14" s="12" t="n">
        <v>46130</v>
      </c>
      <c r="R14" s="11">
        <f>IF(Q14="","",ROUND((TODAY()-Q14)/365.25,1))</f>
        <v/>
      </c>
      <c r="S14" s="13">
        <f>IFERROR(VLOOKUP(O14,Assumptions!$A$7:$F$11,2,FALSE),0.25)</f>
        <v/>
      </c>
      <c r="T14" s="14">
        <f>IF(O14="A",MAX(1,IFERROR(VLOOKUP(O14,Assumptions!$A$7:$F$11,3,FALSE),3)+IFERROR(VLOOKUP(O14,Assumptions!$A$7:$F$11,4,FALSE),8)/2-MAX(0,IF(R14="",0,R14)-IFERROR(VLOOKUP(O14,Assumptions!$A$7:$F$11,5,FALSE),1.5))),IFERROR(VLOOKUP(O14,Assumptions!$A$7:$F$11,5,FALSE),2.5)+IFERROR(VLOOKUP(O14,Assumptions!$A$7:$F$11,3,FALSE),3)+IFERROR(VLOOKUP(O14,Assumptions!$A$7:$F$11,4,FALSE),8)/2)</f>
        <v/>
      </c>
      <c r="U14" s="15">
        <f>M14*S14/(1+Assumptions!$B$3)^T14</f>
        <v/>
      </c>
      <c r="V14" s="11">
        <f>IF(M14=0,"",ROUND(U14/M14*100,1))</f>
        <v/>
      </c>
      <c r="W14" s="16">
        <f>U14*Assumptions!$B$4</f>
        <v/>
      </c>
      <c r="X14" s="11">
        <f>IF(M14=0,"",ROUND(W14/M14*100,1))</f>
        <v/>
      </c>
      <c r="Y14" t="inlineStr">
        <is>
          <t>GRUPO 3E</t>
        </is>
      </c>
      <c r="Z14" t="inlineStr">
        <is>
          <t>5341375-33.2026.8.09.0049</t>
        </is>
      </c>
      <c r="AA14" t="inlineStr">
        <is>
          <t>TJGO</t>
        </is>
      </c>
      <c r="AB14" t="inlineStr">
        <is>
          <t>stenius.com.br</t>
        </is>
      </c>
      <c r="AC14" t="inlineStr">
        <is>
          <t>EDVALDO ANTONIO LOPES</t>
        </is>
      </c>
      <c r="AD14" t="inlineStr">
        <is>
          <t>Administrador</t>
        </is>
      </c>
      <c r="AE14" t="inlineStr">
        <is>
          <t>(62) 8115-0283</t>
        </is>
      </c>
      <c r="AF14" t="inlineStr"/>
      <c r="AG14" t="inlineStr"/>
      <c r="AH14" t="inlineStr">
        <is>
          <t>GO</t>
        </is>
      </c>
      <c r="AI14" t="inlineStr">
        <is>
          <t>GOIANESIA</t>
        </is>
      </c>
      <c r="AJ14" t="inlineStr">
        <is>
          <t>Comércio varejista de mercadorias em geral, com predominância de produtos alimentícios - supermercados</t>
        </is>
      </c>
      <c r="AK14" t="inlineStr">
        <is>
          <t>EMPRESA DE PEQUENO PORTE</t>
        </is>
      </c>
      <c r="AL14" t="inlineStr">
        <is>
          <t>ATIVA</t>
        </is>
      </c>
      <c r="AM14" s="17" t="inlineStr">
        <is>
          <t>https://stenius.com.br/wp-content/uploads/2026/06/EDITAL-GRUPO-3E.pdf</t>
        </is>
      </c>
      <c r="AN14" s="18" t="inlineStr">
        <is>
          <t>p18 r20; p18 r21</t>
        </is>
      </c>
      <c r="AO14" s="18" t="inlineStr">
        <is>
          <t>p18: R$ 194.613,00; p18: R$ 278,25</t>
        </is>
      </c>
      <c r="AP14" s="18" t="inlineStr">
        <is>
          <t>DEBTOR_LIST</t>
        </is>
      </c>
      <c r="AQ14" s="18" t="inlineStr">
        <is>
          <t>2026-06-22</t>
        </is>
      </c>
      <c r="AR14" s="18" t="inlineStr">
        <is>
          <t>OK_NO_TOTALS</t>
        </is>
      </c>
      <c r="AS14" s="18" t="inlineStr">
        <is>
          <t>ROWS:p18r20,p18r21 UNRECONCILED_SOURCE</t>
        </is>
      </c>
      <c r="AT14" s="18" t="inlineStr">
        <is>
          <t>8e8832093a15</t>
        </is>
      </c>
    </row>
    <row r="15">
      <c r="A15" s="9" t="n">
        <v>14</v>
      </c>
      <c r="B15" s="9" t="inlineStr">
        <is>
          <t>NEW</t>
        </is>
      </c>
      <c r="C15" s="9" t="inlineStr"/>
      <c r="D15" s="9" t="n">
        <v>0</v>
      </c>
      <c r="E15" s="9" t="inlineStr"/>
      <c r="F15" s="9" t="inlineStr"/>
      <c r="G15" s="9" t="inlineStr"/>
      <c r="H15" s="9" t="inlineStr"/>
      <c r="I15" t="inlineStr">
        <is>
          <t>SINDICATO EMPREG EMPRESAS SEG VIGILANCIA, TRANS VALORES SEG PESSOAL ORGANICA ESC ARMADA AG TATICO E MONIT CURSO FORM ESP VIGI E SIMIL DE CURITIBA E RE</t>
        </is>
      </c>
      <c r="J15" t="inlineStr">
        <is>
          <t>PRIVADA, EMPREGADOS DE EMPRESAS DE SEGURANÇA SINDICATO DOS EMPREGADOS EM EMPRESAS DE SEGURANÇA,</t>
        </is>
      </c>
      <c r="K15" t="inlineStr">
        <is>
          <t>78232774</t>
        </is>
      </c>
      <c r="L15" t="inlineStr">
        <is>
          <t>78232774000135</t>
        </is>
      </c>
      <c r="M15" s="10" t="n">
        <v>194886.53</v>
      </c>
      <c r="N15" t="n">
        <v>1</v>
      </c>
      <c r="O15" s="11" t="inlineStr">
        <is>
          <t>D</t>
        </is>
      </c>
      <c r="P15" s="11" t="inlineStr"/>
      <c r="Q15" s="12" t="inlineStr"/>
      <c r="R15" s="11">
        <f>IF(Q15="","",ROUND((TODAY()-Q15)/365.25,1))</f>
        <v/>
      </c>
      <c r="S15" s="13">
        <f>IFERROR(VLOOKUP(O15,Assumptions!$A$7:$F$11,2,FALSE),0.25)</f>
        <v/>
      </c>
      <c r="T15" s="14">
        <f>IF(O15="A",MAX(1,IFERROR(VLOOKUP(O15,Assumptions!$A$7:$F$11,3,FALSE),3)+IFERROR(VLOOKUP(O15,Assumptions!$A$7:$F$11,4,FALSE),8)/2-MAX(0,IF(R15="",0,R15)-IFERROR(VLOOKUP(O15,Assumptions!$A$7:$F$11,5,FALSE),1.5))),IFERROR(VLOOKUP(O15,Assumptions!$A$7:$F$11,5,FALSE),2.5)+IFERROR(VLOOKUP(O15,Assumptions!$A$7:$F$11,3,FALSE),3)+IFERROR(VLOOKUP(O15,Assumptions!$A$7:$F$11,4,FALSE),8)/2)</f>
        <v/>
      </c>
      <c r="U15" s="15">
        <f>M15*S15/(1+Assumptions!$B$3)^T15</f>
        <v/>
      </c>
      <c r="V15" s="11">
        <f>IF(M15=0,"",ROUND(U15/M15*100,1))</f>
        <v/>
      </c>
      <c r="W15" s="16">
        <f>U15*Assumptions!$B$4</f>
        <v/>
      </c>
      <c r="X15" s="11">
        <f>IF(M15=0,"",ROUND(W15/M15*100,1))</f>
        <v/>
      </c>
      <c r="Y15" t="inlineStr">
        <is>
          <t>EQUIP SEG INTELIGÊNCIA EM SEGURANÇA LTDA. E EQUIP SEG SERVIÇOS ESPECIALIZADOS LTDA.</t>
        </is>
      </c>
      <c r="Z15" t="inlineStr">
        <is>
          <t>0033736-15.2023.8.16.0185</t>
        </is>
      </c>
      <c r="AA15" t="inlineStr"/>
      <c r="AB15" t="inlineStr">
        <is>
          <t>bbsadvogados.com.br</t>
        </is>
      </c>
      <c r="AC15" t="inlineStr"/>
      <c r="AD15" t="inlineStr"/>
      <c r="AE15" t="inlineStr">
        <is>
          <t>004103329293</t>
        </is>
      </c>
      <c r="AF15" t="inlineStr"/>
      <c r="AG15" t="inlineStr"/>
      <c r="AH15" t="inlineStr">
        <is>
          <t>PR</t>
        </is>
      </c>
      <c r="AI15" t="inlineStr">
        <is>
          <t>CURITIBA</t>
        </is>
      </c>
      <c r="AJ15" t="inlineStr">
        <is>
          <t>Atividades de organizações sindicais</t>
        </is>
      </c>
      <c r="AK15" t="inlineStr">
        <is>
          <t>DEMAIS</t>
        </is>
      </c>
      <c r="AL15" t="inlineStr">
        <is>
          <t>ATIVA</t>
        </is>
      </c>
      <c r="AM15" s="17" t="inlineStr">
        <is>
          <t>https://bbsadvogados.com.br/wp-content/uploads/2025/04/Equipseg-Edital-Relacao-de-Credores-da-Administradora-Judicial-art.-7o2o-da-LRF.pdf</t>
        </is>
      </c>
      <c r="AN15" s="18" t="inlineStr">
        <is>
          <t>p41 r4</t>
        </is>
      </c>
      <c r="AO15" s="18" t="inlineStr">
        <is>
          <t>p41: R$ 194.886,53</t>
        </is>
      </c>
      <c r="AP15" s="18" t="inlineStr">
        <is>
          <t>AJ_LIST</t>
        </is>
      </c>
      <c r="AQ15" s="18" t="inlineStr">
        <is>
          <t>2025-04-08</t>
        </is>
      </c>
      <c r="AR15" s="18" t="inlineStr">
        <is>
          <t>OK_NO_TOTALS</t>
        </is>
      </c>
      <c r="AS15" s="18" t="inlineStr">
        <is>
          <t>ROWS:p41r4 UNRECONCILED_SOURCE</t>
        </is>
      </c>
      <c r="AT15" s="18" t="inlineStr">
        <is>
          <t>b9895d3bab05</t>
        </is>
      </c>
    </row>
    <row r="16">
      <c r="A16" s="9" t="n">
        <v>15</v>
      </c>
      <c r="B16" s="9" t="inlineStr">
        <is>
          <t>NEW</t>
        </is>
      </c>
      <c r="C16" s="9" t="inlineStr"/>
      <c r="D16" s="9" t="n">
        <v>0</v>
      </c>
      <c r="E16" s="9" t="inlineStr"/>
      <c r="F16" s="9" t="inlineStr"/>
      <c r="G16" s="9" t="inlineStr"/>
      <c r="H16" s="9" t="inlineStr"/>
      <c r="I16" t="inlineStr">
        <is>
          <t>ENORD ENGENHARIA LTDA</t>
        </is>
      </c>
      <c r="J16" t="inlineStr">
        <is>
          <t>TELESIL ENGENHARIA LTDA</t>
        </is>
      </c>
      <c r="K16" t="inlineStr">
        <is>
          <t>01637593</t>
        </is>
      </c>
      <c r="L16" t="inlineStr">
        <is>
          <t>01637593000164</t>
        </is>
      </c>
      <c r="M16" s="10" t="n">
        <v>194494.22</v>
      </c>
      <c r="N16" t="n">
        <v>1</v>
      </c>
      <c r="O16" s="11" t="inlineStr">
        <is>
          <t>C</t>
        </is>
      </c>
      <c r="P16" s="11" t="inlineStr"/>
      <c r="Q16" s="12" t="inlineStr"/>
      <c r="R16" s="11">
        <f>IF(Q16="","",ROUND((TODAY()-Q16)/365.25,1))</f>
        <v/>
      </c>
      <c r="S16" s="13">
        <f>IFERROR(VLOOKUP(O16,Assumptions!$A$7:$F$11,2,FALSE),0.25)</f>
        <v/>
      </c>
      <c r="T16" s="14">
        <f>IF(O16="A",MAX(1,IFERROR(VLOOKUP(O16,Assumptions!$A$7:$F$11,3,FALSE),3)+IFERROR(VLOOKUP(O16,Assumptions!$A$7:$F$11,4,FALSE),8)/2-MAX(0,IF(R16="",0,R16)-IFERROR(VLOOKUP(O16,Assumptions!$A$7:$F$11,5,FALSE),1.5))),IFERROR(VLOOKUP(O16,Assumptions!$A$7:$F$11,5,FALSE),2.5)+IFERROR(VLOOKUP(O16,Assumptions!$A$7:$F$11,3,FALSE),3)+IFERROR(VLOOKUP(O16,Assumptions!$A$7:$F$11,4,FALSE),8)/2)</f>
        <v/>
      </c>
      <c r="U16" s="15">
        <f>M16*S16/(1+Assumptions!$B$3)^T16</f>
        <v/>
      </c>
      <c r="V16" s="11">
        <f>IF(M16=0,"",ROUND(U16/M16*100,1))</f>
        <v/>
      </c>
      <c r="W16" s="16">
        <f>U16*Assumptions!$B$4</f>
        <v/>
      </c>
      <c r="X16" s="11">
        <f>IF(M16=0,"",ROUND(W16/M16*100,1))</f>
        <v/>
      </c>
      <c r="Y16" t="inlineStr">
        <is>
          <t>GRUPO ARNON DE MELLO</t>
        </is>
      </c>
      <c r="Z16" t="inlineStr">
        <is>
          <t>0700256-03.2019.8.02.0066</t>
        </is>
      </c>
      <c r="AA16" t="inlineStr"/>
      <c r="AB16" t="inlineStr">
        <is>
          <t>recuperacaojudicial.squarespace.com</t>
        </is>
      </c>
      <c r="AC16" t="inlineStr">
        <is>
          <t>ALFREDO GUTTENBERG DE MENDONCA BREDA</t>
        </is>
      </c>
      <c r="AD16" t="inlineStr">
        <is>
          <t>Sócio-Administrador</t>
        </is>
      </c>
      <c r="AE16" t="inlineStr">
        <is>
          <t>(82) 3336-1991</t>
        </is>
      </c>
      <c r="AF16" t="inlineStr"/>
      <c r="AG16" t="inlineStr"/>
      <c r="AH16" t="inlineStr">
        <is>
          <t>AL</t>
        </is>
      </c>
      <c r="AI16" t="inlineStr">
        <is>
          <t>MACEIO</t>
        </is>
      </c>
      <c r="AJ16" t="inlineStr">
        <is>
          <t>Construção de edifícios</t>
        </is>
      </c>
      <c r="AK16" t="inlineStr">
        <is>
          <t>DEMAIS</t>
        </is>
      </c>
      <c r="AL16" t="inlineStr">
        <is>
          <t>ATIVA</t>
        </is>
      </c>
      <c r="AM16" s="17" t="inlineStr">
        <is>
          <t>https://recuperacaojudicial.squarespace.com/s/RJ-Grupo-Arnon-de-Melo-Lista-de-Credores-Consolidada-abril-2022.pdf</t>
        </is>
      </c>
      <c r="AN16" s="18" t="inlineStr">
        <is>
          <t>p9 r34</t>
        </is>
      </c>
      <c r="AO16" s="18" t="inlineStr">
        <is>
          <t>p9: R$ 194.494,22</t>
        </is>
      </c>
      <c r="AP16" s="18" t="inlineStr">
        <is>
          <t>AJ_LIST</t>
        </is>
      </c>
      <c r="AQ16" s="18" t="inlineStr"/>
      <c r="AR16" s="18" t="inlineStr">
        <is>
          <t>OK_NO_TOTALS</t>
        </is>
      </c>
      <c r="AS16" s="18" t="inlineStr">
        <is>
          <t>ROWS:p9r34 UNRECONCILED_SOURCE</t>
        </is>
      </c>
      <c r="AT16" s="18" t="inlineStr">
        <is>
          <t>60fd9c017d90</t>
        </is>
      </c>
    </row>
    <row r="17">
      <c r="A17" s="9" t="n">
        <v>16</v>
      </c>
      <c r="B17" s="9" t="inlineStr">
        <is>
          <t>NEW</t>
        </is>
      </c>
      <c r="C17" s="9" t="inlineStr"/>
      <c r="D17" s="9" t="n">
        <v>0</v>
      </c>
      <c r="E17" s="9" t="inlineStr"/>
      <c r="F17" s="9" t="inlineStr"/>
      <c r="G17" s="9" t="inlineStr"/>
      <c r="H17" s="9" t="inlineStr"/>
      <c r="I17" t="inlineStr">
        <is>
          <t>A.C.P. INDUSTRIA DE MOVEIS LTDA</t>
        </is>
      </c>
      <c r="J17" t="inlineStr">
        <is>
          <t>30.746.945/0001-18</t>
        </is>
      </c>
      <c r="K17" t="inlineStr">
        <is>
          <t>30746945</t>
        </is>
      </c>
      <c r="L17" t="inlineStr">
        <is>
          <t>30746945000118</t>
        </is>
      </c>
      <c r="M17" s="10" t="n">
        <v>193667.58</v>
      </c>
      <c r="N17" t="n">
        <v>1</v>
      </c>
      <c r="O17" s="11" t="inlineStr">
        <is>
          <t>C</t>
        </is>
      </c>
      <c r="P17" s="11" t="inlineStr">
        <is>
          <t>ACTIVE</t>
        </is>
      </c>
      <c r="Q17" s="12" t="n">
        <v>43894</v>
      </c>
      <c r="R17" s="11">
        <f>IF(Q17="","",ROUND((TODAY()-Q17)/365.25,1))</f>
        <v/>
      </c>
      <c r="S17" s="13">
        <f>IFERROR(VLOOKUP(O17,Assumptions!$A$7:$F$11,2,FALSE),0.25)</f>
        <v/>
      </c>
      <c r="T17" s="14">
        <f>IF(O17="A",MAX(1,IFERROR(VLOOKUP(O17,Assumptions!$A$7:$F$11,3,FALSE),3)+IFERROR(VLOOKUP(O17,Assumptions!$A$7:$F$11,4,FALSE),8)/2-MAX(0,IF(R17="",0,R17)-IFERROR(VLOOKUP(O17,Assumptions!$A$7:$F$11,5,FALSE),1.5))),IFERROR(VLOOKUP(O17,Assumptions!$A$7:$F$11,5,FALSE),2.5)+IFERROR(VLOOKUP(O17,Assumptions!$A$7:$F$11,3,FALSE),3)+IFERROR(VLOOKUP(O17,Assumptions!$A$7:$F$11,4,FALSE),8)/2)</f>
        <v/>
      </c>
      <c r="U17" s="15">
        <f>M17*S17/(1+Assumptions!$B$3)^T17</f>
        <v/>
      </c>
      <c r="V17" s="11">
        <f>IF(M17=0,"",ROUND(U17/M17*100,1))</f>
        <v/>
      </c>
      <c r="W17" s="16">
        <f>U17*Assumptions!$B$4</f>
        <v/>
      </c>
      <c r="X17" s="11">
        <f>IF(M17=0,"",ROUND(W17/M17*100,1))</f>
        <v/>
      </c>
      <c r="Y17" t="inlineStr">
        <is>
          <t>CREDIMÓVEIS NOVOLAR LTDA.</t>
        </is>
      </c>
      <c r="Z17" t="inlineStr">
        <is>
          <t>0007565-40.2020.8.17.2370</t>
        </is>
      </c>
      <c r="AA17" t="inlineStr">
        <is>
          <t>TJPE</t>
        </is>
      </c>
      <c r="AB17" t="inlineStr">
        <is>
          <t>recuperacaojudicial.squarespace.com</t>
        </is>
      </c>
      <c r="AC17" t="inlineStr">
        <is>
          <t>JAINA PESSOTI CAMARA CAVALCANTE</t>
        </is>
      </c>
      <c r="AD17" t="inlineStr">
        <is>
          <t>Sócio-Administrador</t>
        </is>
      </c>
      <c r="AE17" t="inlineStr">
        <is>
          <t>(27) 3371-0538</t>
        </is>
      </c>
      <c r="AF17" t="inlineStr"/>
      <c r="AG17" t="inlineStr"/>
      <c r="AH17" t="inlineStr">
        <is>
          <t>ES</t>
        </is>
      </c>
      <c r="AI17" t="inlineStr">
        <is>
          <t>LINHARES</t>
        </is>
      </c>
      <c r="AJ17" t="inlineStr">
        <is>
          <t>Fabricação de móveis com predominância de madeira</t>
        </is>
      </c>
      <c r="AK17" t="inlineStr">
        <is>
          <t>DEMAIS</t>
        </is>
      </c>
      <c r="AL17" t="inlineStr">
        <is>
          <t>ATIVA</t>
        </is>
      </c>
      <c r="AM17" s="17" t="inlineStr">
        <is>
          <t>https://recuperacaojudicial.squarespace.com/s/RJ-Credimoveis-QGC-01082025.pdf</t>
        </is>
      </c>
      <c r="AN17" s="18" t="inlineStr">
        <is>
          <t>p15 r1</t>
        </is>
      </c>
      <c r="AO17" s="18" t="inlineStr">
        <is>
          <t>p15: R$ 193.667,58</t>
        </is>
      </c>
      <c r="AP17" s="18" t="inlineStr">
        <is>
          <t>QGC</t>
        </is>
      </c>
      <c r="AQ17" s="18" t="inlineStr">
        <is>
          <t>2026-01-28</t>
        </is>
      </c>
      <c r="AR17" s="18" t="inlineStr">
        <is>
          <t>OK</t>
        </is>
      </c>
      <c r="AS17" s="18" t="inlineStr">
        <is>
          <t>ROWS:p15r1</t>
        </is>
      </c>
      <c r="AT17" s="18" t="inlineStr">
        <is>
          <t>849d4fe5adce</t>
        </is>
      </c>
    </row>
    <row r="18">
      <c r="A18" s="9" t="n">
        <v>17</v>
      </c>
      <c r="B18" s="9" t="inlineStr">
        <is>
          <t>NEW</t>
        </is>
      </c>
      <c r="C18" s="9" t="inlineStr"/>
      <c r="D18" s="9" t="n">
        <v>0</v>
      </c>
      <c r="E18" s="9" t="inlineStr"/>
      <c r="F18" s="9" t="inlineStr"/>
      <c r="G18" s="9" t="inlineStr"/>
      <c r="H18" s="9" t="inlineStr"/>
      <c r="I18" t="inlineStr">
        <is>
          <t>AURIQUIMICA LTDA</t>
        </is>
      </c>
      <c r="J18" t="inlineStr">
        <is>
          <t>AURIQUIMICA FILIAL SC</t>
        </is>
      </c>
      <c r="K18" t="inlineStr">
        <is>
          <t>54429345</t>
        </is>
      </c>
      <c r="L18" t="inlineStr">
        <is>
          <t>54429345000194, 54429345000356</t>
        </is>
      </c>
      <c r="M18" s="10" t="n">
        <v>193371.73</v>
      </c>
      <c r="N18" t="n">
        <v>3</v>
      </c>
      <c r="O18" s="11" t="inlineStr">
        <is>
          <t>B</t>
        </is>
      </c>
      <c r="P18" s="11" t="inlineStr"/>
      <c r="Q18" s="12" t="inlineStr"/>
      <c r="R18" s="11">
        <f>IF(Q18="","",ROUND((TODAY()-Q18)/365.25,1))</f>
        <v/>
      </c>
      <c r="S18" s="13">
        <f>IFERROR(VLOOKUP(O18,Assumptions!$A$7:$F$11,2,FALSE),0.25)</f>
        <v/>
      </c>
      <c r="T18" s="14">
        <f>IF(O18="A",MAX(1,IFERROR(VLOOKUP(O18,Assumptions!$A$7:$F$11,3,FALSE),3)+IFERROR(VLOOKUP(O18,Assumptions!$A$7:$F$11,4,FALSE),8)/2-MAX(0,IF(R18="",0,R18)-IFERROR(VLOOKUP(O18,Assumptions!$A$7:$F$11,5,FALSE),1.5))),IFERROR(VLOOKUP(O18,Assumptions!$A$7:$F$11,5,FALSE),2.5)+IFERROR(VLOOKUP(O18,Assumptions!$A$7:$F$11,3,FALSE),3)+IFERROR(VLOOKUP(O18,Assumptions!$A$7:$F$11,4,FALSE),8)/2)</f>
        <v/>
      </c>
      <c r="U18" s="15">
        <f>M18*S18/(1+Assumptions!$B$3)^T18</f>
        <v/>
      </c>
      <c r="V18" s="11">
        <f>IF(M18=0,"",ROUND(U18/M18*100,1))</f>
        <v/>
      </c>
      <c r="W18" s="16">
        <f>U18*Assumptions!$B$4</f>
        <v/>
      </c>
      <c r="X18" s="11">
        <f>IF(M18=0,"",ROUND(W18/M18*100,1))</f>
        <v/>
      </c>
      <c r="Y18" t="inlineStr">
        <is>
          <t>Base</t>
        </is>
      </c>
      <c r="Z18" t="inlineStr">
        <is>
          <t>1022634-27.2024.8.26.0100</t>
        </is>
      </c>
      <c r="AA18" t="inlineStr"/>
      <c r="AB18" t="inlineStr">
        <is>
          <t>ajruiz.com.br</t>
        </is>
      </c>
      <c r="AC18" t="inlineStr">
        <is>
          <t>LEANDRO AURICCHIO</t>
        </is>
      </c>
      <c r="AD18" t="inlineStr">
        <is>
          <t>Sócio-Administrador</t>
        </is>
      </c>
      <c r="AE18" t="inlineStr">
        <is>
          <t>(11) 2066-5600</t>
        </is>
      </c>
      <c r="AF18" t="inlineStr"/>
      <c r="AG18" t="inlineStr"/>
      <c r="AH18" t="inlineStr">
        <is>
          <t>SP</t>
        </is>
      </c>
      <c r="AI18" t="inlineStr">
        <is>
          <t>SAO PAULO</t>
        </is>
      </c>
      <c r="AJ18" t="inlineStr">
        <is>
          <t>Comércio atacadista de outros produtos químicos e petroquímicos não especificados anteriormente</t>
        </is>
      </c>
      <c r="AK18" t="inlineStr">
        <is>
          <t>DEMAIS</t>
        </is>
      </c>
      <c r="AL18" t="inlineStr">
        <is>
          <t>ATIVA</t>
        </is>
      </c>
      <c r="AM18" s="17" t="inlineStr">
        <is>
          <t>https://ajruiz.com.br/sites/default/files/public/arquivos-processos/2024-04/relacao_de_credores_recuperanda_1.pdf</t>
        </is>
      </c>
      <c r="AN18" s="18" t="inlineStr">
        <is>
          <t>p3 r1; p3 r2; p3 r3</t>
        </is>
      </c>
      <c r="AO18" s="18" t="inlineStr">
        <is>
          <t>p3: R$ 4.849,52; p3: R$ 120.522,21; p3: R$ 68.000,00</t>
        </is>
      </c>
      <c r="AP18" s="18" t="inlineStr">
        <is>
          <t>QGC</t>
        </is>
      </c>
      <c r="AQ18" s="18" t="inlineStr">
        <is>
          <t>2024-01-31</t>
        </is>
      </c>
      <c r="AR18" s="18" t="inlineStr">
        <is>
          <t>OK</t>
        </is>
      </c>
      <c r="AS18" s="18" t="inlineStr">
        <is>
          <t>ROWS:p3r1,p3r2,p3r3 CASE_NUMBER_CORRECTED</t>
        </is>
      </c>
      <c r="AT18" s="18" t="inlineStr">
        <is>
          <t>380922480f80</t>
        </is>
      </c>
    </row>
    <row r="19">
      <c r="A19" s="9" t="n">
        <v>18</v>
      </c>
      <c r="B19" s="9" t="inlineStr">
        <is>
          <t>NEW</t>
        </is>
      </c>
      <c r="C19" s="9" t="inlineStr"/>
      <c r="D19" s="9" t="n">
        <v>0</v>
      </c>
      <c r="E19" s="9" t="inlineStr"/>
      <c r="F19" s="9" t="inlineStr"/>
      <c r="G19" s="9" t="inlineStr"/>
      <c r="H19" s="9" t="inlineStr"/>
      <c r="I19" t="inlineStr">
        <is>
          <t>KAMYLUS MALHAS LTDA</t>
        </is>
      </c>
      <c r="J19" t="inlineStr">
        <is>
          <t>KAMYLUS MALHAS LTDA</t>
        </is>
      </c>
      <c r="K19" t="inlineStr">
        <is>
          <t>82155870</t>
        </is>
      </c>
      <c r="L19" t="inlineStr">
        <is>
          <t>82155870000102</t>
        </is>
      </c>
      <c r="M19" s="10" t="n">
        <v>192632.72</v>
      </c>
      <c r="N19" t="n">
        <v>3</v>
      </c>
      <c r="O19" s="11" t="inlineStr">
        <is>
          <t>C</t>
        </is>
      </c>
      <c r="P19" s="11" t="inlineStr">
        <is>
          <t>ACTIVE</t>
        </is>
      </c>
      <c r="Q19" s="12" t="n">
        <v>44571</v>
      </c>
      <c r="R19" s="11">
        <f>IF(Q19="","",ROUND((TODAY()-Q19)/365.25,1))</f>
        <v/>
      </c>
      <c r="S19" s="13">
        <f>IFERROR(VLOOKUP(O19,Assumptions!$A$7:$F$11,2,FALSE),0.25)</f>
        <v/>
      </c>
      <c r="T19" s="14">
        <f>IF(O19="A",MAX(1,IFERROR(VLOOKUP(O19,Assumptions!$A$7:$F$11,3,FALSE),3)+IFERROR(VLOOKUP(O19,Assumptions!$A$7:$F$11,4,FALSE),8)/2-MAX(0,IF(R19="",0,R19)-IFERROR(VLOOKUP(O19,Assumptions!$A$7:$F$11,5,FALSE),1.5))),IFERROR(VLOOKUP(O19,Assumptions!$A$7:$F$11,5,FALSE),2.5)+IFERROR(VLOOKUP(O19,Assumptions!$A$7:$F$11,3,FALSE),3)+IFERROR(VLOOKUP(O19,Assumptions!$A$7:$F$11,4,FALSE),8)/2)</f>
        <v/>
      </c>
      <c r="U19" s="15">
        <f>M19*S19/(1+Assumptions!$B$3)^T19</f>
        <v/>
      </c>
      <c r="V19" s="11">
        <f>IF(M19=0,"",ROUND(U19/M19*100,1))</f>
        <v/>
      </c>
      <c r="W19" s="16">
        <f>U19*Assumptions!$B$4</f>
        <v/>
      </c>
      <c r="X19" s="11">
        <f>IF(M19=0,"",ROUND(W19/M19*100,1))</f>
        <v/>
      </c>
      <c r="Y19" t="inlineStr">
        <is>
          <t>GRUPO CATTAN</t>
        </is>
      </c>
      <c r="Z19" t="inlineStr">
        <is>
          <t>0002484-82.2022.8.17.2001</t>
        </is>
      </c>
      <c r="AA19" t="inlineStr">
        <is>
          <t>TJPE</t>
        </is>
      </c>
      <c r="AB19" t="inlineStr">
        <is>
          <t>lrflideres.com.br</t>
        </is>
      </c>
      <c r="AC19" t="inlineStr">
        <is>
          <t>CAMILO VARGAS JUNIOR</t>
        </is>
      </c>
      <c r="AD19" t="inlineStr">
        <is>
          <t>Sócio-Administrador</t>
        </is>
      </c>
      <c r="AE19" t="inlineStr">
        <is>
          <t>(47) 3370-3366</t>
        </is>
      </c>
      <c r="AF19" t="inlineStr"/>
      <c r="AG19" t="inlineStr"/>
      <c r="AH19" t="inlineStr">
        <is>
          <t>SC</t>
        </is>
      </c>
      <c r="AI19" t="inlineStr">
        <is>
          <t>JARAGUA DO SUL</t>
        </is>
      </c>
      <c r="AJ19" t="inlineStr">
        <is>
          <t>Confecção de peças de vestuário, exceto roupas íntimas e as confeccionadas sob medida</t>
        </is>
      </c>
      <c r="AK19" t="inlineStr">
        <is>
          <t>DEMAIS</t>
        </is>
      </c>
      <c r="AL19" t="inlineStr">
        <is>
          <t>ATIVA</t>
        </is>
      </c>
      <c r="AM19" s="17" t="inlineStr">
        <is>
          <t>https://lrflideres.com.br/wp-content/plugins/download-attachments/includes/download.php?id=4023</t>
        </is>
      </c>
      <c r="AN19" s="18" t="inlineStr">
        <is>
          <t>p4 r84; p7 r108; p9 r82</t>
        </is>
      </c>
      <c r="AO19" s="18" t="inlineStr">
        <is>
          <t>p4: R$ 69.793,25; p7: R$ 97.228,15; p9: R$ 25.611,32</t>
        </is>
      </c>
      <c r="AP19" s="18" t="inlineStr">
        <is>
          <t>DEBTOR_LIST</t>
        </is>
      </c>
      <c r="AQ19" s="18" t="inlineStr"/>
      <c r="AR19" s="18" t="inlineStr">
        <is>
          <t>QUARANTINED</t>
        </is>
      </c>
      <c r="AS19" s="18" t="inlineStr">
        <is>
          <t>PARTIAL_DOC_CLASS_III_RECONCILED ROWS:p4r84,p7r108,p9r82</t>
        </is>
      </c>
      <c r="AT19" s="18" t="inlineStr">
        <is>
          <t>f3b6182e3aa2</t>
        </is>
      </c>
    </row>
    <row r="20">
      <c r="A20" s="9" t="n">
        <v>19</v>
      </c>
      <c r="B20" s="9" t="inlineStr">
        <is>
          <t>NEW</t>
        </is>
      </c>
      <c r="C20" s="9" t="inlineStr"/>
      <c r="D20" s="9" t="n">
        <v>0</v>
      </c>
      <c r="E20" s="9" t="inlineStr"/>
      <c r="F20" s="9" t="inlineStr"/>
      <c r="G20" s="9" t="inlineStr"/>
      <c r="H20" s="9" t="inlineStr"/>
      <c r="I20" t="inlineStr">
        <is>
          <t>FIACAO ALPINA LTDA</t>
        </is>
      </c>
      <c r="J20" t="inlineStr">
        <is>
          <t>FIACAO ALPINA LTDA</t>
        </is>
      </c>
      <c r="K20" t="inlineStr">
        <is>
          <t>49418890</t>
        </is>
      </c>
      <c r="L20" t="inlineStr">
        <is>
          <t>49418890000498</t>
        </is>
      </c>
      <c r="M20" s="10" t="n">
        <v>192324.58</v>
      </c>
      <c r="N20" t="n">
        <v>1</v>
      </c>
      <c r="O20" s="11" t="inlineStr">
        <is>
          <t>C</t>
        </is>
      </c>
      <c r="P20" s="11" t="inlineStr"/>
      <c r="Q20" s="12" t="inlineStr"/>
      <c r="R20" s="11">
        <f>IF(Q20="","",ROUND((TODAY()-Q20)/365.25,1))</f>
        <v/>
      </c>
      <c r="S20" s="13">
        <f>IFERROR(VLOOKUP(O20,Assumptions!$A$7:$F$11,2,FALSE),0.25)</f>
        <v/>
      </c>
      <c r="T20" s="14">
        <f>IF(O20="A",MAX(1,IFERROR(VLOOKUP(O20,Assumptions!$A$7:$F$11,3,FALSE),3)+IFERROR(VLOOKUP(O20,Assumptions!$A$7:$F$11,4,FALSE),8)/2-MAX(0,IF(R20="",0,R20)-IFERROR(VLOOKUP(O20,Assumptions!$A$7:$F$11,5,FALSE),1.5))),IFERROR(VLOOKUP(O20,Assumptions!$A$7:$F$11,5,FALSE),2.5)+IFERROR(VLOOKUP(O20,Assumptions!$A$7:$F$11,3,FALSE),3)+IFERROR(VLOOKUP(O20,Assumptions!$A$7:$F$11,4,FALSE),8)/2)</f>
        <v/>
      </c>
      <c r="U20" s="15">
        <f>M20*S20/(1+Assumptions!$B$3)^T20</f>
        <v/>
      </c>
      <c r="V20" s="11">
        <f>IF(M20=0,"",ROUND(U20/M20*100,1))</f>
        <v/>
      </c>
      <c r="W20" s="16">
        <f>U20*Assumptions!$B$4</f>
        <v/>
      </c>
      <c r="X20" s="11">
        <f>IF(M20=0,"",ROUND(W20/M20*100,1))</f>
        <v/>
      </c>
      <c r="Y20" t="inlineStr">
        <is>
          <t>CONFECÇÕES ANDRIMALHAS LTDA</t>
        </is>
      </c>
      <c r="Z20" t="inlineStr">
        <is>
          <t>0302174-63.2015.8.24.0025</t>
        </is>
      </c>
      <c r="AA20" t="inlineStr"/>
      <c r="AB20" t="inlineStr">
        <is>
          <t>administradorajudicialgs.com.br</t>
        </is>
      </c>
      <c r="AC20" t="inlineStr">
        <is>
          <t>ANTONIO GRECO</t>
        </is>
      </c>
      <c r="AD20" t="inlineStr">
        <is>
          <t>Sócio-Administrador</t>
        </is>
      </c>
      <c r="AE20" t="inlineStr">
        <is>
          <t>(11) 4014-4104</t>
        </is>
      </c>
      <c r="AF20" t="inlineStr"/>
      <c r="AG20" t="inlineStr"/>
      <c r="AH20" t="inlineStr">
        <is>
          <t>SP</t>
        </is>
      </c>
      <c r="AI20" t="inlineStr">
        <is>
          <t>MORUNGABA</t>
        </is>
      </c>
      <c r="AJ20" t="inlineStr">
        <is>
          <t>Fiação de fibras artificiais e sintéticas</t>
        </is>
      </c>
      <c r="AK20" t="inlineStr">
        <is>
          <t>DEMAIS</t>
        </is>
      </c>
      <c r="AL20" t="inlineStr">
        <is>
          <t>ATIVA</t>
        </is>
      </c>
      <c r="AM20" s="17" t="inlineStr">
        <is>
          <t>https://administradorajudicialgs.com.br/wp-content/uploads/2023/08/doc-06-relacao-credores-do-administrador-judicial-10-02-2015.pdf</t>
        </is>
      </c>
      <c r="AN20" s="18" t="inlineStr">
        <is>
          <t>p2 r6</t>
        </is>
      </c>
      <c r="AO20" s="18" t="inlineStr">
        <is>
          <t>p2: R$ 192.324,58</t>
        </is>
      </c>
      <c r="AP20" s="18" t="inlineStr">
        <is>
          <t>AJ_LIST</t>
        </is>
      </c>
      <c r="AQ20" s="18" t="inlineStr"/>
      <c r="AR20" s="18" t="inlineStr">
        <is>
          <t>QUARANTINED</t>
        </is>
      </c>
      <c r="AS20" s="18" t="inlineStr">
        <is>
          <t>PARTIAL_DOC_CLASS_III_RECONCILED ROWS:p2r6</t>
        </is>
      </c>
      <c r="AT20" s="18" t="inlineStr">
        <is>
          <t>d403116b357d</t>
        </is>
      </c>
    </row>
    <row r="21">
      <c r="A21" s="9" t="n">
        <v>20</v>
      </c>
      <c r="B21" s="9" t="inlineStr">
        <is>
          <t>NEW</t>
        </is>
      </c>
      <c r="C21" s="9" t="inlineStr"/>
      <c r="D21" s="9" t="n">
        <v>0</v>
      </c>
      <c r="E21" s="9" t="inlineStr"/>
      <c r="F21" s="9" t="inlineStr"/>
      <c r="G21" s="9" t="inlineStr"/>
      <c r="H21" s="9" t="inlineStr"/>
      <c r="I21" t="inlineStr">
        <is>
          <t>MIOLO WINE GROUP VITIVINICULTURA S.A.</t>
        </is>
      </c>
      <c r="J21" t="inlineStr">
        <is>
          <t>Miolo Wine Group Vitivinicultura S.A. (CNPJ n°</t>
        </is>
      </c>
      <c r="K21" t="inlineStr">
        <is>
          <t>09357838</t>
        </is>
      </c>
      <c r="L21" t="inlineStr">
        <is>
          <t>09357838000101, 75315333000109</t>
        </is>
      </c>
      <c r="M21" s="10" t="n">
        <v>192321.5</v>
      </c>
      <c r="N21" t="n">
        <v>1</v>
      </c>
      <c r="O21" s="11" t="inlineStr">
        <is>
          <t>B</t>
        </is>
      </c>
      <c r="P21" s="11" t="inlineStr">
        <is>
          <t>ACTIVE</t>
        </is>
      </c>
      <c r="Q21" s="12" t="n">
        <v>45303</v>
      </c>
      <c r="R21" s="11">
        <f>IF(Q21="","",ROUND((TODAY()-Q21)/365.25,1))</f>
        <v/>
      </c>
      <c r="S21" s="13">
        <f>IFERROR(VLOOKUP(O21,Assumptions!$A$7:$F$11,2,FALSE),0.25)</f>
        <v/>
      </c>
      <c r="T21" s="14">
        <f>IF(O21="A",MAX(1,IFERROR(VLOOKUP(O21,Assumptions!$A$7:$F$11,3,FALSE),3)+IFERROR(VLOOKUP(O21,Assumptions!$A$7:$F$11,4,FALSE),8)/2-MAX(0,IF(R21="",0,R21)-IFERROR(VLOOKUP(O21,Assumptions!$A$7:$F$11,5,FALSE),1.5))),IFERROR(VLOOKUP(O21,Assumptions!$A$7:$F$11,5,FALSE),2.5)+IFERROR(VLOOKUP(O21,Assumptions!$A$7:$F$11,3,FALSE),3)+IFERROR(VLOOKUP(O21,Assumptions!$A$7:$F$11,4,FALSE),8)/2)</f>
        <v/>
      </c>
      <c r="U21" s="15">
        <f>M21*S21/(1+Assumptions!$B$3)^T21</f>
        <v/>
      </c>
      <c r="V21" s="11">
        <f>IF(M21=0,"",ROUND(U21/M21*100,1))</f>
        <v/>
      </c>
      <c r="W21" s="16">
        <f>U21*Assumptions!$B$4</f>
        <v/>
      </c>
      <c r="X21" s="11">
        <f>IF(M21=0,"",ROUND(W21/M21*100,1))</f>
        <v/>
      </c>
      <c r="Y21" t="inlineStr">
        <is>
          <t>Grupo Battisti</t>
        </is>
      </c>
      <c r="Z21" t="inlineStr">
        <is>
          <t>0000357-17.2024.8.16.0131</t>
        </is>
      </c>
      <c r="AA21" t="inlineStr">
        <is>
          <t>TJPR</t>
        </is>
      </c>
      <c r="AB21" t="inlineStr">
        <is>
          <t>marquesadmjudicial.com.br</t>
        </is>
      </c>
      <c r="AC21" t="inlineStr">
        <is>
          <t>ADRIANO MIOLO</t>
        </is>
      </c>
      <c r="AD21" t="inlineStr">
        <is>
          <t>Diretor</t>
        </is>
      </c>
      <c r="AE21" t="inlineStr">
        <is>
          <t>(54) 2102-1500</t>
        </is>
      </c>
      <c r="AF21" t="inlineStr"/>
      <c r="AG21" t="inlineStr"/>
      <c r="AH21" t="inlineStr">
        <is>
          <t>RS</t>
        </is>
      </c>
      <c r="AI21" t="inlineStr">
        <is>
          <t>BENTO GONCALVES</t>
        </is>
      </c>
      <c r="AJ21" t="inlineStr">
        <is>
          <t>Fabricação de vinho</t>
        </is>
      </c>
      <c r="AK21" t="inlineStr">
        <is>
          <t>DEMAIS</t>
        </is>
      </c>
      <c r="AL21" t="inlineStr">
        <is>
          <t>ATIVA</t>
        </is>
      </c>
      <c r="AM21" s="17" t="inlineStr">
        <is>
          <t>https://marquesadmjudicial.com.br/sgc/download.php?file=files/processo_documento/processo_documento10074612042024_1_.pdf&amp;nome=2º Edital-Relação de Credores AJ e PRJ</t>
        </is>
      </c>
      <c r="AN21" s="18" t="inlineStr">
        <is>
          <t>p1 r22</t>
        </is>
      </c>
      <c r="AO21" s="18" t="inlineStr">
        <is>
          <t>p1: R$ 192.321,50</t>
        </is>
      </c>
      <c r="AP21" s="18" t="inlineStr">
        <is>
          <t>AJ_LIST</t>
        </is>
      </c>
      <c r="AQ21" s="18" t="inlineStr">
        <is>
          <t>2024-01-12</t>
        </is>
      </c>
      <c r="AR21" s="18" t="inlineStr">
        <is>
          <t>OK_NO_TOTALS</t>
        </is>
      </c>
      <c r="AS21" s="18" t="inlineStr">
        <is>
          <t>MULTI_ROOT ROWS:p1r22 UNRECONCILED_SOURCE</t>
        </is>
      </c>
      <c r="AT21" s="18" t="inlineStr">
        <is>
          <t>96830f5ef11b</t>
        </is>
      </c>
    </row>
    <row r="22">
      <c r="A22" s="9" t="n">
        <v>21</v>
      </c>
      <c r="B22" s="9" t="inlineStr">
        <is>
          <t>NEW</t>
        </is>
      </c>
      <c r="C22" s="9" t="inlineStr"/>
      <c r="D22" s="9" t="n">
        <v>0</v>
      </c>
      <c r="E22" s="9" t="inlineStr"/>
      <c r="F22" s="9" t="inlineStr"/>
      <c r="G22" s="9" t="inlineStr"/>
      <c r="H22" s="9" t="inlineStr"/>
      <c r="I22" t="inlineStr">
        <is>
          <t>KOKUSAI DENKI ELECTRIC LINEAR S/A</t>
        </is>
      </c>
      <c r="J22" t="inlineStr">
        <is>
          <t>HITACHI KOKUSAI LINEAR EQUIP ELETRONICOS S/A</t>
        </is>
      </c>
      <c r="K22" t="inlineStr">
        <is>
          <t>19690445</t>
        </is>
      </c>
      <c r="L22" t="inlineStr">
        <is>
          <t>19690445000179</t>
        </is>
      </c>
      <c r="M22" s="10" t="n">
        <v>192117.25</v>
      </c>
      <c r="N22" t="n">
        <v>1</v>
      </c>
      <c r="O22" s="11" t="inlineStr">
        <is>
          <t>C</t>
        </is>
      </c>
      <c r="P22" s="11" t="inlineStr"/>
      <c r="Q22" s="12" t="inlineStr"/>
      <c r="R22" s="11">
        <f>IF(Q22="","",ROUND((TODAY()-Q22)/365.25,1))</f>
        <v/>
      </c>
      <c r="S22" s="13">
        <f>IFERROR(VLOOKUP(O22,Assumptions!$A$7:$F$11,2,FALSE),0.25)</f>
        <v/>
      </c>
      <c r="T22" s="14">
        <f>IF(O22="A",MAX(1,IFERROR(VLOOKUP(O22,Assumptions!$A$7:$F$11,3,FALSE),3)+IFERROR(VLOOKUP(O22,Assumptions!$A$7:$F$11,4,FALSE),8)/2-MAX(0,IF(R22="",0,R22)-IFERROR(VLOOKUP(O22,Assumptions!$A$7:$F$11,5,FALSE),1.5))),IFERROR(VLOOKUP(O22,Assumptions!$A$7:$F$11,5,FALSE),2.5)+IFERROR(VLOOKUP(O22,Assumptions!$A$7:$F$11,3,FALSE),3)+IFERROR(VLOOKUP(O22,Assumptions!$A$7:$F$11,4,FALSE),8)/2)</f>
        <v/>
      </c>
      <c r="U22" s="15">
        <f>M22*S22/(1+Assumptions!$B$3)^T22</f>
        <v/>
      </c>
      <c r="V22" s="11">
        <f>IF(M22=0,"",ROUND(U22/M22*100,1))</f>
        <v/>
      </c>
      <c r="W22" s="16">
        <f>U22*Assumptions!$B$4</f>
        <v/>
      </c>
      <c r="X22" s="11">
        <f>IF(M22=0,"",ROUND(W22/M22*100,1))</f>
        <v/>
      </c>
      <c r="Y22" t="inlineStr">
        <is>
          <t>GRUPO ARNON DE MELLO</t>
        </is>
      </c>
      <c r="Z22" t="inlineStr">
        <is>
          <t>0700256-03.2019.8.02.0066</t>
        </is>
      </c>
      <c r="AA22" t="inlineStr"/>
      <c r="AB22" t="inlineStr">
        <is>
          <t>recuperacaojudicial.squarespace.com</t>
        </is>
      </c>
      <c r="AC22" t="inlineStr">
        <is>
          <t>MASAO ICHIKAWA</t>
        </is>
      </c>
      <c r="AD22" t="inlineStr">
        <is>
          <t>Presidente</t>
        </is>
      </c>
      <c r="AE22" t="inlineStr">
        <is>
          <t>(35) 3473-3473</t>
        </is>
      </c>
      <c r="AF22" t="inlineStr">
        <is>
          <t>(35) 9722-2969</t>
        </is>
      </c>
      <c r="AG22" t="inlineStr"/>
      <c r="AH22" t="inlineStr">
        <is>
          <t>MG</t>
        </is>
      </c>
      <c r="AI22" t="inlineStr">
        <is>
          <t>SANTA RITA DO SAPUCAI</t>
        </is>
      </c>
      <c r="AJ22" t="inlineStr">
        <is>
          <t>Fabricação de equipamentos transmissores de comunicação, peças e acessórios</t>
        </is>
      </c>
      <c r="AK22" t="inlineStr">
        <is>
          <t>DEMAIS</t>
        </is>
      </c>
      <c r="AL22" t="inlineStr">
        <is>
          <t>ATIVA</t>
        </is>
      </c>
      <c r="AM22" s="17" t="inlineStr">
        <is>
          <t>https://recuperacaojudicial.squarespace.com/s/RJ-Grupo-Arnon-de-Melo-Lista-de-Credores-Consolidada-abril-2022.pdf</t>
        </is>
      </c>
      <c r="AN22" s="18" t="inlineStr">
        <is>
          <t>p8 r21</t>
        </is>
      </c>
      <c r="AO22" s="18" t="inlineStr">
        <is>
          <t>p8: R$ 192.117,25</t>
        </is>
      </c>
      <c r="AP22" s="18" t="inlineStr">
        <is>
          <t>AJ_LIST</t>
        </is>
      </c>
      <c r="AQ22" s="18" t="inlineStr"/>
      <c r="AR22" s="18" t="inlineStr">
        <is>
          <t>OK_NO_TOTALS</t>
        </is>
      </c>
      <c r="AS22" s="18" t="inlineStr">
        <is>
          <t>ROWS:p8r21 UNRECONCILED_SOURCE</t>
        </is>
      </c>
      <c r="AT22" s="18" t="inlineStr">
        <is>
          <t>60fd9c017d90</t>
        </is>
      </c>
    </row>
    <row r="23">
      <c r="A23" s="9" t="n">
        <v>22</v>
      </c>
      <c r="B23" s="9" t="inlineStr">
        <is>
          <t>NEW</t>
        </is>
      </c>
      <c r="C23" s="9" t="inlineStr"/>
      <c r="D23" s="9" t="n">
        <v>0</v>
      </c>
      <c r="E23" s="9" t="inlineStr"/>
      <c r="F23" s="9" t="inlineStr"/>
      <c r="G23" s="9" t="inlineStr"/>
      <c r="H23" s="9" t="inlineStr"/>
      <c r="I23" t="inlineStr">
        <is>
          <t>COOPERATIVA AGROINDUSTRIAL DOS PRODUTORES RURAIS DO SUDOESTE GOIANO</t>
        </is>
      </c>
      <c r="J23" t="inlineStr">
        <is>
          <t>Comigo</t>
        </is>
      </c>
      <c r="K23" t="inlineStr">
        <is>
          <t>02077618</t>
        </is>
      </c>
      <c r="L23" t="inlineStr">
        <is>
          <t>02077618000266</t>
        </is>
      </c>
      <c r="M23" s="10" t="n">
        <v>191616</v>
      </c>
      <c r="N23" t="n">
        <v>1</v>
      </c>
      <c r="O23" s="11" t="inlineStr">
        <is>
          <t>B</t>
        </is>
      </c>
      <c r="P23" s="11" t="inlineStr">
        <is>
          <t>ACTIVE</t>
        </is>
      </c>
      <c r="Q23" s="12" t="n">
        <v>46130</v>
      </c>
      <c r="R23" s="11">
        <f>IF(Q23="","",ROUND((TODAY()-Q23)/365.25,1))</f>
        <v/>
      </c>
      <c r="S23" s="13">
        <f>IFERROR(VLOOKUP(O23,Assumptions!$A$7:$F$11,2,FALSE),0.25)</f>
        <v/>
      </c>
      <c r="T23" s="14">
        <f>IF(O23="A",MAX(1,IFERROR(VLOOKUP(O23,Assumptions!$A$7:$F$11,3,FALSE),3)+IFERROR(VLOOKUP(O23,Assumptions!$A$7:$F$11,4,FALSE),8)/2-MAX(0,IF(R23="",0,R23)-IFERROR(VLOOKUP(O23,Assumptions!$A$7:$F$11,5,FALSE),1.5))),IFERROR(VLOOKUP(O23,Assumptions!$A$7:$F$11,5,FALSE),2.5)+IFERROR(VLOOKUP(O23,Assumptions!$A$7:$F$11,3,FALSE),3)+IFERROR(VLOOKUP(O23,Assumptions!$A$7:$F$11,4,FALSE),8)/2)</f>
        <v/>
      </c>
      <c r="U23" s="15">
        <f>M23*S23/(1+Assumptions!$B$3)^T23</f>
        <v/>
      </c>
      <c r="V23" s="11">
        <f>IF(M23=0,"",ROUND(U23/M23*100,1))</f>
        <v/>
      </c>
      <c r="W23" s="16">
        <f>U23*Assumptions!$B$4</f>
        <v/>
      </c>
      <c r="X23" s="11">
        <f>IF(M23=0,"",ROUND(W23/M23*100,1))</f>
        <v/>
      </c>
      <c r="Y23" t="inlineStr">
        <is>
          <t>GRUPO 3E</t>
        </is>
      </c>
      <c r="Z23" t="inlineStr">
        <is>
          <t>5341375-33.2026.8.09.0049</t>
        </is>
      </c>
      <c r="AA23" t="inlineStr">
        <is>
          <t>TJGO</t>
        </is>
      </c>
      <c r="AB23" t="inlineStr">
        <is>
          <t>stenius.com.br</t>
        </is>
      </c>
      <c r="AC23" t="inlineStr">
        <is>
          <t>ANTONIO CHAVAGLIA</t>
        </is>
      </c>
      <c r="AD23" t="inlineStr">
        <is>
          <t>Presidente</t>
        </is>
      </c>
      <c r="AE23" t="inlineStr">
        <is>
          <t>(64) 3611-1500</t>
        </is>
      </c>
      <c r="AF23" t="inlineStr"/>
      <c r="AG23" t="inlineStr"/>
      <c r="AH23" t="inlineStr">
        <is>
          <t>GO</t>
        </is>
      </c>
      <c r="AI23" t="inlineStr">
        <is>
          <t>RIO VERDE</t>
        </is>
      </c>
      <c r="AJ23" t="inlineStr">
        <is>
          <t>Comércio atacadista de mercadorias em geral, com predominância de insumos agropecuários</t>
        </is>
      </c>
      <c r="AK23" t="inlineStr">
        <is>
          <t>DEMAIS</t>
        </is>
      </c>
      <c r="AL23" t="inlineStr">
        <is>
          <t>ATIVA</t>
        </is>
      </c>
      <c r="AM23" s="17" t="inlineStr">
        <is>
          <t>https://stenius.com.br/wp-content/uploads/2026/06/EDITAL-GRUPO-3E.pdf</t>
        </is>
      </c>
      <c r="AN23" s="18" t="inlineStr">
        <is>
          <t>p12 r1</t>
        </is>
      </c>
      <c r="AO23" s="18" t="inlineStr">
        <is>
          <t>p12: R$ 191.616,00</t>
        </is>
      </c>
      <c r="AP23" s="18" t="inlineStr">
        <is>
          <t>DEBTOR_LIST</t>
        </is>
      </c>
      <c r="AQ23" s="18" t="inlineStr">
        <is>
          <t>2026-06-22</t>
        </is>
      </c>
      <c r="AR23" s="18" t="inlineStr">
        <is>
          <t>OK_NO_TOTALS</t>
        </is>
      </c>
      <c r="AS23" s="18" t="inlineStr">
        <is>
          <t>ROWS:p12r1 UNRECONCILED_SOURCE</t>
        </is>
      </c>
      <c r="AT23" s="18" t="inlineStr">
        <is>
          <t>8e8832093a15</t>
        </is>
      </c>
    </row>
    <row r="24">
      <c r="A24" s="9" t="n">
        <v>23</v>
      </c>
      <c r="B24" s="9" t="inlineStr">
        <is>
          <t>NEW</t>
        </is>
      </c>
      <c r="C24" s="9" t="inlineStr"/>
      <c r="D24" s="9" t="n">
        <v>0</v>
      </c>
      <c r="E24" s="9" t="inlineStr"/>
      <c r="F24" s="9" t="inlineStr"/>
      <c r="G24" s="9" t="inlineStr"/>
      <c r="H24" s="9" t="inlineStr"/>
      <c r="I24" t="inlineStr">
        <is>
          <t>DEMOBILE - INDUSTRIA DE MOVEIS LTDA.</t>
        </is>
      </c>
      <c r="J24" t="inlineStr">
        <is>
          <t>75.069.849/0001-10</t>
        </is>
      </c>
      <c r="K24" t="inlineStr">
        <is>
          <t>75069849</t>
        </is>
      </c>
      <c r="L24" t="inlineStr">
        <is>
          <t>75069849000110</t>
        </is>
      </c>
      <c r="M24" s="10" t="n">
        <v>191561.33</v>
      </c>
      <c r="N24" t="n">
        <v>1</v>
      </c>
      <c r="O24" s="11" t="inlineStr">
        <is>
          <t>C</t>
        </is>
      </c>
      <c r="P24" s="11" t="inlineStr">
        <is>
          <t>ACTIVE</t>
        </is>
      </c>
      <c r="Q24" s="12" t="n">
        <v>43894</v>
      </c>
      <c r="R24" s="11">
        <f>IF(Q24="","",ROUND((TODAY()-Q24)/365.25,1))</f>
        <v/>
      </c>
      <c r="S24" s="13">
        <f>IFERROR(VLOOKUP(O24,Assumptions!$A$7:$F$11,2,FALSE),0.25)</f>
        <v/>
      </c>
      <c r="T24" s="14">
        <f>IF(O24="A",MAX(1,IFERROR(VLOOKUP(O24,Assumptions!$A$7:$F$11,3,FALSE),3)+IFERROR(VLOOKUP(O24,Assumptions!$A$7:$F$11,4,FALSE),8)/2-MAX(0,IF(R24="",0,R24)-IFERROR(VLOOKUP(O24,Assumptions!$A$7:$F$11,5,FALSE),1.5))),IFERROR(VLOOKUP(O24,Assumptions!$A$7:$F$11,5,FALSE),2.5)+IFERROR(VLOOKUP(O24,Assumptions!$A$7:$F$11,3,FALSE),3)+IFERROR(VLOOKUP(O24,Assumptions!$A$7:$F$11,4,FALSE),8)/2)</f>
        <v/>
      </c>
      <c r="U24" s="15">
        <f>M24*S24/(1+Assumptions!$B$3)^T24</f>
        <v/>
      </c>
      <c r="V24" s="11">
        <f>IF(M24=0,"",ROUND(U24/M24*100,1))</f>
        <v/>
      </c>
      <c r="W24" s="16">
        <f>U24*Assumptions!$B$4</f>
        <v/>
      </c>
      <c r="X24" s="11">
        <f>IF(M24=0,"",ROUND(W24/M24*100,1))</f>
        <v/>
      </c>
      <c r="Y24" t="inlineStr">
        <is>
          <t>CREDIMÓVEIS NOVOLAR LTDA.</t>
        </is>
      </c>
      <c r="Z24" t="inlineStr">
        <is>
          <t>0007565-40.2020.8.17.2370</t>
        </is>
      </c>
      <c r="AA24" t="inlineStr">
        <is>
          <t>TJPE</t>
        </is>
      </c>
      <c r="AB24" t="inlineStr">
        <is>
          <t>recuperacaojudicial.squarespace.com</t>
        </is>
      </c>
      <c r="AC24" t="inlineStr">
        <is>
          <t>DENISE OLIVE MARTINEZ DE MATOS</t>
        </is>
      </c>
      <c r="AD24" t="inlineStr">
        <is>
          <t>Sócio-Administrador</t>
        </is>
      </c>
      <c r="AE24" t="inlineStr">
        <is>
          <t>(43) 3275-0100</t>
        </is>
      </c>
      <c r="AF24" t="inlineStr"/>
      <c r="AG24" t="inlineStr"/>
      <c r="AH24" t="inlineStr">
        <is>
          <t>PR</t>
        </is>
      </c>
      <c r="AI24" t="inlineStr">
        <is>
          <t>ARAPONGAS</t>
        </is>
      </c>
      <c r="AJ24" t="inlineStr">
        <is>
          <t>Fabricação de móveis com predominância de madeira</t>
        </is>
      </c>
      <c r="AK24" t="inlineStr">
        <is>
          <t>DEMAIS</t>
        </is>
      </c>
      <c r="AL24" t="inlineStr">
        <is>
          <t>ATIVA</t>
        </is>
      </c>
      <c r="AM24" s="17" t="inlineStr">
        <is>
          <t>https://recuperacaojudicial.squarespace.com/s/RJ-Credimoveis-QGC-01082025.pdf</t>
        </is>
      </c>
      <c r="AN24" s="18" t="inlineStr">
        <is>
          <t>p15 r37</t>
        </is>
      </c>
      <c r="AO24" s="18" t="inlineStr">
        <is>
          <t>p15: R$ 191.561,33</t>
        </is>
      </c>
      <c r="AP24" s="18" t="inlineStr">
        <is>
          <t>QGC</t>
        </is>
      </c>
      <c r="AQ24" s="18" t="inlineStr">
        <is>
          <t>2026-01-28</t>
        </is>
      </c>
      <c r="AR24" s="18" t="inlineStr">
        <is>
          <t>OK</t>
        </is>
      </c>
      <c r="AS24" s="18" t="inlineStr">
        <is>
          <t>ROWS:p15r37</t>
        </is>
      </c>
      <c r="AT24" s="18" t="inlineStr">
        <is>
          <t>849d4fe5adce</t>
        </is>
      </c>
    </row>
    <row r="25">
      <c r="A25" s="9" t="n">
        <v>24</v>
      </c>
      <c r="B25" s="9" t="inlineStr">
        <is>
          <t>NEW</t>
        </is>
      </c>
      <c r="C25" s="9" t="inlineStr"/>
      <c r="D25" s="9" t="n">
        <v>0</v>
      </c>
      <c r="E25" s="9" t="inlineStr"/>
      <c r="F25" s="9" t="inlineStr"/>
      <c r="G25" s="9" t="inlineStr"/>
      <c r="H25" s="9" t="inlineStr"/>
      <c r="I25" t="inlineStr">
        <is>
          <t>JAIME MANUEL DA CAMARA FIALHO FERNANDES</t>
        </is>
      </c>
      <c r="J25" t="inlineStr">
        <is>
          <t>JAIME EMANUEL DA CAMARA F.FERNANDES</t>
        </is>
      </c>
      <c r="K25" t="inlineStr">
        <is>
          <t>35260058</t>
        </is>
      </c>
      <c r="L25" t="inlineStr">
        <is>
          <t>35260058000159</t>
        </is>
      </c>
      <c r="M25" s="10" t="n">
        <v>190800</v>
      </c>
      <c r="N25" t="n">
        <v>1</v>
      </c>
      <c r="O25" s="11" t="inlineStr">
        <is>
          <t>C</t>
        </is>
      </c>
      <c r="P25" s="11" t="inlineStr"/>
      <c r="Q25" s="12" t="inlineStr"/>
      <c r="R25" s="11">
        <f>IF(Q25="","",ROUND((TODAY()-Q25)/365.25,1))</f>
        <v/>
      </c>
      <c r="S25" s="13">
        <f>IFERROR(VLOOKUP(O25,Assumptions!$A$7:$F$11,2,FALSE),0.25)</f>
        <v/>
      </c>
      <c r="T25" s="14">
        <f>IF(O25="A",MAX(1,IFERROR(VLOOKUP(O25,Assumptions!$A$7:$F$11,3,FALSE),3)+IFERROR(VLOOKUP(O25,Assumptions!$A$7:$F$11,4,FALSE),8)/2-MAX(0,IF(R25="",0,R25)-IFERROR(VLOOKUP(O25,Assumptions!$A$7:$F$11,5,FALSE),1.5))),IFERROR(VLOOKUP(O25,Assumptions!$A$7:$F$11,5,FALSE),2.5)+IFERROR(VLOOKUP(O25,Assumptions!$A$7:$F$11,3,FALSE),3)+IFERROR(VLOOKUP(O25,Assumptions!$A$7:$F$11,4,FALSE),8)/2)</f>
        <v/>
      </c>
      <c r="U25" s="15">
        <f>M25*S25/(1+Assumptions!$B$3)^T25</f>
        <v/>
      </c>
      <c r="V25" s="11">
        <f>IF(M25=0,"",ROUND(U25/M25*100,1))</f>
        <v/>
      </c>
      <c r="W25" s="16">
        <f>U25*Assumptions!$B$4</f>
        <v/>
      </c>
      <c r="X25" s="11">
        <f>IF(M25=0,"",ROUND(W25/M25*100,1))</f>
        <v/>
      </c>
      <c r="Y25" t="inlineStr">
        <is>
          <t>GRUPO ARNON DE MELLO</t>
        </is>
      </c>
      <c r="Z25" t="inlineStr">
        <is>
          <t>0700256-03.2019.8.02.0066</t>
        </is>
      </c>
      <c r="AA25" t="inlineStr"/>
      <c r="AB25" t="inlineStr">
        <is>
          <t>recuperacaojudicial.squarespace.com</t>
        </is>
      </c>
      <c r="AC25" t="inlineStr"/>
      <c r="AD25" t="inlineStr"/>
      <c r="AE25" t="inlineStr"/>
      <c r="AF25" t="inlineStr"/>
      <c r="AG25" t="inlineStr"/>
      <c r="AH25" t="inlineStr">
        <is>
          <t>AL</t>
        </is>
      </c>
      <c r="AI25" t="inlineStr">
        <is>
          <t>SAO LUIS DO QUITUNDE</t>
        </is>
      </c>
      <c r="AJ25" t="inlineStr">
        <is>
          <t>Atividades de consultoria em gestão empresarial, exceto consultoria técnica específica</t>
        </is>
      </c>
      <c r="AK25" t="inlineStr">
        <is>
          <t>MICRO EMPRESA</t>
        </is>
      </c>
      <c r="AL25" t="inlineStr">
        <is>
          <t>ATIVA</t>
        </is>
      </c>
      <c r="AM25" s="17" t="inlineStr">
        <is>
          <t>https://recuperacaojudicial.squarespace.com/s/RJ-Grupo-Arnon-de-Melo-Lista-de-Credores-Consolidada-abril-2022.pdf</t>
        </is>
      </c>
      <c r="AN25" s="18" t="inlineStr">
        <is>
          <t>p8 r31</t>
        </is>
      </c>
      <c r="AO25" s="18" t="inlineStr">
        <is>
          <t>p8: R$ 190.800,00</t>
        </is>
      </c>
      <c r="AP25" s="18" t="inlineStr">
        <is>
          <t>AJ_LIST</t>
        </is>
      </c>
      <c r="AQ25" s="18" t="inlineStr"/>
      <c r="AR25" s="18" t="inlineStr">
        <is>
          <t>OK_NO_TOTALS</t>
        </is>
      </c>
      <c r="AS25" s="18" t="inlineStr">
        <is>
          <t>ROWS:p8r31 UNRECONCILED_SOURCE</t>
        </is>
      </c>
      <c r="AT25" s="18" t="inlineStr">
        <is>
          <t>60fd9c017d90</t>
        </is>
      </c>
    </row>
    <row r="26">
      <c r="A26" s="9" t="n">
        <v>25</v>
      </c>
      <c r="B26" s="9" t="inlineStr">
        <is>
          <t>NEW</t>
        </is>
      </c>
      <c r="C26" s="9" t="inlineStr"/>
      <c r="D26" s="9" t="n">
        <v>0</v>
      </c>
      <c r="E26" s="9" t="inlineStr"/>
      <c r="F26" s="9" t="inlineStr"/>
      <c r="G26" s="9" t="inlineStr"/>
      <c r="H26" s="9" t="inlineStr"/>
      <c r="I26" t="inlineStr">
        <is>
          <t>MAYA, PADILHA E DUARTE PINTO ADVOGADOS ASSOCIADOS</t>
        </is>
      </c>
      <c r="J26" t="inlineStr">
        <is>
          <t>MARANHÃO, MAYA, PADILHA, DUARTE &amp; PRATA ADVOGADOS ASSOCIADOS</t>
        </is>
      </c>
      <c r="K26" t="inlineStr">
        <is>
          <t>08215002</t>
        </is>
      </c>
      <c r="L26" t="inlineStr">
        <is>
          <t>08215002000100</t>
        </is>
      </c>
      <c r="M26" s="10" t="n">
        <v>189412.96</v>
      </c>
      <c r="N26" t="n">
        <v>1</v>
      </c>
      <c r="O26" s="11" t="inlineStr">
        <is>
          <t>C</t>
        </is>
      </c>
      <c r="P26" s="11" t="inlineStr"/>
      <c r="Q26" s="12" t="inlineStr"/>
      <c r="R26" s="11">
        <f>IF(Q26="","",ROUND((TODAY()-Q26)/365.25,1))</f>
        <v/>
      </c>
      <c r="S26" s="13">
        <f>IFERROR(VLOOKUP(O26,Assumptions!$A$7:$F$11,2,FALSE),0.25)</f>
        <v/>
      </c>
      <c r="T26" s="14">
        <f>IF(O26="A",MAX(1,IFERROR(VLOOKUP(O26,Assumptions!$A$7:$F$11,3,FALSE),3)+IFERROR(VLOOKUP(O26,Assumptions!$A$7:$F$11,4,FALSE),8)/2-MAX(0,IF(R26="",0,R26)-IFERROR(VLOOKUP(O26,Assumptions!$A$7:$F$11,5,FALSE),1.5))),IFERROR(VLOOKUP(O26,Assumptions!$A$7:$F$11,5,FALSE),2.5)+IFERROR(VLOOKUP(O26,Assumptions!$A$7:$F$11,3,FALSE),3)+IFERROR(VLOOKUP(O26,Assumptions!$A$7:$F$11,4,FALSE),8)/2)</f>
        <v/>
      </c>
      <c r="U26" s="15">
        <f>M26*S26/(1+Assumptions!$B$3)^T26</f>
        <v/>
      </c>
      <c r="V26" s="11">
        <f>IF(M26=0,"",ROUND(U26/M26*100,1))</f>
        <v/>
      </c>
      <c r="W26" s="16">
        <f>U26*Assumptions!$B$4</f>
        <v/>
      </c>
      <c r="X26" s="11">
        <f>IF(M26=0,"",ROUND(W26/M26*100,1))</f>
        <v/>
      </c>
      <c r="Y26" t="inlineStr">
        <is>
          <t>GRUPO ARNON DE MELLO</t>
        </is>
      </c>
      <c r="Z26" t="inlineStr">
        <is>
          <t>0700256-03.2019.8.02.0066</t>
        </is>
      </c>
      <c r="AA26" t="inlineStr"/>
      <c r="AB26" t="inlineStr">
        <is>
          <t>recuperacaojudicial.squarespace.com</t>
        </is>
      </c>
      <c r="AC26" t="inlineStr">
        <is>
          <t>DAVID ARAUJO PADILHA</t>
        </is>
      </c>
      <c r="AD26" t="inlineStr">
        <is>
          <t>Sócio-Administrador</t>
        </is>
      </c>
      <c r="AE26" t="inlineStr">
        <is>
          <t>(82) 3221-2990</t>
        </is>
      </c>
      <c r="AF26" t="inlineStr"/>
      <c r="AG26" t="inlineStr"/>
      <c r="AH26" t="inlineStr">
        <is>
          <t>AL</t>
        </is>
      </c>
      <c r="AI26" t="inlineStr">
        <is>
          <t>MACEIO</t>
        </is>
      </c>
      <c r="AJ26" t="inlineStr">
        <is>
          <t>Serviços advocatícios</t>
        </is>
      </c>
      <c r="AK26" t="inlineStr">
        <is>
          <t>MICRO EMPRESA</t>
        </is>
      </c>
      <c r="AL26" t="inlineStr">
        <is>
          <t>ATIVA</t>
        </is>
      </c>
      <c r="AM26" s="17" t="inlineStr">
        <is>
          <t>https://recuperacaojudicial.squarespace.com/s/RJ-Grupo-Arnon-de-Melo-Lista-de-Credores-Consolidada-abril-2022.pdf</t>
        </is>
      </c>
      <c r="AN26" s="18" t="inlineStr">
        <is>
          <t>p8 r54</t>
        </is>
      </c>
      <c r="AO26" s="18" t="inlineStr">
        <is>
          <t>p8: R$ 189.412,96</t>
        </is>
      </c>
      <c r="AP26" s="18" t="inlineStr">
        <is>
          <t>AJ_LIST</t>
        </is>
      </c>
      <c r="AQ26" s="18" t="inlineStr"/>
      <c r="AR26" s="18" t="inlineStr">
        <is>
          <t>OK_NO_TOTALS</t>
        </is>
      </c>
      <c r="AS26" s="18" t="inlineStr">
        <is>
          <t>ROWS:p8r54 UNRECONCILED_SOURCE</t>
        </is>
      </c>
      <c r="AT26" s="18" t="inlineStr">
        <is>
          <t>60fd9c017d90</t>
        </is>
      </c>
    </row>
    <row r="27">
      <c r="A27" s="9" t="n">
        <v>26</v>
      </c>
      <c r="B27" s="9" t="inlineStr">
        <is>
          <t>NEW</t>
        </is>
      </c>
      <c r="C27" s="9" t="inlineStr"/>
      <c r="D27" s="9" t="n">
        <v>0</v>
      </c>
      <c r="E27" s="9" t="inlineStr"/>
      <c r="F27" s="9" t="inlineStr"/>
      <c r="G27" s="9" t="inlineStr"/>
      <c r="H27" s="9" t="inlineStr"/>
      <c r="I27" t="inlineStr">
        <is>
          <t>INTEGRADA COOPERATIVA AGROINDUSTRIAL</t>
        </is>
      </c>
      <c r="J27" t="inlineStr">
        <is>
          <t>INTEGRADA COOPERATIVA AGROINDUSTRIAL</t>
        </is>
      </c>
      <c r="K27" t="inlineStr">
        <is>
          <t>00993264</t>
        </is>
      </c>
      <c r="L27" t="inlineStr">
        <is>
          <t>00993264000355</t>
        </is>
      </c>
      <c r="M27" s="10" t="n">
        <v>189409.38</v>
      </c>
      <c r="N27" t="n">
        <v>1</v>
      </c>
      <c r="O27" s="11" t="inlineStr">
        <is>
          <t>C</t>
        </is>
      </c>
      <c r="P27" s="11" t="inlineStr"/>
      <c r="Q27" s="12" t="inlineStr"/>
      <c r="R27" s="11">
        <f>IF(Q27="","",ROUND((TODAY()-Q27)/365.25,1))</f>
        <v/>
      </c>
      <c r="S27" s="13">
        <f>IFERROR(VLOOKUP(O27,Assumptions!$A$7:$F$11,2,FALSE),0.25)</f>
        <v/>
      </c>
      <c r="T27" s="14">
        <f>IF(O27="A",MAX(1,IFERROR(VLOOKUP(O27,Assumptions!$A$7:$F$11,3,FALSE),3)+IFERROR(VLOOKUP(O27,Assumptions!$A$7:$F$11,4,FALSE),8)/2-MAX(0,IF(R27="",0,R27)-IFERROR(VLOOKUP(O27,Assumptions!$A$7:$F$11,5,FALSE),1.5))),IFERROR(VLOOKUP(O27,Assumptions!$A$7:$F$11,5,FALSE),2.5)+IFERROR(VLOOKUP(O27,Assumptions!$A$7:$F$11,3,FALSE),3)+IFERROR(VLOOKUP(O27,Assumptions!$A$7:$F$11,4,FALSE),8)/2)</f>
        <v/>
      </c>
      <c r="U27" s="15">
        <f>M27*S27/(1+Assumptions!$B$3)^T27</f>
        <v/>
      </c>
      <c r="V27" s="11">
        <f>IF(M27=0,"",ROUND(U27/M27*100,1))</f>
        <v/>
      </c>
      <c r="W27" s="16">
        <f>U27*Assumptions!$B$4</f>
        <v/>
      </c>
      <c r="X27" s="11">
        <f>IF(M27=0,"",ROUND(W27/M27*100,1))</f>
        <v/>
      </c>
      <c r="Y27" t="inlineStr">
        <is>
          <t>CONFECÇÕES ANDRIMALHAS LTDA</t>
        </is>
      </c>
      <c r="Z27" t="inlineStr">
        <is>
          <t>0302174-63.2015.8.24.0025</t>
        </is>
      </c>
      <c r="AA27" t="inlineStr"/>
      <c r="AB27" t="inlineStr">
        <is>
          <t>administradorajudicialgs.com.br</t>
        </is>
      </c>
      <c r="AC27" t="inlineStr">
        <is>
          <t>JOAO FRANCISCO SANCHES FILHO</t>
        </is>
      </c>
      <c r="AD27" t="inlineStr">
        <is>
          <t>Presidente</t>
        </is>
      </c>
      <c r="AE27" t="inlineStr">
        <is>
          <t>(43) 3294-7000</t>
        </is>
      </c>
      <c r="AF27" t="inlineStr">
        <is>
          <t>(43) 3294-7000</t>
        </is>
      </c>
      <c r="AG27" t="inlineStr"/>
      <c r="AH27" t="inlineStr">
        <is>
          <t>PR</t>
        </is>
      </c>
      <c r="AI27" t="inlineStr">
        <is>
          <t>LONDRINA</t>
        </is>
      </c>
      <c r="AJ27" t="inlineStr">
        <is>
          <t>Comércio atacadista de matérias-primas agrícolas não especificadas anteriormente</t>
        </is>
      </c>
      <c r="AK27" t="inlineStr">
        <is>
          <t>DEMAIS</t>
        </is>
      </c>
      <c r="AL27" t="inlineStr">
        <is>
          <t>ATIVA</t>
        </is>
      </c>
      <c r="AM27" s="17" t="inlineStr">
        <is>
          <t>https://administradorajudicialgs.com.br/wp-content/uploads/2023/08/doc-06-relacao-credores-do-administrador-judicial-10-02-2015.pdf</t>
        </is>
      </c>
      <c r="AN27" s="18" t="inlineStr">
        <is>
          <t>p2 r20</t>
        </is>
      </c>
      <c r="AO27" s="18" t="inlineStr">
        <is>
          <t>p2: R$ 189.409,38</t>
        </is>
      </c>
      <c r="AP27" s="18" t="inlineStr">
        <is>
          <t>AJ_LIST</t>
        </is>
      </c>
      <c r="AQ27" s="18" t="inlineStr"/>
      <c r="AR27" s="18" t="inlineStr">
        <is>
          <t>QUARANTINED</t>
        </is>
      </c>
      <c r="AS27" s="18" t="inlineStr">
        <is>
          <t>PARTIAL_DOC_CLASS_III_RECONCILED ROWS:p2r20</t>
        </is>
      </c>
      <c r="AT27" s="18" t="inlineStr">
        <is>
          <t>d403116b357d</t>
        </is>
      </c>
    </row>
    <row r="28">
      <c r="A28" s="9" t="n">
        <v>27</v>
      </c>
      <c r="B28" s="9" t="inlineStr">
        <is>
          <t>NEW</t>
        </is>
      </c>
      <c r="C28" s="9" t="inlineStr"/>
      <c r="D28" s="9" t="n">
        <v>0</v>
      </c>
      <c r="E28" s="9" t="inlineStr"/>
      <c r="F28" s="9" t="inlineStr"/>
      <c r="G28" s="9" t="inlineStr"/>
      <c r="H28" s="9" t="inlineStr"/>
      <c r="I28" t="inlineStr">
        <is>
          <t>TRADE PACK COMERCIAL LTDA</t>
        </is>
      </c>
      <c r="J28" t="inlineStr">
        <is>
          <t>TRADE &amp; PACK COMERCIAL LTDA</t>
        </is>
      </c>
      <c r="K28" t="inlineStr">
        <is>
          <t>04205560</t>
        </is>
      </c>
      <c r="L28" t="inlineStr">
        <is>
          <t>04205560000133</t>
        </is>
      </c>
      <c r="M28" s="10" t="n">
        <v>189260.69</v>
      </c>
      <c r="N28" t="n">
        <v>1</v>
      </c>
      <c r="O28" s="11" t="inlineStr">
        <is>
          <t>C</t>
        </is>
      </c>
      <c r="P28" s="11" t="inlineStr">
        <is>
          <t>ACTIVE</t>
        </is>
      </c>
      <c r="Q28" s="12" t="n">
        <v>45154</v>
      </c>
      <c r="R28" s="11">
        <f>IF(Q28="","",ROUND((TODAY()-Q28)/365.25,1))</f>
        <v/>
      </c>
      <c r="S28" s="13">
        <f>IFERROR(VLOOKUP(O28,Assumptions!$A$7:$F$11,2,FALSE),0.25)</f>
        <v/>
      </c>
      <c r="T28" s="14">
        <f>IF(O28="A",MAX(1,IFERROR(VLOOKUP(O28,Assumptions!$A$7:$F$11,3,FALSE),3)+IFERROR(VLOOKUP(O28,Assumptions!$A$7:$F$11,4,FALSE),8)/2-MAX(0,IF(R28="",0,R28)-IFERROR(VLOOKUP(O28,Assumptions!$A$7:$F$11,5,FALSE),1.5))),IFERROR(VLOOKUP(O28,Assumptions!$A$7:$F$11,5,FALSE),2.5)+IFERROR(VLOOKUP(O28,Assumptions!$A$7:$F$11,3,FALSE),3)+IFERROR(VLOOKUP(O28,Assumptions!$A$7:$F$11,4,FALSE),8)/2)</f>
        <v/>
      </c>
      <c r="U28" s="15">
        <f>M28*S28/(1+Assumptions!$B$3)^T28</f>
        <v/>
      </c>
      <c r="V28" s="11">
        <f>IF(M28=0,"",ROUND(U28/M28*100,1))</f>
        <v/>
      </c>
      <c r="W28" s="16">
        <f>U28*Assumptions!$B$4</f>
        <v/>
      </c>
      <c r="X28" s="11">
        <f>IF(M28=0,"",ROUND(W28/M28*100,1))</f>
        <v/>
      </c>
      <c r="Y28" t="inlineStr">
        <is>
          <t>AZEPLAST INDÚSTRIA E COMÉRCIO LTDA</t>
        </is>
      </c>
      <c r="Z28" t="inlineStr">
        <is>
          <t>5008793-34.2023.8.24.0019</t>
        </is>
      </c>
      <c r="AA28" t="inlineStr">
        <is>
          <t>TJSC</t>
        </is>
      </c>
      <c r="AB28" t="inlineStr">
        <is>
          <t>ajruiz.com.br</t>
        </is>
      </c>
      <c r="AC28" t="inlineStr">
        <is>
          <t>PAULO GUAITA GARNICA</t>
        </is>
      </c>
      <c r="AD28" t="inlineStr">
        <is>
          <t>Sócio-Administrador</t>
        </is>
      </c>
      <c r="AE28" t="inlineStr">
        <is>
          <t>(11) 4667-1382</t>
        </is>
      </c>
      <c r="AF28" t="inlineStr"/>
      <c r="AG28" t="inlineStr"/>
      <c r="AH28" t="inlineStr">
        <is>
          <t>SP</t>
        </is>
      </c>
      <c r="AI28" t="inlineStr">
        <is>
          <t>ITAPECERICA DA SERRA</t>
        </is>
      </c>
      <c r="AJ28" t="inlineStr">
        <is>
          <t>Comércio atacadista de embalagens</t>
        </is>
      </c>
      <c r="AK28" t="inlineStr">
        <is>
          <t>DEMAIS</t>
        </is>
      </c>
      <c r="AL28" t="inlineStr">
        <is>
          <t>ATIVA</t>
        </is>
      </c>
      <c r="AM28" s="17" t="inlineStr">
        <is>
          <t>https://ajruiz.com.br/sites/default/files/public/arquivos-processos/2026-08/qgc_azeplast_julho_2026.pdf</t>
        </is>
      </c>
      <c r="AN28" s="18" t="inlineStr">
        <is>
          <t>p2 r12</t>
        </is>
      </c>
      <c r="AO28" s="18" t="inlineStr">
        <is>
          <t>p2: R$ 189.260,69</t>
        </is>
      </c>
      <c r="AP28" s="18" t="inlineStr">
        <is>
          <t>QGC</t>
        </is>
      </c>
      <c r="AQ28" s="18" t="inlineStr"/>
      <c r="AR28" s="18" t="inlineStr">
        <is>
          <t>QUARANTINED</t>
        </is>
      </c>
      <c r="AS28" s="18" t="inlineStr">
        <is>
          <t>PARTIAL_DOC_CLASS_III_RECONCILED ROWS:p2r12</t>
        </is>
      </c>
      <c r="AT28" s="18" t="inlineStr">
        <is>
          <t>229081edb0ea</t>
        </is>
      </c>
    </row>
    <row r="29">
      <c r="A29" s="9" t="n">
        <v>28</v>
      </c>
      <c r="B29" s="9" t="inlineStr">
        <is>
          <t>NEW</t>
        </is>
      </c>
      <c r="C29" s="9" t="inlineStr"/>
      <c r="D29" s="9" t="n">
        <v>0</v>
      </c>
      <c r="E29" s="9" t="inlineStr"/>
      <c r="F29" s="9" t="inlineStr"/>
      <c r="G29" s="9" t="inlineStr"/>
      <c r="H29" s="9" t="inlineStr"/>
      <c r="I29" t="inlineStr">
        <is>
          <t>DNA SOLUCOES COMERCIO E IMPORTACAO DE PRODUTOS AGRICOLAS LTDA</t>
        </is>
      </c>
      <c r="J29" t="inlineStr">
        <is>
          <t>DNA SOLUCOES COM E IMPORTADAO DE PRODUTOS</t>
        </is>
      </c>
      <c r="K29" t="inlineStr">
        <is>
          <t>21018796</t>
        </is>
      </c>
      <c r="L29" t="inlineStr">
        <is>
          <t>21018796000180</t>
        </is>
      </c>
      <c r="M29" s="10" t="n">
        <v>188929.79</v>
      </c>
      <c r="N29" t="n">
        <v>1</v>
      </c>
      <c r="O29" s="11" t="inlineStr">
        <is>
          <t>B</t>
        </is>
      </c>
      <c r="P29" s="11" t="inlineStr">
        <is>
          <t>ACTIVE</t>
        </is>
      </c>
      <c r="Q29" s="12" t="n">
        <v>45425</v>
      </c>
      <c r="R29" s="11">
        <f>IF(Q29="","",ROUND((TODAY()-Q29)/365.25,1))</f>
        <v/>
      </c>
      <c r="S29" s="13">
        <f>IFERROR(VLOOKUP(O29,Assumptions!$A$7:$F$11,2,FALSE),0.25)</f>
        <v/>
      </c>
      <c r="T29" s="14">
        <f>IF(O29="A",MAX(1,IFERROR(VLOOKUP(O29,Assumptions!$A$7:$F$11,3,FALSE),3)+IFERROR(VLOOKUP(O29,Assumptions!$A$7:$F$11,4,FALSE),8)/2-MAX(0,IF(R29="",0,R29)-IFERROR(VLOOKUP(O29,Assumptions!$A$7:$F$11,5,FALSE),1.5))),IFERROR(VLOOKUP(O29,Assumptions!$A$7:$F$11,5,FALSE),2.5)+IFERROR(VLOOKUP(O29,Assumptions!$A$7:$F$11,3,FALSE),3)+IFERROR(VLOOKUP(O29,Assumptions!$A$7:$F$11,4,FALSE),8)/2)</f>
        <v/>
      </c>
      <c r="U29" s="15">
        <f>M29*S29/(1+Assumptions!$B$3)^T29</f>
        <v/>
      </c>
      <c r="V29" s="11">
        <f>IF(M29=0,"",ROUND(U29/M29*100,1))</f>
        <v/>
      </c>
      <c r="W29" s="16">
        <f>U29*Assumptions!$B$4</f>
        <v/>
      </c>
      <c r="X29" s="11">
        <f>IF(M29=0,"",ROUND(W29/M29*100,1))</f>
        <v/>
      </c>
      <c r="Y29" t="inlineStr">
        <is>
          <t>GRUPO DIVINA</t>
        </is>
      </c>
      <c r="Z29" t="inlineStr">
        <is>
          <t>0000721-61.2024.8.17.2620</t>
        </is>
      </c>
      <c r="AA29" t="inlineStr">
        <is>
          <t>TJPE</t>
        </is>
      </c>
      <c r="AB29" t="inlineStr">
        <is>
          <t>lrflideres.com.br</t>
        </is>
      </c>
      <c r="AC29" t="inlineStr">
        <is>
          <t>MUCIO SALES DE NOVAES FERREIRA</t>
        </is>
      </c>
      <c r="AD29" t="inlineStr">
        <is>
          <t>Sócio-Administrador</t>
        </is>
      </c>
      <c r="AE29" t="inlineStr">
        <is>
          <t>(87) 3864-7800</t>
        </is>
      </c>
      <c r="AF29" t="inlineStr">
        <is>
          <t>(87) 3032-0412</t>
        </is>
      </c>
      <c r="AG29" t="inlineStr"/>
      <c r="AH29" t="inlineStr">
        <is>
          <t>PE</t>
        </is>
      </c>
      <c r="AI29" t="inlineStr">
        <is>
          <t>PETROLINA</t>
        </is>
      </c>
      <c r="AJ29" t="inlineStr">
        <is>
          <t>Comércio atacadista de defensivos agrícolas, adubos, fertilizantes e corretivos do solo</t>
        </is>
      </c>
      <c r="AK29" t="inlineStr">
        <is>
          <t>EMPRESA DE PEQUENO PORTE</t>
        </is>
      </c>
      <c r="AL29" t="inlineStr">
        <is>
          <t>ATIVA</t>
        </is>
      </c>
      <c r="AM29" s="17" t="inlineStr">
        <is>
          <t>https://lrflideres.com.br/wp-content/plugins/download-attachments/includes/download.php?id=6252</t>
        </is>
      </c>
      <c r="AN29" s="18" t="inlineStr">
        <is>
          <t>p2 r35</t>
        </is>
      </c>
      <c r="AO29" s="18" t="inlineStr">
        <is>
          <t>p2: R$ 188.929,79</t>
        </is>
      </c>
      <c r="AP29" s="18" t="inlineStr">
        <is>
          <t>AJ_LIST</t>
        </is>
      </c>
      <c r="AQ29" s="18" t="inlineStr">
        <is>
          <t>2024-11-27</t>
        </is>
      </c>
      <c r="AR29" s="18" t="inlineStr">
        <is>
          <t>QUARANTINED</t>
        </is>
      </c>
      <c r="AS29" s="18" t="inlineStr">
        <is>
          <t>PARTIAL_DOC_CLASS_III_RECONCILED ROWS:p2r35</t>
        </is>
      </c>
      <c r="AT29" s="18" t="inlineStr">
        <is>
          <t>38f0c15b8a2d</t>
        </is>
      </c>
    </row>
    <row r="30">
      <c r="A30" s="9" t="n">
        <v>29</v>
      </c>
      <c r="B30" s="9" t="inlineStr">
        <is>
          <t>NEW</t>
        </is>
      </c>
      <c r="C30" s="9" t="inlineStr"/>
      <c r="D30" s="9" t="n">
        <v>0</v>
      </c>
      <c r="E30" s="9" t="inlineStr"/>
      <c r="F30" s="9" t="inlineStr"/>
      <c r="G30" s="9" t="inlineStr"/>
      <c r="H30" s="9" t="inlineStr"/>
      <c r="I30" t="inlineStr">
        <is>
          <t>PBG S/A</t>
        </is>
      </c>
      <c r="J30" t="inlineStr">
        <is>
          <t>PBG S/A</t>
        </is>
      </c>
      <c r="K30" t="inlineStr">
        <is>
          <t>83475913</t>
        </is>
      </c>
      <c r="L30" t="inlineStr">
        <is>
          <t>83475913004006</t>
        </is>
      </c>
      <c r="M30" s="10" t="n">
        <v>188272.57</v>
      </c>
      <c r="N30" t="n">
        <v>1</v>
      </c>
      <c r="O30" s="11" t="inlineStr">
        <is>
          <t>B</t>
        </is>
      </c>
      <c r="P30" s="11" t="inlineStr"/>
      <c r="Q30" s="12" t="n">
        <v>45785</v>
      </c>
      <c r="R30" s="11">
        <f>IF(Q30="","",ROUND((TODAY()-Q30)/365.25,1))</f>
        <v/>
      </c>
      <c r="S30" s="13">
        <f>IFERROR(VLOOKUP(O30,Assumptions!$A$7:$F$11,2,FALSE),0.25)</f>
        <v/>
      </c>
      <c r="T30" s="14">
        <f>IF(O30="A",MAX(1,IFERROR(VLOOKUP(O30,Assumptions!$A$7:$F$11,3,FALSE),3)+IFERROR(VLOOKUP(O30,Assumptions!$A$7:$F$11,4,FALSE),8)/2-MAX(0,IF(R30="",0,R30)-IFERROR(VLOOKUP(O30,Assumptions!$A$7:$F$11,5,FALSE),1.5))),IFERROR(VLOOKUP(O30,Assumptions!$A$7:$F$11,5,FALSE),2.5)+IFERROR(VLOOKUP(O30,Assumptions!$A$7:$F$11,3,FALSE),3)+IFERROR(VLOOKUP(O30,Assumptions!$A$7:$F$11,4,FALSE),8)/2)</f>
        <v/>
      </c>
      <c r="U30" s="15">
        <f>M30*S30/(1+Assumptions!$B$3)^T30</f>
        <v/>
      </c>
      <c r="V30" s="11">
        <f>IF(M30=0,"",ROUND(U30/M30*100,1))</f>
        <v/>
      </c>
      <c r="W30" s="16">
        <f>U30*Assumptions!$B$4</f>
        <v/>
      </c>
      <c r="X30" s="11">
        <f>IF(M30=0,"",ROUND(W30/M30*100,1))</f>
        <v/>
      </c>
      <c r="Y30" t="inlineStr">
        <is>
          <t>Grupo Pisebem</t>
        </is>
      </c>
      <c r="Z30" t="inlineStr">
        <is>
          <t>0700707-87.2025.8.02.0043</t>
        </is>
      </c>
      <c r="AA30" t="inlineStr">
        <is>
          <t>TJAL</t>
        </is>
      </c>
      <c r="AB30" t="inlineStr">
        <is>
          <t>recuperacaojudicial.squarespace.com</t>
        </is>
      </c>
      <c r="AC30" t="inlineStr">
        <is>
          <t>CESAR GOMES JUNIOR</t>
        </is>
      </c>
      <c r="AD30" t="inlineStr">
        <is>
          <t>Diretor</t>
        </is>
      </c>
      <c r="AE30" t="inlineStr">
        <is>
          <t>(48) 3279-2587</t>
        </is>
      </c>
      <c r="AF30" t="inlineStr"/>
      <c r="AG30" t="inlineStr"/>
      <c r="AH30" t="inlineStr">
        <is>
          <t>SC</t>
        </is>
      </c>
      <c r="AI30" t="inlineStr">
        <is>
          <t>TIJUCAS</t>
        </is>
      </c>
      <c r="AJ30" t="inlineStr">
        <is>
          <t>Fabricação de azulejos e pisos</t>
        </is>
      </c>
      <c r="AK30" t="inlineStr">
        <is>
          <t>DEMAIS</t>
        </is>
      </c>
      <c r="AL30" t="inlineStr">
        <is>
          <t>ATIVA</t>
        </is>
      </c>
      <c r="AM30" s="17" t="inlineStr">
        <is>
          <t>https://recuperacaojudicial.squarespace.com/s/EDITAL-COM-A-2-LISTA-DE-CREDORES-E-INFORMANDO-A-APRESENTACO-DO-PRJ_1532.pdf</t>
        </is>
      </c>
      <c r="AN30" s="18" t="inlineStr">
        <is>
          <t>p2 r13</t>
        </is>
      </c>
      <c r="AO30" s="18" t="inlineStr">
        <is>
          <t>p2: R$ 188.272,57</t>
        </is>
      </c>
      <c r="AP30" s="18" t="inlineStr">
        <is>
          <t>AJ_LIST</t>
        </is>
      </c>
      <c r="AQ30" s="18" t="inlineStr"/>
      <c r="AR30" s="18" t="inlineStr">
        <is>
          <t>OK_NO_TOTALS</t>
        </is>
      </c>
      <c r="AS30" s="18" t="inlineStr">
        <is>
          <t>ROWS:p2r13 UNRECONCILED_SOURCE CASE_NUMBER_CORRECTED</t>
        </is>
      </c>
      <c r="AT30" s="18" t="inlineStr">
        <is>
          <t>d7c426fbd475</t>
        </is>
      </c>
    </row>
    <row r="31">
      <c r="A31" s="9" t="n">
        <v>30</v>
      </c>
      <c r="B31" s="9" t="inlineStr">
        <is>
          <t>NEW</t>
        </is>
      </c>
      <c r="C31" s="9" t="inlineStr"/>
      <c r="D31" s="9" t="n">
        <v>0</v>
      </c>
      <c r="E31" s="9" t="inlineStr"/>
      <c r="F31" s="9" t="inlineStr"/>
      <c r="G31" s="9" t="inlineStr"/>
      <c r="H31" s="9" t="inlineStr"/>
      <c r="I31" t="inlineStr">
        <is>
          <t>CONSTRUTORA E PEDREIRA BEIRA RIO LTDA</t>
        </is>
      </c>
      <c r="J31" t="inlineStr">
        <is>
          <t>Construtora e Pedreira Beira Rio Ltda</t>
        </is>
      </c>
      <c r="K31" t="inlineStr">
        <is>
          <t>20051181</t>
        </is>
      </c>
      <c r="L31" t="inlineStr">
        <is>
          <t>20051181000192</t>
        </is>
      </c>
      <c r="M31" s="10" t="n">
        <v>187837.2</v>
      </c>
      <c r="N31" t="n">
        <v>1</v>
      </c>
      <c r="O31" s="11" t="inlineStr">
        <is>
          <t>B</t>
        </is>
      </c>
      <c r="P31" s="11" t="inlineStr"/>
      <c r="Q31" s="12" t="n">
        <v>45756</v>
      </c>
      <c r="R31" s="11">
        <f>IF(Q31="","",ROUND((TODAY()-Q31)/365.25,1))</f>
        <v/>
      </c>
      <c r="S31" s="13">
        <f>IFERROR(VLOOKUP(O31,Assumptions!$A$7:$F$11,2,FALSE),0.25)</f>
        <v/>
      </c>
      <c r="T31" s="14">
        <f>IF(O31="A",MAX(1,IFERROR(VLOOKUP(O31,Assumptions!$A$7:$F$11,3,FALSE),3)+IFERROR(VLOOKUP(O31,Assumptions!$A$7:$F$11,4,FALSE),8)/2-MAX(0,IF(R31="",0,R31)-IFERROR(VLOOKUP(O31,Assumptions!$A$7:$F$11,5,FALSE),1.5))),IFERROR(VLOOKUP(O31,Assumptions!$A$7:$F$11,5,FALSE),2.5)+IFERROR(VLOOKUP(O31,Assumptions!$A$7:$F$11,3,FALSE),3)+IFERROR(VLOOKUP(O31,Assumptions!$A$7:$F$11,4,FALSE),8)/2)</f>
        <v/>
      </c>
      <c r="U31" s="15">
        <f>M31*S31/(1+Assumptions!$B$3)^T31</f>
        <v/>
      </c>
      <c r="V31" s="11">
        <f>IF(M31=0,"",ROUND(U31/M31*100,1))</f>
        <v/>
      </c>
      <c r="W31" s="16">
        <f>U31*Assumptions!$B$4</f>
        <v/>
      </c>
      <c r="X31" s="11">
        <f>IF(M31=0,"",ROUND(W31/M31*100,1))</f>
        <v/>
      </c>
      <c r="Y31" t="inlineStr">
        <is>
          <t>GRUPO EGESA (EGESA ENG S.A, EGESUR PART E EMP S.A, MATRIX INFRA LTDA, BEMVIVER ENG AMBIENTAL E SERV LTDA, DKF CONST E EMP LTDA, EGEPEL LTDA, ETR ASSESSORIA EMP E PART LTDA, MVT ENG E SERV LTDA, PARQUES DO VALE LTDA, ELMO RIBEIRO E ANA RIBEIRO)</t>
        </is>
      </c>
      <c r="Z31" t="inlineStr">
        <is>
          <t>5088952-81.2025.8.13.0024</t>
        </is>
      </c>
      <c r="AA31" t="inlineStr">
        <is>
          <t>TJMG</t>
        </is>
      </c>
      <c r="AB31" t="inlineStr">
        <is>
          <t>scalzilliaj.com.br</t>
        </is>
      </c>
      <c r="AC31" t="inlineStr">
        <is>
          <t>ARTUR BRAGHETTO BARILLARI</t>
        </is>
      </c>
      <c r="AD31" t="inlineStr">
        <is>
          <t>Sócio-Administrador</t>
        </is>
      </c>
      <c r="AE31" t="inlineStr">
        <is>
          <t>(34) 3313-4110</t>
        </is>
      </c>
      <c r="AF31" t="inlineStr"/>
      <c r="AG31" t="inlineStr"/>
      <c r="AH31" t="inlineStr">
        <is>
          <t>MG</t>
        </is>
      </c>
      <c r="AI31" t="inlineStr">
        <is>
          <t>UBERABA</t>
        </is>
      </c>
      <c r="AJ31" t="inlineStr">
        <is>
          <t>Extração e britamento de pedras e outros materiais para construção e beneficiamento associado</t>
        </is>
      </c>
      <c r="AK31" t="inlineStr">
        <is>
          <t>DEMAIS</t>
        </is>
      </c>
      <c r="AL31" t="inlineStr">
        <is>
          <t>ATIVA</t>
        </is>
      </c>
      <c r="AM31" s="17" t="inlineStr">
        <is>
          <t>https://scalzilliaj.com.br/sgc/download.php?file=files/processo_documento/processo_documento09514021082025_1_.pdf&amp;nome=04 - Relação de credores das Recuperandas</t>
        </is>
      </c>
      <c r="AN31" s="18" t="inlineStr">
        <is>
          <t>p64 r14</t>
        </is>
      </c>
      <c r="AO31" s="18" t="inlineStr">
        <is>
          <t>p64: R$ 187.837,20</t>
        </is>
      </c>
      <c r="AP31" s="18" t="inlineStr">
        <is>
          <t>DEBTOR_LIST</t>
        </is>
      </c>
      <c r="AQ31" s="18" t="inlineStr"/>
      <c r="AR31" s="18" t="inlineStr">
        <is>
          <t>OK</t>
        </is>
      </c>
      <c r="AS31" s="18" t="inlineStr">
        <is>
          <t>ROWS:p64r14 VALUE_COL:Valor_Atualizado CASE_NUMBER_CORRECTED CASE_FROM_PORTAL</t>
        </is>
      </c>
      <c r="AT31" s="18" t="inlineStr">
        <is>
          <t>24ed98480a57</t>
        </is>
      </c>
    </row>
    <row r="32">
      <c r="A32" s="9" t="n">
        <v>31</v>
      </c>
      <c r="B32" s="9" t="inlineStr">
        <is>
          <t>NEW</t>
        </is>
      </c>
      <c r="C32" s="9" t="inlineStr"/>
      <c r="D32" s="9" t="n">
        <v>0</v>
      </c>
      <c r="E32" s="9" t="inlineStr"/>
      <c r="F32" s="9" t="inlineStr"/>
      <c r="G32" s="9" t="inlineStr"/>
      <c r="H32" s="9" t="inlineStr"/>
      <c r="I32" t="inlineStr">
        <is>
          <t>MORELATE DISTRIBUIDORA DE AUTO PECAS LTDA</t>
        </is>
      </c>
      <c r="J32" t="inlineStr">
        <is>
          <t>RUA VALENTINO CARDOSO - SAO PAULO-SP - CEP 05161-100</t>
        </is>
      </c>
      <c r="K32" t="inlineStr">
        <is>
          <t>04125812</t>
        </is>
      </c>
      <c r="L32" t="inlineStr">
        <is>
          <t>04125812000700</t>
        </is>
      </c>
      <c r="M32" s="10" t="n">
        <v>187140.54</v>
      </c>
      <c r="N32" t="n">
        <v>1</v>
      </c>
      <c r="O32" s="11" t="inlineStr">
        <is>
          <t>U</t>
        </is>
      </c>
      <c r="P32" s="11" t="inlineStr"/>
      <c r="Q32" s="12" t="inlineStr"/>
      <c r="R32" s="11">
        <f>IF(Q32="","",ROUND((TODAY()-Q32)/365.25,1))</f>
        <v/>
      </c>
      <c r="S32" s="13">
        <f>IFERROR(VLOOKUP(O32,Assumptions!$A$7:$F$11,2,FALSE),0.25)</f>
        <v/>
      </c>
      <c r="T32" s="14">
        <f>IF(O32="A",MAX(1,IFERROR(VLOOKUP(O32,Assumptions!$A$7:$F$11,3,FALSE),3)+IFERROR(VLOOKUP(O32,Assumptions!$A$7:$F$11,4,FALSE),8)/2-MAX(0,IF(R32="",0,R32)-IFERROR(VLOOKUP(O32,Assumptions!$A$7:$F$11,5,FALSE),1.5))),IFERROR(VLOOKUP(O32,Assumptions!$A$7:$F$11,5,FALSE),2.5)+IFERROR(VLOOKUP(O32,Assumptions!$A$7:$F$11,3,FALSE),3)+IFERROR(VLOOKUP(O32,Assumptions!$A$7:$F$11,4,FALSE),8)/2)</f>
        <v/>
      </c>
      <c r="U32" s="15">
        <f>M32*S32/(1+Assumptions!$B$3)^T32</f>
        <v/>
      </c>
      <c r="V32" s="11">
        <f>IF(M32=0,"",ROUND(U32/M32*100,1))</f>
        <v/>
      </c>
      <c r="W32" s="16">
        <f>U32*Assumptions!$B$4</f>
        <v/>
      </c>
      <c r="X32" s="11">
        <f>IF(M32=0,"",ROUND(W32/M32*100,1))</f>
        <v/>
      </c>
      <c r="Y32" t="inlineStr">
        <is>
          <t>Base</t>
        </is>
      </c>
      <c r="Z32" t="inlineStr">
        <is>
          <t>(not found in document)</t>
        </is>
      </c>
      <c r="AA32" t="inlineStr"/>
      <c r="AB32" t="inlineStr">
        <is>
          <t>ajruiz.com.br</t>
        </is>
      </c>
      <c r="AC32" t="inlineStr">
        <is>
          <t>NIVALDO JOSE MOREIRA</t>
        </is>
      </c>
      <c r="AD32" t="inlineStr">
        <is>
          <t>Administrador</t>
        </is>
      </c>
      <c r="AE32" t="inlineStr">
        <is>
          <t>(11) 5239-7651</t>
        </is>
      </c>
      <c r="AF32" t="inlineStr"/>
      <c r="AG32" t="inlineStr"/>
      <c r="AH32" t="inlineStr">
        <is>
          <t>SP</t>
        </is>
      </c>
      <c r="AI32" t="inlineStr">
        <is>
          <t>BARUERI</t>
        </is>
      </c>
      <c r="AJ32" t="inlineStr">
        <is>
          <t>Comércio por atacado de peças e acessórios novos para veículos automotores</t>
        </is>
      </c>
      <c r="AK32" t="inlineStr">
        <is>
          <t>DEMAIS</t>
        </is>
      </c>
      <c r="AL32" t="inlineStr">
        <is>
          <t>ATIVA</t>
        </is>
      </c>
      <c r="AM32" s="17" t="inlineStr">
        <is>
          <t>https://ajruiz.com.br/sites/default/files/public/arquivos-processos/2023-11/4_relacao_de_credores_analitica_art._51_iii_da_lre.pdf</t>
        </is>
      </c>
      <c r="AN32" s="18" t="inlineStr">
        <is>
          <t>p3 r38</t>
        </is>
      </c>
      <c r="AO32" s="18" t="inlineStr">
        <is>
          <t>p3: R$ 187.140,54</t>
        </is>
      </c>
      <c r="AP32" s="18" t="inlineStr">
        <is>
          <t>UNKNOWN</t>
        </is>
      </c>
      <c r="AQ32" s="18" t="inlineStr"/>
      <c r="AR32" s="18" t="inlineStr">
        <is>
          <t>OK</t>
        </is>
      </c>
      <c r="AS32" s="18" t="inlineStr">
        <is>
          <t>ROWS:p3r38 CASE_NUMBER_CORRECTED</t>
        </is>
      </c>
      <c r="AT32" s="18" t="inlineStr">
        <is>
          <t>2407a56c3502</t>
        </is>
      </c>
    </row>
    <row r="33">
      <c r="A33" s="9" t="n">
        <v>32</v>
      </c>
      <c r="B33" s="9" t="inlineStr">
        <is>
          <t>NEW</t>
        </is>
      </c>
      <c r="C33" s="9" t="inlineStr"/>
      <c r="D33" s="9" t="n">
        <v>0</v>
      </c>
      <c r="E33" s="9" t="inlineStr"/>
      <c r="F33" s="9" t="inlineStr"/>
      <c r="G33" s="9" t="inlineStr"/>
      <c r="H33" s="9" t="inlineStr"/>
      <c r="I33" t="inlineStr">
        <is>
          <t>RM REVESTIMENTOS MONOLITICOS LTDA</t>
        </is>
      </c>
      <c r="J33" t="inlineStr">
        <is>
          <t>R ATENAS 369 8900000</t>
        </is>
      </c>
      <c r="K33" t="inlineStr">
        <is>
          <t>07446039</t>
        </is>
      </c>
      <c r="L33" t="inlineStr">
        <is>
          <t>07446039000186</t>
        </is>
      </c>
      <c r="M33" s="10" t="n">
        <v>186787.44</v>
      </c>
      <c r="N33" t="n">
        <v>1</v>
      </c>
      <c r="O33" s="11" t="inlineStr">
        <is>
          <t>B</t>
        </is>
      </c>
      <c r="P33" s="11" t="inlineStr">
        <is>
          <t>ACTIVE</t>
        </is>
      </c>
      <c r="Q33" s="12" t="n">
        <v>45964</v>
      </c>
      <c r="R33" s="11">
        <f>IF(Q33="","",ROUND((TODAY()-Q33)/365.25,1))</f>
        <v/>
      </c>
      <c r="S33" s="13">
        <f>IFERROR(VLOOKUP(O33,Assumptions!$A$7:$F$11,2,FALSE),0.25)</f>
        <v/>
      </c>
      <c r="T33" s="14">
        <f>IF(O33="A",MAX(1,IFERROR(VLOOKUP(O33,Assumptions!$A$7:$F$11,3,FALSE),3)+IFERROR(VLOOKUP(O33,Assumptions!$A$7:$F$11,4,FALSE),8)/2-MAX(0,IF(R33="",0,R33)-IFERROR(VLOOKUP(O33,Assumptions!$A$7:$F$11,5,FALSE),1.5))),IFERROR(VLOOKUP(O33,Assumptions!$A$7:$F$11,5,FALSE),2.5)+IFERROR(VLOOKUP(O33,Assumptions!$A$7:$F$11,3,FALSE),3)+IFERROR(VLOOKUP(O33,Assumptions!$A$7:$F$11,4,FALSE),8)/2)</f>
        <v/>
      </c>
      <c r="U33" s="15">
        <f>M33*S33/(1+Assumptions!$B$3)^T33</f>
        <v/>
      </c>
      <c r="V33" s="11">
        <f>IF(M33=0,"",ROUND(U33/M33*100,1))</f>
        <v/>
      </c>
      <c r="W33" s="16">
        <f>U33*Assumptions!$B$4</f>
        <v/>
      </c>
      <c r="X33" s="11">
        <f>IF(M33=0,"",ROUND(W33/M33*100,1))</f>
        <v/>
      </c>
      <c r="Y33" t="inlineStr">
        <is>
          <t>CENTURY CONSTRUÇÕES COMÉRCIO E SERVIÇOS LTDA.</t>
        </is>
      </c>
      <c r="Z33" t="inlineStr">
        <is>
          <t>4054599-35.2025.8.26.0100</t>
        </is>
      </c>
      <c r="AA33" t="inlineStr">
        <is>
          <t>TJSP</t>
        </is>
      </c>
      <c r="AB33" t="inlineStr">
        <is>
          <t>ativosajce.com.br</t>
        </is>
      </c>
      <c r="AC33" t="inlineStr">
        <is>
          <t>HENRIQUE DA COSTA GARCIA</t>
        </is>
      </c>
      <c r="AD33" t="inlineStr">
        <is>
          <t>Sócio-Administrador</t>
        </is>
      </c>
      <c r="AE33" t="inlineStr">
        <is>
          <t>(11) 2164-4300</t>
        </is>
      </c>
      <c r="AF33" t="inlineStr"/>
      <c r="AG33" t="inlineStr"/>
      <c r="AH33" t="inlineStr">
        <is>
          <t>SP</t>
        </is>
      </c>
      <c r="AI33" t="inlineStr">
        <is>
          <t>GUARAREMA</t>
        </is>
      </c>
      <c r="AJ33" t="inlineStr">
        <is>
          <t>Preparação de massa de concreto e argamassa para construção</t>
        </is>
      </c>
      <c r="AK33" t="inlineStr">
        <is>
          <t>DEMAIS</t>
        </is>
      </c>
      <c r="AL33" t="inlineStr">
        <is>
          <t>ATIVA</t>
        </is>
      </c>
      <c r="AM33" s="17" t="inlineStr">
        <is>
          <t>https://ativosajce.com.br/admin/download.php?file=files/processo_documento/processo_documento16022716122025_1_.pdf&amp;nome=Relação de credores - art. 52, §1º da Lei 11.101/05 - 15/12/2025</t>
        </is>
      </c>
      <c r="AN33" s="18" t="inlineStr">
        <is>
          <t>p4 r26</t>
        </is>
      </c>
      <c r="AO33" s="18" t="inlineStr">
        <is>
          <t>p4: R$ 186.787,44</t>
        </is>
      </c>
      <c r="AP33" s="18" t="inlineStr">
        <is>
          <t>UNKNOWN</t>
        </is>
      </c>
      <c r="AQ33" s="18" t="inlineStr"/>
      <c r="AR33" s="18" t="inlineStr">
        <is>
          <t>OK_NO_TOTALS</t>
        </is>
      </c>
      <c r="AS33" s="18" t="inlineStr">
        <is>
          <t>ROWS:p4r26 UNRECONCILED_SOURCE</t>
        </is>
      </c>
      <c r="AT33" s="18" t="inlineStr">
        <is>
          <t>2fe04bf4466d</t>
        </is>
      </c>
    </row>
    <row r="34">
      <c r="A34" s="9" t="n">
        <v>33</v>
      </c>
      <c r="B34" s="9" t="inlineStr">
        <is>
          <t>NEW</t>
        </is>
      </c>
      <c r="C34" s="9" t="inlineStr"/>
      <c r="D34" s="9" t="n">
        <v>0</v>
      </c>
      <c r="E34" s="9" t="inlineStr"/>
      <c r="F34" s="9" t="inlineStr"/>
      <c r="G34" s="9" t="inlineStr"/>
      <c r="H34" s="9" t="inlineStr"/>
      <c r="I34" t="inlineStr">
        <is>
          <t>WA INDUSTRIA E COMERCIO LTDA</t>
        </is>
      </c>
      <c r="J34" t="inlineStr">
        <is>
          <t>WA INDUSTRIA E COMERCIO LTDA</t>
        </is>
      </c>
      <c r="K34" t="inlineStr">
        <is>
          <t>04215366</t>
        </is>
      </c>
      <c r="L34" t="inlineStr">
        <is>
          <t>04215366000139</t>
        </is>
      </c>
      <c r="M34" s="10" t="n">
        <v>186244.57</v>
      </c>
      <c r="N34" t="n">
        <v>1</v>
      </c>
      <c r="O34" s="11" t="inlineStr">
        <is>
          <t>C</t>
        </is>
      </c>
      <c r="P34" s="11" t="inlineStr">
        <is>
          <t>ACTIVE</t>
        </is>
      </c>
      <c r="Q34" s="12" t="n">
        <v>45264</v>
      </c>
      <c r="R34" s="11">
        <f>IF(Q34="","",ROUND((TODAY()-Q34)/365.25,1))</f>
        <v/>
      </c>
      <c r="S34" s="13">
        <f>IFERROR(VLOOKUP(O34,Assumptions!$A$7:$F$11,2,FALSE),0.25)</f>
        <v/>
      </c>
      <c r="T34" s="14">
        <f>IF(O34="A",MAX(1,IFERROR(VLOOKUP(O34,Assumptions!$A$7:$F$11,3,FALSE),3)+IFERROR(VLOOKUP(O34,Assumptions!$A$7:$F$11,4,FALSE),8)/2-MAX(0,IF(R34="",0,R34)-IFERROR(VLOOKUP(O34,Assumptions!$A$7:$F$11,5,FALSE),1.5))),IFERROR(VLOOKUP(O34,Assumptions!$A$7:$F$11,5,FALSE),2.5)+IFERROR(VLOOKUP(O34,Assumptions!$A$7:$F$11,3,FALSE),3)+IFERROR(VLOOKUP(O34,Assumptions!$A$7:$F$11,4,FALSE),8)/2)</f>
        <v/>
      </c>
      <c r="U34" s="15">
        <f>M34*S34/(1+Assumptions!$B$3)^T34</f>
        <v/>
      </c>
      <c r="V34" s="11">
        <f>IF(M34=0,"",ROUND(U34/M34*100,1))</f>
        <v/>
      </c>
      <c r="W34" s="16">
        <f>U34*Assumptions!$B$4</f>
        <v/>
      </c>
      <c r="X34" s="11">
        <f>IF(M34=0,"",ROUND(W34/M34*100,1))</f>
        <v/>
      </c>
      <c r="Y34" t="inlineStr">
        <is>
          <t>Alto Uruguai Indústria e Comércio de Óleos Ltda</t>
        </is>
      </c>
      <c r="Z34" t="inlineStr">
        <is>
          <t>5012743-51.2023.8.24.0019</t>
        </is>
      </c>
      <c r="AA34" t="inlineStr">
        <is>
          <t>TJSC</t>
        </is>
      </c>
      <c r="AB34" t="inlineStr">
        <is>
          <t>ajruiz.com.br</t>
        </is>
      </c>
      <c r="AC34" t="inlineStr">
        <is>
          <t>ADEMIR ANTONIO TODESCHINI</t>
        </is>
      </c>
      <c r="AD34" t="inlineStr">
        <is>
          <t>Administrador</t>
        </is>
      </c>
      <c r="AE34" t="inlineStr">
        <is>
          <t>(49) 9112-8888</t>
        </is>
      </c>
      <c r="AF34" t="inlineStr"/>
      <c r="AG34" t="inlineStr"/>
      <c r="AH34" t="inlineStr">
        <is>
          <t>SC</t>
        </is>
      </c>
      <c r="AI34" t="inlineStr">
        <is>
          <t>CHAPECO</t>
        </is>
      </c>
      <c r="AJ34" t="inlineStr">
        <is>
          <t>Transporte rodoviário de carga, exceto produtos perigosos e mudanças, intermunicipal, interestadual e internacional</t>
        </is>
      </c>
      <c r="AK34" t="inlineStr">
        <is>
          <t>DEMAIS</t>
        </is>
      </c>
      <c r="AL34" t="inlineStr">
        <is>
          <t>ATIVA</t>
        </is>
      </c>
      <c r="AM34" s="17" t="inlineStr">
        <is>
          <t>https://ajruiz.com.br/sites/default/files/public/arquivos-processos/2026-06/alto_uruguai_qgc_junho.2026.pdf</t>
        </is>
      </c>
      <c r="AN34" s="18" t="inlineStr">
        <is>
          <t>p1 r38</t>
        </is>
      </c>
      <c r="AO34" s="18" t="inlineStr">
        <is>
          <t>p1: R$ 186.244,57</t>
        </is>
      </c>
      <c r="AP34" s="18" t="inlineStr">
        <is>
          <t>UNKNOWN</t>
        </is>
      </c>
      <c r="AQ34" s="18" t="inlineStr"/>
      <c r="AR34" s="18" t="inlineStr">
        <is>
          <t>OK</t>
        </is>
      </c>
      <c r="AS34" s="18" t="inlineStr">
        <is>
          <t>ROWS:p1r38 VALUE_COL:Valor_Do_Crédito</t>
        </is>
      </c>
      <c r="AT34" s="18" t="inlineStr">
        <is>
          <t>75336e98f447</t>
        </is>
      </c>
    </row>
    <row r="35">
      <c r="A35" s="9" t="n">
        <v>34</v>
      </c>
      <c r="B35" s="9" t="inlineStr">
        <is>
          <t>NEW</t>
        </is>
      </c>
      <c r="C35" s="9" t="inlineStr"/>
      <c r="D35" s="9" t="n">
        <v>0</v>
      </c>
      <c r="E35" s="9" t="inlineStr"/>
      <c r="F35" s="9" t="inlineStr"/>
      <c r="G35" s="9" t="inlineStr"/>
      <c r="H35" s="9" t="inlineStr"/>
      <c r="I35" t="inlineStr">
        <is>
          <t>G G VESTUARIO PROFISSIONAL LTDA</t>
        </is>
      </c>
      <c r="J35" t="inlineStr">
        <is>
          <t>RUA CAPITÃO CAVALCANTI VILA MARIANA 4017000</t>
        </is>
      </c>
      <c r="K35" t="inlineStr">
        <is>
          <t>00732684</t>
        </is>
      </c>
      <c r="L35" t="inlineStr">
        <is>
          <t>00732684000116</t>
        </is>
      </c>
      <c r="M35" s="10" t="n">
        <v>185483.8</v>
      </c>
      <c r="N35" t="n">
        <v>1</v>
      </c>
      <c r="O35" s="11" t="inlineStr">
        <is>
          <t>B</t>
        </is>
      </c>
      <c r="P35" s="11" t="inlineStr">
        <is>
          <t>ACTIVE</t>
        </is>
      </c>
      <c r="Q35" s="12" t="n">
        <v>45964</v>
      </c>
      <c r="R35" s="11">
        <f>IF(Q35="","",ROUND((TODAY()-Q35)/365.25,1))</f>
        <v/>
      </c>
      <c r="S35" s="13">
        <f>IFERROR(VLOOKUP(O35,Assumptions!$A$7:$F$11,2,FALSE),0.25)</f>
        <v/>
      </c>
      <c r="T35" s="14">
        <f>IF(O35="A",MAX(1,IFERROR(VLOOKUP(O35,Assumptions!$A$7:$F$11,3,FALSE),3)+IFERROR(VLOOKUP(O35,Assumptions!$A$7:$F$11,4,FALSE),8)/2-MAX(0,IF(R35="",0,R35)-IFERROR(VLOOKUP(O35,Assumptions!$A$7:$F$11,5,FALSE),1.5))),IFERROR(VLOOKUP(O35,Assumptions!$A$7:$F$11,5,FALSE),2.5)+IFERROR(VLOOKUP(O35,Assumptions!$A$7:$F$11,3,FALSE),3)+IFERROR(VLOOKUP(O35,Assumptions!$A$7:$F$11,4,FALSE),8)/2)</f>
        <v/>
      </c>
      <c r="U35" s="15">
        <f>M35*S35/(1+Assumptions!$B$3)^T35</f>
        <v/>
      </c>
      <c r="V35" s="11">
        <f>IF(M35=0,"",ROUND(U35/M35*100,1))</f>
        <v/>
      </c>
      <c r="W35" s="16">
        <f>U35*Assumptions!$B$4</f>
        <v/>
      </c>
      <c r="X35" s="11">
        <f>IF(M35=0,"",ROUND(W35/M35*100,1))</f>
        <v/>
      </c>
      <c r="Y35" t="inlineStr">
        <is>
          <t>CENTURY CONSTRUÇÕES COMÉRCIO E SERVIÇOS LTDA.</t>
        </is>
      </c>
      <c r="Z35" t="inlineStr">
        <is>
          <t>4054599-35.2025.8.26.0100</t>
        </is>
      </c>
      <c r="AA35" t="inlineStr">
        <is>
          <t>TJSP</t>
        </is>
      </c>
      <c r="AB35" t="inlineStr">
        <is>
          <t>ativosajce.com.br</t>
        </is>
      </c>
      <c r="AC35" t="inlineStr">
        <is>
          <t>CLENIR DE SOUZA</t>
        </is>
      </c>
      <c r="AD35" t="inlineStr">
        <is>
          <t>Sócio-Administrador</t>
        </is>
      </c>
      <c r="AE35" t="inlineStr">
        <is>
          <t>(49) 3566-2700</t>
        </is>
      </c>
      <c r="AF35" t="inlineStr"/>
      <c r="AG35" t="inlineStr"/>
      <c r="AH35" t="inlineStr">
        <is>
          <t>SC</t>
        </is>
      </c>
      <c r="AI35" t="inlineStr">
        <is>
          <t>VIDEIRA</t>
        </is>
      </c>
      <c r="AJ35" t="inlineStr">
        <is>
          <t>Confecção de peças de vestuário, exceto roupas íntimas e as confeccionadas sob medida</t>
        </is>
      </c>
      <c r="AK35" t="inlineStr">
        <is>
          <t>DEMAIS</t>
        </is>
      </c>
      <c r="AL35" t="inlineStr">
        <is>
          <t>ATIVA</t>
        </is>
      </c>
      <c r="AM35" s="17" t="inlineStr">
        <is>
          <t>https://ativosajce.com.br/admin/download.php?file=files/processo_documento/processo_documento16022716122025_1_.pdf&amp;nome=Relação de credores - art. 52, §1º da Lei 11.101/05 - 15/12/2025</t>
        </is>
      </c>
      <c r="AN35" s="18" t="inlineStr">
        <is>
          <t>p3 r19</t>
        </is>
      </c>
      <c r="AO35" s="18" t="inlineStr">
        <is>
          <t>p3: R$ 185.483,80</t>
        </is>
      </c>
      <c r="AP35" s="18" t="inlineStr">
        <is>
          <t>UNKNOWN</t>
        </is>
      </c>
      <c r="AQ35" s="18" t="inlineStr"/>
      <c r="AR35" s="18" t="inlineStr">
        <is>
          <t>OK_NO_TOTALS</t>
        </is>
      </c>
      <c r="AS35" s="18" t="inlineStr">
        <is>
          <t>ROWS:p3r19 UNRECONCILED_SOURCE</t>
        </is>
      </c>
      <c r="AT35" s="18" t="inlineStr">
        <is>
          <t>2fe04bf4466d</t>
        </is>
      </c>
    </row>
    <row r="36">
      <c r="A36" s="9" t="n">
        <v>35</v>
      </c>
      <c r="B36" s="9" t="inlineStr">
        <is>
          <t>NEW</t>
        </is>
      </c>
      <c r="C36" s="9" t="inlineStr"/>
      <c r="D36" s="9" t="n">
        <v>0</v>
      </c>
      <c r="E36" s="9" t="inlineStr"/>
      <c r="F36" s="9" t="inlineStr"/>
      <c r="G36" s="9" t="inlineStr"/>
      <c r="H36" s="9" t="inlineStr"/>
      <c r="I36" t="inlineStr">
        <is>
          <t>MTSUL CONSTRUCOES LTDA</t>
        </is>
      </c>
      <c r="J36" t="inlineStr">
        <is>
          <t>Mtsul Terraplenagem e Transporte Ltda</t>
        </is>
      </c>
      <c r="K36" t="inlineStr">
        <is>
          <t>06232484</t>
        </is>
      </c>
      <c r="L36" t="inlineStr">
        <is>
          <t>06232484000180</t>
        </is>
      </c>
      <c r="M36" s="10" t="n">
        <v>184064.46</v>
      </c>
      <c r="N36" t="n">
        <v>1</v>
      </c>
      <c r="O36" s="11" t="inlineStr">
        <is>
          <t>B</t>
        </is>
      </c>
      <c r="P36" s="11" t="inlineStr"/>
      <c r="Q36" s="12" t="n">
        <v>45756</v>
      </c>
      <c r="R36" s="11">
        <f>IF(Q36="","",ROUND((TODAY()-Q36)/365.25,1))</f>
        <v/>
      </c>
      <c r="S36" s="13">
        <f>IFERROR(VLOOKUP(O36,Assumptions!$A$7:$F$11,2,FALSE),0.25)</f>
        <v/>
      </c>
      <c r="T36" s="14">
        <f>IF(O36="A",MAX(1,IFERROR(VLOOKUP(O36,Assumptions!$A$7:$F$11,3,FALSE),3)+IFERROR(VLOOKUP(O36,Assumptions!$A$7:$F$11,4,FALSE),8)/2-MAX(0,IF(R36="",0,R36)-IFERROR(VLOOKUP(O36,Assumptions!$A$7:$F$11,5,FALSE),1.5))),IFERROR(VLOOKUP(O36,Assumptions!$A$7:$F$11,5,FALSE),2.5)+IFERROR(VLOOKUP(O36,Assumptions!$A$7:$F$11,3,FALSE),3)+IFERROR(VLOOKUP(O36,Assumptions!$A$7:$F$11,4,FALSE),8)/2)</f>
        <v/>
      </c>
      <c r="U36" s="15">
        <f>M36*S36/(1+Assumptions!$B$3)^T36</f>
        <v/>
      </c>
      <c r="V36" s="11">
        <f>IF(M36=0,"",ROUND(U36/M36*100,1))</f>
        <v/>
      </c>
      <c r="W36" s="16">
        <f>U36*Assumptions!$B$4</f>
        <v/>
      </c>
      <c r="X36" s="11">
        <f>IF(M36=0,"",ROUND(W36/M36*100,1))</f>
        <v/>
      </c>
      <c r="Y36" t="inlineStr">
        <is>
          <t>GRUPO EGESA (EGESA ENG S.A, EGESUR PART E EMP S.A, MATRIX INFRA LTDA, BEMVIVER ENG AMBIENTAL E SERV LTDA, DKF CONST E EMP LTDA, EGEPEL LTDA, ETR ASSESSORIA EMP E PART LTDA, MVT ENG E SERV LTDA, PARQUES DO VALE LTDA, ELMO RIBEIRO E ANA RIBEIRO)</t>
        </is>
      </c>
      <c r="Z36" t="inlineStr">
        <is>
          <t>5088952-81.2025.8.13.0024</t>
        </is>
      </c>
      <c r="AA36" t="inlineStr">
        <is>
          <t>TJMG</t>
        </is>
      </c>
      <c r="AB36" t="inlineStr">
        <is>
          <t>scalzilliaj.com.br</t>
        </is>
      </c>
      <c r="AC36" t="inlineStr">
        <is>
          <t>MARCELO BOZETTI</t>
        </is>
      </c>
      <c r="AD36" t="inlineStr">
        <is>
          <t>Administrador</t>
        </is>
      </c>
      <c r="AE36" t="inlineStr">
        <is>
          <t>(65) 3667-4388</t>
        </is>
      </c>
      <c r="AF36" t="inlineStr">
        <is>
          <t>(65) 3667-4389</t>
        </is>
      </c>
      <c r="AG36" t="inlineStr"/>
      <c r="AH36" t="inlineStr">
        <is>
          <t>MT</t>
        </is>
      </c>
      <c r="AI36" t="inlineStr">
        <is>
          <t>CUIABA</t>
        </is>
      </c>
      <c r="AJ36" t="inlineStr">
        <is>
          <t>Construção de rodovias e ferrovias</t>
        </is>
      </c>
      <c r="AK36" t="inlineStr">
        <is>
          <t>DEMAIS</t>
        </is>
      </c>
      <c r="AL36" t="inlineStr">
        <is>
          <t>ATIVA</t>
        </is>
      </c>
      <c r="AM36" s="17" t="inlineStr">
        <is>
          <t>https://scalzilliaj.com.br/sgc/download.php?file=files/processo_documento/processo_documento09514021082025_1_.pdf&amp;nome=04 - Relação de credores das Recuperandas</t>
        </is>
      </c>
      <c r="AN36" s="18" t="inlineStr">
        <is>
          <t>p70 r5</t>
        </is>
      </c>
      <c r="AO36" s="18" t="inlineStr">
        <is>
          <t>p70: R$ 184.064,46</t>
        </is>
      </c>
      <c r="AP36" s="18" t="inlineStr">
        <is>
          <t>DEBTOR_LIST</t>
        </is>
      </c>
      <c r="AQ36" s="18" t="inlineStr"/>
      <c r="AR36" s="18" t="inlineStr">
        <is>
          <t>OK</t>
        </is>
      </c>
      <c r="AS36" s="18" t="inlineStr">
        <is>
          <t>ROWS:p70r5 VALUE_COL:Valor_Atualizado CASE_NUMBER_CORRECTED CASE_FROM_PORTAL</t>
        </is>
      </c>
      <c r="AT36" s="18" t="inlineStr">
        <is>
          <t>24ed98480a57</t>
        </is>
      </c>
    </row>
    <row r="37">
      <c r="A37" s="9" t="n">
        <v>36</v>
      </c>
      <c r="B37" s="9" t="inlineStr">
        <is>
          <t>NEW</t>
        </is>
      </c>
      <c r="C37" s="9" t="inlineStr"/>
      <c r="D37" s="9" t="n">
        <v>0</v>
      </c>
      <c r="E37" s="9" t="inlineStr"/>
      <c r="F37" s="9" t="inlineStr"/>
      <c r="G37" s="9" t="inlineStr"/>
      <c r="H37" s="9" t="inlineStr"/>
      <c r="I37" t="inlineStr">
        <is>
          <t>ONCO PROD DISTRIBUIDORA DE PRODUTOS HOSPITALARES E ONCOLOGICOS LTDA.</t>
        </is>
      </c>
      <c r="J37" t="inlineStr">
        <is>
          <t>ONCO PROD DIST. DE PROD. HOSPITALARES E ONCOLOGIA S.A</t>
        </is>
      </c>
      <c r="K37" t="inlineStr">
        <is>
          <t>04307650</t>
        </is>
      </c>
      <c r="L37" t="inlineStr">
        <is>
          <t>04307650000216</t>
        </is>
      </c>
      <c r="M37" s="10" t="n">
        <v>183797.18</v>
      </c>
      <c r="N37" t="n">
        <v>1</v>
      </c>
      <c r="O37" s="11" t="inlineStr">
        <is>
          <t>C</t>
        </is>
      </c>
      <c r="P37" s="11" t="inlineStr"/>
      <c r="Q37" s="12" t="inlineStr"/>
      <c r="R37" s="11">
        <f>IF(Q37="","",ROUND((TODAY()-Q37)/365.25,1))</f>
        <v/>
      </c>
      <c r="S37" s="13">
        <f>IFERROR(VLOOKUP(O37,Assumptions!$A$7:$F$11,2,FALSE),0.25)</f>
        <v/>
      </c>
      <c r="T37" s="14">
        <f>IF(O37="A",MAX(1,IFERROR(VLOOKUP(O37,Assumptions!$A$7:$F$11,3,FALSE),3)+IFERROR(VLOOKUP(O37,Assumptions!$A$7:$F$11,4,FALSE),8)/2-MAX(0,IF(R37="",0,R37)-IFERROR(VLOOKUP(O37,Assumptions!$A$7:$F$11,5,FALSE),1.5))),IFERROR(VLOOKUP(O37,Assumptions!$A$7:$F$11,5,FALSE),2.5)+IFERROR(VLOOKUP(O37,Assumptions!$A$7:$F$11,3,FALSE),3)+IFERROR(VLOOKUP(O37,Assumptions!$A$7:$F$11,4,FALSE),8)/2)</f>
        <v/>
      </c>
      <c r="U37" s="15">
        <f>M37*S37/(1+Assumptions!$B$3)^T37</f>
        <v/>
      </c>
      <c r="V37" s="11">
        <f>IF(M37=0,"",ROUND(U37/M37*100,1))</f>
        <v/>
      </c>
      <c r="W37" s="16">
        <f>U37*Assumptions!$B$4</f>
        <v/>
      </c>
      <c r="X37" s="11">
        <f>IF(M37=0,"",ROUND(W37/M37*100,1))</f>
        <v/>
      </c>
      <c r="Y37" t="inlineStr">
        <is>
          <t>HOSPITAL SANTA MÔNICA LTDA</t>
        </is>
      </c>
      <c r="Z37" t="inlineStr">
        <is>
          <t>0041309-42.2014.8.08.0024</t>
        </is>
      </c>
      <c r="AA37" t="inlineStr"/>
      <c r="AB37" t="inlineStr">
        <is>
          <t>ricardobiancardi.com.br</t>
        </is>
      </c>
      <c r="AC37" t="inlineStr">
        <is>
          <t>GILBERTO MAYER FILHO</t>
        </is>
      </c>
      <c r="AD37" t="inlineStr">
        <is>
          <t>Administrador</t>
        </is>
      </c>
      <c r="AE37" t="inlineStr">
        <is>
          <t>(11) 5053-5613</t>
        </is>
      </c>
      <c r="AF37" t="inlineStr">
        <is>
          <t>(11) 5053-5614</t>
        </is>
      </c>
      <c r="AG37" t="inlineStr"/>
      <c r="AH37" t="inlineStr">
        <is>
          <t>SP</t>
        </is>
      </c>
      <c r="AI37" t="inlineStr">
        <is>
          <t>SAO PAULO</t>
        </is>
      </c>
      <c r="AJ37" t="inlineStr">
        <is>
          <t>Serviços combinados de escritório e apoio administrativo</t>
        </is>
      </c>
      <c r="AK37" t="inlineStr">
        <is>
          <t>DEMAIS</t>
        </is>
      </c>
      <c r="AL37" t="inlineStr">
        <is>
          <t>ATIVA</t>
        </is>
      </c>
      <c r="AM37" s="17" t="inlineStr">
        <is>
          <t>https://ricardobiancardi.com.br/wp-content/uploads/2024/12/Edital-1-relacao-de-credores-pub.-02.12.24-.pdf</t>
        </is>
      </c>
      <c r="AN37" s="18" t="inlineStr">
        <is>
          <t>p5 r4</t>
        </is>
      </c>
      <c r="AO37" s="18" t="inlineStr">
        <is>
          <t>p5: R$ 183.797,18</t>
        </is>
      </c>
      <c r="AP37" s="18" t="inlineStr">
        <is>
          <t>DEBTOR_LIST</t>
        </is>
      </c>
      <c r="AQ37" s="18" t="inlineStr">
        <is>
          <t>2024-12-02</t>
        </is>
      </c>
      <c r="AR37" s="18" t="inlineStr">
        <is>
          <t>OK_NO_TOTALS</t>
        </is>
      </c>
      <c r="AS37" s="18" t="inlineStr">
        <is>
          <t>ROWS:p5r4 UNRECONCILED_SOURCE</t>
        </is>
      </c>
      <c r="AT37" s="18" t="inlineStr">
        <is>
          <t>bf96785f7a4e</t>
        </is>
      </c>
    </row>
    <row r="38">
      <c r="A38" s="9" t="n">
        <v>37</v>
      </c>
      <c r="B38" s="9" t="inlineStr">
        <is>
          <t>NEW</t>
        </is>
      </c>
      <c r="C38" s="9" t="inlineStr"/>
      <c r="D38" s="9" t="n">
        <v>0</v>
      </c>
      <c r="E38" s="9" t="inlineStr"/>
      <c r="F38" s="9" t="inlineStr"/>
      <c r="G38" s="9" t="inlineStr"/>
      <c r="H38" s="9" t="inlineStr"/>
      <c r="I38" t="inlineStr">
        <is>
          <t>TIGRE MATERIAIS E SOLUCOES PARA CONSTRUCAO LTDA.</t>
        </is>
      </c>
      <c r="J38" t="inlineStr">
        <is>
          <t>TIGRE MATERIAIS E SOLUCOES PARA CONSTRUCAO LTDA</t>
        </is>
      </c>
      <c r="K38" t="inlineStr">
        <is>
          <t>08862530</t>
        </is>
      </c>
      <c r="L38" t="inlineStr">
        <is>
          <t>08862530000150</t>
        </is>
      </c>
      <c r="M38" s="10" t="n">
        <v>183498.32</v>
      </c>
      <c r="N38" t="n">
        <v>1</v>
      </c>
      <c r="O38" s="11" t="inlineStr">
        <is>
          <t>B</t>
        </is>
      </c>
      <c r="P38" s="11" t="inlineStr">
        <is>
          <t>ACTIVE</t>
        </is>
      </c>
      <c r="Q38" s="12" t="n">
        <v>45491</v>
      </c>
      <c r="R38" s="11">
        <f>IF(Q38="","",ROUND((TODAY()-Q38)/365.25,1))</f>
        <v/>
      </c>
      <c r="S38" s="13">
        <f>IFERROR(VLOOKUP(O38,Assumptions!$A$7:$F$11,2,FALSE),0.25)</f>
        <v/>
      </c>
      <c r="T38" s="14">
        <f>IF(O38="A",MAX(1,IFERROR(VLOOKUP(O38,Assumptions!$A$7:$F$11,3,FALSE),3)+IFERROR(VLOOKUP(O38,Assumptions!$A$7:$F$11,4,FALSE),8)/2-MAX(0,IF(R38="",0,R38)-IFERROR(VLOOKUP(O38,Assumptions!$A$7:$F$11,5,FALSE),1.5))),IFERROR(VLOOKUP(O38,Assumptions!$A$7:$F$11,5,FALSE),2.5)+IFERROR(VLOOKUP(O38,Assumptions!$A$7:$F$11,3,FALSE),3)+IFERROR(VLOOKUP(O38,Assumptions!$A$7:$F$11,4,FALSE),8)/2)</f>
        <v/>
      </c>
      <c r="U38" s="15">
        <f>M38*S38/(1+Assumptions!$B$3)^T38</f>
        <v/>
      </c>
      <c r="V38" s="11">
        <f>IF(M38=0,"",ROUND(U38/M38*100,1))</f>
        <v/>
      </c>
      <c r="W38" s="16">
        <f>U38*Assumptions!$B$4</f>
        <v/>
      </c>
      <c r="X38" s="11">
        <f>IF(M38=0,"",ROUND(W38/M38*100,1))</f>
        <v/>
      </c>
      <c r="Y38" t="inlineStr">
        <is>
          <t>GRUPO IMOBI</t>
        </is>
      </c>
      <c r="Z38" t="inlineStr">
        <is>
          <t>0074500-63.2024.8.17.2001</t>
        </is>
      </c>
      <c r="AA38" t="inlineStr">
        <is>
          <t>TJPE</t>
        </is>
      </c>
      <c r="AB38" t="inlineStr">
        <is>
          <t>lrflideres.com.br</t>
        </is>
      </c>
      <c r="AC38" t="inlineStr">
        <is>
          <t>CARLOS EDUARDO TERUEL</t>
        </is>
      </c>
      <c r="AD38" t="inlineStr">
        <is>
          <t>Administrador</t>
        </is>
      </c>
      <c r="AE38" t="inlineStr">
        <is>
          <t>(47) 3441-5172</t>
        </is>
      </c>
      <c r="AF38" t="inlineStr">
        <is>
          <t>(47) 3441-5424</t>
        </is>
      </c>
      <c r="AG38" t="inlineStr"/>
      <c r="AH38" t="inlineStr">
        <is>
          <t>SC</t>
        </is>
      </c>
      <c r="AI38" t="inlineStr">
        <is>
          <t>JOINVILLE</t>
        </is>
      </c>
      <c r="AJ38" t="inlineStr">
        <is>
          <t>Fabricação de tubos e acessórios de material plástico para uso na construção</t>
        </is>
      </c>
      <c r="AK38" t="inlineStr">
        <is>
          <t>DEMAIS</t>
        </is>
      </c>
      <c r="AL38" t="inlineStr">
        <is>
          <t>ATIVA</t>
        </is>
      </c>
      <c r="AM38" s="17" t="inlineStr">
        <is>
          <t>https://lrflideres.com.br/wp-content/plugins/download-attachments/includes/download.php?id=6273</t>
        </is>
      </c>
      <c r="AN38" s="18" t="inlineStr">
        <is>
          <t>p6 r66</t>
        </is>
      </c>
      <c r="AO38" s="18" t="inlineStr">
        <is>
          <t>p6: R$ 183.498,32</t>
        </is>
      </c>
      <c r="AP38" s="18" t="inlineStr">
        <is>
          <t>AJ_LIST</t>
        </is>
      </c>
      <c r="AQ38" s="18" t="inlineStr">
        <is>
          <t>2024-11-14</t>
        </is>
      </c>
      <c r="AR38" s="18" t="inlineStr">
        <is>
          <t>OK</t>
        </is>
      </c>
      <c r="AS38" s="18" t="inlineStr">
        <is>
          <t>ROWS:p6r66</t>
        </is>
      </c>
      <c r="AT38" s="18" t="inlineStr">
        <is>
          <t>795d57c3b1a6</t>
        </is>
      </c>
    </row>
    <row r="39">
      <c r="A39" s="9" t="n">
        <v>38</v>
      </c>
      <c r="B39" s="9" t="inlineStr">
        <is>
          <t>NEW</t>
        </is>
      </c>
      <c r="C39" s="9" t="inlineStr"/>
      <c r="D39" s="9" t="n">
        <v>0</v>
      </c>
      <c r="E39" s="9" t="inlineStr"/>
      <c r="F39" s="9" t="inlineStr"/>
      <c r="G39" s="9" t="inlineStr"/>
      <c r="H39" s="9" t="inlineStr"/>
      <c r="I39" t="inlineStr">
        <is>
          <t>PHILIPS DO BRASIL LTDA</t>
        </is>
      </c>
      <c r="J39" t="inlineStr">
        <is>
          <t>61.086.336/0144-06</t>
        </is>
      </c>
      <c r="K39" t="inlineStr">
        <is>
          <t>61086336</t>
        </is>
      </c>
      <c r="L39" t="inlineStr">
        <is>
          <t>61086336014406</t>
        </is>
      </c>
      <c r="M39" s="10" t="n">
        <v>181829.8</v>
      </c>
      <c r="N39" t="n">
        <v>1</v>
      </c>
      <c r="O39" s="11" t="inlineStr">
        <is>
          <t>C</t>
        </is>
      </c>
      <c r="P39" s="11" t="inlineStr">
        <is>
          <t>ACTIVE</t>
        </is>
      </c>
      <c r="Q39" s="12" t="n">
        <v>43894</v>
      </c>
      <c r="R39" s="11">
        <f>IF(Q39="","",ROUND((TODAY()-Q39)/365.25,1))</f>
        <v/>
      </c>
      <c r="S39" s="13">
        <f>IFERROR(VLOOKUP(O39,Assumptions!$A$7:$F$11,2,FALSE),0.25)</f>
        <v/>
      </c>
      <c r="T39" s="14">
        <f>IF(O39="A",MAX(1,IFERROR(VLOOKUP(O39,Assumptions!$A$7:$F$11,3,FALSE),3)+IFERROR(VLOOKUP(O39,Assumptions!$A$7:$F$11,4,FALSE),8)/2-MAX(0,IF(R39="",0,R39)-IFERROR(VLOOKUP(O39,Assumptions!$A$7:$F$11,5,FALSE),1.5))),IFERROR(VLOOKUP(O39,Assumptions!$A$7:$F$11,5,FALSE),2.5)+IFERROR(VLOOKUP(O39,Assumptions!$A$7:$F$11,3,FALSE),3)+IFERROR(VLOOKUP(O39,Assumptions!$A$7:$F$11,4,FALSE),8)/2)</f>
        <v/>
      </c>
      <c r="U39" s="15">
        <f>M39*S39/(1+Assumptions!$B$3)^T39</f>
        <v/>
      </c>
      <c r="V39" s="11">
        <f>IF(M39=0,"",ROUND(U39/M39*100,1))</f>
        <v/>
      </c>
      <c r="W39" s="16">
        <f>U39*Assumptions!$B$4</f>
        <v/>
      </c>
      <c r="X39" s="11">
        <f>IF(M39=0,"",ROUND(W39/M39*100,1))</f>
        <v/>
      </c>
      <c r="Y39" t="inlineStr">
        <is>
          <t>CREDIMÓVEIS NOVOLAR LTDA.</t>
        </is>
      </c>
      <c r="Z39" t="inlineStr">
        <is>
          <t>0007565-40.2020.8.17.2370</t>
        </is>
      </c>
      <c r="AA39" t="inlineStr">
        <is>
          <t>TJPE</t>
        </is>
      </c>
      <c r="AB39" t="inlineStr">
        <is>
          <t>recuperacaojudicial.squarespace.com</t>
        </is>
      </c>
      <c r="AC39" t="inlineStr">
        <is>
          <t>ANDRE ANACHORETA DUPRAT</t>
        </is>
      </c>
      <c r="AD39" t="inlineStr">
        <is>
          <t>Administrador</t>
        </is>
      </c>
      <c r="AE39" t="inlineStr">
        <is>
          <t>(11) 9999-9999</t>
        </is>
      </c>
      <c r="AF39" t="inlineStr"/>
      <c r="AG39" t="inlineStr"/>
      <c r="AH39" t="inlineStr">
        <is>
          <t>SP</t>
        </is>
      </c>
      <c r="AI39" t="inlineStr">
        <is>
          <t>BARUERI</t>
        </is>
      </c>
      <c r="AJ39" t="inlineStr">
        <is>
          <t>Serviços combinados de escritório e apoio administrativo</t>
        </is>
      </c>
      <c r="AK39" t="inlineStr">
        <is>
          <t>DEMAIS</t>
        </is>
      </c>
      <c r="AL39" t="inlineStr">
        <is>
          <t>ATIVA</t>
        </is>
      </c>
      <c r="AM39" s="17" t="inlineStr">
        <is>
          <t>https://recuperacaojudicial.squarespace.com/s/RJ-Credimoveis-QGC-01082025.pdf</t>
        </is>
      </c>
      <c r="AN39" s="18" t="inlineStr">
        <is>
          <t>p16 r40</t>
        </is>
      </c>
      <c r="AO39" s="18" t="inlineStr">
        <is>
          <t>p16: R$ 181.829,80</t>
        </is>
      </c>
      <c r="AP39" s="18" t="inlineStr">
        <is>
          <t>QGC</t>
        </is>
      </c>
      <c r="AQ39" s="18" t="inlineStr">
        <is>
          <t>2026-01-28</t>
        </is>
      </c>
      <c r="AR39" s="18" t="inlineStr">
        <is>
          <t>OK</t>
        </is>
      </c>
      <c r="AS39" s="18" t="inlineStr">
        <is>
          <t>ROWS:p16r40</t>
        </is>
      </c>
      <c r="AT39" s="18" t="inlineStr">
        <is>
          <t>849d4fe5adce</t>
        </is>
      </c>
    </row>
    <row r="40">
      <c r="A40" s="9" t="n">
        <v>39</v>
      </c>
      <c r="B40" s="9" t="inlineStr">
        <is>
          <t>NEW</t>
        </is>
      </c>
      <c r="C40" s="9" t="inlineStr"/>
      <c r="D40" s="9" t="n">
        <v>0</v>
      </c>
      <c r="E40" s="9" t="inlineStr"/>
      <c r="F40" s="9" t="inlineStr"/>
      <c r="G40" s="9" t="inlineStr"/>
      <c r="H40" s="9" t="inlineStr"/>
      <c r="I40" t="inlineStr">
        <is>
          <t>CRISTAL GLASS INDUSTRIA DE VIDROS LTDA</t>
        </is>
      </c>
      <c r="J40" t="inlineStr">
        <is>
          <t>CRISTAL GLASS INDÚSTRIA DE VIDROS LTDA</t>
        </is>
      </c>
      <c r="K40" t="inlineStr">
        <is>
          <t>17531314</t>
        </is>
      </c>
      <c r="L40" t="inlineStr">
        <is>
          <t>17531314000113</t>
        </is>
      </c>
      <c r="M40" s="10" t="n">
        <v>181379.53</v>
      </c>
      <c r="N40" t="n">
        <v>1</v>
      </c>
      <c r="O40" s="11" t="inlineStr">
        <is>
          <t>D</t>
        </is>
      </c>
      <c r="P40" s="11" t="inlineStr"/>
      <c r="Q40" s="12" t="inlineStr"/>
      <c r="R40" s="11">
        <f>IF(Q40="","",ROUND((TODAY()-Q40)/365.25,1))</f>
        <v/>
      </c>
      <c r="S40" s="13">
        <f>IFERROR(VLOOKUP(O40,Assumptions!$A$7:$F$11,2,FALSE),0.25)</f>
        <v/>
      </c>
      <c r="T40" s="14">
        <f>IF(O40="A",MAX(1,IFERROR(VLOOKUP(O40,Assumptions!$A$7:$F$11,3,FALSE),3)+IFERROR(VLOOKUP(O40,Assumptions!$A$7:$F$11,4,FALSE),8)/2-MAX(0,IF(R40="",0,R40)-IFERROR(VLOOKUP(O40,Assumptions!$A$7:$F$11,5,FALSE),1.5))),IFERROR(VLOOKUP(O40,Assumptions!$A$7:$F$11,5,FALSE),2.5)+IFERROR(VLOOKUP(O40,Assumptions!$A$7:$F$11,3,FALSE),3)+IFERROR(VLOOKUP(O40,Assumptions!$A$7:$F$11,4,FALSE),8)/2)</f>
        <v/>
      </c>
      <c r="U40" s="15">
        <f>M40*S40/(1+Assumptions!$B$3)^T40</f>
        <v/>
      </c>
      <c r="V40" s="11">
        <f>IF(M40=0,"",ROUND(U40/M40*100,1))</f>
        <v/>
      </c>
      <c r="W40" s="16">
        <f>U40*Assumptions!$B$4</f>
        <v/>
      </c>
      <c r="X40" s="11">
        <f>IF(M40=0,"",ROUND(W40/M40*100,1))</f>
        <v/>
      </c>
      <c r="Y40" t="inlineStr">
        <is>
          <t>AGIMAX ESQUADRIAS METALICAS LTDA</t>
        </is>
      </c>
      <c r="Z40" t="inlineStr">
        <is>
          <t>5009529-81.2025.8.24.0019</t>
        </is>
      </c>
      <c r="AA40" t="inlineStr"/>
      <c r="AB40" t="inlineStr">
        <is>
          <t>scalzilliaj.com.br</t>
        </is>
      </c>
      <c r="AC40" t="inlineStr">
        <is>
          <t>MARCO ANTONIO RAMOS</t>
        </is>
      </c>
      <c r="AD40" t="inlineStr">
        <is>
          <t>Sócio-Administrador</t>
        </is>
      </c>
      <c r="AE40" t="inlineStr">
        <is>
          <t>(41) 3020-8428</t>
        </is>
      </c>
      <c r="AF40" t="inlineStr"/>
      <c r="AG40" t="inlineStr"/>
      <c r="AH40" t="inlineStr">
        <is>
          <t>PR</t>
        </is>
      </c>
      <c r="AI40" t="inlineStr">
        <is>
          <t>SAO JOSE DOS PINHAIS</t>
        </is>
      </c>
      <c r="AJ40" t="inlineStr">
        <is>
          <t>Fabricação de vidro plano e de segurança</t>
        </is>
      </c>
      <c r="AK40" t="inlineStr">
        <is>
          <t>DEMAIS</t>
        </is>
      </c>
      <c r="AL40" t="inlineStr">
        <is>
          <t>ATIVA</t>
        </is>
      </c>
      <c r="AM40" s="17" t="inlineStr">
        <is>
          <t>https://scalzilliaj.com.br/sgc/download.php?file=files/processo_documento/processo_documento15180810062026_1_.pdf&amp;nome=10 - Relação de credores do art. 7º, §2º, da Lei 11.101/2005</t>
        </is>
      </c>
      <c r="AN40" s="18" t="inlineStr">
        <is>
          <t>p1 r44</t>
        </is>
      </c>
      <c r="AO40" s="18" t="inlineStr">
        <is>
          <t>p1: R$ 181.379,53</t>
        </is>
      </c>
      <c r="AP40" s="18" t="inlineStr">
        <is>
          <t>AJ_LIST</t>
        </is>
      </c>
      <c r="AQ40" s="18" t="inlineStr"/>
      <c r="AR40" s="18" t="inlineStr">
        <is>
          <t>OK_NO_TOTALS</t>
        </is>
      </c>
      <c r="AS40" s="18" t="inlineStr">
        <is>
          <t>ROWS:p1r44 UNRECONCILED_SOURCE VALUE_COL:Valor_(Art._7º,_§2º)</t>
        </is>
      </c>
      <c r="AT40" s="18" t="inlineStr">
        <is>
          <t>2e4641168857</t>
        </is>
      </c>
    </row>
    <row r="41">
      <c r="A41" s="9" t="n">
        <v>40</v>
      </c>
      <c r="B41" s="9" t="inlineStr">
        <is>
          <t>NEW</t>
        </is>
      </c>
      <c r="C41" s="9" t="inlineStr"/>
      <c r="D41" s="9" t="n">
        <v>0</v>
      </c>
      <c r="E41" s="9" t="inlineStr"/>
      <c r="F41" s="9" t="inlineStr"/>
      <c r="G41" s="9" t="inlineStr"/>
      <c r="H41" s="9" t="inlineStr"/>
      <c r="I41" t="inlineStr">
        <is>
          <t>MOVIDA LOCACAO DE VEICULOS S.A.</t>
        </is>
      </c>
      <c r="J41" t="inlineStr">
        <is>
          <t>RUA DOUTOR RENATO PAES DE BARROS CONJ 92 1017 ITAIM BIBI 4530001</t>
        </is>
      </c>
      <c r="K41" t="inlineStr">
        <is>
          <t>07976147</t>
        </is>
      </c>
      <c r="L41" t="inlineStr">
        <is>
          <t>07976147000160</t>
        </is>
      </c>
      <c r="M41" s="10" t="n">
        <v>180876.05</v>
      </c>
      <c r="N41" t="n">
        <v>1</v>
      </c>
      <c r="O41" s="11" t="inlineStr">
        <is>
          <t>B</t>
        </is>
      </c>
      <c r="P41" s="11" t="inlineStr">
        <is>
          <t>ACTIVE</t>
        </is>
      </c>
      <c r="Q41" s="12" t="n">
        <v>45964</v>
      </c>
      <c r="R41" s="11">
        <f>IF(Q41="","",ROUND((TODAY()-Q41)/365.25,1))</f>
        <v/>
      </c>
      <c r="S41" s="13">
        <f>IFERROR(VLOOKUP(O41,Assumptions!$A$7:$F$11,2,FALSE),0.25)</f>
        <v/>
      </c>
      <c r="T41" s="14">
        <f>IF(O41="A",MAX(1,IFERROR(VLOOKUP(O41,Assumptions!$A$7:$F$11,3,FALSE),3)+IFERROR(VLOOKUP(O41,Assumptions!$A$7:$F$11,4,FALSE),8)/2-MAX(0,IF(R41="",0,R41)-IFERROR(VLOOKUP(O41,Assumptions!$A$7:$F$11,5,FALSE),1.5))),IFERROR(VLOOKUP(O41,Assumptions!$A$7:$F$11,5,FALSE),2.5)+IFERROR(VLOOKUP(O41,Assumptions!$A$7:$F$11,3,FALSE),3)+IFERROR(VLOOKUP(O41,Assumptions!$A$7:$F$11,4,FALSE),8)/2)</f>
        <v/>
      </c>
      <c r="U41" s="15">
        <f>M41*S41/(1+Assumptions!$B$3)^T41</f>
        <v/>
      </c>
      <c r="V41" s="11">
        <f>IF(M41=0,"",ROUND(U41/M41*100,1))</f>
        <v/>
      </c>
      <c r="W41" s="16">
        <f>U41*Assumptions!$B$4</f>
        <v/>
      </c>
      <c r="X41" s="11">
        <f>IF(M41=0,"",ROUND(W41/M41*100,1))</f>
        <v/>
      </c>
      <c r="Y41" t="inlineStr">
        <is>
          <t>CENTURY CONSTRUÇÕES COMÉRCIO E SERVIÇOS LTDA.</t>
        </is>
      </c>
      <c r="Z41" t="inlineStr">
        <is>
          <t>4054599-35.2025.8.26.0100</t>
        </is>
      </c>
      <c r="AA41" t="inlineStr">
        <is>
          <t>TJSP</t>
        </is>
      </c>
      <c r="AB41" t="inlineStr">
        <is>
          <t>ativosajce.com.br</t>
        </is>
      </c>
      <c r="AC41" t="inlineStr">
        <is>
          <t>GUSTAVO HENRIQUE PAGANOTO MOSCATELLI</t>
        </is>
      </c>
      <c r="AD41" t="inlineStr">
        <is>
          <t>Presidente</t>
        </is>
      </c>
      <c r="AE41" t="inlineStr">
        <is>
          <t>(11) 2377-7000</t>
        </is>
      </c>
      <c r="AF41" t="inlineStr"/>
      <c r="AG41" t="inlineStr"/>
      <c r="AH41" t="inlineStr">
        <is>
          <t>SP</t>
        </is>
      </c>
      <c r="AI41" t="inlineStr">
        <is>
          <t>SAO PAULO</t>
        </is>
      </c>
      <c r="AJ41" t="inlineStr">
        <is>
          <t>Locação de automóveis sem condutor</t>
        </is>
      </c>
      <c r="AK41" t="inlineStr">
        <is>
          <t>DEMAIS</t>
        </is>
      </c>
      <c r="AL41" t="inlineStr">
        <is>
          <t>ATIVA</t>
        </is>
      </c>
      <c r="AM41" s="17" t="inlineStr">
        <is>
          <t>https://ativosajce.com.br/admin/download.php?file=files/processo_documento/processo_documento16022716122025_1_.pdf&amp;nome=Relação de credores - art. 52, §1º da Lei 11.101/05 - 15/12/2025</t>
        </is>
      </c>
      <c r="AN41" s="18" t="inlineStr">
        <is>
          <t>p3 r69</t>
        </is>
      </c>
      <c r="AO41" s="18" t="inlineStr">
        <is>
          <t>p3: R$ 180.876,05</t>
        </is>
      </c>
      <c r="AP41" s="18" t="inlineStr">
        <is>
          <t>UNKNOWN</t>
        </is>
      </c>
      <c r="AQ41" s="18" t="inlineStr"/>
      <c r="AR41" s="18" t="inlineStr">
        <is>
          <t>OK_NO_TOTALS</t>
        </is>
      </c>
      <c r="AS41" s="18" t="inlineStr">
        <is>
          <t>ROWS:p3r69 UNRECONCILED_SOURCE</t>
        </is>
      </c>
      <c r="AT41" s="18" t="inlineStr">
        <is>
          <t>2fe04bf4466d</t>
        </is>
      </c>
    </row>
    <row r="42">
      <c r="A42" s="9" t="n">
        <v>41</v>
      </c>
      <c r="B42" s="9" t="inlineStr">
        <is>
          <t>NEW</t>
        </is>
      </c>
      <c r="C42" s="9" t="inlineStr"/>
      <c r="D42" s="9" t="n">
        <v>0</v>
      </c>
      <c r="E42" s="9" t="inlineStr"/>
      <c r="F42" s="9" t="inlineStr"/>
      <c r="G42" s="9" t="inlineStr"/>
      <c r="H42" s="9" t="inlineStr"/>
      <c r="I42" t="inlineStr">
        <is>
          <t>INDUSTRIA DE MOVEIS NOTAVEL LTDA</t>
        </is>
      </c>
      <c r="J42" t="inlineStr">
        <is>
          <t>00.303.732/0001-50</t>
        </is>
      </c>
      <c r="K42" t="inlineStr">
        <is>
          <t>00303732</t>
        </is>
      </c>
      <c r="L42" t="inlineStr">
        <is>
          <t>00303732000150</t>
        </is>
      </c>
      <c r="M42" s="10" t="n">
        <v>180555.16</v>
      </c>
      <c r="N42" t="n">
        <v>1</v>
      </c>
      <c r="O42" s="11" t="inlineStr">
        <is>
          <t>C</t>
        </is>
      </c>
      <c r="P42" s="11" t="inlineStr">
        <is>
          <t>ACTIVE</t>
        </is>
      </c>
      <c r="Q42" s="12" t="n">
        <v>43894</v>
      </c>
      <c r="R42" s="11">
        <f>IF(Q42="","",ROUND((TODAY()-Q42)/365.25,1))</f>
        <v/>
      </c>
      <c r="S42" s="13">
        <f>IFERROR(VLOOKUP(O42,Assumptions!$A$7:$F$11,2,FALSE),0.25)</f>
        <v/>
      </c>
      <c r="T42" s="14">
        <f>IF(O42="A",MAX(1,IFERROR(VLOOKUP(O42,Assumptions!$A$7:$F$11,3,FALSE),3)+IFERROR(VLOOKUP(O42,Assumptions!$A$7:$F$11,4,FALSE),8)/2-MAX(0,IF(R42="",0,R42)-IFERROR(VLOOKUP(O42,Assumptions!$A$7:$F$11,5,FALSE),1.5))),IFERROR(VLOOKUP(O42,Assumptions!$A$7:$F$11,5,FALSE),2.5)+IFERROR(VLOOKUP(O42,Assumptions!$A$7:$F$11,3,FALSE),3)+IFERROR(VLOOKUP(O42,Assumptions!$A$7:$F$11,4,FALSE),8)/2)</f>
        <v/>
      </c>
      <c r="U42" s="15">
        <f>M42*S42/(1+Assumptions!$B$3)^T42</f>
        <v/>
      </c>
      <c r="V42" s="11">
        <f>IF(M42=0,"",ROUND(U42/M42*100,1))</f>
        <v/>
      </c>
      <c r="W42" s="16">
        <f>U42*Assumptions!$B$4</f>
        <v/>
      </c>
      <c r="X42" s="11">
        <f>IF(M42=0,"",ROUND(W42/M42*100,1))</f>
        <v/>
      </c>
      <c r="Y42" t="inlineStr">
        <is>
          <t>CREDIMÓVEIS NOVOLAR LTDA.</t>
        </is>
      </c>
      <c r="Z42" t="inlineStr">
        <is>
          <t>0007565-40.2020.8.17.2370</t>
        </is>
      </c>
      <c r="AA42" t="inlineStr">
        <is>
          <t>TJPE</t>
        </is>
      </c>
      <c r="AB42" t="inlineStr">
        <is>
          <t>recuperacaojudicial.squarespace.com</t>
        </is>
      </c>
      <c r="AC42" t="inlineStr">
        <is>
          <t>ARISTANI CARLOS ANGONESE</t>
        </is>
      </c>
      <c r="AD42" t="inlineStr">
        <is>
          <t>Administrador</t>
        </is>
      </c>
      <c r="AE42" t="inlineStr">
        <is>
          <t>(46) 3547-2565</t>
        </is>
      </c>
      <c r="AF42" t="inlineStr">
        <is>
          <t>00000000</t>
        </is>
      </c>
      <c r="AG42" t="inlineStr"/>
      <c r="AH42" t="inlineStr">
        <is>
          <t>PR</t>
        </is>
      </c>
      <c r="AI42" t="inlineStr">
        <is>
          <t>AMPERE</t>
        </is>
      </c>
      <c r="AJ42" t="inlineStr">
        <is>
          <t>Fabricação de móveis com predominância de madeira</t>
        </is>
      </c>
      <c r="AK42" t="inlineStr">
        <is>
          <t>DEMAIS</t>
        </is>
      </c>
      <c r="AL42" t="inlineStr">
        <is>
          <t>ATIVA</t>
        </is>
      </c>
      <c r="AM42" s="17" t="inlineStr">
        <is>
          <t>https://recuperacaojudicial.squarespace.com/s/RJ-Credimoveis-QGC-01082025.pdf</t>
        </is>
      </c>
      <c r="AN42" s="18" t="inlineStr">
        <is>
          <t>p15 r55</t>
        </is>
      </c>
      <c r="AO42" s="18" t="inlineStr">
        <is>
          <t>p15: R$ 180.555,16</t>
        </is>
      </c>
      <c r="AP42" s="18" t="inlineStr">
        <is>
          <t>QGC</t>
        </is>
      </c>
      <c r="AQ42" s="18" t="inlineStr">
        <is>
          <t>2026-01-28</t>
        </is>
      </c>
      <c r="AR42" s="18" t="inlineStr">
        <is>
          <t>OK</t>
        </is>
      </c>
      <c r="AS42" s="18" t="inlineStr">
        <is>
          <t>ROWS:p15r55</t>
        </is>
      </c>
      <c r="AT42" s="18" t="inlineStr">
        <is>
          <t>849d4fe5adce</t>
        </is>
      </c>
    </row>
    <row r="43">
      <c r="A43" s="9" t="n">
        <v>42</v>
      </c>
      <c r="B43" s="9" t="inlineStr">
        <is>
          <t>NEW</t>
        </is>
      </c>
      <c r="C43" s="9" t="inlineStr"/>
      <c r="D43" s="9" t="n">
        <v>0</v>
      </c>
      <c r="E43" s="9" t="inlineStr"/>
      <c r="F43" s="9" t="inlineStr"/>
      <c r="G43" s="9" t="inlineStr"/>
      <c r="H43" s="9" t="inlineStr"/>
      <c r="I43" t="inlineStr">
        <is>
          <t>PREMOLFORT FABRICACAO E COMERCIO DE PRE-MOLDADOS LTDA</t>
        </is>
      </c>
      <c r="J43" t="inlineStr">
        <is>
          <t>Scansource Brasil Distribuidora Moldados LTDA ME (CNPJ n°</t>
        </is>
      </c>
      <c r="K43" t="inlineStr">
        <is>
          <t>06003366</t>
        </is>
      </c>
      <c r="L43" t="inlineStr">
        <is>
          <t>06003366000109</t>
        </is>
      </c>
      <c r="M43" s="10" t="n">
        <v>180000</v>
      </c>
      <c r="N43" t="n">
        <v>1</v>
      </c>
      <c r="O43" s="11" t="inlineStr">
        <is>
          <t>B</t>
        </is>
      </c>
      <c r="P43" s="11" t="inlineStr">
        <is>
          <t>ACTIVE</t>
        </is>
      </c>
      <c r="Q43" s="12" t="n">
        <v>45303</v>
      </c>
      <c r="R43" s="11">
        <f>IF(Q43="","",ROUND((TODAY()-Q43)/365.25,1))</f>
        <v/>
      </c>
      <c r="S43" s="13">
        <f>IFERROR(VLOOKUP(O43,Assumptions!$A$7:$F$11,2,FALSE),0.25)</f>
        <v/>
      </c>
      <c r="T43" s="14">
        <f>IF(O43="A",MAX(1,IFERROR(VLOOKUP(O43,Assumptions!$A$7:$F$11,3,FALSE),3)+IFERROR(VLOOKUP(O43,Assumptions!$A$7:$F$11,4,FALSE),8)/2-MAX(0,IF(R43="",0,R43)-IFERROR(VLOOKUP(O43,Assumptions!$A$7:$F$11,5,FALSE),1.5))),IFERROR(VLOOKUP(O43,Assumptions!$A$7:$F$11,5,FALSE),2.5)+IFERROR(VLOOKUP(O43,Assumptions!$A$7:$F$11,3,FALSE),3)+IFERROR(VLOOKUP(O43,Assumptions!$A$7:$F$11,4,FALSE),8)/2)</f>
        <v/>
      </c>
      <c r="U43" s="15">
        <f>M43*S43/(1+Assumptions!$B$3)^T43</f>
        <v/>
      </c>
      <c r="V43" s="11">
        <f>IF(M43=0,"",ROUND(U43/M43*100,1))</f>
        <v/>
      </c>
      <c r="W43" s="16">
        <f>U43*Assumptions!$B$4</f>
        <v/>
      </c>
      <c r="X43" s="11">
        <f>IF(M43=0,"",ROUND(W43/M43*100,1))</f>
        <v/>
      </c>
      <c r="Y43" t="inlineStr">
        <is>
          <t>Grupo Battisti</t>
        </is>
      </c>
      <c r="Z43" t="inlineStr">
        <is>
          <t>0000357-17.2024.8.16.0131</t>
        </is>
      </c>
      <c r="AA43" t="inlineStr">
        <is>
          <t>TJPR</t>
        </is>
      </c>
      <c r="AB43" t="inlineStr">
        <is>
          <t>marquesadmjudicial.com.br</t>
        </is>
      </c>
      <c r="AC43" t="inlineStr">
        <is>
          <t>PATRICK OZIEL PALLAS</t>
        </is>
      </c>
      <c r="AD43" t="inlineStr">
        <is>
          <t>Sócio-Administrador</t>
        </is>
      </c>
      <c r="AE43" t="inlineStr">
        <is>
          <t>(46) 3224-4852</t>
        </is>
      </c>
      <c r="AF43" t="inlineStr"/>
      <c r="AG43" t="inlineStr"/>
      <c r="AH43" t="inlineStr">
        <is>
          <t>PR</t>
        </is>
      </c>
      <c r="AI43" t="inlineStr">
        <is>
          <t>PATO BRANCO</t>
        </is>
      </c>
      <c r="AJ43" t="inlineStr">
        <is>
          <t>Fabricação de estruturas pré-moldadas de concreto armado, em série e sob encomenda</t>
        </is>
      </c>
      <c r="AK43" t="inlineStr">
        <is>
          <t>MICRO EMPRESA</t>
        </is>
      </c>
      <c r="AL43" t="inlineStr">
        <is>
          <t>ATIVA</t>
        </is>
      </c>
      <c r="AM43" s="17" t="inlineStr">
        <is>
          <t>https://marquesadmjudicial.com.br/sgc/download.php?file=files/processo_documento/processo_documento10074612042024_1_.pdf&amp;nome=2º Edital-Relação de Credores AJ e PRJ</t>
        </is>
      </c>
      <c r="AN43" s="18" t="inlineStr">
        <is>
          <t>p2 r24</t>
        </is>
      </c>
      <c r="AO43" s="18" t="inlineStr">
        <is>
          <t>p2: R$ 180.000,00</t>
        </is>
      </c>
      <c r="AP43" s="18" t="inlineStr">
        <is>
          <t>AJ_LIST</t>
        </is>
      </c>
      <c r="AQ43" s="18" t="inlineStr">
        <is>
          <t>2024-01-12</t>
        </is>
      </c>
      <c r="AR43" s="18" t="inlineStr">
        <is>
          <t>OK_NO_TOTALS</t>
        </is>
      </c>
      <c r="AS43" s="18" t="inlineStr">
        <is>
          <t>ROWS:p2r24 UNRECONCILED_SOURCE</t>
        </is>
      </c>
      <c r="AT43" s="18" t="inlineStr">
        <is>
          <t>96830f5ef11b</t>
        </is>
      </c>
    </row>
    <row r="44">
      <c r="A44" s="9" t="n">
        <v>43</v>
      </c>
      <c r="B44" s="9" t="inlineStr">
        <is>
          <t>NEW</t>
        </is>
      </c>
      <c r="C44" s="9" t="inlineStr"/>
      <c r="D44" s="9" t="n">
        <v>0</v>
      </c>
      <c r="E44" s="9" t="inlineStr"/>
      <c r="F44" s="9" t="inlineStr"/>
      <c r="G44" s="9" t="inlineStr"/>
      <c r="H44" s="9" t="inlineStr"/>
      <c r="I44" t="inlineStr">
        <is>
          <t>FDC TRANSPORTES DE CARGAS LTDA</t>
        </is>
      </c>
      <c r="J44" t="inlineStr">
        <is>
          <t>FDC TRANSPORTES DE CARGAS LTDA</t>
        </is>
      </c>
      <c r="K44" t="inlineStr">
        <is>
          <t>40809085</t>
        </is>
      </c>
      <c r="L44" t="inlineStr">
        <is>
          <t>40809085000178</t>
        </is>
      </c>
      <c r="M44" s="10" t="n">
        <v>179061.52</v>
      </c>
      <c r="N44" t="n">
        <v>1</v>
      </c>
      <c r="O44" s="11" t="inlineStr">
        <is>
          <t>B</t>
        </is>
      </c>
      <c r="P44" s="11" t="inlineStr"/>
      <c r="Q44" s="12" t="n">
        <v>45785</v>
      </c>
      <c r="R44" s="11">
        <f>IF(Q44="","",ROUND((TODAY()-Q44)/365.25,1))</f>
        <v/>
      </c>
      <c r="S44" s="13">
        <f>IFERROR(VLOOKUP(O44,Assumptions!$A$7:$F$11,2,FALSE),0.25)</f>
        <v/>
      </c>
      <c r="T44" s="14">
        <f>IF(O44="A",MAX(1,IFERROR(VLOOKUP(O44,Assumptions!$A$7:$F$11,3,FALSE),3)+IFERROR(VLOOKUP(O44,Assumptions!$A$7:$F$11,4,FALSE),8)/2-MAX(0,IF(R44="",0,R44)-IFERROR(VLOOKUP(O44,Assumptions!$A$7:$F$11,5,FALSE),1.5))),IFERROR(VLOOKUP(O44,Assumptions!$A$7:$F$11,5,FALSE),2.5)+IFERROR(VLOOKUP(O44,Assumptions!$A$7:$F$11,3,FALSE),3)+IFERROR(VLOOKUP(O44,Assumptions!$A$7:$F$11,4,FALSE),8)/2)</f>
        <v/>
      </c>
      <c r="U44" s="15">
        <f>M44*S44/(1+Assumptions!$B$3)^T44</f>
        <v/>
      </c>
      <c r="V44" s="11">
        <f>IF(M44=0,"",ROUND(U44/M44*100,1))</f>
        <v/>
      </c>
      <c r="W44" s="16">
        <f>U44*Assumptions!$B$4</f>
        <v/>
      </c>
      <c r="X44" s="11">
        <f>IF(M44=0,"",ROUND(W44/M44*100,1))</f>
        <v/>
      </c>
      <c r="Y44" t="inlineStr">
        <is>
          <t>Grupo Pisebem</t>
        </is>
      </c>
      <c r="Z44" t="inlineStr">
        <is>
          <t>0700707-87.2025.8.02.0043</t>
        </is>
      </c>
      <c r="AA44" t="inlineStr">
        <is>
          <t>TJAL</t>
        </is>
      </c>
      <c r="AB44" t="inlineStr">
        <is>
          <t>recuperacaojudicial.squarespace.com</t>
        </is>
      </c>
      <c r="AC44" t="inlineStr">
        <is>
          <t>FERNANDO HENRIQUE BETTIN VIEIRA CARDOSO</t>
        </is>
      </c>
      <c r="AD44" t="inlineStr">
        <is>
          <t>Sócio-Administrador</t>
        </is>
      </c>
      <c r="AE44" t="inlineStr">
        <is>
          <t>(71) 9133-3008</t>
        </is>
      </c>
      <c r="AF44" t="inlineStr"/>
      <c r="AG44" t="inlineStr"/>
      <c r="AH44" t="inlineStr">
        <is>
          <t>SP</t>
        </is>
      </c>
      <c r="AI44" t="inlineStr">
        <is>
          <t>CORDEIROPOLIS</t>
        </is>
      </c>
      <c r="AJ44" t="inlineStr">
        <is>
          <t>Transporte rodoviário de carga, exceto produtos perigosos e mudanças, intermunicipal, interestadual e internacional</t>
        </is>
      </c>
      <c r="AK44" t="inlineStr">
        <is>
          <t>MICRO EMPRESA</t>
        </is>
      </c>
      <c r="AL44" t="inlineStr">
        <is>
          <t>ATIVA</t>
        </is>
      </c>
      <c r="AM44" s="17" t="inlineStr">
        <is>
          <t>https://recuperacaojudicial.squarespace.com/s/EDITAL-COM-A-2-LISTA-DE-CREDORES-E-INFORMANDO-A-APRESENTACO-DO-PRJ_1532.pdf</t>
        </is>
      </c>
      <c r="AN44" s="18" t="inlineStr">
        <is>
          <t>p2 r8</t>
        </is>
      </c>
      <c r="AO44" s="18" t="inlineStr">
        <is>
          <t>p2: R$ 179.061,52</t>
        </is>
      </c>
      <c r="AP44" s="18" t="inlineStr">
        <is>
          <t>AJ_LIST</t>
        </is>
      </c>
      <c r="AQ44" s="18" t="inlineStr"/>
      <c r="AR44" s="18" t="inlineStr">
        <is>
          <t>OK_NO_TOTALS</t>
        </is>
      </c>
      <c r="AS44" s="18" t="inlineStr">
        <is>
          <t>ROWS:p2r8 UNRECONCILED_SOURCE CASE_NUMBER_CORRECTED</t>
        </is>
      </c>
      <c r="AT44" s="18" t="inlineStr">
        <is>
          <t>d7c426fbd475</t>
        </is>
      </c>
    </row>
    <row r="45">
      <c r="A45" s="9" t="n">
        <v>44</v>
      </c>
      <c r="B45" s="9" t="inlineStr">
        <is>
          <t>NEW</t>
        </is>
      </c>
      <c r="C45" s="9" t="inlineStr"/>
      <c r="D45" s="9" t="n">
        <v>0</v>
      </c>
      <c r="E45" s="9" t="inlineStr"/>
      <c r="F45" s="9" t="inlineStr"/>
      <c r="G45" s="9" t="inlineStr"/>
      <c r="H45" s="9" t="inlineStr"/>
      <c r="I45" t="inlineStr">
        <is>
          <t>CELESC DISTRIBUICAO S.A</t>
        </is>
      </c>
      <c r="J45" t="inlineStr">
        <is>
          <t>CELESC DISTRIBUIÇÃO S.A</t>
        </is>
      </c>
      <c r="K45" t="inlineStr">
        <is>
          <t>08336783</t>
        </is>
      </c>
      <c r="L45" t="inlineStr">
        <is>
          <t>08336783000190</t>
        </is>
      </c>
      <c r="M45" s="10" t="n">
        <v>178843.5</v>
      </c>
      <c r="N45" t="n">
        <v>1</v>
      </c>
      <c r="O45" s="11" t="inlineStr">
        <is>
          <t>C</t>
        </is>
      </c>
      <c r="P45" s="11" t="inlineStr">
        <is>
          <t>ACTIVE</t>
        </is>
      </c>
      <c r="Q45" s="12" t="n">
        <v>45154</v>
      </c>
      <c r="R45" s="11">
        <f>IF(Q45="","",ROUND((TODAY()-Q45)/365.25,1))</f>
        <v/>
      </c>
      <c r="S45" s="13">
        <f>IFERROR(VLOOKUP(O45,Assumptions!$A$7:$F$11,2,FALSE),0.25)</f>
        <v/>
      </c>
      <c r="T45" s="14">
        <f>IF(O45="A",MAX(1,IFERROR(VLOOKUP(O45,Assumptions!$A$7:$F$11,3,FALSE),3)+IFERROR(VLOOKUP(O45,Assumptions!$A$7:$F$11,4,FALSE),8)/2-MAX(0,IF(R45="",0,R45)-IFERROR(VLOOKUP(O45,Assumptions!$A$7:$F$11,5,FALSE),1.5))),IFERROR(VLOOKUP(O45,Assumptions!$A$7:$F$11,5,FALSE),2.5)+IFERROR(VLOOKUP(O45,Assumptions!$A$7:$F$11,3,FALSE),3)+IFERROR(VLOOKUP(O45,Assumptions!$A$7:$F$11,4,FALSE),8)/2)</f>
        <v/>
      </c>
      <c r="U45" s="15">
        <f>M45*S45/(1+Assumptions!$B$3)^T45</f>
        <v/>
      </c>
      <c r="V45" s="11">
        <f>IF(M45=0,"",ROUND(U45/M45*100,1))</f>
        <v/>
      </c>
      <c r="W45" s="16">
        <f>U45*Assumptions!$B$4</f>
        <v/>
      </c>
      <c r="X45" s="11">
        <f>IF(M45=0,"",ROUND(W45/M45*100,1))</f>
        <v/>
      </c>
      <c r="Y45" t="inlineStr">
        <is>
          <t>AZEPLAST INDÚSTRIA E COMÉRCIO LTDA</t>
        </is>
      </c>
      <c r="Z45" t="inlineStr">
        <is>
          <t>5008793-34.2023.8.24.0019</t>
        </is>
      </c>
      <c r="AA45" t="inlineStr">
        <is>
          <t>TJSC</t>
        </is>
      </c>
      <c r="AB45" t="inlineStr">
        <is>
          <t>ajruiz.com.br</t>
        </is>
      </c>
      <c r="AC45" t="inlineStr">
        <is>
          <t>EDSON MORITZ MARTINS DA SILVA</t>
        </is>
      </c>
      <c r="AD45" t="inlineStr">
        <is>
          <t>Presidente</t>
        </is>
      </c>
      <c r="AE45" t="inlineStr">
        <is>
          <t>(48) 3231-5000</t>
        </is>
      </c>
      <c r="AF45" t="inlineStr"/>
      <c r="AG45" t="inlineStr"/>
      <c r="AH45" t="inlineStr">
        <is>
          <t>SC</t>
        </is>
      </c>
      <c r="AI45" t="inlineStr">
        <is>
          <t>FLORIANOPOLIS</t>
        </is>
      </c>
      <c r="AJ45" t="inlineStr">
        <is>
          <t>Distribuição de energia elétrica</t>
        </is>
      </c>
      <c r="AK45" t="inlineStr">
        <is>
          <t>DEMAIS</t>
        </is>
      </c>
      <c r="AL45" t="inlineStr">
        <is>
          <t>ATIVA</t>
        </is>
      </c>
      <c r="AM45" s="17" t="inlineStr">
        <is>
          <t>https://ajruiz.com.br/sites/default/files/public/arquivos-processos/2026-08/qgc_azeplast_julho_2026.pdf</t>
        </is>
      </c>
      <c r="AN45" s="18" t="inlineStr">
        <is>
          <t>p1 r14</t>
        </is>
      </c>
      <c r="AO45" s="18" t="inlineStr">
        <is>
          <t>p1: R$ 178.843,50</t>
        </is>
      </c>
      <c r="AP45" s="18" t="inlineStr">
        <is>
          <t>QGC</t>
        </is>
      </c>
      <c r="AQ45" s="18" t="inlineStr"/>
      <c r="AR45" s="18" t="inlineStr">
        <is>
          <t>QUARANTINED</t>
        </is>
      </c>
      <c r="AS45" s="18" t="inlineStr">
        <is>
          <t>PARTIAL_DOC_CLASS_III_RECONCILED ROWS:p1r14</t>
        </is>
      </c>
      <c r="AT45" s="18" t="inlineStr">
        <is>
          <t>229081edb0ea</t>
        </is>
      </c>
    </row>
    <row r="46">
      <c r="A46" s="9" t="n">
        <v>45</v>
      </c>
      <c r="B46" s="9" t="inlineStr">
        <is>
          <t>NEW</t>
        </is>
      </c>
      <c r="C46" s="9" t="inlineStr"/>
      <c r="D46" s="9" t="n">
        <v>0</v>
      </c>
      <c r="E46" s="9" t="inlineStr"/>
      <c r="F46" s="9" t="inlineStr"/>
      <c r="G46" s="9" t="inlineStr"/>
      <c r="H46" s="9" t="inlineStr"/>
      <c r="I46" t="inlineStr">
        <is>
          <t>GEDOZ COMERCIO DE FERROS LTDA</t>
        </is>
      </c>
      <c r="J46" t="inlineStr">
        <is>
          <t>GEDOZ COMERCIO DE FERROS LTDA FILIAL (</t>
        </is>
      </c>
      <c r="K46" t="inlineStr">
        <is>
          <t>87821278</t>
        </is>
      </c>
      <c r="L46" t="inlineStr">
        <is>
          <t>87821278000299</t>
        </is>
      </c>
      <c r="M46" s="10" t="n">
        <v>178822.7</v>
      </c>
      <c r="N46" t="n">
        <v>1</v>
      </c>
      <c r="O46" s="11" t="inlineStr">
        <is>
          <t>C</t>
        </is>
      </c>
      <c r="P46" s="11" t="inlineStr">
        <is>
          <t>ACTIVE</t>
        </is>
      </c>
      <c r="Q46" s="12" t="n">
        <v>44354</v>
      </c>
      <c r="R46" s="11">
        <f>IF(Q46="","",ROUND((TODAY()-Q46)/365.25,1))</f>
        <v/>
      </c>
      <c r="S46" s="13">
        <f>IFERROR(VLOOKUP(O46,Assumptions!$A$7:$F$11,2,FALSE),0.25)</f>
        <v/>
      </c>
      <c r="T46" s="14">
        <f>IF(O46="A",MAX(1,IFERROR(VLOOKUP(O46,Assumptions!$A$7:$F$11,3,FALSE),3)+IFERROR(VLOOKUP(O46,Assumptions!$A$7:$F$11,4,FALSE),8)/2-MAX(0,IF(R46="",0,R46)-IFERROR(VLOOKUP(O46,Assumptions!$A$7:$F$11,5,FALSE),1.5))),IFERROR(VLOOKUP(O46,Assumptions!$A$7:$F$11,5,FALSE),2.5)+IFERROR(VLOOKUP(O46,Assumptions!$A$7:$F$11,3,FALSE),3)+IFERROR(VLOOKUP(O46,Assumptions!$A$7:$F$11,4,FALSE),8)/2)</f>
        <v/>
      </c>
      <c r="U46" s="15">
        <f>M46*S46/(1+Assumptions!$B$3)^T46</f>
        <v/>
      </c>
      <c r="V46" s="11">
        <f>IF(M46=0,"",ROUND(U46/M46*100,1))</f>
        <v/>
      </c>
      <c r="W46" s="16">
        <f>U46*Assumptions!$B$4</f>
        <v/>
      </c>
      <c r="X46" s="11">
        <f>IF(M46=0,"",ROUND(W46/M46*100,1))</f>
        <v/>
      </c>
      <c r="Y46" t="inlineStr">
        <is>
          <t>VECTOR INDÚSTRIA DE PRODUTOS METALÚRGICOS LTDA.</t>
        </is>
      </c>
      <c r="Z46" t="inlineStr">
        <is>
          <t>5014104-85.2021.8.21.0010</t>
        </is>
      </c>
      <c r="AA46" t="inlineStr">
        <is>
          <t>TJRS</t>
        </is>
      </c>
      <c r="AB46" t="inlineStr">
        <is>
          <t>scalzilliaj.com.br</t>
        </is>
      </c>
      <c r="AC46" t="inlineStr">
        <is>
          <t>BARBARA GEDOZ</t>
        </is>
      </c>
      <c r="AD46" t="inlineStr">
        <is>
          <t>Sócio-Administrador</t>
        </is>
      </c>
      <c r="AE46" t="inlineStr">
        <is>
          <t>(54) 4009-5700</t>
        </is>
      </c>
      <c r="AF46" t="inlineStr"/>
      <c r="AG46" t="inlineStr"/>
      <c r="AH46" t="inlineStr">
        <is>
          <t>RS</t>
        </is>
      </c>
      <c r="AI46" t="inlineStr">
        <is>
          <t>CAXIAS DO SUL</t>
        </is>
      </c>
      <c r="AJ46" t="inlineStr">
        <is>
          <t>Comércio atacadista especializado em outros produtos intermediários não especificados anteriormente</t>
        </is>
      </c>
      <c r="AK46" t="inlineStr">
        <is>
          <t>DEMAIS</t>
        </is>
      </c>
      <c r="AL46" t="inlineStr">
        <is>
          <t>ATIVA</t>
        </is>
      </c>
      <c r="AM46" s="17" t="inlineStr">
        <is>
          <t>https://scalzilliaj.com.br/sgc/download.php?file=files/processo_documento/processo_documento15513401112022_1_.pdf&amp;nome=15 - Edital do art. 7º, §2º (segunda lista de credores) e do art. 53 da Lei 11.101/2005 (recebimento do plano)</t>
        </is>
      </c>
      <c r="AN46" s="18" t="inlineStr">
        <is>
          <t>p7 r16</t>
        </is>
      </c>
      <c r="AO46" s="18" t="inlineStr">
        <is>
          <t>p7: R$ 178.822,70</t>
        </is>
      </c>
      <c r="AP46" s="18" t="inlineStr">
        <is>
          <t>AJ_LIST</t>
        </is>
      </c>
      <c r="AQ46" s="18" t="inlineStr">
        <is>
          <t>2022-11-01</t>
        </is>
      </c>
      <c r="AR46" s="18" t="inlineStr">
        <is>
          <t>OK_NO_TOTALS</t>
        </is>
      </c>
      <c r="AS46" s="18" t="inlineStr">
        <is>
          <t>ROWS:p7r16 UNRECONCILED_SOURCE</t>
        </is>
      </c>
      <c r="AT46" s="18" t="inlineStr">
        <is>
          <t>84c586360a66</t>
        </is>
      </c>
    </row>
    <row r="47">
      <c r="A47" s="9" t="n">
        <v>46</v>
      </c>
      <c r="B47" s="9" t="inlineStr">
        <is>
          <t>NEW</t>
        </is>
      </c>
      <c r="C47" s="9" t="inlineStr"/>
      <c r="D47" s="9" t="n">
        <v>0</v>
      </c>
      <c r="E47" s="9" t="inlineStr"/>
      <c r="F47" s="9" t="inlineStr"/>
      <c r="G47" s="9" t="inlineStr"/>
      <c r="H47" s="9" t="inlineStr"/>
      <c r="I47" t="inlineStr">
        <is>
          <t>REDE BRASIL DISTRIBUICAO E LOGISTICA LTDA</t>
        </is>
      </c>
      <c r="J47" t="inlineStr">
        <is>
          <t>Rede Brasil Atacado Distribuidor</t>
        </is>
      </c>
      <c r="K47" t="inlineStr">
        <is>
          <t>07728073</t>
        </is>
      </c>
      <c r="L47" t="inlineStr">
        <is>
          <t>07728073000224</t>
        </is>
      </c>
      <c r="M47" s="10" t="n">
        <v>177908.03</v>
      </c>
      <c r="N47" t="n">
        <v>1</v>
      </c>
      <c r="O47" s="11" t="inlineStr">
        <is>
          <t>B</t>
        </is>
      </c>
      <c r="P47" s="11" t="inlineStr">
        <is>
          <t>ACTIVE</t>
        </is>
      </c>
      <c r="Q47" s="12" t="n">
        <v>46130</v>
      </c>
      <c r="R47" s="11">
        <f>IF(Q47="","",ROUND((TODAY()-Q47)/365.25,1))</f>
        <v/>
      </c>
      <c r="S47" s="13">
        <f>IFERROR(VLOOKUP(O47,Assumptions!$A$7:$F$11,2,FALSE),0.25)</f>
        <v/>
      </c>
      <c r="T47" s="14">
        <f>IF(O47="A",MAX(1,IFERROR(VLOOKUP(O47,Assumptions!$A$7:$F$11,3,FALSE),3)+IFERROR(VLOOKUP(O47,Assumptions!$A$7:$F$11,4,FALSE),8)/2-MAX(0,IF(R47="",0,R47)-IFERROR(VLOOKUP(O47,Assumptions!$A$7:$F$11,5,FALSE),1.5))),IFERROR(VLOOKUP(O47,Assumptions!$A$7:$F$11,5,FALSE),2.5)+IFERROR(VLOOKUP(O47,Assumptions!$A$7:$F$11,3,FALSE),3)+IFERROR(VLOOKUP(O47,Assumptions!$A$7:$F$11,4,FALSE),8)/2)</f>
        <v/>
      </c>
      <c r="U47" s="15">
        <f>M47*S47/(1+Assumptions!$B$3)^T47</f>
        <v/>
      </c>
      <c r="V47" s="11">
        <f>IF(M47=0,"",ROUND(U47/M47*100,1))</f>
        <v/>
      </c>
      <c r="W47" s="16">
        <f>U47*Assumptions!$B$4</f>
        <v/>
      </c>
      <c r="X47" s="11">
        <f>IF(M47=0,"",ROUND(W47/M47*100,1))</f>
        <v/>
      </c>
      <c r="Y47" t="inlineStr">
        <is>
          <t>GRUPO 3E</t>
        </is>
      </c>
      <c r="Z47" t="inlineStr">
        <is>
          <t>5341375-33.2026.8.09.0049</t>
        </is>
      </c>
      <c r="AA47" t="inlineStr">
        <is>
          <t>TJGO</t>
        </is>
      </c>
      <c r="AB47" t="inlineStr">
        <is>
          <t>stenius.com.br</t>
        </is>
      </c>
      <c r="AC47" t="inlineStr">
        <is>
          <t>CLAUDIA HAJJAR GOMIDES</t>
        </is>
      </c>
      <c r="AD47" t="inlineStr">
        <is>
          <t>Administrador</t>
        </is>
      </c>
      <c r="AE47" t="inlineStr">
        <is>
          <t>(11) 3227-6438</t>
        </is>
      </c>
      <c r="AF47" t="inlineStr">
        <is>
          <t>(11) 2898-9907</t>
        </is>
      </c>
      <c r="AG47" t="inlineStr"/>
      <c r="AH47" t="inlineStr">
        <is>
          <t>SP</t>
        </is>
      </c>
      <c r="AI47" t="inlineStr">
        <is>
          <t>SAO PAULO</t>
        </is>
      </c>
      <c r="AJ47" t="inlineStr">
        <is>
          <t>Preparação de documentos e serviços especializados de apoio administrativo não especificados anteriormente</t>
        </is>
      </c>
      <c r="AK47" t="inlineStr">
        <is>
          <t>DEMAIS</t>
        </is>
      </c>
      <c r="AL47" t="inlineStr">
        <is>
          <t>ATIVA</t>
        </is>
      </c>
      <c r="AM47" s="17" t="inlineStr">
        <is>
          <t>https://stenius.com.br/wp-content/uploads/2026/06/EDITAL-GRUPO-3E.pdf</t>
        </is>
      </c>
      <c r="AN47" s="18" t="inlineStr">
        <is>
          <t>p17 r15</t>
        </is>
      </c>
      <c r="AO47" s="18" t="inlineStr">
        <is>
          <t>p17: R$ 177.908,03</t>
        </is>
      </c>
      <c r="AP47" s="18" t="inlineStr">
        <is>
          <t>DEBTOR_LIST</t>
        </is>
      </c>
      <c r="AQ47" s="18" t="inlineStr">
        <is>
          <t>2026-06-22</t>
        </is>
      </c>
      <c r="AR47" s="18" t="inlineStr">
        <is>
          <t>OK_NO_TOTALS</t>
        </is>
      </c>
      <c r="AS47" s="18" t="inlineStr">
        <is>
          <t>ROWS:p17r15 UNRECONCILED_SOURCE</t>
        </is>
      </c>
      <c r="AT47" s="18" t="inlineStr">
        <is>
          <t>8e8832093a15</t>
        </is>
      </c>
    </row>
    <row r="48">
      <c r="A48" s="9" t="n">
        <v>47</v>
      </c>
      <c r="B48" s="9" t="inlineStr">
        <is>
          <t>NEW</t>
        </is>
      </c>
      <c r="C48" s="9" t="inlineStr"/>
      <c r="D48" s="9" t="n">
        <v>0</v>
      </c>
      <c r="E48" s="9" t="inlineStr"/>
      <c r="F48" s="9" t="inlineStr"/>
      <c r="G48" s="9" t="inlineStr"/>
      <c r="H48" s="9" t="inlineStr"/>
      <c r="I48" t="inlineStr">
        <is>
          <t>ADAR INDUSTRIA , COMERCIO IMPORTACAO E EXPORTACAO LTDA</t>
        </is>
      </c>
      <c r="J48" t="inlineStr">
        <is>
          <t>ADAR INDUSTRIA COMERCIO IMPORTACAO E EXPORTACAO LTDA</t>
        </is>
      </c>
      <c r="K48" t="inlineStr">
        <is>
          <t>03442526</t>
        </is>
      </c>
      <c r="L48" t="inlineStr">
        <is>
          <t>03442526000110</t>
        </is>
      </c>
      <c r="M48" s="10" t="n">
        <v>177209.79</v>
      </c>
      <c r="N48" t="n">
        <v>1</v>
      </c>
      <c r="O48" s="11" t="inlineStr">
        <is>
          <t>C</t>
        </is>
      </c>
      <c r="P48" s="11" t="inlineStr"/>
      <c r="Q48" s="12" t="inlineStr"/>
      <c r="R48" s="11">
        <f>IF(Q48="","",ROUND((TODAY()-Q48)/365.25,1))</f>
        <v/>
      </c>
      <c r="S48" s="13">
        <f>IFERROR(VLOOKUP(O48,Assumptions!$A$7:$F$11,2,FALSE),0.25)</f>
        <v/>
      </c>
      <c r="T48" s="14">
        <f>IF(O48="A",MAX(1,IFERROR(VLOOKUP(O48,Assumptions!$A$7:$F$11,3,FALSE),3)+IFERROR(VLOOKUP(O48,Assumptions!$A$7:$F$11,4,FALSE),8)/2-MAX(0,IF(R48="",0,R48)-IFERROR(VLOOKUP(O48,Assumptions!$A$7:$F$11,5,FALSE),1.5))),IFERROR(VLOOKUP(O48,Assumptions!$A$7:$F$11,5,FALSE),2.5)+IFERROR(VLOOKUP(O48,Assumptions!$A$7:$F$11,3,FALSE),3)+IFERROR(VLOOKUP(O48,Assumptions!$A$7:$F$11,4,FALSE),8)/2)</f>
        <v/>
      </c>
      <c r="U48" s="15">
        <f>M48*S48/(1+Assumptions!$B$3)^T48</f>
        <v/>
      </c>
      <c r="V48" s="11">
        <f>IF(M48=0,"",ROUND(U48/M48*100,1))</f>
        <v/>
      </c>
      <c r="W48" s="16">
        <f>U48*Assumptions!$B$4</f>
        <v/>
      </c>
      <c r="X48" s="11">
        <f>IF(M48=0,"",ROUND(W48/M48*100,1))</f>
        <v/>
      </c>
      <c r="Y48" t="inlineStr">
        <is>
          <t>CONFECÇÕES ANDRIMALHAS LTDA</t>
        </is>
      </c>
      <c r="Z48" t="inlineStr">
        <is>
          <t>0302174-63.2015.8.24.0025</t>
        </is>
      </c>
      <c r="AA48" t="inlineStr"/>
      <c r="AB48" t="inlineStr">
        <is>
          <t>administradorajudicialgs.com.br</t>
        </is>
      </c>
      <c r="AC48" t="inlineStr">
        <is>
          <t>AHARON HALLAK</t>
        </is>
      </c>
      <c r="AD48" t="inlineStr">
        <is>
          <t>Sócio-Administrador</t>
        </is>
      </c>
      <c r="AE48" t="inlineStr">
        <is>
          <t>(67) 2105-8300</t>
        </is>
      </c>
      <c r="AF48" t="inlineStr"/>
      <c r="AG48" t="inlineStr"/>
      <c r="AH48" t="inlineStr">
        <is>
          <t>MS</t>
        </is>
      </c>
      <c r="AI48" t="inlineStr">
        <is>
          <t>TRES LAGOAS</t>
        </is>
      </c>
      <c r="AJ48" t="inlineStr">
        <is>
          <t>Fabricação de outros produtos têxteis não especificados anteriormente</t>
        </is>
      </c>
      <c r="AK48" t="inlineStr">
        <is>
          <t>DEMAIS</t>
        </is>
      </c>
      <c r="AL48" t="inlineStr">
        <is>
          <t>ATIVA</t>
        </is>
      </c>
      <c r="AM48" s="17" t="inlineStr">
        <is>
          <t>https://administradorajudicialgs.com.br/wp-content/uploads/2023/08/doc-06-relacao-credores-do-administrador-judicial-10-02-2015.pdf</t>
        </is>
      </c>
      <c r="AN48" s="18" t="inlineStr">
        <is>
          <t>p1 r28</t>
        </is>
      </c>
      <c r="AO48" s="18" t="inlineStr">
        <is>
          <t>p1: R$ 177.209,79</t>
        </is>
      </c>
      <c r="AP48" s="18" t="inlineStr">
        <is>
          <t>AJ_LIST</t>
        </is>
      </c>
      <c r="AQ48" s="18" t="inlineStr"/>
      <c r="AR48" s="18" t="inlineStr">
        <is>
          <t>QUARANTINED</t>
        </is>
      </c>
      <c r="AS48" s="18" t="inlineStr">
        <is>
          <t>PARTIAL_DOC_CLASS_III_RECONCILED ROWS:p1r28 VALUE_COL:Valores</t>
        </is>
      </c>
      <c r="AT48" s="18" t="inlineStr">
        <is>
          <t>d403116b357d</t>
        </is>
      </c>
    </row>
    <row r="49">
      <c r="A49" s="9" t="n">
        <v>48</v>
      </c>
      <c r="B49" s="9" t="inlineStr">
        <is>
          <t>NEW</t>
        </is>
      </c>
      <c r="C49" s="9" t="inlineStr"/>
      <c r="D49" s="9" t="n">
        <v>0</v>
      </c>
      <c r="E49" s="9" t="inlineStr"/>
      <c r="F49" s="9" t="inlineStr"/>
      <c r="G49" s="9" t="inlineStr"/>
      <c r="H49" s="9" t="inlineStr"/>
      <c r="I49" t="inlineStr">
        <is>
          <t>DOHLER ANTONIO PRADO LTDA</t>
        </is>
      </c>
      <c r="J49" t="inlineStr">
        <is>
          <t>DOHLER- MAIS FRUTA INDUSTRIA E COMERCIO S.A</t>
        </is>
      </c>
      <c r="K49" t="inlineStr">
        <is>
          <t>93651958</t>
        </is>
      </c>
      <c r="L49" t="inlineStr">
        <is>
          <t>93651958000123</t>
        </is>
      </c>
      <c r="M49" s="10" t="n">
        <v>176231.64</v>
      </c>
      <c r="N49" t="n">
        <v>5</v>
      </c>
      <c r="O49" s="11" t="inlineStr">
        <is>
          <t>B</t>
        </is>
      </c>
      <c r="P49" s="11" t="inlineStr">
        <is>
          <t>ACTIVE</t>
        </is>
      </c>
      <c r="Q49" s="12" t="n">
        <v>45713</v>
      </c>
      <c r="R49" s="11">
        <f>IF(Q49="","",ROUND((TODAY()-Q49)/365.25,1))</f>
        <v/>
      </c>
      <c r="S49" s="13">
        <f>IFERROR(VLOOKUP(O49,Assumptions!$A$7:$F$11,2,FALSE),0.25)</f>
        <v/>
      </c>
      <c r="T49" s="14">
        <f>IF(O49="A",MAX(1,IFERROR(VLOOKUP(O49,Assumptions!$A$7:$F$11,3,FALSE),3)+IFERROR(VLOOKUP(O49,Assumptions!$A$7:$F$11,4,FALSE),8)/2-MAX(0,IF(R49="",0,R49)-IFERROR(VLOOKUP(O49,Assumptions!$A$7:$F$11,5,FALSE),1.5))),IFERROR(VLOOKUP(O49,Assumptions!$A$7:$F$11,5,FALSE),2.5)+IFERROR(VLOOKUP(O49,Assumptions!$A$7:$F$11,3,FALSE),3)+IFERROR(VLOOKUP(O49,Assumptions!$A$7:$F$11,4,FALSE),8)/2)</f>
        <v/>
      </c>
      <c r="U49" s="15">
        <f>M49*S49/(1+Assumptions!$B$3)^T49</f>
        <v/>
      </c>
      <c r="V49" s="11">
        <f>IF(M49=0,"",ROUND(U49/M49*100,1))</f>
        <v/>
      </c>
      <c r="W49" s="16">
        <f>U49*Assumptions!$B$4</f>
        <v/>
      </c>
      <c r="X49" s="11">
        <f>IF(M49=0,"",ROUND(W49/M49*100,1))</f>
        <v/>
      </c>
      <c r="Y49" t="inlineStr">
        <is>
          <t>FLAVOUR MIX IND. E REP. ALIM. E INGR. QUÍMICOS LTDA.</t>
        </is>
      </c>
      <c r="Z49" t="inlineStr">
        <is>
          <t>1000119-75.2025.8.26.0354</t>
        </is>
      </c>
      <c r="AA49" t="inlineStr">
        <is>
          <t>TJSP</t>
        </is>
      </c>
      <c r="AB49" t="inlineStr">
        <is>
          <t>ativosajce.com.br</t>
        </is>
      </c>
      <c r="AC49" t="inlineStr">
        <is>
          <t>GIOVAN ANTONIO ZULIAN</t>
        </is>
      </c>
      <c r="AD49" t="inlineStr">
        <is>
          <t>Administrador</t>
        </is>
      </c>
      <c r="AE49" t="inlineStr">
        <is>
          <t>(54) 3293-3300</t>
        </is>
      </c>
      <c r="AF49" t="inlineStr">
        <is>
          <t>(54) 3293-1935</t>
        </is>
      </c>
      <c r="AG49" t="inlineStr"/>
      <c r="AH49" t="inlineStr">
        <is>
          <t>RS</t>
        </is>
      </c>
      <c r="AI49" t="inlineStr">
        <is>
          <t>ANTONIO PRADO</t>
        </is>
      </c>
      <c r="AJ49" t="inlineStr">
        <is>
          <t>Fabricação de sucos concentrados de frutas, hortaliças e legumes</t>
        </is>
      </c>
      <c r="AK49" t="inlineStr">
        <is>
          <t>DEMAIS</t>
        </is>
      </c>
      <c r="AL49" t="inlineStr">
        <is>
          <t>ATIVA</t>
        </is>
      </c>
      <c r="AM49" s="17" t="inlineStr">
        <is>
          <t>https://ativosajce.com.br/admin/download.php?file=files/processo_documento/processo_documento13422625032025_1_.pdf&amp;nome=Relação de Credores - Art. 52º § 1º, da Lei nº 11.101/2005 - 25/02/2025</t>
        </is>
      </c>
      <c r="AN49" s="18" t="inlineStr">
        <is>
          <t>p3 r78; p3 r79; p3 r80; p3 r81; p3 r82; p3 r83; p3 r84; p3 r85; p3 r86; p3 r87; p4 r1; p4 r2; p4 r3; p4 r4; p4 r5; p4 r6; p4 r7; p4 r8</t>
        </is>
      </c>
      <c r="AO49" s="18" t="inlineStr">
        <is>
          <t>p3: R$ 24.542,88; p3: R$ 33.023,54; p3: R$ 33.023,54; p3: R$ 33.023,54; p3: R$ 33.023,54; p3: R$ 33.023,54; p3: R$ 33.023,54; p3: R$ 33.023,54; p3: R$ 34.739,68; p3: R$ 34.739,68; p4: R$ 34.739,68; p4: R$ 34.739,68; p4: R$ 34.739,68; p4: R$ 34.739,68; p4: R$ 34.739,68; p4: R$ 38.950,79; p4: R$ 38.950,79; p4: R$ 44.974,75</t>
        </is>
      </c>
      <c r="AP49" s="18" t="inlineStr">
        <is>
          <t>UNKNOWN</t>
        </is>
      </c>
      <c r="AQ49" s="18" t="inlineStr">
        <is>
          <t>2025-02-28</t>
        </is>
      </c>
      <c r="AR49" s="18" t="inlineStr">
        <is>
          <t>OK_NO_TOTALS</t>
        </is>
      </c>
      <c r="AS49" s="18" t="inlineStr">
        <is>
          <t>ROWS:p3r78,p3r79,p3r86,p4r6,p4r8 UNRECONCILED_SOURCE</t>
        </is>
      </c>
      <c r="AT49" s="18" t="inlineStr">
        <is>
          <t>7e2dd0270ed8</t>
        </is>
      </c>
    </row>
    <row r="50">
      <c r="A50" s="9" t="n">
        <v>49</v>
      </c>
      <c r="B50" s="9" t="inlineStr">
        <is>
          <t>NEW</t>
        </is>
      </c>
      <c r="C50" s="9" t="inlineStr"/>
      <c r="D50" s="9" t="n">
        <v>0</v>
      </c>
      <c r="E50" s="9" t="inlineStr"/>
      <c r="F50" s="9" t="inlineStr"/>
      <c r="G50" s="9" t="inlineStr"/>
      <c r="H50" s="9" t="inlineStr"/>
      <c r="I50" t="inlineStr">
        <is>
          <t>CONSORCIO CONDUTO-EGESA</t>
        </is>
      </c>
      <c r="J50" t="inlineStr">
        <is>
          <t>SGS Industrial - Instalações, Teste e Comissionamentos Ltda</t>
        </is>
      </c>
      <c r="K50" t="inlineStr">
        <is>
          <t>11207104</t>
        </is>
      </c>
      <c r="L50" t="inlineStr">
        <is>
          <t>11207104000198</t>
        </is>
      </c>
      <c r="M50" s="10" t="n">
        <v>176026.69</v>
      </c>
      <c r="N50" t="n">
        <v>1</v>
      </c>
      <c r="O50" s="11" t="inlineStr">
        <is>
          <t>B</t>
        </is>
      </c>
      <c r="P50" s="11" t="inlineStr"/>
      <c r="Q50" s="12" t="n">
        <v>45756</v>
      </c>
      <c r="R50" s="11">
        <f>IF(Q50="","",ROUND((TODAY()-Q50)/365.25,1))</f>
        <v/>
      </c>
      <c r="S50" s="13">
        <f>IFERROR(VLOOKUP(O50,Assumptions!$A$7:$F$11,2,FALSE),0.25)</f>
        <v/>
      </c>
      <c r="T50" s="14">
        <f>IF(O50="A",MAX(1,IFERROR(VLOOKUP(O50,Assumptions!$A$7:$F$11,3,FALSE),3)+IFERROR(VLOOKUP(O50,Assumptions!$A$7:$F$11,4,FALSE),8)/2-MAX(0,IF(R50="",0,R50)-IFERROR(VLOOKUP(O50,Assumptions!$A$7:$F$11,5,FALSE),1.5))),IFERROR(VLOOKUP(O50,Assumptions!$A$7:$F$11,5,FALSE),2.5)+IFERROR(VLOOKUP(O50,Assumptions!$A$7:$F$11,3,FALSE),3)+IFERROR(VLOOKUP(O50,Assumptions!$A$7:$F$11,4,FALSE),8)/2)</f>
        <v/>
      </c>
      <c r="U50" s="15">
        <f>M50*S50/(1+Assumptions!$B$3)^T50</f>
        <v/>
      </c>
      <c r="V50" s="11">
        <f>IF(M50=0,"",ROUND(U50/M50*100,1))</f>
        <v/>
      </c>
      <c r="W50" s="16">
        <f>U50*Assumptions!$B$4</f>
        <v/>
      </c>
      <c r="X50" s="11">
        <f>IF(M50=0,"",ROUND(W50/M50*100,1))</f>
        <v/>
      </c>
      <c r="Y50" t="inlineStr">
        <is>
          <t>GRUPO EGESA (EGESA ENG S.A, EGESUR PART E EMP S.A, MATRIX INFRA LTDA, BEMVIVER ENG AMBIENTAL E SERV LTDA, DKF CONST E EMP LTDA, EGEPEL LTDA, ETR ASSESSORIA EMP E PART LTDA, MVT ENG E SERV LTDA, PARQUES DO VALE LTDA, ELMO RIBEIRO E ANA RIBEIRO)</t>
        </is>
      </c>
      <c r="Z50" t="inlineStr">
        <is>
          <t>5088952-81.2025.8.13.0024</t>
        </is>
      </c>
      <c r="AA50" t="inlineStr">
        <is>
          <t>TJMG</t>
        </is>
      </c>
      <c r="AB50" t="inlineStr">
        <is>
          <t>scalzilliaj.com.br</t>
        </is>
      </c>
      <c r="AC50" t="inlineStr">
        <is>
          <t>ELMO TEODORO RIBEIRO</t>
        </is>
      </c>
      <c r="AD50" t="inlineStr">
        <is>
          <t>Administrador</t>
        </is>
      </c>
      <c r="AE50" t="inlineStr">
        <is>
          <t>(81) 3974-2770</t>
        </is>
      </c>
      <c r="AF50" t="inlineStr">
        <is>
          <t>(81) 3974-2770</t>
        </is>
      </c>
      <c r="AG50" t="inlineStr"/>
      <c r="AH50" t="inlineStr">
        <is>
          <t>PE</t>
        </is>
      </c>
      <c r="AI50" t="inlineStr">
        <is>
          <t>IPOJUCA</t>
        </is>
      </c>
      <c r="AJ50" t="inlineStr">
        <is>
          <t>Comércio atacadista de Máquinas e equipamentos para uso industrial; partes e peças</t>
        </is>
      </c>
      <c r="AK50" t="inlineStr">
        <is>
          <t>DEMAIS</t>
        </is>
      </c>
      <c r="AL50" t="inlineStr">
        <is>
          <t>ATIVA</t>
        </is>
      </c>
      <c r="AM50" s="17" t="inlineStr">
        <is>
          <t>https://scalzilliaj.com.br/sgc/download.php?file=files/processo_documento/processo_documento09514021082025_1_.pdf&amp;nome=04 - Relação de credores das Recuperandas</t>
        </is>
      </c>
      <c r="AN50" s="18" t="inlineStr">
        <is>
          <t>p73 r8</t>
        </is>
      </c>
      <c r="AO50" s="18" t="inlineStr">
        <is>
          <t>p73: R$ 176.026,69</t>
        </is>
      </c>
      <c r="AP50" s="18" t="inlineStr">
        <is>
          <t>DEBTOR_LIST</t>
        </is>
      </c>
      <c r="AQ50" s="18" t="inlineStr"/>
      <c r="AR50" s="18" t="inlineStr">
        <is>
          <t>OK</t>
        </is>
      </c>
      <c r="AS50" s="18" t="inlineStr">
        <is>
          <t>ROWS:p73r8 VALUE_COL:Valor_Atualizado CASE_NUMBER_CORRECTED CASE_FROM_PORTAL</t>
        </is>
      </c>
      <c r="AT50" s="18" t="inlineStr">
        <is>
          <t>24ed98480a57</t>
        </is>
      </c>
    </row>
    <row r="51">
      <c r="A51" s="9" t="n">
        <v>50</v>
      </c>
      <c r="B51" s="9" t="inlineStr">
        <is>
          <t>NEW</t>
        </is>
      </c>
      <c r="C51" s="9" t="inlineStr"/>
      <c r="D51" s="9" t="n">
        <v>0</v>
      </c>
      <c r="E51" s="9" t="inlineStr"/>
      <c r="F51" s="9" t="inlineStr"/>
      <c r="G51" s="9" t="inlineStr"/>
      <c r="H51" s="9" t="inlineStr"/>
      <c r="I51" t="inlineStr">
        <is>
          <t>NORDAL NORTE MODAL TRANSPORTES LTDA</t>
        </is>
      </c>
      <c r="J51" t="inlineStr">
        <is>
          <t>Nordal Norte Modal Transportes Ltda</t>
        </is>
      </c>
      <c r="K51" t="inlineStr">
        <is>
          <t>83336180</t>
        </is>
      </c>
      <c r="L51" t="inlineStr">
        <is>
          <t>83336180000295</t>
        </is>
      </c>
      <c r="M51" s="10" t="n">
        <v>176024.25</v>
      </c>
      <c r="N51" t="n">
        <v>1</v>
      </c>
      <c r="O51" s="11" t="inlineStr">
        <is>
          <t>B</t>
        </is>
      </c>
      <c r="P51" s="11" t="inlineStr"/>
      <c r="Q51" s="12" t="n">
        <v>45756</v>
      </c>
      <c r="R51" s="11">
        <f>IF(Q51="","",ROUND((TODAY()-Q51)/365.25,1))</f>
        <v/>
      </c>
      <c r="S51" s="13">
        <f>IFERROR(VLOOKUP(O51,Assumptions!$A$7:$F$11,2,FALSE),0.25)</f>
        <v/>
      </c>
      <c r="T51" s="14">
        <f>IF(O51="A",MAX(1,IFERROR(VLOOKUP(O51,Assumptions!$A$7:$F$11,3,FALSE),3)+IFERROR(VLOOKUP(O51,Assumptions!$A$7:$F$11,4,FALSE),8)/2-MAX(0,IF(R51="",0,R51)-IFERROR(VLOOKUP(O51,Assumptions!$A$7:$F$11,5,FALSE),1.5))),IFERROR(VLOOKUP(O51,Assumptions!$A$7:$F$11,5,FALSE),2.5)+IFERROR(VLOOKUP(O51,Assumptions!$A$7:$F$11,3,FALSE),3)+IFERROR(VLOOKUP(O51,Assumptions!$A$7:$F$11,4,FALSE),8)/2)</f>
        <v/>
      </c>
      <c r="U51" s="15">
        <f>M51*S51/(1+Assumptions!$B$3)^T51</f>
        <v/>
      </c>
      <c r="V51" s="11">
        <f>IF(M51=0,"",ROUND(U51/M51*100,1))</f>
        <v/>
      </c>
      <c r="W51" s="16">
        <f>U51*Assumptions!$B$4</f>
        <v/>
      </c>
      <c r="X51" s="11">
        <f>IF(M51=0,"",ROUND(W51/M51*100,1))</f>
        <v/>
      </c>
      <c r="Y51" t="inlineStr">
        <is>
          <t>GRUPO EGESA (EGESA ENG S.A, EGESUR PART E EMP S.A, MATRIX INFRA LTDA, BEMVIVER ENG AMBIENTAL E SERV LTDA, DKF CONST E EMP LTDA, EGEPEL LTDA, ETR ASSESSORIA EMP E PART LTDA, MVT ENG E SERV LTDA, PARQUES DO VALE LTDA, ELMO RIBEIRO E ANA RIBEIRO)</t>
        </is>
      </c>
      <c r="Z51" t="inlineStr">
        <is>
          <t>5088952-81.2025.8.13.0024</t>
        </is>
      </c>
      <c r="AA51" t="inlineStr">
        <is>
          <t>TJMG</t>
        </is>
      </c>
      <c r="AB51" t="inlineStr">
        <is>
          <t>scalzilliaj.com.br</t>
        </is>
      </c>
      <c r="AC51" t="inlineStr">
        <is>
          <t>JOSE RICARDO CARNEIRO COSTA</t>
        </is>
      </c>
      <c r="AD51" t="inlineStr">
        <is>
          <t>Sócio-Administrador</t>
        </is>
      </c>
      <c r="AE51" t="inlineStr">
        <is>
          <t>(91) 3201-0000</t>
        </is>
      </c>
      <c r="AF51" t="inlineStr"/>
      <c r="AG51" t="inlineStr"/>
      <c r="AH51" t="inlineStr">
        <is>
          <t>PA</t>
        </is>
      </c>
      <c r="AI51" t="inlineStr">
        <is>
          <t>CAPANEMA</t>
        </is>
      </c>
      <c r="AJ51" t="inlineStr">
        <is>
          <t>Transporte rodoviário de carga, exceto produtos perigosos e mudanças, intermunicipal, interestadual e internacional</t>
        </is>
      </c>
      <c r="AK51" t="inlineStr">
        <is>
          <t>DEMAIS</t>
        </is>
      </c>
      <c r="AL51" t="inlineStr">
        <is>
          <t>ATIVA</t>
        </is>
      </c>
      <c r="AM51" s="17" t="inlineStr">
        <is>
          <t>https://scalzilliaj.com.br/sgc/download.php?file=files/processo_documento/processo_documento09514021082025_1_.pdf&amp;nome=04 - Relação de credores das Recuperandas</t>
        </is>
      </c>
      <c r="AN51" s="18" t="inlineStr">
        <is>
          <t>p70 r14</t>
        </is>
      </c>
      <c r="AO51" s="18" t="inlineStr">
        <is>
          <t>p70: R$ 176.024,25</t>
        </is>
      </c>
      <c r="AP51" s="18" t="inlineStr">
        <is>
          <t>DEBTOR_LIST</t>
        </is>
      </c>
      <c r="AQ51" s="18" t="inlineStr"/>
      <c r="AR51" s="18" t="inlineStr">
        <is>
          <t>OK</t>
        </is>
      </c>
      <c r="AS51" s="18" t="inlineStr">
        <is>
          <t>ROWS:p70r14 VALUE_COL:Valor_Atualizado CASE_NUMBER_CORRECTED CASE_FROM_PORTAL</t>
        </is>
      </c>
      <c r="AT51" s="18" t="inlineStr">
        <is>
          <t>24ed98480a57</t>
        </is>
      </c>
    </row>
    <row r="52">
      <c r="A52" s="9" t="n">
        <v>51</v>
      </c>
      <c r="B52" s="9" t="inlineStr">
        <is>
          <t>NEW</t>
        </is>
      </c>
      <c r="C52" s="9" t="inlineStr"/>
      <c r="D52" s="9" t="n">
        <v>0</v>
      </c>
      <c r="E52" s="9" t="inlineStr"/>
      <c r="F52" s="9" t="inlineStr"/>
      <c r="G52" s="9" t="inlineStr"/>
      <c r="H52" s="9" t="inlineStr"/>
      <c r="I52" t="inlineStr">
        <is>
          <t>R.C.O. CAPITAL E INVESTIMENTOS LTDA</t>
        </is>
      </c>
      <c r="J52" t="inlineStr">
        <is>
          <t>Cafe Vita</t>
        </is>
      </c>
      <c r="K52" t="inlineStr">
        <is>
          <t>51270299</t>
        </is>
      </c>
      <c r="L52" t="inlineStr">
        <is>
          <t>51270299000135</t>
        </is>
      </c>
      <c r="M52" s="10" t="n">
        <v>175554.4</v>
      </c>
      <c r="N52" t="n">
        <v>1</v>
      </c>
      <c r="O52" s="11" t="inlineStr">
        <is>
          <t>B</t>
        </is>
      </c>
      <c r="P52" s="11" t="inlineStr">
        <is>
          <t>ACTIVE</t>
        </is>
      </c>
      <c r="Q52" s="12" t="n">
        <v>46130</v>
      </c>
      <c r="R52" s="11">
        <f>IF(Q52="","",ROUND((TODAY()-Q52)/365.25,1))</f>
        <v/>
      </c>
      <c r="S52" s="13">
        <f>IFERROR(VLOOKUP(O52,Assumptions!$A$7:$F$11,2,FALSE),0.25)</f>
        <v/>
      </c>
      <c r="T52" s="14">
        <f>IF(O52="A",MAX(1,IFERROR(VLOOKUP(O52,Assumptions!$A$7:$F$11,3,FALSE),3)+IFERROR(VLOOKUP(O52,Assumptions!$A$7:$F$11,4,FALSE),8)/2-MAX(0,IF(R52="",0,R52)-IFERROR(VLOOKUP(O52,Assumptions!$A$7:$F$11,5,FALSE),1.5))),IFERROR(VLOOKUP(O52,Assumptions!$A$7:$F$11,5,FALSE),2.5)+IFERROR(VLOOKUP(O52,Assumptions!$A$7:$F$11,3,FALSE),3)+IFERROR(VLOOKUP(O52,Assumptions!$A$7:$F$11,4,FALSE),8)/2)</f>
        <v/>
      </c>
      <c r="U52" s="15">
        <f>M52*S52/(1+Assumptions!$B$3)^T52</f>
        <v/>
      </c>
      <c r="V52" s="11">
        <f>IF(M52=0,"",ROUND(U52/M52*100,1))</f>
        <v/>
      </c>
      <c r="W52" s="16">
        <f>U52*Assumptions!$B$4</f>
        <v/>
      </c>
      <c r="X52" s="11">
        <f>IF(M52=0,"",ROUND(W52/M52*100,1))</f>
        <v/>
      </c>
      <c r="Y52" t="inlineStr">
        <is>
          <t>GRUPO 3E</t>
        </is>
      </c>
      <c r="Z52" t="inlineStr">
        <is>
          <t>5341375-33.2026.8.09.0049</t>
        </is>
      </c>
      <c r="AA52" t="inlineStr">
        <is>
          <t>TJGO</t>
        </is>
      </c>
      <c r="AB52" t="inlineStr">
        <is>
          <t>stenius.com.br</t>
        </is>
      </c>
      <c r="AC52" t="inlineStr">
        <is>
          <t>RENATO CAROLINA DE OLIVEIRA</t>
        </is>
      </c>
      <c r="AD52" t="inlineStr">
        <is>
          <t>Sócio-Administrador</t>
        </is>
      </c>
      <c r="AE52" t="inlineStr">
        <is>
          <t>(62) 9394-8256</t>
        </is>
      </c>
      <c r="AF52" t="inlineStr"/>
      <c r="AG52" t="inlineStr"/>
      <c r="AH52" t="inlineStr">
        <is>
          <t>GO</t>
        </is>
      </c>
      <c r="AI52" t="inlineStr">
        <is>
          <t>RIALMA</t>
        </is>
      </c>
      <c r="AJ52" t="inlineStr">
        <is>
          <t>Torrefação e moagem de café</t>
        </is>
      </c>
      <c r="AK52" t="inlineStr">
        <is>
          <t>EMPRESA DE PEQUENO PORTE</t>
        </is>
      </c>
      <c r="AL52" t="inlineStr">
        <is>
          <t>ATIVA</t>
        </is>
      </c>
      <c r="AM52" s="17" t="inlineStr">
        <is>
          <t>https://stenius.com.br/wp-content/uploads/2026/06/EDITAL-GRUPO-3E.pdf</t>
        </is>
      </c>
      <c r="AN52" s="18" t="inlineStr">
        <is>
          <t>p11 r24</t>
        </is>
      </c>
      <c r="AO52" s="18" t="inlineStr">
        <is>
          <t>p11: R$ 175.554,40</t>
        </is>
      </c>
      <c r="AP52" s="18" t="inlineStr">
        <is>
          <t>DEBTOR_LIST</t>
        </is>
      </c>
      <c r="AQ52" s="18" t="inlineStr">
        <is>
          <t>2026-06-22</t>
        </is>
      </c>
      <c r="AR52" s="18" t="inlineStr">
        <is>
          <t>OK_NO_TOTALS</t>
        </is>
      </c>
      <c r="AS52" s="18" t="inlineStr">
        <is>
          <t>ROWS:p11r24 UNRECONCILED_SOURCE</t>
        </is>
      </c>
      <c r="AT52" s="18" t="inlineStr">
        <is>
          <t>8e8832093a15</t>
        </is>
      </c>
    </row>
    <row r="53">
      <c r="A53" s="9" t="n">
        <v>52</v>
      </c>
      <c r="B53" s="9" t="inlineStr">
        <is>
          <t>NEW</t>
        </is>
      </c>
      <c r="C53" s="9" t="inlineStr"/>
      <c r="D53" s="9" t="n">
        <v>0</v>
      </c>
      <c r="E53" s="9" t="inlineStr"/>
      <c r="F53" s="9" t="inlineStr"/>
      <c r="G53" s="9" t="inlineStr"/>
      <c r="H53" s="9" t="inlineStr"/>
      <c r="I53" t="inlineStr">
        <is>
          <t>SINGER DO BRASIL INDUSTRIA E COMERCIO LTDA</t>
        </is>
      </c>
      <c r="J53" t="inlineStr">
        <is>
          <t>61.432.506/0004-07</t>
        </is>
      </c>
      <c r="K53" t="inlineStr">
        <is>
          <t>61432506</t>
        </is>
      </c>
      <c r="L53" t="inlineStr">
        <is>
          <t>61432506000407</t>
        </is>
      </c>
      <c r="M53" s="10" t="n">
        <v>175496.64</v>
      </c>
      <c r="N53" t="n">
        <v>1</v>
      </c>
      <c r="O53" s="11" t="inlineStr">
        <is>
          <t>C</t>
        </is>
      </c>
      <c r="P53" s="11" t="inlineStr">
        <is>
          <t>ACTIVE</t>
        </is>
      </c>
      <c r="Q53" s="12" t="n">
        <v>43894</v>
      </c>
      <c r="R53" s="11">
        <f>IF(Q53="","",ROUND((TODAY()-Q53)/365.25,1))</f>
        <v/>
      </c>
      <c r="S53" s="13">
        <f>IFERROR(VLOOKUP(O53,Assumptions!$A$7:$F$11,2,FALSE),0.25)</f>
        <v/>
      </c>
      <c r="T53" s="14">
        <f>IF(O53="A",MAX(1,IFERROR(VLOOKUP(O53,Assumptions!$A$7:$F$11,3,FALSE),3)+IFERROR(VLOOKUP(O53,Assumptions!$A$7:$F$11,4,FALSE),8)/2-MAX(0,IF(R53="",0,R53)-IFERROR(VLOOKUP(O53,Assumptions!$A$7:$F$11,5,FALSE),1.5))),IFERROR(VLOOKUP(O53,Assumptions!$A$7:$F$11,5,FALSE),2.5)+IFERROR(VLOOKUP(O53,Assumptions!$A$7:$F$11,3,FALSE),3)+IFERROR(VLOOKUP(O53,Assumptions!$A$7:$F$11,4,FALSE),8)/2)</f>
        <v/>
      </c>
      <c r="U53" s="15">
        <f>M53*S53/(1+Assumptions!$B$3)^T53</f>
        <v/>
      </c>
      <c r="V53" s="11">
        <f>IF(M53=0,"",ROUND(U53/M53*100,1))</f>
        <v/>
      </c>
      <c r="W53" s="16">
        <f>U53*Assumptions!$B$4</f>
        <v/>
      </c>
      <c r="X53" s="11">
        <f>IF(M53=0,"",ROUND(W53/M53*100,1))</f>
        <v/>
      </c>
      <c r="Y53" t="inlineStr">
        <is>
          <t>CREDIMÓVEIS NOVOLAR LTDA.</t>
        </is>
      </c>
      <c r="Z53" t="inlineStr">
        <is>
          <t>0007565-40.2020.8.17.2370</t>
        </is>
      </c>
      <c r="AA53" t="inlineStr">
        <is>
          <t>TJPE</t>
        </is>
      </c>
      <c r="AB53" t="inlineStr">
        <is>
          <t>recuperacaojudicial.squarespace.com</t>
        </is>
      </c>
      <c r="AC53" t="inlineStr">
        <is>
          <t>CELSO EDGAR SAVIOLI</t>
        </is>
      </c>
      <c r="AD53" t="inlineStr">
        <is>
          <t>Administrador</t>
        </is>
      </c>
      <c r="AE53" t="inlineStr">
        <is>
          <t>(19) 2107-4669</t>
        </is>
      </c>
      <c r="AF53" t="inlineStr">
        <is>
          <t>(19) 2107-4664</t>
        </is>
      </c>
      <c r="AG53" t="inlineStr"/>
      <c r="AH53" t="inlineStr">
        <is>
          <t>SP</t>
        </is>
      </c>
      <c r="AI53" t="inlineStr">
        <is>
          <t>INDAIATUBA</t>
        </is>
      </c>
      <c r="AJ53" t="inlineStr">
        <is>
          <t>Comércio atacadista de equipamentos elétricos de uso pessoal e doméstico</t>
        </is>
      </c>
      <c r="AK53" t="inlineStr">
        <is>
          <t>DEMAIS</t>
        </is>
      </c>
      <c r="AL53" t="inlineStr">
        <is>
          <t>ATIVA</t>
        </is>
      </c>
      <c r="AM53" s="17" t="inlineStr">
        <is>
          <t>https://recuperacaojudicial.squarespace.com/s/RJ-Credimoveis-QGC-01082025.pdf</t>
        </is>
      </c>
      <c r="AN53" s="18" t="inlineStr">
        <is>
          <t>p16 r59</t>
        </is>
      </c>
      <c r="AO53" s="18" t="inlineStr">
        <is>
          <t>p16: R$ 175.496,64</t>
        </is>
      </c>
      <c r="AP53" s="18" t="inlineStr">
        <is>
          <t>QGC</t>
        </is>
      </c>
      <c r="AQ53" s="18" t="inlineStr">
        <is>
          <t>2026-01-28</t>
        </is>
      </c>
      <c r="AR53" s="18" t="inlineStr">
        <is>
          <t>OK</t>
        </is>
      </c>
      <c r="AS53" s="18" t="inlineStr">
        <is>
          <t>ROWS:p16r59</t>
        </is>
      </c>
      <c r="AT53" s="18" t="inlineStr">
        <is>
          <t>849d4fe5adce</t>
        </is>
      </c>
    </row>
    <row r="54">
      <c r="A54" s="9" t="n">
        <v>53</v>
      </c>
      <c r="B54" s="9" t="inlineStr">
        <is>
          <t>NEW</t>
        </is>
      </c>
      <c r="C54" s="9" t="inlineStr"/>
      <c r="D54" s="9" t="n">
        <v>0</v>
      </c>
      <c r="E54" s="9" t="inlineStr"/>
      <c r="F54" s="9" t="inlineStr"/>
      <c r="G54" s="9" t="inlineStr"/>
      <c r="H54" s="9" t="inlineStr"/>
      <c r="I54" t="inlineStr">
        <is>
          <t>AGIS EQUIPAMENTOS E SERVICOS DE INFORMATICA LTDA.</t>
        </is>
      </c>
      <c r="J54" t="inlineStr">
        <is>
          <t>Marcelo De Equipamentos E Servicos De Informatica LTDA (CNPJ n°</t>
        </is>
      </c>
      <c r="K54" t="inlineStr">
        <is>
          <t>68993641</t>
        </is>
      </c>
      <c r="L54" t="inlineStr">
        <is>
          <t>68993641000802</t>
        </is>
      </c>
      <c r="M54" s="10" t="n">
        <v>175000</v>
      </c>
      <c r="N54" t="n">
        <v>1</v>
      </c>
      <c r="O54" s="11" t="inlineStr">
        <is>
          <t>B</t>
        </is>
      </c>
      <c r="P54" s="11" t="inlineStr">
        <is>
          <t>ACTIVE</t>
        </is>
      </c>
      <c r="Q54" s="12" t="n">
        <v>45303</v>
      </c>
      <c r="R54" s="11">
        <f>IF(Q54="","",ROUND((TODAY()-Q54)/365.25,1))</f>
        <v/>
      </c>
      <c r="S54" s="13">
        <f>IFERROR(VLOOKUP(O54,Assumptions!$A$7:$F$11,2,FALSE),0.25)</f>
        <v/>
      </c>
      <c r="T54" s="14">
        <f>IF(O54="A",MAX(1,IFERROR(VLOOKUP(O54,Assumptions!$A$7:$F$11,3,FALSE),3)+IFERROR(VLOOKUP(O54,Assumptions!$A$7:$F$11,4,FALSE),8)/2-MAX(0,IF(R54="",0,R54)-IFERROR(VLOOKUP(O54,Assumptions!$A$7:$F$11,5,FALSE),1.5))),IFERROR(VLOOKUP(O54,Assumptions!$A$7:$F$11,5,FALSE),2.5)+IFERROR(VLOOKUP(O54,Assumptions!$A$7:$F$11,3,FALSE),3)+IFERROR(VLOOKUP(O54,Assumptions!$A$7:$F$11,4,FALSE),8)/2)</f>
        <v/>
      </c>
      <c r="U54" s="15">
        <f>M54*S54/(1+Assumptions!$B$3)^T54</f>
        <v/>
      </c>
      <c r="V54" s="11">
        <f>IF(M54=0,"",ROUND(U54/M54*100,1))</f>
        <v/>
      </c>
      <c r="W54" s="16">
        <f>U54*Assumptions!$B$4</f>
        <v/>
      </c>
      <c r="X54" s="11">
        <f>IF(M54=0,"",ROUND(W54/M54*100,1))</f>
        <v/>
      </c>
      <c r="Y54" t="inlineStr">
        <is>
          <t>Grupo Battisti</t>
        </is>
      </c>
      <c r="Z54" t="inlineStr">
        <is>
          <t>0000357-17.2024.8.16.0131</t>
        </is>
      </c>
      <c r="AA54" t="inlineStr">
        <is>
          <t>TJPR</t>
        </is>
      </c>
      <c r="AB54" t="inlineStr">
        <is>
          <t>marquesadmjudicial.com.br</t>
        </is>
      </c>
      <c r="AC54" t="inlineStr">
        <is>
          <t>MARCO ANTONIO FONSECA CHIQUIE</t>
        </is>
      </c>
      <c r="AD54" t="inlineStr">
        <is>
          <t>Sócio-Administrador</t>
        </is>
      </c>
      <c r="AE54" t="inlineStr">
        <is>
          <t>(19) 3759-4592</t>
        </is>
      </c>
      <c r="AF54" t="inlineStr"/>
      <c r="AG54" t="inlineStr"/>
      <c r="AH54" t="inlineStr">
        <is>
          <t>SP</t>
        </is>
      </c>
      <c r="AI54" t="inlineStr">
        <is>
          <t>CAMPINAS</t>
        </is>
      </c>
      <c r="AJ54" t="inlineStr">
        <is>
          <t>Comércio atacadista de equipamentos de informática</t>
        </is>
      </c>
      <c r="AK54" t="inlineStr">
        <is>
          <t>DEMAIS</t>
        </is>
      </c>
      <c r="AL54" t="inlineStr">
        <is>
          <t>ATIVA</t>
        </is>
      </c>
      <c r="AM54" s="17" t="inlineStr">
        <is>
          <t>https://marquesadmjudicial.com.br/sgc/download.php?file=files/processo_documento/processo_documento10074612042024_1_.pdf&amp;nome=2º Edital-Relação de Credores AJ e PRJ</t>
        </is>
      </c>
      <c r="AN54" s="18" t="inlineStr">
        <is>
          <t>p1 r14</t>
        </is>
      </c>
      <c r="AO54" s="18" t="inlineStr">
        <is>
          <t>p1: R$ 175.000,00</t>
        </is>
      </c>
      <c r="AP54" s="18" t="inlineStr">
        <is>
          <t>AJ_LIST</t>
        </is>
      </c>
      <c r="AQ54" s="18" t="inlineStr">
        <is>
          <t>2024-01-12</t>
        </is>
      </c>
      <c r="AR54" s="18" t="inlineStr">
        <is>
          <t>OK_NO_TOTALS</t>
        </is>
      </c>
      <c r="AS54" s="18" t="inlineStr">
        <is>
          <t>ROWS:p1r14 UNRECONCILED_SOURCE</t>
        </is>
      </c>
      <c r="AT54" s="18" t="inlineStr">
        <is>
          <t>96830f5ef11b</t>
        </is>
      </c>
    </row>
    <row r="55">
      <c r="A55" s="9" t="n">
        <v>54</v>
      </c>
      <c r="B55" s="9" t="inlineStr">
        <is>
          <t>NEW</t>
        </is>
      </c>
      <c r="C55" s="9" t="inlineStr"/>
      <c r="D55" s="9" t="n">
        <v>0</v>
      </c>
      <c r="E55" s="9" t="inlineStr"/>
      <c r="F55" s="9" t="inlineStr"/>
      <c r="G55" s="9" t="inlineStr"/>
      <c r="H55" s="9" t="inlineStr"/>
      <c r="I55" t="inlineStr">
        <is>
          <t>PIRASA VEICULOS LTDA</t>
        </is>
      </c>
      <c r="J55" t="inlineStr">
        <is>
          <t>PIRASA VEICULOS LTDA PNEUS (</t>
        </is>
      </c>
      <c r="K55" t="inlineStr">
        <is>
          <t>54386933</t>
        </is>
      </c>
      <c r="L55" t="inlineStr">
        <is>
          <t>54386933000350, 54386933000430</t>
        </is>
      </c>
      <c r="M55" s="10" t="n">
        <v>174500.37</v>
      </c>
      <c r="N55" t="n">
        <v>2</v>
      </c>
      <c r="O55" s="11" t="inlineStr">
        <is>
          <t>C</t>
        </is>
      </c>
      <c r="P55" s="11" t="inlineStr">
        <is>
          <t>ACTIVE</t>
        </is>
      </c>
      <c r="Q55" s="12" t="n">
        <v>44020</v>
      </c>
      <c r="R55" s="11">
        <f>IF(Q55="","",ROUND((TODAY()-Q55)/365.25,1))</f>
        <v/>
      </c>
      <c r="S55" s="13">
        <f>IFERROR(VLOOKUP(O55,Assumptions!$A$7:$F$11,2,FALSE),0.25)</f>
        <v/>
      </c>
      <c r="T55" s="14">
        <f>IF(O55="A",MAX(1,IFERROR(VLOOKUP(O55,Assumptions!$A$7:$F$11,3,FALSE),3)+IFERROR(VLOOKUP(O55,Assumptions!$A$7:$F$11,4,FALSE),8)/2-MAX(0,IF(R55="",0,R55)-IFERROR(VLOOKUP(O55,Assumptions!$A$7:$F$11,5,FALSE),1.5))),IFERROR(VLOOKUP(O55,Assumptions!$A$7:$F$11,5,FALSE),2.5)+IFERROR(VLOOKUP(O55,Assumptions!$A$7:$F$11,3,FALSE),3)+IFERROR(VLOOKUP(O55,Assumptions!$A$7:$F$11,4,FALSE),8)/2)</f>
        <v/>
      </c>
      <c r="U55" s="15">
        <f>M55*S55/(1+Assumptions!$B$3)^T55</f>
        <v/>
      </c>
      <c r="V55" s="11">
        <f>IF(M55=0,"",ROUND(U55/M55*100,1))</f>
        <v/>
      </c>
      <c r="W55" s="16">
        <f>U55*Assumptions!$B$4</f>
        <v/>
      </c>
      <c r="X55" s="11">
        <f>IF(M55=0,"",ROUND(W55/M55*100,1))</f>
        <v/>
      </c>
      <c r="Y55" t="inlineStr">
        <is>
          <t>EMBRAC EMPRESA BRASILEIRA DE CARGAS LTDA.</t>
        </is>
      </c>
      <c r="Z55" t="inlineStr">
        <is>
          <t>1004204-09.2020.8.26.0604</t>
        </is>
      </c>
      <c r="AA55" t="inlineStr">
        <is>
          <t>TJSP</t>
        </is>
      </c>
      <c r="AB55" t="inlineStr">
        <is>
          <t>brasiltrustee.com.br</t>
        </is>
      </c>
      <c r="AC55" t="inlineStr">
        <is>
          <t>FERNANDA PIRES FERREIRA GUIDOTTI</t>
        </is>
      </c>
      <c r="AD55" t="inlineStr">
        <is>
          <t>Sócio-Administrador</t>
        </is>
      </c>
      <c r="AE55" t="inlineStr">
        <is>
          <t>(19) 2105-4111</t>
        </is>
      </c>
      <c r="AF55" t="inlineStr">
        <is>
          <t>(19) 2105-4413</t>
        </is>
      </c>
      <c r="AG55" t="inlineStr"/>
      <c r="AH55" t="inlineStr">
        <is>
          <t>SP</t>
        </is>
      </c>
      <c r="AI55" t="inlineStr">
        <is>
          <t>PIRACICABA</t>
        </is>
      </c>
      <c r="AJ55" t="inlineStr">
        <is>
          <t>Comércio por atacado de caminhões novos e usados</t>
        </is>
      </c>
      <c r="AK55" t="inlineStr">
        <is>
          <t>DEMAIS</t>
        </is>
      </c>
      <c r="AL55" t="inlineStr">
        <is>
          <t>ATIVA</t>
        </is>
      </c>
      <c r="AM55" s="17" t="inlineStr">
        <is>
          <t>https://violet-wolf-754008.hostingersite.com/wp-content/uploads/recuperacoes-judiciais/Ebramec/2o-Edital-de-Credores.pdf</t>
        </is>
      </c>
      <c r="AN55" s="18" t="inlineStr">
        <is>
          <t>p2 r71; p2 r72; p6 r71; p6 r72</t>
        </is>
      </c>
      <c r="AO55" s="18" t="inlineStr">
        <is>
          <t>p2: R$ 470,67; p2: R$ 174.029,70; p6: R$ 470,67; p6: R$ 174.029,70</t>
        </is>
      </c>
      <c r="AP55" s="18" t="inlineStr">
        <is>
          <t>QGC</t>
        </is>
      </c>
      <c r="AQ55" s="18" t="inlineStr">
        <is>
          <t>2021-03-12</t>
        </is>
      </c>
      <c r="AR55" s="18" t="inlineStr">
        <is>
          <t>OK_NO_TOTALS</t>
        </is>
      </c>
      <c r="AS55" s="18" t="inlineStr">
        <is>
          <t>ROWS:p2r71,p2r72 UNRECONCILED_SOURCE</t>
        </is>
      </c>
      <c r="AT55" s="18" t="inlineStr">
        <is>
          <t>506c627084b6</t>
        </is>
      </c>
    </row>
    <row r="56">
      <c r="A56" s="9" t="n">
        <v>55</v>
      </c>
      <c r="B56" s="9" t="inlineStr">
        <is>
          <t>NEW</t>
        </is>
      </c>
      <c r="C56" s="9" t="inlineStr"/>
      <c r="D56" s="9" t="n">
        <v>0</v>
      </c>
      <c r="E56" s="9" t="inlineStr"/>
      <c r="F56" s="9" t="inlineStr"/>
      <c r="G56" s="9" t="inlineStr"/>
      <c r="H56" s="9" t="inlineStr"/>
      <c r="I56" t="inlineStr">
        <is>
          <t>RIVER REFRIGERANTES LTDA</t>
        </is>
      </c>
      <c r="J56" t="inlineStr">
        <is>
          <t>RIVER REFRIGERANTES EIRELI</t>
        </is>
      </c>
      <c r="K56" t="inlineStr">
        <is>
          <t>07046865</t>
        </is>
      </c>
      <c r="L56" t="inlineStr">
        <is>
          <t>07046865000138</t>
        </is>
      </c>
      <c r="M56" s="10" t="n">
        <v>174500</v>
      </c>
      <c r="N56" t="n">
        <v>1</v>
      </c>
      <c r="O56" s="11" t="inlineStr">
        <is>
          <t>B</t>
        </is>
      </c>
      <c r="P56" s="11" t="inlineStr">
        <is>
          <t>ACTIVE</t>
        </is>
      </c>
      <c r="Q56" s="12" t="n">
        <v>45713</v>
      </c>
      <c r="R56" s="11">
        <f>IF(Q56="","",ROUND((TODAY()-Q56)/365.25,1))</f>
        <v/>
      </c>
      <c r="S56" s="13">
        <f>IFERROR(VLOOKUP(O56,Assumptions!$A$7:$F$11,2,FALSE),0.25)</f>
        <v/>
      </c>
      <c r="T56" s="14">
        <f>IF(O56="A",MAX(1,IFERROR(VLOOKUP(O56,Assumptions!$A$7:$F$11,3,FALSE),3)+IFERROR(VLOOKUP(O56,Assumptions!$A$7:$F$11,4,FALSE),8)/2-MAX(0,IF(R56="",0,R56)-IFERROR(VLOOKUP(O56,Assumptions!$A$7:$F$11,5,FALSE),1.5))),IFERROR(VLOOKUP(O56,Assumptions!$A$7:$F$11,5,FALSE),2.5)+IFERROR(VLOOKUP(O56,Assumptions!$A$7:$F$11,3,FALSE),3)+IFERROR(VLOOKUP(O56,Assumptions!$A$7:$F$11,4,FALSE),8)/2)</f>
        <v/>
      </c>
      <c r="U56" s="15">
        <f>M56*S56/(1+Assumptions!$B$3)^T56</f>
        <v/>
      </c>
      <c r="V56" s="11">
        <f>IF(M56=0,"",ROUND(U56/M56*100,1))</f>
        <v/>
      </c>
      <c r="W56" s="16">
        <f>U56*Assumptions!$B$4</f>
        <v/>
      </c>
      <c r="X56" s="11">
        <f>IF(M56=0,"",ROUND(W56/M56*100,1))</f>
        <v/>
      </c>
      <c r="Y56" t="inlineStr">
        <is>
          <t>FLAVOUR MIX IND. E REP. ALIM. E INGR. QUÍMICOS LTDA.</t>
        </is>
      </c>
      <c r="Z56" t="inlineStr">
        <is>
          <t>1000119-75.2025.8.26.0354</t>
        </is>
      </c>
      <c r="AA56" t="inlineStr">
        <is>
          <t>TJSP</t>
        </is>
      </c>
      <c r="AB56" t="inlineStr">
        <is>
          <t>ativosajce.com.br</t>
        </is>
      </c>
      <c r="AC56" t="inlineStr">
        <is>
          <t>GILSON LIMA FREITAS</t>
        </is>
      </c>
      <c r="AD56" t="inlineStr">
        <is>
          <t>Sócio-Administrador</t>
        </is>
      </c>
      <c r="AE56" t="inlineStr">
        <is>
          <t>(99) 3526-1061</t>
        </is>
      </c>
      <c r="AF56" t="inlineStr"/>
      <c r="AG56" t="inlineStr"/>
      <c r="AH56" t="inlineStr">
        <is>
          <t>MA</t>
        </is>
      </c>
      <c r="AI56" t="inlineStr">
        <is>
          <t>IMPERATRIZ</t>
        </is>
      </c>
      <c r="AJ56" t="inlineStr">
        <is>
          <t>Fabricação de refrigerantes</t>
        </is>
      </c>
      <c r="AK56" t="inlineStr">
        <is>
          <t>DEMAIS</t>
        </is>
      </c>
      <c r="AL56" t="inlineStr">
        <is>
          <t>ATIVA</t>
        </is>
      </c>
      <c r="AM56" s="17" t="inlineStr">
        <is>
          <t>https://ativosajce.com.br/admin/download.php?file=files/processo_documento/processo_documento13422625032025_1_.pdf&amp;nome=Relação de Credores - Art. 52º § 1º, da Lei nº 11.101/2005 - 25/02/2025</t>
        </is>
      </c>
      <c r="AN56" s="18" t="inlineStr">
        <is>
          <t>p4 r77</t>
        </is>
      </c>
      <c r="AO56" s="18" t="inlineStr">
        <is>
          <t>p4: R$ 174.500,00</t>
        </is>
      </c>
      <c r="AP56" s="18" t="inlineStr">
        <is>
          <t>UNKNOWN</t>
        </is>
      </c>
      <c r="AQ56" s="18" t="inlineStr">
        <is>
          <t>2025-02-28</t>
        </is>
      </c>
      <c r="AR56" s="18" t="inlineStr">
        <is>
          <t>OK_NO_TOTALS</t>
        </is>
      </c>
      <c r="AS56" s="18" t="inlineStr">
        <is>
          <t>ROWS:p4r77 UNRECONCILED_SOURCE</t>
        </is>
      </c>
      <c r="AT56" s="18" t="inlineStr">
        <is>
          <t>7e2dd0270ed8</t>
        </is>
      </c>
    </row>
    <row r="57">
      <c r="A57" s="9" t="n">
        <v>56</v>
      </c>
      <c r="B57" s="9" t="inlineStr">
        <is>
          <t>NEW</t>
        </is>
      </c>
      <c r="C57" s="9" t="inlineStr"/>
      <c r="D57" s="9" t="n">
        <v>0</v>
      </c>
      <c r="E57" s="9" t="inlineStr"/>
      <c r="F57" s="9" t="inlineStr"/>
      <c r="G57" s="9" t="inlineStr"/>
      <c r="H57" s="9" t="inlineStr"/>
      <c r="I57" t="inlineStr">
        <is>
          <t>VLS VIACAO LITORAL SUL LTDA</t>
        </is>
      </c>
      <c r="J57" t="inlineStr">
        <is>
          <t>V.V.L.S.L.</t>
        </is>
      </c>
      <c r="K57" t="inlineStr">
        <is>
          <t>10543501</t>
        </is>
      </c>
      <c r="L57" t="inlineStr">
        <is>
          <t>10543501000178</t>
        </is>
      </c>
      <c r="M57" s="10" t="n">
        <v>174423.76</v>
      </c>
      <c r="N57" t="n">
        <v>1</v>
      </c>
      <c r="O57" s="11" t="inlineStr">
        <is>
          <t>B</t>
        </is>
      </c>
      <c r="P57" s="11" t="inlineStr"/>
      <c r="Q57" s="12" t="n">
        <v>45756</v>
      </c>
      <c r="R57" s="11">
        <f>IF(Q57="","",ROUND((TODAY()-Q57)/365.25,1))</f>
        <v/>
      </c>
      <c r="S57" s="13">
        <f>IFERROR(VLOOKUP(O57,Assumptions!$A$7:$F$11,2,FALSE),0.25)</f>
        <v/>
      </c>
      <c r="T57" s="14">
        <f>IF(O57="A",MAX(1,IFERROR(VLOOKUP(O57,Assumptions!$A$7:$F$11,3,FALSE),3)+IFERROR(VLOOKUP(O57,Assumptions!$A$7:$F$11,4,FALSE),8)/2-MAX(0,IF(R57="",0,R57)-IFERROR(VLOOKUP(O57,Assumptions!$A$7:$F$11,5,FALSE),1.5))),IFERROR(VLOOKUP(O57,Assumptions!$A$7:$F$11,5,FALSE),2.5)+IFERROR(VLOOKUP(O57,Assumptions!$A$7:$F$11,3,FALSE),3)+IFERROR(VLOOKUP(O57,Assumptions!$A$7:$F$11,4,FALSE),8)/2)</f>
        <v/>
      </c>
      <c r="U57" s="15">
        <f>M57*S57/(1+Assumptions!$B$3)^T57</f>
        <v/>
      </c>
      <c r="V57" s="11">
        <f>IF(M57=0,"",ROUND(U57/M57*100,1))</f>
        <v/>
      </c>
      <c r="W57" s="16">
        <f>U57*Assumptions!$B$4</f>
        <v/>
      </c>
      <c r="X57" s="11">
        <f>IF(M57=0,"",ROUND(W57/M57*100,1))</f>
        <v/>
      </c>
      <c r="Y57" t="inlineStr">
        <is>
          <t>GRUPO EGESA (EGESA ENG S.A, EGESUR PART E EMP S.A, MATRIX INFRA LTDA, BEMVIVER ENG AMBIENTAL E SERV LTDA, DKF CONST E EMP LTDA, EGEPEL LTDA, ETR ASSESSORIA EMP E PART LTDA, MVT ENG E SERV LTDA, PARQUES DO VALE LTDA, ELMO RIBEIRO E ANA RIBEIRO)</t>
        </is>
      </c>
      <c r="Z57" t="inlineStr">
        <is>
          <t>5088952-81.2025.8.13.0024</t>
        </is>
      </c>
      <c r="AA57" t="inlineStr">
        <is>
          <t>TJMG</t>
        </is>
      </c>
      <c r="AB57" t="inlineStr">
        <is>
          <t>scalzilliaj.com.br</t>
        </is>
      </c>
      <c r="AC57" t="inlineStr">
        <is>
          <t>FABRICIO SILVA SANTOS</t>
        </is>
      </c>
      <c r="AD57" t="inlineStr">
        <is>
          <t>Sócio-Administrador</t>
        </is>
      </c>
      <c r="AE57" t="inlineStr">
        <is>
          <t>(79) 3522-1751</t>
        </is>
      </c>
      <c r="AF57" t="inlineStr"/>
      <c r="AG57" t="inlineStr"/>
      <c r="AH57" t="inlineStr">
        <is>
          <t>SE</t>
        </is>
      </c>
      <c r="AI57" t="inlineStr">
        <is>
          <t>ESTANCIA</t>
        </is>
      </c>
      <c r="AJ57" t="inlineStr">
        <is>
          <t>Transporte rodoviário coletivo de passageiros, com itinerário fixo, municipal</t>
        </is>
      </c>
      <c r="AK57" t="inlineStr">
        <is>
          <t>DEMAIS</t>
        </is>
      </c>
      <c r="AL57" t="inlineStr">
        <is>
          <t>ATIVA</t>
        </is>
      </c>
      <c r="AM57" s="17" t="inlineStr">
        <is>
          <t>https://scalzilliaj.com.br/sgc/download.php?file=files/processo_documento/processo_documento09514021082025_1_.pdf&amp;nome=04 - Relação de credores das Recuperandas</t>
        </is>
      </c>
      <c r="AN57" s="18" t="inlineStr">
        <is>
          <t>p75 r8</t>
        </is>
      </c>
      <c r="AO57" s="18" t="inlineStr">
        <is>
          <t>p75: R$ 174.423,76</t>
        </is>
      </c>
      <c r="AP57" s="18" t="inlineStr">
        <is>
          <t>DEBTOR_LIST</t>
        </is>
      </c>
      <c r="AQ57" s="18" t="inlineStr"/>
      <c r="AR57" s="18" t="inlineStr">
        <is>
          <t>OK</t>
        </is>
      </c>
      <c r="AS57" s="18" t="inlineStr">
        <is>
          <t>ROWS:p75r8 VALUE_COL:Valor_Atualizado CASE_NUMBER_CORRECTED CASE_FROM_PORTAL</t>
        </is>
      </c>
      <c r="AT57" s="18" t="inlineStr">
        <is>
          <t>24ed98480a57</t>
        </is>
      </c>
    </row>
    <row r="58">
      <c r="A58" s="9" t="n">
        <v>57</v>
      </c>
      <c r="B58" s="9" t="inlineStr">
        <is>
          <t>NEW</t>
        </is>
      </c>
      <c r="C58" s="9" t="inlineStr"/>
      <c r="D58" s="9" t="n">
        <v>0</v>
      </c>
      <c r="E58" s="9" t="inlineStr"/>
      <c r="F58" s="9" t="inlineStr"/>
      <c r="G58" s="9" t="inlineStr"/>
      <c r="H58" s="9" t="inlineStr"/>
      <c r="I58" t="inlineStr">
        <is>
          <t>MULTILAB INDUSTRIA E COMERCIO DE PRODUTOS FARMACEUTICOS LTDA</t>
        </is>
      </c>
      <c r="J58" t="inlineStr">
        <is>
          <t>Multilab Industria e Comercio de Produtos Farmaceuticos Ltda</t>
        </is>
      </c>
      <c r="K58" t="inlineStr">
        <is>
          <t>92265552</t>
        </is>
      </c>
      <c r="L58" t="inlineStr">
        <is>
          <t>92265552000816</t>
        </is>
      </c>
      <c r="M58" s="10" t="n">
        <v>174360.01</v>
      </c>
      <c r="N58" t="n">
        <v>1</v>
      </c>
      <c r="O58" s="11" t="inlineStr">
        <is>
          <t>C</t>
        </is>
      </c>
      <c r="P58" s="11" t="inlineStr">
        <is>
          <t>ACTIVE</t>
        </is>
      </c>
      <c r="Q58" s="12" t="n">
        <v>44987</v>
      </c>
      <c r="R58" s="11">
        <f>IF(Q58="","",ROUND((TODAY()-Q58)/365.25,1))</f>
        <v/>
      </c>
      <c r="S58" s="13">
        <f>IFERROR(VLOOKUP(O58,Assumptions!$A$7:$F$11,2,FALSE),0.25)</f>
        <v/>
      </c>
      <c r="T58" s="14">
        <f>IF(O58="A",MAX(1,IFERROR(VLOOKUP(O58,Assumptions!$A$7:$F$11,3,FALSE),3)+IFERROR(VLOOKUP(O58,Assumptions!$A$7:$F$11,4,FALSE),8)/2-MAX(0,IF(R58="",0,R58)-IFERROR(VLOOKUP(O58,Assumptions!$A$7:$F$11,5,FALSE),1.5))),IFERROR(VLOOKUP(O58,Assumptions!$A$7:$F$11,5,FALSE),2.5)+IFERROR(VLOOKUP(O58,Assumptions!$A$7:$F$11,3,FALSE),3)+IFERROR(VLOOKUP(O58,Assumptions!$A$7:$F$11,4,FALSE),8)/2)</f>
        <v/>
      </c>
      <c r="U58" s="15">
        <f>M58*S58/(1+Assumptions!$B$3)^T58</f>
        <v/>
      </c>
      <c r="V58" s="11">
        <f>IF(M58=0,"",ROUND(U58/M58*100,1))</f>
        <v/>
      </c>
      <c r="W58" s="16">
        <f>U58*Assumptions!$B$4</f>
        <v/>
      </c>
      <c r="X58" s="11">
        <f>IF(M58=0,"",ROUND(W58/M58*100,1))</f>
        <v/>
      </c>
      <c r="Y58" t="inlineStr">
        <is>
          <t>GRUPO DP4</t>
        </is>
      </c>
      <c r="Z58" t="inlineStr">
        <is>
          <t>0005010-98.2023.8.16.0001</t>
        </is>
      </c>
      <c r="AA58" t="inlineStr">
        <is>
          <t>TJPR</t>
        </is>
      </c>
      <c r="AB58" t="inlineStr">
        <is>
          <t>marquesadmjudicial.com.br</t>
        </is>
      </c>
      <c r="AC58" t="inlineStr">
        <is>
          <t>GUSTAVO ANDRE REGIS DUTRA SVENSSON</t>
        </is>
      </c>
      <c r="AD58" t="inlineStr">
        <is>
          <t>Administrador</t>
        </is>
      </c>
      <c r="AE58" t="inlineStr">
        <is>
          <t>(19) 3887-9800</t>
        </is>
      </c>
      <c r="AF58" t="inlineStr"/>
      <c r="AG58" t="inlineStr"/>
      <c r="AH58" t="inlineStr">
        <is>
          <t>RS</t>
        </is>
      </c>
      <c r="AI58" t="inlineStr">
        <is>
          <t>SAO JERONIMO</t>
        </is>
      </c>
      <c r="AJ58" t="inlineStr">
        <is>
          <t>Fabricação de medicamentos alopáticos para uso humano</t>
        </is>
      </c>
      <c r="AK58" t="inlineStr">
        <is>
          <t>DEMAIS</t>
        </is>
      </c>
      <c r="AL58" t="inlineStr">
        <is>
          <t>ATIVA</t>
        </is>
      </c>
      <c r="AM58" s="17" t="inlineStr">
        <is>
          <t>https://marquesadmjudicial.com.br/sgc/download.php?file=files/processo_documento/processo_documento15293208032024_1_.pdf&amp;nome=Relação Nominal de Credores da AJ-Sintética</t>
        </is>
      </c>
      <c r="AN58" s="18" t="inlineStr">
        <is>
          <t>p29 r7</t>
        </is>
      </c>
      <c r="AO58" s="18" t="inlineStr">
        <is>
          <t>p29: R$ 174.360,01</t>
        </is>
      </c>
      <c r="AP58" s="18" t="inlineStr">
        <is>
          <t>AJ_LIST</t>
        </is>
      </c>
      <c r="AQ58" s="18" t="inlineStr">
        <is>
          <t>2023-03-02</t>
        </is>
      </c>
      <c r="AR58" s="18" t="inlineStr">
        <is>
          <t>QUARANTINED</t>
        </is>
      </c>
      <c r="AS58" s="18" t="inlineStr">
        <is>
          <t>PARTIAL_DOC_CLASS_III_RECONCILED ROWS:p29r7</t>
        </is>
      </c>
      <c r="AT58" s="18" t="inlineStr">
        <is>
          <t>b465a5d11eec</t>
        </is>
      </c>
    </row>
    <row r="59">
      <c r="A59" s="9" t="n">
        <v>58</v>
      </c>
      <c r="B59" s="9" t="inlineStr">
        <is>
          <t>NEW</t>
        </is>
      </c>
      <c r="C59" s="9" t="inlineStr"/>
      <c r="D59" s="9" t="n">
        <v>0</v>
      </c>
      <c r="E59" s="9" t="inlineStr"/>
      <c r="F59" s="9" t="inlineStr"/>
      <c r="G59" s="9" t="inlineStr"/>
      <c r="H59" s="9" t="inlineStr"/>
      <c r="I59" t="inlineStr">
        <is>
          <t>TRES CORACOES ALIMENTOS S.A.</t>
        </is>
      </c>
      <c r="J59" t="inlineStr">
        <is>
          <t>Tres Coracoes Alimentos S.A.</t>
        </is>
      </c>
      <c r="K59" t="inlineStr">
        <is>
          <t>63310411</t>
        </is>
      </c>
      <c r="L59" t="inlineStr">
        <is>
          <t>63310411002490</t>
        </is>
      </c>
      <c r="M59" s="10" t="n">
        <v>174203.35</v>
      </c>
      <c r="N59" t="n">
        <v>1</v>
      </c>
      <c r="O59" s="11" t="inlineStr">
        <is>
          <t>B</t>
        </is>
      </c>
      <c r="P59" s="11" t="inlineStr">
        <is>
          <t>ACTIVE</t>
        </is>
      </c>
      <c r="Q59" s="12" t="n">
        <v>46130</v>
      </c>
      <c r="R59" s="11">
        <f>IF(Q59="","",ROUND((TODAY()-Q59)/365.25,1))</f>
        <v/>
      </c>
      <c r="S59" s="13">
        <f>IFERROR(VLOOKUP(O59,Assumptions!$A$7:$F$11,2,FALSE),0.25)</f>
        <v/>
      </c>
      <c r="T59" s="14">
        <f>IF(O59="A",MAX(1,IFERROR(VLOOKUP(O59,Assumptions!$A$7:$F$11,3,FALSE),3)+IFERROR(VLOOKUP(O59,Assumptions!$A$7:$F$11,4,FALSE),8)/2-MAX(0,IF(R59="",0,R59)-IFERROR(VLOOKUP(O59,Assumptions!$A$7:$F$11,5,FALSE),1.5))),IFERROR(VLOOKUP(O59,Assumptions!$A$7:$F$11,5,FALSE),2.5)+IFERROR(VLOOKUP(O59,Assumptions!$A$7:$F$11,3,FALSE),3)+IFERROR(VLOOKUP(O59,Assumptions!$A$7:$F$11,4,FALSE),8)/2)</f>
        <v/>
      </c>
      <c r="U59" s="15">
        <f>M59*S59/(1+Assumptions!$B$3)^T59</f>
        <v/>
      </c>
      <c r="V59" s="11">
        <f>IF(M59=0,"",ROUND(U59/M59*100,1))</f>
        <v/>
      </c>
      <c r="W59" s="16">
        <f>U59*Assumptions!$B$4</f>
        <v/>
      </c>
      <c r="X59" s="11">
        <f>IF(M59=0,"",ROUND(W59/M59*100,1))</f>
        <v/>
      </c>
      <c r="Y59" t="inlineStr">
        <is>
          <t>GRUPO 3E</t>
        </is>
      </c>
      <c r="Z59" t="inlineStr">
        <is>
          <t>5341375-33.2026.8.09.0049</t>
        </is>
      </c>
      <c r="AA59" t="inlineStr">
        <is>
          <t>TJGO</t>
        </is>
      </c>
      <c r="AB59" t="inlineStr">
        <is>
          <t>stenius.com.br</t>
        </is>
      </c>
      <c r="AC59" t="inlineStr">
        <is>
          <t>DANISIO COSTA LIMA BARBOSA</t>
        </is>
      </c>
      <c r="AD59" t="inlineStr">
        <is>
          <t>Diretor</t>
        </is>
      </c>
      <c r="AE59" t="inlineStr">
        <is>
          <t>(06) 4006-5500</t>
        </is>
      </c>
      <c r="AF59" t="inlineStr"/>
      <c r="AG59" t="inlineStr"/>
      <c r="AH59" t="inlineStr">
        <is>
          <t>CE</t>
        </is>
      </c>
      <c r="AI59" t="inlineStr">
        <is>
          <t>EUSEBIO</t>
        </is>
      </c>
      <c r="AJ59" t="inlineStr">
        <is>
          <t>Torrefação e moagem de café</t>
        </is>
      </c>
      <c r="AK59" t="inlineStr">
        <is>
          <t>DEMAIS</t>
        </is>
      </c>
      <c r="AL59" t="inlineStr">
        <is>
          <t>ATIVA</t>
        </is>
      </c>
      <c r="AM59" s="17" t="inlineStr">
        <is>
          <t>https://stenius.com.br/wp-content/uploads/2026/06/EDITAL-GRUPO-3E.pdf</t>
        </is>
      </c>
      <c r="AN59" s="18" t="inlineStr">
        <is>
          <t>p18 r46</t>
        </is>
      </c>
      <c r="AO59" s="18" t="inlineStr">
        <is>
          <t>p18: R$ 174.203,35</t>
        </is>
      </c>
      <c r="AP59" s="18" t="inlineStr">
        <is>
          <t>DEBTOR_LIST</t>
        </is>
      </c>
      <c r="AQ59" s="18" t="inlineStr">
        <is>
          <t>2026-06-22</t>
        </is>
      </c>
      <c r="AR59" s="18" t="inlineStr">
        <is>
          <t>OK_NO_TOTALS</t>
        </is>
      </c>
      <c r="AS59" s="18" t="inlineStr">
        <is>
          <t>ROWS:p18r46 UNRECONCILED_SOURCE</t>
        </is>
      </c>
      <c r="AT59" s="18" t="inlineStr">
        <is>
          <t>8e8832093a15</t>
        </is>
      </c>
    </row>
    <row r="60">
      <c r="A60" s="9" t="n">
        <v>59</v>
      </c>
      <c r="B60" s="9" t="inlineStr">
        <is>
          <t>NEW</t>
        </is>
      </c>
      <c r="C60" s="9" t="inlineStr"/>
      <c r="D60" s="9" t="n">
        <v>0</v>
      </c>
      <c r="E60" s="9" t="inlineStr"/>
      <c r="F60" s="9" t="inlineStr"/>
      <c r="G60" s="9" t="inlineStr"/>
      <c r="H60" s="9" t="inlineStr"/>
      <c r="I60" t="inlineStr">
        <is>
          <t>OUROMED SERVICO MOVEL DE SAUDE LTDA</t>
        </is>
      </c>
      <c r="J60" t="inlineStr">
        <is>
          <t>Ouromed Serviços Móvel de Saúde Ltda</t>
        </is>
      </c>
      <c r="K60" t="inlineStr">
        <is>
          <t>11263858</t>
        </is>
      </c>
      <c r="L60" t="inlineStr">
        <is>
          <t>11263858000165</t>
        </is>
      </c>
      <c r="M60" s="10" t="n">
        <v>173392.87</v>
      </c>
      <c r="N60" t="n">
        <v>1</v>
      </c>
      <c r="O60" s="11" t="inlineStr">
        <is>
          <t>B</t>
        </is>
      </c>
      <c r="P60" s="11" t="inlineStr"/>
      <c r="Q60" s="12" t="n">
        <v>45756</v>
      </c>
      <c r="R60" s="11">
        <f>IF(Q60="","",ROUND((TODAY()-Q60)/365.25,1))</f>
        <v/>
      </c>
      <c r="S60" s="13">
        <f>IFERROR(VLOOKUP(O60,Assumptions!$A$7:$F$11,2,FALSE),0.25)</f>
        <v/>
      </c>
      <c r="T60" s="14">
        <f>IF(O60="A",MAX(1,IFERROR(VLOOKUP(O60,Assumptions!$A$7:$F$11,3,FALSE),3)+IFERROR(VLOOKUP(O60,Assumptions!$A$7:$F$11,4,FALSE),8)/2-MAX(0,IF(R60="",0,R60)-IFERROR(VLOOKUP(O60,Assumptions!$A$7:$F$11,5,FALSE),1.5))),IFERROR(VLOOKUP(O60,Assumptions!$A$7:$F$11,5,FALSE),2.5)+IFERROR(VLOOKUP(O60,Assumptions!$A$7:$F$11,3,FALSE),3)+IFERROR(VLOOKUP(O60,Assumptions!$A$7:$F$11,4,FALSE),8)/2)</f>
        <v/>
      </c>
      <c r="U60" s="15">
        <f>M60*S60/(1+Assumptions!$B$3)^T60</f>
        <v/>
      </c>
      <c r="V60" s="11">
        <f>IF(M60=0,"",ROUND(U60/M60*100,1))</f>
        <v/>
      </c>
      <c r="W60" s="16">
        <f>U60*Assumptions!$B$4</f>
        <v/>
      </c>
      <c r="X60" s="11">
        <f>IF(M60=0,"",ROUND(W60/M60*100,1))</f>
        <v/>
      </c>
      <c r="Y60" t="inlineStr">
        <is>
          <t>GRUPO EGESA (EGESA ENG S.A, EGESUR PART E EMP S.A, MATRIX INFRA LTDA, BEMVIVER ENG AMBIENTAL E SERV LTDA, DKF CONST E EMP LTDA, EGEPEL LTDA, ETR ASSESSORIA EMP E PART LTDA, MVT ENG E SERV LTDA, PARQUES DO VALE LTDA, ELMO RIBEIRO E ANA RIBEIRO)</t>
        </is>
      </c>
      <c r="Z60" t="inlineStr">
        <is>
          <t>5088952-81.2025.8.13.0024</t>
        </is>
      </c>
      <c r="AA60" t="inlineStr">
        <is>
          <t>TJMG</t>
        </is>
      </c>
      <c r="AB60" t="inlineStr">
        <is>
          <t>scalzilliaj.com.br</t>
        </is>
      </c>
      <c r="AC60" t="inlineStr">
        <is>
          <t>LUCIANO AUGUSTO COLOMBO DRUMOND SANTOS</t>
        </is>
      </c>
      <c r="AD60" t="inlineStr">
        <is>
          <t>Sócio-Administrador</t>
        </is>
      </c>
      <c r="AE60" t="inlineStr">
        <is>
          <t>(31) 2128-2020</t>
        </is>
      </c>
      <c r="AF60" t="inlineStr"/>
      <c r="AG60" t="inlineStr"/>
      <c r="AH60" t="inlineStr">
        <is>
          <t>MG</t>
        </is>
      </c>
      <c r="AI60" t="inlineStr">
        <is>
          <t>BELO HORIZONTE</t>
        </is>
      </c>
      <c r="AJ60" t="inlineStr">
        <is>
          <t>Serviços de remoção de pacientes, exceto os serviços móveis de atendimento a urgências</t>
        </is>
      </c>
      <c r="AK60" t="inlineStr">
        <is>
          <t>EMPRESA DE PEQUENO PORTE</t>
        </is>
      </c>
      <c r="AL60" t="inlineStr">
        <is>
          <t>ATIVA</t>
        </is>
      </c>
      <c r="AM60" s="17" t="inlineStr">
        <is>
          <t>https://scalzilliaj.com.br/sgc/download.php?file=files/processo_documento/processo_documento09514021082025_1_.pdf&amp;nome=04 - Relação de credores das Recuperandas</t>
        </is>
      </c>
      <c r="AN60" s="18" t="inlineStr">
        <is>
          <t>p70 r16</t>
        </is>
      </c>
      <c r="AO60" s="18" t="inlineStr">
        <is>
          <t>p70: R$ 173.392,87</t>
        </is>
      </c>
      <c r="AP60" s="18" t="inlineStr">
        <is>
          <t>DEBTOR_LIST</t>
        </is>
      </c>
      <c r="AQ60" s="18" t="inlineStr"/>
      <c r="AR60" s="18" t="inlineStr">
        <is>
          <t>OK</t>
        </is>
      </c>
      <c r="AS60" s="18" t="inlineStr">
        <is>
          <t>ROWS:p70r16 VALUE_COL:Valor_Atualizado CASE_NUMBER_CORRECTED CASE_FROM_PORTAL</t>
        </is>
      </c>
      <c r="AT60" s="18" t="inlineStr">
        <is>
          <t>24ed98480a57</t>
        </is>
      </c>
    </row>
    <row r="61">
      <c r="A61" s="9" t="n">
        <v>60</v>
      </c>
      <c r="B61" s="9" t="inlineStr">
        <is>
          <t>NEW</t>
        </is>
      </c>
      <c r="C61" s="9" t="inlineStr"/>
      <c r="D61" s="9" t="n">
        <v>0</v>
      </c>
      <c r="E61" s="9" t="inlineStr"/>
      <c r="F61" s="9" t="inlineStr"/>
      <c r="G61" s="9" t="inlineStr"/>
      <c r="H61" s="9" t="inlineStr"/>
      <c r="I61" t="inlineStr">
        <is>
          <t>FRIGO SUINOS SOL NASCENTE LTDA</t>
        </is>
      </c>
      <c r="J61" t="inlineStr">
        <is>
          <t>Bonfrigo</t>
        </is>
      </c>
      <c r="K61" t="inlineStr">
        <is>
          <t>03801328</t>
        </is>
      </c>
      <c r="L61" t="inlineStr">
        <is>
          <t>03801328000103</t>
        </is>
      </c>
      <c r="M61" s="10" t="n">
        <v>173307.27</v>
      </c>
      <c r="N61" t="n">
        <v>1</v>
      </c>
      <c r="O61" s="11" t="inlineStr">
        <is>
          <t>B</t>
        </is>
      </c>
      <c r="P61" s="11" t="inlineStr">
        <is>
          <t>ACTIVE</t>
        </is>
      </c>
      <c r="Q61" s="12" t="n">
        <v>46130</v>
      </c>
      <c r="R61" s="11">
        <f>IF(Q61="","",ROUND((TODAY()-Q61)/365.25,1))</f>
        <v/>
      </c>
      <c r="S61" s="13">
        <f>IFERROR(VLOOKUP(O61,Assumptions!$A$7:$F$11,2,FALSE),0.25)</f>
        <v/>
      </c>
      <c r="T61" s="14">
        <f>IF(O61="A",MAX(1,IFERROR(VLOOKUP(O61,Assumptions!$A$7:$F$11,3,FALSE),3)+IFERROR(VLOOKUP(O61,Assumptions!$A$7:$F$11,4,FALSE),8)/2-MAX(0,IF(R61="",0,R61)-IFERROR(VLOOKUP(O61,Assumptions!$A$7:$F$11,5,FALSE),1.5))),IFERROR(VLOOKUP(O61,Assumptions!$A$7:$F$11,5,FALSE),2.5)+IFERROR(VLOOKUP(O61,Assumptions!$A$7:$F$11,3,FALSE),3)+IFERROR(VLOOKUP(O61,Assumptions!$A$7:$F$11,4,FALSE),8)/2)</f>
        <v/>
      </c>
      <c r="U61" s="15">
        <f>M61*S61/(1+Assumptions!$B$3)^T61</f>
        <v/>
      </c>
      <c r="V61" s="11">
        <f>IF(M61=0,"",ROUND(U61/M61*100,1))</f>
        <v/>
      </c>
      <c r="W61" s="16">
        <f>U61*Assumptions!$B$4</f>
        <v/>
      </c>
      <c r="X61" s="11">
        <f>IF(M61=0,"",ROUND(W61/M61*100,1))</f>
        <v/>
      </c>
      <c r="Y61" t="inlineStr">
        <is>
          <t>GRUPO 3E</t>
        </is>
      </c>
      <c r="Z61" t="inlineStr">
        <is>
          <t>5341375-33.2026.8.09.0049</t>
        </is>
      </c>
      <c r="AA61" t="inlineStr">
        <is>
          <t>TJGO</t>
        </is>
      </c>
      <c r="AB61" t="inlineStr">
        <is>
          <t>stenius.com.br</t>
        </is>
      </c>
      <c r="AC61" t="inlineStr">
        <is>
          <t>MARCELO RODRIGUES DA SILVA</t>
        </is>
      </c>
      <c r="AD61" t="inlineStr">
        <is>
          <t>Sócio-Administrador</t>
        </is>
      </c>
      <c r="AE61" t="inlineStr">
        <is>
          <t>(62) 3236-6311</t>
        </is>
      </c>
      <c r="AF61" t="inlineStr"/>
      <c r="AG61" t="inlineStr"/>
      <c r="AH61" t="inlineStr">
        <is>
          <t>GO</t>
        </is>
      </c>
      <c r="AI61" t="inlineStr">
        <is>
          <t>GOIANIA</t>
        </is>
      </c>
      <c r="AJ61" t="inlineStr">
        <is>
          <t>Frigorífico - abate de suínos</t>
        </is>
      </c>
      <c r="AK61" t="inlineStr">
        <is>
          <t>DEMAIS</t>
        </is>
      </c>
      <c r="AL61" t="inlineStr">
        <is>
          <t>ATIVA</t>
        </is>
      </c>
      <c r="AM61" s="17" t="inlineStr">
        <is>
          <t>https://stenius.com.br/wp-content/uploads/2026/06/EDITAL-GRUPO-3E.pdf</t>
        </is>
      </c>
      <c r="AN61" s="18" t="inlineStr">
        <is>
          <t>p10 r69</t>
        </is>
      </c>
      <c r="AO61" s="18" t="inlineStr">
        <is>
          <t>p10: R$ 173.307,27</t>
        </is>
      </c>
      <c r="AP61" s="18" t="inlineStr">
        <is>
          <t>DEBTOR_LIST</t>
        </is>
      </c>
      <c r="AQ61" s="18" t="inlineStr">
        <is>
          <t>2026-06-22</t>
        </is>
      </c>
      <c r="AR61" s="18" t="inlineStr">
        <is>
          <t>OK_NO_TOTALS</t>
        </is>
      </c>
      <c r="AS61" s="18" t="inlineStr">
        <is>
          <t>ROWS:p10r69 UNRECONCILED_SOURCE</t>
        </is>
      </c>
      <c r="AT61" s="18" t="inlineStr">
        <is>
          <t>8e8832093a15</t>
        </is>
      </c>
    </row>
    <row r="62">
      <c r="A62" s="9" t="n">
        <v>61</v>
      </c>
      <c r="B62" s="9" t="inlineStr">
        <is>
          <t>NEW</t>
        </is>
      </c>
      <c r="C62" s="9" t="inlineStr"/>
      <c r="D62" s="9" t="n">
        <v>0</v>
      </c>
      <c r="E62" s="9" t="inlineStr"/>
      <c r="F62" s="9" t="inlineStr"/>
      <c r="G62" s="9" t="inlineStr"/>
      <c r="H62" s="9" t="inlineStr"/>
      <c r="I62" t="inlineStr">
        <is>
          <t>MMR INDUSTRIA E COMERCIO DE PRODUTOS QUIMICOS LTDA</t>
        </is>
      </c>
      <c r="J62" t="inlineStr">
        <is>
          <t>MMR INDUSTRIA E COMERCIO DE PRODUTOS QUIMICOS LTDA</t>
        </is>
      </c>
      <c r="K62" t="inlineStr">
        <is>
          <t>37594825</t>
        </is>
      </c>
      <c r="L62" t="inlineStr">
        <is>
          <t>37594825000191</t>
        </is>
      </c>
      <c r="M62" s="10" t="n">
        <v>173097.25</v>
      </c>
      <c r="N62" t="n">
        <v>1</v>
      </c>
      <c r="O62" s="11" t="inlineStr">
        <is>
          <t>C</t>
        </is>
      </c>
      <c r="P62" s="11" t="inlineStr">
        <is>
          <t>ACTIVE</t>
        </is>
      </c>
      <c r="Q62" s="12" t="n">
        <v>45154</v>
      </c>
      <c r="R62" s="11">
        <f>IF(Q62="","",ROUND((TODAY()-Q62)/365.25,1))</f>
        <v/>
      </c>
      <c r="S62" s="13">
        <f>IFERROR(VLOOKUP(O62,Assumptions!$A$7:$F$11,2,FALSE),0.25)</f>
        <v/>
      </c>
      <c r="T62" s="14">
        <f>IF(O62="A",MAX(1,IFERROR(VLOOKUP(O62,Assumptions!$A$7:$F$11,3,FALSE),3)+IFERROR(VLOOKUP(O62,Assumptions!$A$7:$F$11,4,FALSE),8)/2-MAX(0,IF(R62="",0,R62)-IFERROR(VLOOKUP(O62,Assumptions!$A$7:$F$11,5,FALSE),1.5))),IFERROR(VLOOKUP(O62,Assumptions!$A$7:$F$11,5,FALSE),2.5)+IFERROR(VLOOKUP(O62,Assumptions!$A$7:$F$11,3,FALSE),3)+IFERROR(VLOOKUP(O62,Assumptions!$A$7:$F$11,4,FALSE),8)/2)</f>
        <v/>
      </c>
      <c r="U62" s="15">
        <f>M62*S62/(1+Assumptions!$B$3)^T62</f>
        <v/>
      </c>
      <c r="V62" s="11">
        <f>IF(M62=0,"",ROUND(U62/M62*100,1))</f>
        <v/>
      </c>
      <c r="W62" s="16">
        <f>U62*Assumptions!$B$4</f>
        <v/>
      </c>
      <c r="X62" s="11">
        <f>IF(M62=0,"",ROUND(W62/M62*100,1))</f>
        <v/>
      </c>
      <c r="Y62" t="inlineStr">
        <is>
          <t>AZEPLAST INDÚSTRIA E COMÉRCIO LTDA</t>
        </is>
      </c>
      <c r="Z62" t="inlineStr">
        <is>
          <t>5008793-34.2023.8.24.0019</t>
        </is>
      </c>
      <c r="AA62" t="inlineStr">
        <is>
          <t>TJSC</t>
        </is>
      </c>
      <c r="AB62" t="inlineStr">
        <is>
          <t>ajruiz.com.br</t>
        </is>
      </c>
      <c r="AC62" t="inlineStr">
        <is>
          <t>RODOLFO LUIZ PAVEI</t>
        </is>
      </c>
      <c r="AD62" t="inlineStr">
        <is>
          <t>Sócio-Administrador</t>
        </is>
      </c>
      <c r="AE62" t="inlineStr">
        <is>
          <t>(48) 9943-9766</t>
        </is>
      </c>
      <c r="AF62" t="inlineStr"/>
      <c r="AG62" t="inlineStr"/>
      <c r="AH62" t="inlineStr">
        <is>
          <t>SC</t>
        </is>
      </c>
      <c r="AI62" t="inlineStr">
        <is>
          <t>CRICIUMA</t>
        </is>
      </c>
      <c r="AJ62" t="inlineStr">
        <is>
          <t>Fabricação de aditivos de uso industrial</t>
        </is>
      </c>
      <c r="AK62" t="inlineStr">
        <is>
          <t>DEMAIS</t>
        </is>
      </c>
      <c r="AL62" t="inlineStr">
        <is>
          <t>ATIVA</t>
        </is>
      </c>
      <c r="AM62" s="17" t="inlineStr">
        <is>
          <t>https://ajruiz.com.br/sites/default/files/public/arquivos-processos/2026-08/qgc_azeplast_julho_2026.pdf</t>
        </is>
      </c>
      <c r="AN62" s="18" t="inlineStr">
        <is>
          <t>p2 r1</t>
        </is>
      </c>
      <c r="AO62" s="18" t="inlineStr">
        <is>
          <t>p2: R$ 173.097,25</t>
        </is>
      </c>
      <c r="AP62" s="18" t="inlineStr">
        <is>
          <t>QGC</t>
        </is>
      </c>
      <c r="AQ62" s="18" t="inlineStr"/>
      <c r="AR62" s="18" t="inlineStr">
        <is>
          <t>QUARANTINED</t>
        </is>
      </c>
      <c r="AS62" s="18" t="inlineStr">
        <is>
          <t>PARTIAL_DOC_CLASS_III_RECONCILED ROWS:p2r1</t>
        </is>
      </c>
      <c r="AT62" s="18" t="inlineStr">
        <is>
          <t>229081edb0ea</t>
        </is>
      </c>
    </row>
    <row r="63">
      <c r="A63" s="9" t="n">
        <v>62</v>
      </c>
      <c r="B63" s="9" t="inlineStr">
        <is>
          <t>NEW</t>
        </is>
      </c>
      <c r="C63" s="9" t="inlineStr"/>
      <c r="D63" s="9" t="n">
        <v>0</v>
      </c>
      <c r="E63" s="9" t="inlineStr"/>
      <c r="F63" s="9" t="inlineStr"/>
      <c r="G63" s="9" t="inlineStr"/>
      <c r="H63" s="9" t="inlineStr"/>
      <c r="I63" t="inlineStr">
        <is>
          <t>UNIDAS LOCADORA S.A.</t>
        </is>
      </c>
      <c r="J63" t="inlineStr">
        <is>
          <t>UNIDAS LOCADORA S.A., CPF/CNPJ/OAB nº</t>
        </is>
      </c>
      <c r="K63" t="inlineStr">
        <is>
          <t>45736131</t>
        </is>
      </c>
      <c r="L63" t="inlineStr">
        <is>
          <t>45736131000170</t>
        </is>
      </c>
      <c r="M63" s="10" t="n">
        <v>172992.26</v>
      </c>
      <c r="N63" t="n">
        <v>2</v>
      </c>
      <c r="O63" s="11" t="inlineStr">
        <is>
          <t>B</t>
        </is>
      </c>
      <c r="P63" s="11" t="inlineStr">
        <is>
          <t>ACTIVE</t>
        </is>
      </c>
      <c r="Q63" s="12" t="n">
        <v>45349</v>
      </c>
      <c r="R63" s="11">
        <f>IF(Q63="","",ROUND((TODAY()-Q63)/365.25,1))</f>
        <v/>
      </c>
      <c r="S63" s="13">
        <f>IFERROR(VLOOKUP(O63,Assumptions!$A$7:$F$11,2,FALSE),0.25)</f>
        <v/>
      </c>
      <c r="T63" s="14">
        <f>IF(O63="A",MAX(1,IFERROR(VLOOKUP(O63,Assumptions!$A$7:$F$11,3,FALSE),3)+IFERROR(VLOOKUP(O63,Assumptions!$A$7:$F$11,4,FALSE),8)/2-MAX(0,IF(R63="",0,R63)-IFERROR(VLOOKUP(O63,Assumptions!$A$7:$F$11,5,FALSE),1.5))),IFERROR(VLOOKUP(O63,Assumptions!$A$7:$F$11,5,FALSE),2.5)+IFERROR(VLOOKUP(O63,Assumptions!$A$7:$F$11,3,FALSE),3)+IFERROR(VLOOKUP(O63,Assumptions!$A$7:$F$11,4,FALSE),8)/2)</f>
        <v/>
      </c>
      <c r="U63" s="15">
        <f>M63*S63/(1+Assumptions!$B$3)^T63</f>
        <v/>
      </c>
      <c r="V63" s="11">
        <f>IF(M63=0,"",ROUND(U63/M63*100,1))</f>
        <v/>
      </c>
      <c r="W63" s="16">
        <f>U63*Assumptions!$B$4</f>
        <v/>
      </c>
      <c r="X63" s="11">
        <f>IF(M63=0,"",ROUND(W63/M63*100,1))</f>
        <v/>
      </c>
      <c r="Y63" t="inlineStr">
        <is>
          <t>GRUPO ADLIM</t>
        </is>
      </c>
      <c r="Z63" t="inlineStr">
        <is>
          <t>0019761-43.2024.8.17.2001</t>
        </is>
      </c>
      <c r="AA63" t="inlineStr">
        <is>
          <t>TJPE</t>
        </is>
      </c>
      <c r="AB63" t="inlineStr">
        <is>
          <t>lrflideres.com.br</t>
        </is>
      </c>
      <c r="AC63" t="inlineStr">
        <is>
          <t>CARLOS AUGUSTO MOREIRA</t>
        </is>
      </c>
      <c r="AD63" t="inlineStr">
        <is>
          <t>Presidente</t>
        </is>
      </c>
      <c r="AE63" t="inlineStr">
        <is>
          <t>(31) 3319-1500</t>
        </is>
      </c>
      <c r="AF63" t="inlineStr"/>
      <c r="AG63" t="inlineStr"/>
      <c r="AH63" t="inlineStr">
        <is>
          <t>MG</t>
        </is>
      </c>
      <c r="AI63" t="inlineStr">
        <is>
          <t>BELO HORIZONTE</t>
        </is>
      </c>
      <c r="AJ63" t="inlineStr">
        <is>
          <t>Locação de automóveis sem condutor</t>
        </is>
      </c>
      <c r="AK63" t="inlineStr">
        <is>
          <t>DEMAIS</t>
        </is>
      </c>
      <c r="AL63" t="inlineStr">
        <is>
          <t>ATIVA</t>
        </is>
      </c>
      <c r="AM63" s="17" t="inlineStr">
        <is>
          <t>https://lrflideres.com.br/wp-content/plugins/download-attachments/includes/download.php?id=6051</t>
        </is>
      </c>
      <c r="AN63" s="18" t="inlineStr">
        <is>
          <t>p67 r49; p85 r35</t>
        </is>
      </c>
      <c r="AO63" s="18" t="inlineStr">
        <is>
          <t>p67: R$ 169792,87; p85: R$ 3199,39</t>
        </is>
      </c>
      <c r="AP63" s="18" t="inlineStr">
        <is>
          <t>AJ_LIST</t>
        </is>
      </c>
      <c r="AQ63" s="18" t="inlineStr">
        <is>
          <t>2024-08-12</t>
        </is>
      </c>
      <c r="AR63" s="18" t="inlineStr">
        <is>
          <t>QUARANTINED</t>
        </is>
      </c>
      <c r="AS63" s="18" t="inlineStr">
        <is>
          <t>PARTIAL_DOC_CLASS_III_RECONCILED ROWS:p67r49,p85r35</t>
        </is>
      </c>
      <c r="AT63" s="18" t="inlineStr">
        <is>
          <t>a32497797bac</t>
        </is>
      </c>
    </row>
    <row r="64">
      <c r="A64" s="9" t="n">
        <v>63</v>
      </c>
      <c r="B64" s="9" t="inlineStr">
        <is>
          <t>NEW</t>
        </is>
      </c>
      <c r="C64" s="9" t="inlineStr"/>
      <c r="D64" s="9" t="n">
        <v>0</v>
      </c>
      <c r="E64" s="9" t="inlineStr"/>
      <c r="F64" s="9" t="inlineStr"/>
      <c r="G64" s="9" t="inlineStr"/>
      <c r="H64" s="9" t="inlineStr"/>
      <c r="I64" t="inlineStr">
        <is>
          <t>PANAN - INDUSTRIA DE MADEIRAS E MOVEIS LTDA</t>
        </is>
      </c>
      <c r="J64" t="inlineStr">
        <is>
          <t>36.343.960/0001-00</t>
        </is>
      </c>
      <c r="K64" t="inlineStr">
        <is>
          <t>36343960</t>
        </is>
      </c>
      <c r="L64" t="inlineStr">
        <is>
          <t>36343960000100</t>
        </is>
      </c>
      <c r="M64" s="10" t="n">
        <v>171987.03</v>
      </c>
      <c r="N64" t="n">
        <v>1</v>
      </c>
      <c r="O64" s="11" t="inlineStr">
        <is>
          <t>C</t>
        </is>
      </c>
      <c r="P64" s="11" t="inlineStr">
        <is>
          <t>ACTIVE</t>
        </is>
      </c>
      <c r="Q64" s="12" t="n">
        <v>43894</v>
      </c>
      <c r="R64" s="11">
        <f>IF(Q64="","",ROUND((TODAY()-Q64)/365.25,1))</f>
        <v/>
      </c>
      <c r="S64" s="13">
        <f>IFERROR(VLOOKUP(O64,Assumptions!$A$7:$F$11,2,FALSE),0.25)</f>
        <v/>
      </c>
      <c r="T64" s="14">
        <f>IF(O64="A",MAX(1,IFERROR(VLOOKUP(O64,Assumptions!$A$7:$F$11,3,FALSE),3)+IFERROR(VLOOKUP(O64,Assumptions!$A$7:$F$11,4,FALSE),8)/2-MAX(0,IF(R64="",0,R64)-IFERROR(VLOOKUP(O64,Assumptions!$A$7:$F$11,5,FALSE),1.5))),IFERROR(VLOOKUP(O64,Assumptions!$A$7:$F$11,5,FALSE),2.5)+IFERROR(VLOOKUP(O64,Assumptions!$A$7:$F$11,3,FALSE),3)+IFERROR(VLOOKUP(O64,Assumptions!$A$7:$F$11,4,FALSE),8)/2)</f>
        <v/>
      </c>
      <c r="U64" s="15">
        <f>M64*S64/(1+Assumptions!$B$3)^T64</f>
        <v/>
      </c>
      <c r="V64" s="11">
        <f>IF(M64=0,"",ROUND(U64/M64*100,1))</f>
        <v/>
      </c>
      <c r="W64" s="16">
        <f>U64*Assumptions!$B$4</f>
        <v/>
      </c>
      <c r="X64" s="11">
        <f>IF(M64=0,"",ROUND(W64/M64*100,1))</f>
        <v/>
      </c>
      <c r="Y64" t="inlineStr">
        <is>
          <t>CREDIMÓVEIS NOVOLAR LTDA.</t>
        </is>
      </c>
      <c r="Z64" t="inlineStr">
        <is>
          <t>0007565-40.2020.8.17.2370</t>
        </is>
      </c>
      <c r="AA64" t="inlineStr">
        <is>
          <t>TJPE</t>
        </is>
      </c>
      <c r="AB64" t="inlineStr">
        <is>
          <t>recuperacaojudicial.squarespace.com</t>
        </is>
      </c>
      <c r="AC64" t="inlineStr">
        <is>
          <t>GUSTAVO LOMBARDI NASCIMENTO</t>
        </is>
      </c>
      <c r="AD64" t="inlineStr">
        <is>
          <t>Administrador</t>
        </is>
      </c>
      <c r="AE64" t="inlineStr"/>
      <c r="AF64" t="inlineStr"/>
      <c r="AG64" t="inlineStr"/>
      <c r="AH64" t="inlineStr">
        <is>
          <t>ES</t>
        </is>
      </c>
      <c r="AI64" t="inlineStr">
        <is>
          <t>LINHARES</t>
        </is>
      </c>
      <c r="AJ64" t="inlineStr">
        <is>
          <t>Fabricação de móveis com predominância de madeira</t>
        </is>
      </c>
      <c r="AK64" t="inlineStr">
        <is>
          <t>DEMAIS</t>
        </is>
      </c>
      <c r="AL64" t="inlineStr">
        <is>
          <t>ATIVA</t>
        </is>
      </c>
      <c r="AM64" s="17" t="inlineStr">
        <is>
          <t>https://recuperacaojudicial.squarespace.com/s/RJ-Credimoveis-QGC-01082025.pdf</t>
        </is>
      </c>
      <c r="AN64" s="18" t="inlineStr">
        <is>
          <t>p16 r38</t>
        </is>
      </c>
      <c r="AO64" s="18" t="inlineStr">
        <is>
          <t>p16: R$ 171.987,03</t>
        </is>
      </c>
      <c r="AP64" s="18" t="inlineStr">
        <is>
          <t>QGC</t>
        </is>
      </c>
      <c r="AQ64" s="18" t="inlineStr">
        <is>
          <t>2026-01-28</t>
        </is>
      </c>
      <c r="AR64" s="18" t="inlineStr">
        <is>
          <t>OK</t>
        </is>
      </c>
      <c r="AS64" s="18" t="inlineStr">
        <is>
          <t>ROWS:p16r38</t>
        </is>
      </c>
      <c r="AT64" s="18" t="inlineStr">
        <is>
          <t>849d4fe5adce</t>
        </is>
      </c>
    </row>
    <row r="65">
      <c r="A65" s="9" t="n">
        <v>64</v>
      </c>
      <c r="B65" s="9" t="inlineStr">
        <is>
          <t>NEW</t>
        </is>
      </c>
      <c r="C65" s="9" t="inlineStr"/>
      <c r="D65" s="9" t="n">
        <v>0</v>
      </c>
      <c r="E65" s="9" t="inlineStr"/>
      <c r="F65" s="9" t="inlineStr"/>
      <c r="G65" s="9" t="inlineStr"/>
      <c r="H65" s="9" t="inlineStr"/>
      <c r="I65" t="inlineStr">
        <is>
          <t>RODOPARANA IMPLEMENTOS RODOVIARIOS LTDA</t>
        </is>
      </c>
      <c r="J65" t="inlineStr">
        <is>
          <t>Rodoparana Implementos Rodoviarios Ltda</t>
        </is>
      </c>
      <c r="K65" t="inlineStr">
        <is>
          <t>97467856</t>
        </is>
      </c>
      <c r="L65" t="inlineStr">
        <is>
          <t>97467856000375, 97467856001770</t>
        </is>
      </c>
      <c r="M65" s="10" t="n">
        <v>171165.31</v>
      </c>
      <c r="N65" t="n">
        <v>2</v>
      </c>
      <c r="O65" s="11" t="inlineStr">
        <is>
          <t>B</t>
        </is>
      </c>
      <c r="P65" s="11" t="inlineStr">
        <is>
          <t>ACTIVE</t>
        </is>
      </c>
      <c r="Q65" s="12" t="n">
        <v>45460</v>
      </c>
      <c r="R65" s="11">
        <f>IF(Q65="","",ROUND((TODAY()-Q65)/365.25,1))</f>
        <v/>
      </c>
      <c r="S65" s="13">
        <f>IFERROR(VLOOKUP(O65,Assumptions!$A$7:$F$11,2,FALSE),0.25)</f>
        <v/>
      </c>
      <c r="T65" s="14">
        <f>IF(O65="A",MAX(1,IFERROR(VLOOKUP(O65,Assumptions!$A$7:$F$11,3,FALSE),3)+IFERROR(VLOOKUP(O65,Assumptions!$A$7:$F$11,4,FALSE),8)/2-MAX(0,IF(R65="",0,R65)-IFERROR(VLOOKUP(O65,Assumptions!$A$7:$F$11,5,FALSE),1.5))),IFERROR(VLOOKUP(O65,Assumptions!$A$7:$F$11,5,FALSE),2.5)+IFERROR(VLOOKUP(O65,Assumptions!$A$7:$F$11,3,FALSE),3)+IFERROR(VLOOKUP(O65,Assumptions!$A$7:$F$11,4,FALSE),8)/2)</f>
        <v/>
      </c>
      <c r="U65" s="15">
        <f>M65*S65/(1+Assumptions!$B$3)^T65</f>
        <v/>
      </c>
      <c r="V65" s="11">
        <f>IF(M65=0,"",ROUND(U65/M65*100,1))</f>
        <v/>
      </c>
      <c r="W65" s="16">
        <f>U65*Assumptions!$B$4</f>
        <v/>
      </c>
      <c r="X65" s="11">
        <f>IF(M65=0,"",ROUND(W65/M65*100,1))</f>
        <v/>
      </c>
      <c r="Y65" t="inlineStr">
        <is>
          <t>GRUPO D&amp;D</t>
        </is>
      </c>
      <c r="Z65" t="inlineStr">
        <is>
          <t>0001943-40.2024.8.16.0115</t>
        </is>
      </c>
      <c r="AA65" t="inlineStr">
        <is>
          <t>TJPR</t>
        </is>
      </c>
      <c r="AB65" t="inlineStr">
        <is>
          <t>marquesadmjudicial.com.br</t>
        </is>
      </c>
      <c r="AC65" t="inlineStr">
        <is>
          <t>EDUARDO JOSE SCOTTI</t>
        </is>
      </c>
      <c r="AD65" t="inlineStr">
        <is>
          <t>Sócio-Administrador</t>
        </is>
      </c>
      <c r="AE65" t="inlineStr">
        <is>
          <t>(41) 3317-1414</t>
        </is>
      </c>
      <c r="AF65" t="inlineStr">
        <is>
          <t>(41) 3317-1420</t>
        </is>
      </c>
      <c r="AG65" t="inlineStr"/>
      <c r="AH65" t="inlineStr">
        <is>
          <t>PR</t>
        </is>
      </c>
      <c r="AI65" t="inlineStr">
        <is>
          <t>CURITIBA</t>
        </is>
      </c>
      <c r="AJ65" t="inlineStr">
        <is>
          <t>Comércio por atacado de reboques e semi-reboques novos e usados</t>
        </is>
      </c>
      <c r="AK65" t="inlineStr">
        <is>
          <t>DEMAIS</t>
        </is>
      </c>
      <c r="AL65" t="inlineStr">
        <is>
          <t>ATIVA</t>
        </is>
      </c>
      <c r="AM65" s="17" t="inlineStr">
        <is>
          <t>https://marquesadmjudicial.com.br/sgc/download.php?file=files/processo_documento/processo_documento20014127022025_1_.pdf&amp;nome=Relação Nominal de Credores</t>
        </is>
      </c>
      <c r="AN65" s="18" t="inlineStr">
        <is>
          <t>p5 r15; p5 r16</t>
        </is>
      </c>
      <c r="AO65" s="18" t="inlineStr">
        <is>
          <t>p5: R$ 138.999,69; p5: R$ 32.165,62</t>
        </is>
      </c>
      <c r="AP65" s="18" t="inlineStr">
        <is>
          <t>AJ_LIST</t>
        </is>
      </c>
      <c r="AQ65" s="18" t="inlineStr">
        <is>
          <t>2024-11-08</t>
        </is>
      </c>
      <c r="AR65" s="18" t="inlineStr">
        <is>
          <t>QUARANTINED</t>
        </is>
      </c>
      <c r="AS65" s="18" t="inlineStr">
        <is>
          <t>PARTIAL_DOC_CLASS_III_RECONCILED ROWS:p5r15,p5r16</t>
        </is>
      </c>
      <c r="AT65" s="18" t="inlineStr">
        <is>
          <t>dfc3207dcd0f</t>
        </is>
      </c>
    </row>
    <row r="66">
      <c r="A66" s="9" t="n">
        <v>65</v>
      </c>
      <c r="B66" s="9" t="inlineStr">
        <is>
          <t>NEW</t>
        </is>
      </c>
      <c r="C66" s="9" t="inlineStr"/>
      <c r="D66" s="9" t="n">
        <v>0</v>
      </c>
      <c r="E66" s="9" t="inlineStr"/>
      <c r="F66" s="9" t="inlineStr"/>
      <c r="G66" s="9" t="inlineStr"/>
      <c r="H66" s="9" t="inlineStr"/>
      <c r="I66" t="inlineStr">
        <is>
          <t>ASSUPERO ENSINO SUPERIOR LTDA.</t>
        </is>
      </c>
      <c r="J66" t="inlineStr">
        <is>
          <t>ASSUPERO ENSINO SUPERIOR LTDA</t>
        </is>
      </c>
      <c r="K66" t="inlineStr">
        <is>
          <t>06099229</t>
        </is>
      </c>
      <c r="L66" t="inlineStr">
        <is>
          <t>06099229000101</t>
        </is>
      </c>
      <c r="M66" s="10" t="n">
        <v>170000</v>
      </c>
      <c r="N66" t="n">
        <v>1</v>
      </c>
      <c r="O66" s="11" t="inlineStr">
        <is>
          <t>C</t>
        </is>
      </c>
      <c r="P66" s="11" t="inlineStr"/>
      <c r="Q66" s="12" t="inlineStr"/>
      <c r="R66" s="11">
        <f>IF(Q66="","",ROUND((TODAY()-Q66)/365.25,1))</f>
        <v/>
      </c>
      <c r="S66" s="13">
        <f>IFERROR(VLOOKUP(O66,Assumptions!$A$7:$F$11,2,FALSE),0.25)</f>
        <v/>
      </c>
      <c r="T66" s="14">
        <f>IF(O66="A",MAX(1,IFERROR(VLOOKUP(O66,Assumptions!$A$7:$F$11,3,FALSE),3)+IFERROR(VLOOKUP(O66,Assumptions!$A$7:$F$11,4,FALSE),8)/2-MAX(0,IF(R66="",0,R66)-IFERROR(VLOOKUP(O66,Assumptions!$A$7:$F$11,5,FALSE),1.5))),IFERROR(VLOOKUP(O66,Assumptions!$A$7:$F$11,5,FALSE),2.5)+IFERROR(VLOOKUP(O66,Assumptions!$A$7:$F$11,3,FALSE),3)+IFERROR(VLOOKUP(O66,Assumptions!$A$7:$F$11,4,FALSE),8)/2)</f>
        <v/>
      </c>
      <c r="U66" s="15">
        <f>M66*S66/(1+Assumptions!$B$3)^T66</f>
        <v/>
      </c>
      <c r="V66" s="11">
        <f>IF(M66=0,"",ROUND(U66/M66*100,1))</f>
        <v/>
      </c>
      <c r="W66" s="16">
        <f>U66*Assumptions!$B$4</f>
        <v/>
      </c>
      <c r="X66" s="11">
        <f>IF(M66=0,"",ROUND(W66/M66*100,1))</f>
        <v/>
      </c>
      <c r="Y66" t="inlineStr">
        <is>
          <t>GRUPO ARNON DE MELLO</t>
        </is>
      </c>
      <c r="Z66" t="inlineStr">
        <is>
          <t>0700256-03.2019.8.02.0066</t>
        </is>
      </c>
      <c r="AA66" t="inlineStr"/>
      <c r="AB66" t="inlineStr">
        <is>
          <t>recuperacaojudicial.squarespace.com</t>
        </is>
      </c>
      <c r="AC66" t="inlineStr">
        <is>
          <t>SANDRA REJANE GOMES MIESSA</t>
        </is>
      </c>
      <c r="AD66" t="inlineStr">
        <is>
          <t>Sócio-Administrador</t>
        </is>
      </c>
      <c r="AE66" t="inlineStr">
        <is>
          <t>(11) 3170-3700</t>
        </is>
      </c>
      <c r="AF66" t="inlineStr">
        <is>
          <t>(11) 3170-3613</t>
        </is>
      </c>
      <c r="AG66" t="inlineStr"/>
      <c r="AH66" t="inlineStr">
        <is>
          <t>SP</t>
        </is>
      </c>
      <c r="AI66" t="inlineStr">
        <is>
          <t>SAO PAULO</t>
        </is>
      </c>
      <c r="AJ66" t="inlineStr">
        <is>
          <t>Educação superior - graduação</t>
        </is>
      </c>
      <c r="AK66" t="inlineStr">
        <is>
          <t>DEMAIS</t>
        </is>
      </c>
      <c r="AL66" t="inlineStr">
        <is>
          <t>ATIVA</t>
        </is>
      </c>
      <c r="AM66" s="17" t="inlineStr">
        <is>
          <t>https://recuperacaojudicial.squarespace.com/s/RJ-Grupo-Arnon-de-Melo-Lista-de-Credores-Consolidada-abril-2022.pdf</t>
        </is>
      </c>
      <c r="AN66" s="18" t="inlineStr">
        <is>
          <t>p7 r16</t>
        </is>
      </c>
      <c r="AO66" s="18" t="inlineStr">
        <is>
          <t>p7: R$ 170.000,00</t>
        </is>
      </c>
      <c r="AP66" s="18" t="inlineStr">
        <is>
          <t>AJ_LIST</t>
        </is>
      </c>
      <c r="AQ66" s="18" t="inlineStr"/>
      <c r="AR66" s="18" t="inlineStr">
        <is>
          <t>OK_NO_TOTALS</t>
        </is>
      </c>
      <c r="AS66" s="18" t="inlineStr">
        <is>
          <t>ROWS:p7r16 UNRECONCILED_SOURCE</t>
        </is>
      </c>
      <c r="AT66" s="18" t="inlineStr">
        <is>
          <t>60fd9c017d90</t>
        </is>
      </c>
    </row>
    <row r="67">
      <c r="A67" s="9" t="n">
        <v>66</v>
      </c>
      <c r="B67" s="9" t="inlineStr">
        <is>
          <t>NEW</t>
        </is>
      </c>
      <c r="C67" s="9" t="inlineStr"/>
      <c r="D67" s="9" t="n">
        <v>0</v>
      </c>
      <c r="E67" s="9" t="inlineStr"/>
      <c r="F67" s="9" t="inlineStr"/>
      <c r="G67" s="9" t="inlineStr"/>
      <c r="H67" s="9" t="inlineStr"/>
      <c r="I67" t="inlineStr">
        <is>
          <t>CAFE TRES CORACOES S.A</t>
        </is>
      </c>
      <c r="J67" t="inlineStr">
        <is>
          <t>Cafe Tres Coracoes S.A.</t>
        </is>
      </c>
      <c r="K67" t="inlineStr">
        <is>
          <t>17467515</t>
        </is>
      </c>
      <c r="L67" t="inlineStr">
        <is>
          <t>17467515002738</t>
        </is>
      </c>
      <c r="M67" s="10" t="n">
        <v>168818.91</v>
      </c>
      <c r="N67" t="n">
        <v>1</v>
      </c>
      <c r="O67" s="11" t="inlineStr">
        <is>
          <t>C</t>
        </is>
      </c>
      <c r="P67" s="11" t="inlineStr">
        <is>
          <t>ACTIVE</t>
        </is>
      </c>
      <c r="Q67" s="12" t="n">
        <v>44987</v>
      </c>
      <c r="R67" s="11">
        <f>IF(Q67="","",ROUND((TODAY()-Q67)/365.25,1))</f>
        <v/>
      </c>
      <c r="S67" s="13">
        <f>IFERROR(VLOOKUP(O67,Assumptions!$A$7:$F$11,2,FALSE),0.25)</f>
        <v/>
      </c>
      <c r="T67" s="14">
        <f>IF(O67="A",MAX(1,IFERROR(VLOOKUP(O67,Assumptions!$A$7:$F$11,3,FALSE),3)+IFERROR(VLOOKUP(O67,Assumptions!$A$7:$F$11,4,FALSE),8)/2-MAX(0,IF(R67="",0,R67)-IFERROR(VLOOKUP(O67,Assumptions!$A$7:$F$11,5,FALSE),1.5))),IFERROR(VLOOKUP(O67,Assumptions!$A$7:$F$11,5,FALSE),2.5)+IFERROR(VLOOKUP(O67,Assumptions!$A$7:$F$11,3,FALSE),3)+IFERROR(VLOOKUP(O67,Assumptions!$A$7:$F$11,4,FALSE),8)/2)</f>
        <v/>
      </c>
      <c r="U67" s="15">
        <f>M67*S67/(1+Assumptions!$B$3)^T67</f>
        <v/>
      </c>
      <c r="V67" s="11">
        <f>IF(M67=0,"",ROUND(U67/M67*100,1))</f>
        <v/>
      </c>
      <c r="W67" s="16">
        <f>U67*Assumptions!$B$4</f>
        <v/>
      </c>
      <c r="X67" s="11">
        <f>IF(M67=0,"",ROUND(W67/M67*100,1))</f>
        <v/>
      </c>
      <c r="Y67" t="inlineStr">
        <is>
          <t>GRUPO DP4</t>
        </is>
      </c>
      <c r="Z67" t="inlineStr">
        <is>
          <t>0005010-98.2023.8.16.0001</t>
        </is>
      </c>
      <c r="AA67" t="inlineStr">
        <is>
          <t>TJPR</t>
        </is>
      </c>
      <c r="AB67" t="inlineStr">
        <is>
          <t>marquesadmjudicial.com.br</t>
        </is>
      </c>
      <c r="AC67" t="inlineStr">
        <is>
          <t>DANISIO COSTA LIMA BARBOSA</t>
        </is>
      </c>
      <c r="AD67" t="inlineStr">
        <is>
          <t>Diretor</t>
        </is>
      </c>
      <c r="AE67" t="inlineStr">
        <is>
          <t>(85) 4006-5525</t>
        </is>
      </c>
      <c r="AF67" t="inlineStr">
        <is>
          <t>(85) 4006-5504</t>
        </is>
      </c>
      <c r="AG67" t="inlineStr"/>
      <c r="AH67" t="inlineStr">
        <is>
          <t>MG</t>
        </is>
      </c>
      <c r="AI67" t="inlineStr">
        <is>
          <t>SANTA LUZIA</t>
        </is>
      </c>
      <c r="AJ67" t="inlineStr">
        <is>
          <t>Torrefação e moagem de café</t>
        </is>
      </c>
      <c r="AK67" t="inlineStr">
        <is>
          <t>DEMAIS</t>
        </is>
      </c>
      <c r="AL67" t="inlineStr">
        <is>
          <t>ATIVA</t>
        </is>
      </c>
      <c r="AM67" s="17" t="inlineStr">
        <is>
          <t>https://marquesadmjudicial.com.br/sgc/download.php?file=files/processo_documento/processo_documento15293208032024_1_.pdf&amp;nome=Relação Nominal de Credores da AJ-Sintética</t>
        </is>
      </c>
      <c r="AN67" s="18" t="inlineStr">
        <is>
          <t>p22 r9</t>
        </is>
      </c>
      <c r="AO67" s="18" t="inlineStr">
        <is>
          <t>p22: R$ 168.818,91</t>
        </is>
      </c>
      <c r="AP67" s="18" t="inlineStr">
        <is>
          <t>AJ_LIST</t>
        </is>
      </c>
      <c r="AQ67" s="18" t="inlineStr">
        <is>
          <t>2023-03-02</t>
        </is>
      </c>
      <c r="AR67" s="18" t="inlineStr">
        <is>
          <t>QUARANTINED</t>
        </is>
      </c>
      <c r="AS67" s="18" t="inlineStr">
        <is>
          <t>PARTIAL_DOC_CLASS_III_RECONCILED ROWS:p22r9</t>
        </is>
      </c>
      <c r="AT67" s="18" t="inlineStr">
        <is>
          <t>b465a5d11eec</t>
        </is>
      </c>
    </row>
    <row r="68">
      <c r="A68" s="9" t="n">
        <v>67</v>
      </c>
      <c r="B68" s="9" t="inlineStr">
        <is>
          <t>NEW</t>
        </is>
      </c>
      <c r="C68" s="9" t="inlineStr"/>
      <c r="D68" s="9" t="n">
        <v>0</v>
      </c>
      <c r="E68" s="9" t="inlineStr"/>
      <c r="F68" s="9" t="inlineStr"/>
      <c r="G68" s="9" t="inlineStr"/>
      <c r="H68" s="9" t="inlineStr"/>
      <c r="I68" t="inlineStr">
        <is>
          <t>GSA GAMA SUCOS E ALIMENTOS LTDA.</t>
        </is>
      </c>
      <c r="J68" t="inlineStr">
        <is>
          <t>Gsa Gama Sucos e Alimts</t>
        </is>
      </c>
      <c r="K68" t="inlineStr">
        <is>
          <t>00774265</t>
        </is>
      </c>
      <c r="L68" t="inlineStr">
        <is>
          <t>00774265000147</t>
        </is>
      </c>
      <c r="M68" s="10" t="n">
        <v>168234.88</v>
      </c>
      <c r="N68" t="n">
        <v>1</v>
      </c>
      <c r="O68" s="11" t="inlineStr">
        <is>
          <t>B</t>
        </is>
      </c>
      <c r="P68" s="11" t="inlineStr">
        <is>
          <t>ACTIVE</t>
        </is>
      </c>
      <c r="Q68" s="12" t="n">
        <v>46130</v>
      </c>
      <c r="R68" s="11">
        <f>IF(Q68="","",ROUND((TODAY()-Q68)/365.25,1))</f>
        <v/>
      </c>
      <c r="S68" s="13">
        <f>IFERROR(VLOOKUP(O68,Assumptions!$A$7:$F$11,2,FALSE),0.25)</f>
        <v/>
      </c>
      <c r="T68" s="14">
        <f>IF(O68="A",MAX(1,IFERROR(VLOOKUP(O68,Assumptions!$A$7:$F$11,3,FALSE),3)+IFERROR(VLOOKUP(O68,Assumptions!$A$7:$F$11,4,FALSE),8)/2-MAX(0,IF(R68="",0,R68)-IFERROR(VLOOKUP(O68,Assumptions!$A$7:$F$11,5,FALSE),1.5))),IFERROR(VLOOKUP(O68,Assumptions!$A$7:$F$11,5,FALSE),2.5)+IFERROR(VLOOKUP(O68,Assumptions!$A$7:$F$11,3,FALSE),3)+IFERROR(VLOOKUP(O68,Assumptions!$A$7:$F$11,4,FALSE),8)/2)</f>
        <v/>
      </c>
      <c r="U68" s="15">
        <f>M68*S68/(1+Assumptions!$B$3)^T68</f>
        <v/>
      </c>
      <c r="V68" s="11">
        <f>IF(M68=0,"",ROUND(U68/M68*100,1))</f>
        <v/>
      </c>
      <c r="W68" s="16">
        <f>U68*Assumptions!$B$4</f>
        <v/>
      </c>
      <c r="X68" s="11">
        <f>IF(M68=0,"",ROUND(W68/M68*100,1))</f>
        <v/>
      </c>
      <c r="Y68" t="inlineStr">
        <is>
          <t>GRUPO 3E</t>
        </is>
      </c>
      <c r="Z68" t="inlineStr">
        <is>
          <t>5341375-33.2026.8.09.0049</t>
        </is>
      </c>
      <c r="AA68" t="inlineStr">
        <is>
          <t>TJGO</t>
        </is>
      </c>
      <c r="AB68" t="inlineStr">
        <is>
          <t>stenius.com.br</t>
        </is>
      </c>
      <c r="AC68" t="inlineStr">
        <is>
          <t>SANDRO MARQUES SCODRO</t>
        </is>
      </c>
      <c r="AD68" t="inlineStr">
        <is>
          <t>Sócio-Administrador</t>
        </is>
      </c>
      <c r="AE68" t="inlineStr">
        <is>
          <t>(62) 4006-6400</t>
        </is>
      </c>
      <c r="AF68" t="inlineStr"/>
      <c r="AG68" t="inlineStr"/>
      <c r="AH68" t="inlineStr">
        <is>
          <t>GO</t>
        </is>
      </c>
      <c r="AI68" t="inlineStr">
        <is>
          <t>APARECIDA DE GOIANIA</t>
        </is>
      </c>
      <c r="AJ68" t="inlineStr">
        <is>
          <t>Fabricação de massas alimentícias</t>
        </is>
      </c>
      <c r="AK68" t="inlineStr">
        <is>
          <t>DEMAIS</t>
        </is>
      </c>
      <c r="AL68" t="inlineStr">
        <is>
          <t>ATIVA</t>
        </is>
      </c>
      <c r="AM68" s="17" t="inlineStr">
        <is>
          <t>https://stenius.com.br/wp-content/uploads/2026/06/EDITAL-GRUPO-3E.pdf</t>
        </is>
      </c>
      <c r="AN68" s="18" t="inlineStr">
        <is>
          <t>p14 r21</t>
        </is>
      </c>
      <c r="AO68" s="18" t="inlineStr">
        <is>
          <t>p14: R$ 168.234,88</t>
        </is>
      </c>
      <c r="AP68" s="18" t="inlineStr">
        <is>
          <t>DEBTOR_LIST</t>
        </is>
      </c>
      <c r="AQ68" s="18" t="inlineStr">
        <is>
          <t>2026-06-22</t>
        </is>
      </c>
      <c r="AR68" s="18" t="inlineStr">
        <is>
          <t>OK_NO_TOTALS</t>
        </is>
      </c>
      <c r="AS68" s="18" t="inlineStr">
        <is>
          <t>ROWS:p14r21 UNRECONCILED_SOURCE</t>
        </is>
      </c>
      <c r="AT68" s="18" t="inlineStr">
        <is>
          <t>8e8832093a15</t>
        </is>
      </c>
    </row>
    <row r="69">
      <c r="A69" s="9" t="n">
        <v>68</v>
      </c>
      <c r="B69" s="9" t="inlineStr">
        <is>
          <t>NEW</t>
        </is>
      </c>
      <c r="C69" s="9" t="inlineStr"/>
      <c r="D69" s="9" t="n">
        <v>0</v>
      </c>
      <c r="E69" s="9" t="inlineStr"/>
      <c r="F69" s="9" t="inlineStr"/>
      <c r="G69" s="9" t="inlineStr"/>
      <c r="H69" s="9" t="inlineStr"/>
      <c r="I69" t="inlineStr">
        <is>
          <t>MLOG ARMAZEM GERAL LTDA.</t>
        </is>
      </c>
      <c r="J69" t="inlineStr">
        <is>
          <t>05.117.268/0008-06</t>
        </is>
      </c>
      <c r="K69" t="inlineStr">
        <is>
          <t>05117268</t>
        </is>
      </c>
      <c r="L69" t="inlineStr">
        <is>
          <t>05117268000806</t>
        </is>
      </c>
      <c r="M69" s="10" t="n">
        <v>167034.71</v>
      </c>
      <c r="N69" t="n">
        <v>1</v>
      </c>
      <c r="O69" s="11" t="inlineStr">
        <is>
          <t>C</t>
        </is>
      </c>
      <c r="P69" s="11" t="inlineStr">
        <is>
          <t>ACTIVE</t>
        </is>
      </c>
      <c r="Q69" s="12" t="n">
        <v>43894</v>
      </c>
      <c r="R69" s="11">
        <f>IF(Q69="","",ROUND((TODAY()-Q69)/365.25,1))</f>
        <v/>
      </c>
      <c r="S69" s="13">
        <f>IFERROR(VLOOKUP(O69,Assumptions!$A$7:$F$11,2,FALSE),0.25)</f>
        <v/>
      </c>
      <c r="T69" s="14">
        <f>IF(O69="A",MAX(1,IFERROR(VLOOKUP(O69,Assumptions!$A$7:$F$11,3,FALSE),3)+IFERROR(VLOOKUP(O69,Assumptions!$A$7:$F$11,4,FALSE),8)/2-MAX(0,IF(R69="",0,R69)-IFERROR(VLOOKUP(O69,Assumptions!$A$7:$F$11,5,FALSE),1.5))),IFERROR(VLOOKUP(O69,Assumptions!$A$7:$F$11,5,FALSE),2.5)+IFERROR(VLOOKUP(O69,Assumptions!$A$7:$F$11,3,FALSE),3)+IFERROR(VLOOKUP(O69,Assumptions!$A$7:$F$11,4,FALSE),8)/2)</f>
        <v/>
      </c>
      <c r="U69" s="15">
        <f>M69*S69/(1+Assumptions!$B$3)^T69</f>
        <v/>
      </c>
      <c r="V69" s="11">
        <f>IF(M69=0,"",ROUND(U69/M69*100,1))</f>
        <v/>
      </c>
      <c r="W69" s="16">
        <f>U69*Assumptions!$B$4</f>
        <v/>
      </c>
      <c r="X69" s="11">
        <f>IF(M69=0,"",ROUND(W69/M69*100,1))</f>
        <v/>
      </c>
      <c r="Y69" t="inlineStr">
        <is>
          <t>CREDIMÓVEIS NOVOLAR LTDA.</t>
        </is>
      </c>
      <c r="Z69" t="inlineStr">
        <is>
          <t>0007565-40.2020.8.17.2370</t>
        </is>
      </c>
      <c r="AA69" t="inlineStr">
        <is>
          <t>TJPE</t>
        </is>
      </c>
      <c r="AB69" t="inlineStr">
        <is>
          <t>recuperacaojudicial.squarespace.com</t>
        </is>
      </c>
      <c r="AC69" t="inlineStr">
        <is>
          <t>CARLOS BARBOSA CORREA NETO</t>
        </is>
      </c>
      <c r="AD69" t="inlineStr">
        <is>
          <t>Administrador</t>
        </is>
      </c>
      <c r="AE69" t="inlineStr">
        <is>
          <t>(19) 2111-9156</t>
        </is>
      </c>
      <c r="AF69" t="inlineStr"/>
      <c r="AG69" t="inlineStr"/>
      <c r="AH69" t="inlineStr">
        <is>
          <t>SP</t>
        </is>
      </c>
      <c r="AI69" t="inlineStr">
        <is>
          <t>RIO CLARO</t>
        </is>
      </c>
      <c r="AJ69" t="inlineStr">
        <is>
          <t>Armazéns gerais - emissão de warrant</t>
        </is>
      </c>
      <c r="AK69" t="inlineStr">
        <is>
          <t>DEMAIS</t>
        </is>
      </c>
      <c r="AL69" t="inlineStr">
        <is>
          <t>ATIVA</t>
        </is>
      </c>
      <c r="AM69" s="17" t="inlineStr">
        <is>
          <t>https://recuperacaojudicial.squarespace.com/s/RJ-Credimoveis-QGC-01082025.pdf</t>
        </is>
      </c>
      <c r="AN69" s="18" t="inlineStr">
        <is>
          <t>p16 r21</t>
        </is>
      </c>
      <c r="AO69" s="18" t="inlineStr">
        <is>
          <t>p16: R$ 167.034,71</t>
        </is>
      </c>
      <c r="AP69" s="18" t="inlineStr">
        <is>
          <t>QGC</t>
        </is>
      </c>
      <c r="AQ69" s="18" t="inlineStr">
        <is>
          <t>2026-01-28</t>
        </is>
      </c>
      <c r="AR69" s="18" t="inlineStr">
        <is>
          <t>OK</t>
        </is>
      </c>
      <c r="AS69" s="18" t="inlineStr">
        <is>
          <t>ROWS:p16r21</t>
        </is>
      </c>
      <c r="AT69" s="18" t="inlineStr">
        <is>
          <t>849d4fe5adce</t>
        </is>
      </c>
    </row>
    <row r="70">
      <c r="A70" s="9" t="n">
        <v>69</v>
      </c>
      <c r="B70" s="9" t="inlineStr">
        <is>
          <t>NEW</t>
        </is>
      </c>
      <c r="C70" s="9" t="inlineStr"/>
      <c r="D70" s="9" t="n">
        <v>0</v>
      </c>
      <c r="E70" s="9" t="inlineStr"/>
      <c r="F70" s="9" t="inlineStr"/>
      <c r="G70" s="9" t="inlineStr"/>
      <c r="H70" s="9" t="inlineStr"/>
      <c r="I70" t="inlineStr">
        <is>
          <t>MADEMARQUES MOVEIS LTDA</t>
        </is>
      </c>
      <c r="J70" t="inlineStr">
        <is>
          <t>25.760.786/0001-76</t>
        </is>
      </c>
      <c r="K70" t="inlineStr">
        <is>
          <t>25760786</t>
        </is>
      </c>
      <c r="L70" t="inlineStr">
        <is>
          <t>25760786000176</t>
        </is>
      </c>
      <c r="M70" s="10" t="n">
        <v>166773.6</v>
      </c>
      <c r="N70" t="n">
        <v>1</v>
      </c>
      <c r="O70" s="11" t="inlineStr">
        <is>
          <t>C</t>
        </is>
      </c>
      <c r="P70" s="11" t="inlineStr">
        <is>
          <t>ACTIVE</t>
        </is>
      </c>
      <c r="Q70" s="12" t="n">
        <v>43894</v>
      </c>
      <c r="R70" s="11">
        <f>IF(Q70="","",ROUND((TODAY()-Q70)/365.25,1))</f>
        <v/>
      </c>
      <c r="S70" s="13">
        <f>IFERROR(VLOOKUP(O70,Assumptions!$A$7:$F$11,2,FALSE),0.25)</f>
        <v/>
      </c>
      <c r="T70" s="14">
        <f>IF(O70="A",MAX(1,IFERROR(VLOOKUP(O70,Assumptions!$A$7:$F$11,3,FALSE),3)+IFERROR(VLOOKUP(O70,Assumptions!$A$7:$F$11,4,FALSE),8)/2-MAX(0,IF(R70="",0,R70)-IFERROR(VLOOKUP(O70,Assumptions!$A$7:$F$11,5,FALSE),1.5))),IFERROR(VLOOKUP(O70,Assumptions!$A$7:$F$11,5,FALSE),2.5)+IFERROR(VLOOKUP(O70,Assumptions!$A$7:$F$11,3,FALSE),3)+IFERROR(VLOOKUP(O70,Assumptions!$A$7:$F$11,4,FALSE),8)/2)</f>
        <v/>
      </c>
      <c r="U70" s="15">
        <f>M70*S70/(1+Assumptions!$B$3)^T70</f>
        <v/>
      </c>
      <c r="V70" s="11">
        <f>IF(M70=0,"",ROUND(U70/M70*100,1))</f>
        <v/>
      </c>
      <c r="W70" s="16">
        <f>U70*Assumptions!$B$4</f>
        <v/>
      </c>
      <c r="X70" s="11">
        <f>IF(M70=0,"",ROUND(W70/M70*100,1))</f>
        <v/>
      </c>
      <c r="Y70" t="inlineStr">
        <is>
          <t>CREDIMÓVEIS NOVOLAR LTDA.</t>
        </is>
      </c>
      <c r="Z70" t="inlineStr">
        <is>
          <t>0007565-40.2020.8.17.2370</t>
        </is>
      </c>
      <c r="AA70" t="inlineStr">
        <is>
          <t>TJPE</t>
        </is>
      </c>
      <c r="AB70" t="inlineStr">
        <is>
          <t>recuperacaojudicial.squarespace.com</t>
        </is>
      </c>
      <c r="AC70" t="inlineStr">
        <is>
          <t>NILTON COELI FILHO</t>
        </is>
      </c>
      <c r="AD70" t="inlineStr">
        <is>
          <t>Sócio-Administrador</t>
        </is>
      </c>
      <c r="AE70" t="inlineStr">
        <is>
          <t>(32) 3539-2300</t>
        </is>
      </c>
      <c r="AF70" t="inlineStr"/>
      <c r="AG70" t="inlineStr"/>
      <c r="AH70" t="inlineStr">
        <is>
          <t>MG</t>
        </is>
      </c>
      <c r="AI70" t="inlineStr">
        <is>
          <t>UBA</t>
        </is>
      </c>
      <c r="AJ70" t="inlineStr">
        <is>
          <t>Fabricação de móveis com predominância de madeira</t>
        </is>
      </c>
      <c r="AK70" t="inlineStr">
        <is>
          <t>DEMAIS</t>
        </is>
      </c>
      <c r="AL70" t="inlineStr">
        <is>
          <t>ATIVA</t>
        </is>
      </c>
      <c r="AM70" s="17" t="inlineStr">
        <is>
          <t>https://recuperacaojudicial.squarespace.com/s/RJ-Credimoveis-QGC-01082025.pdf</t>
        </is>
      </c>
      <c r="AN70" s="18" t="inlineStr">
        <is>
          <t>p16 r11</t>
        </is>
      </c>
      <c r="AO70" s="18" t="inlineStr">
        <is>
          <t>p16: R$ 166.773,60</t>
        </is>
      </c>
      <c r="AP70" s="18" t="inlineStr">
        <is>
          <t>QGC</t>
        </is>
      </c>
      <c r="AQ70" s="18" t="inlineStr">
        <is>
          <t>2026-01-28</t>
        </is>
      </c>
      <c r="AR70" s="18" t="inlineStr">
        <is>
          <t>OK</t>
        </is>
      </c>
      <c r="AS70" s="18" t="inlineStr">
        <is>
          <t>ROWS:p16r11</t>
        </is>
      </c>
      <c r="AT70" s="18" t="inlineStr">
        <is>
          <t>849d4fe5adce</t>
        </is>
      </c>
    </row>
    <row r="71">
      <c r="A71" s="9" t="n">
        <v>70</v>
      </c>
      <c r="B71" s="9" t="inlineStr">
        <is>
          <t>NEW</t>
        </is>
      </c>
      <c r="C71" s="9" t="inlineStr"/>
      <c r="D71" s="9" t="n">
        <v>0</v>
      </c>
      <c r="E71" s="9" t="inlineStr"/>
      <c r="F71" s="9" t="inlineStr"/>
      <c r="G71" s="9" t="inlineStr"/>
      <c r="H71" s="9" t="inlineStr"/>
      <c r="I71" t="inlineStr">
        <is>
          <t>REAL DISTRIBUIDORA E LOGISTICA LTDA</t>
        </is>
      </c>
      <c r="J71" t="inlineStr">
        <is>
          <t>Real Distribuidora</t>
        </is>
      </c>
      <c r="K71" t="inlineStr">
        <is>
          <t>03785066</t>
        </is>
      </c>
      <c r="L71" t="inlineStr">
        <is>
          <t>03785066000122</t>
        </is>
      </c>
      <c r="M71" s="10" t="n">
        <v>166445.75</v>
      </c>
      <c r="N71" t="n">
        <v>1</v>
      </c>
      <c r="O71" s="11" t="inlineStr">
        <is>
          <t>B</t>
        </is>
      </c>
      <c r="P71" s="11" t="inlineStr">
        <is>
          <t>ACTIVE</t>
        </is>
      </c>
      <c r="Q71" s="12" t="n">
        <v>46130</v>
      </c>
      <c r="R71" s="11">
        <f>IF(Q71="","",ROUND((TODAY()-Q71)/365.25,1))</f>
        <v/>
      </c>
      <c r="S71" s="13">
        <f>IFERROR(VLOOKUP(O71,Assumptions!$A$7:$F$11,2,FALSE),0.25)</f>
        <v/>
      </c>
      <c r="T71" s="14">
        <f>IF(O71="A",MAX(1,IFERROR(VLOOKUP(O71,Assumptions!$A$7:$F$11,3,FALSE),3)+IFERROR(VLOOKUP(O71,Assumptions!$A$7:$F$11,4,FALSE),8)/2-MAX(0,IF(R71="",0,R71)-IFERROR(VLOOKUP(O71,Assumptions!$A$7:$F$11,5,FALSE),1.5))),IFERROR(VLOOKUP(O71,Assumptions!$A$7:$F$11,5,FALSE),2.5)+IFERROR(VLOOKUP(O71,Assumptions!$A$7:$F$11,3,FALSE),3)+IFERROR(VLOOKUP(O71,Assumptions!$A$7:$F$11,4,FALSE),8)/2)</f>
        <v/>
      </c>
      <c r="U71" s="15">
        <f>M71*S71/(1+Assumptions!$B$3)^T71</f>
        <v/>
      </c>
      <c r="V71" s="11">
        <f>IF(M71=0,"",ROUND(U71/M71*100,1))</f>
        <v/>
      </c>
      <c r="W71" s="16">
        <f>U71*Assumptions!$B$4</f>
        <v/>
      </c>
      <c r="X71" s="11">
        <f>IF(M71=0,"",ROUND(W71/M71*100,1))</f>
        <v/>
      </c>
      <c r="Y71" t="inlineStr">
        <is>
          <t>GRUPO 3E</t>
        </is>
      </c>
      <c r="Z71" t="inlineStr">
        <is>
          <t>5341375-33.2026.8.09.0049</t>
        </is>
      </c>
      <c r="AA71" t="inlineStr">
        <is>
          <t>TJGO</t>
        </is>
      </c>
      <c r="AB71" t="inlineStr">
        <is>
          <t>stenius.com.br</t>
        </is>
      </c>
      <c r="AC71" t="inlineStr">
        <is>
          <t>JOSE CARLOS VIEIRA DA SILVA</t>
        </is>
      </c>
      <c r="AD71" t="inlineStr">
        <is>
          <t>Sócio-Administrador</t>
        </is>
      </c>
      <c r="AE71" t="inlineStr">
        <is>
          <t>(62) 3250-0500</t>
        </is>
      </c>
      <c r="AF71" t="inlineStr"/>
      <c r="AG71" t="inlineStr"/>
      <c r="AH71" t="inlineStr">
        <is>
          <t>GO</t>
        </is>
      </c>
      <c r="AI71" t="inlineStr">
        <is>
          <t>APARECIDA DE GOIANIA</t>
        </is>
      </c>
      <c r="AJ71" t="inlineStr">
        <is>
          <t>Comércio atacadista de mercadorias em geral, sem predominância de alimentos ou de insumos agropecuários</t>
        </is>
      </c>
      <c r="AK71" t="inlineStr">
        <is>
          <t>DEMAIS</t>
        </is>
      </c>
      <c r="AL71" t="inlineStr">
        <is>
          <t>ATIVA</t>
        </is>
      </c>
      <c r="AM71" s="17" t="inlineStr">
        <is>
          <t>https://stenius.com.br/wp-content/uploads/2026/06/EDITAL-GRUPO-3E.pdf</t>
        </is>
      </c>
      <c r="AN71" s="18" t="inlineStr">
        <is>
          <t>p17 r14</t>
        </is>
      </c>
      <c r="AO71" s="18" t="inlineStr">
        <is>
          <t>p17: R$ 166.445,75</t>
        </is>
      </c>
      <c r="AP71" s="18" t="inlineStr">
        <is>
          <t>DEBTOR_LIST</t>
        </is>
      </c>
      <c r="AQ71" s="18" t="inlineStr">
        <is>
          <t>2026-06-22</t>
        </is>
      </c>
      <c r="AR71" s="18" t="inlineStr">
        <is>
          <t>OK_NO_TOTALS</t>
        </is>
      </c>
      <c r="AS71" s="18" t="inlineStr">
        <is>
          <t>ROWS:p17r14 UNRECONCILED_SOURCE</t>
        </is>
      </c>
      <c r="AT71" s="18" t="inlineStr">
        <is>
          <t>8e8832093a15</t>
        </is>
      </c>
    </row>
    <row r="72">
      <c r="A72" s="9" t="n">
        <v>71</v>
      </c>
      <c r="B72" s="9" t="inlineStr">
        <is>
          <t>NEW</t>
        </is>
      </c>
      <c r="C72" s="9" t="inlineStr"/>
      <c r="D72" s="9" t="n">
        <v>0</v>
      </c>
      <c r="E72" s="9" t="inlineStr"/>
      <c r="F72" s="9" t="inlineStr"/>
      <c r="G72" s="9" t="inlineStr"/>
      <c r="H72" s="9" t="inlineStr"/>
      <c r="I72" t="inlineStr">
        <is>
          <t>IPIRANGA PRODUTOS DE PETROLEO S.A.</t>
        </is>
      </c>
      <c r="J72" t="inlineStr">
        <is>
          <t>Texaco</t>
        </is>
      </c>
      <c r="K72" t="inlineStr">
        <is>
          <t>33337122</t>
        </is>
      </c>
      <c r="L72" t="inlineStr">
        <is>
          <t>33337122020233</t>
        </is>
      </c>
      <c r="M72" s="10" t="n">
        <v>165699</v>
      </c>
      <c r="N72" t="n">
        <v>1</v>
      </c>
      <c r="O72" s="11" t="inlineStr">
        <is>
          <t>B</t>
        </is>
      </c>
      <c r="P72" s="11" t="inlineStr">
        <is>
          <t>ACTIVE</t>
        </is>
      </c>
      <c r="Q72" s="12" t="n">
        <v>46130</v>
      </c>
      <c r="R72" s="11">
        <f>IF(Q72="","",ROUND((TODAY()-Q72)/365.25,1))</f>
        <v/>
      </c>
      <c r="S72" s="13">
        <f>IFERROR(VLOOKUP(O72,Assumptions!$A$7:$F$11,2,FALSE),0.25)</f>
        <v/>
      </c>
      <c r="T72" s="14">
        <f>IF(O72="A",MAX(1,IFERROR(VLOOKUP(O72,Assumptions!$A$7:$F$11,3,FALSE),3)+IFERROR(VLOOKUP(O72,Assumptions!$A$7:$F$11,4,FALSE),8)/2-MAX(0,IF(R72="",0,R72)-IFERROR(VLOOKUP(O72,Assumptions!$A$7:$F$11,5,FALSE),1.5))),IFERROR(VLOOKUP(O72,Assumptions!$A$7:$F$11,5,FALSE),2.5)+IFERROR(VLOOKUP(O72,Assumptions!$A$7:$F$11,3,FALSE),3)+IFERROR(VLOOKUP(O72,Assumptions!$A$7:$F$11,4,FALSE),8)/2)</f>
        <v/>
      </c>
      <c r="U72" s="15">
        <f>M72*S72/(1+Assumptions!$B$3)^T72</f>
        <v/>
      </c>
      <c r="V72" s="11">
        <f>IF(M72=0,"",ROUND(U72/M72*100,1))</f>
        <v/>
      </c>
      <c r="W72" s="16">
        <f>U72*Assumptions!$B$4</f>
        <v/>
      </c>
      <c r="X72" s="11">
        <f>IF(M72=0,"",ROUND(W72/M72*100,1))</f>
        <v/>
      </c>
      <c r="Y72" t="inlineStr">
        <is>
          <t>GRUPO 3E</t>
        </is>
      </c>
      <c r="Z72" t="inlineStr">
        <is>
          <t>5341375-33.2026.8.09.0049</t>
        </is>
      </c>
      <c r="AA72" t="inlineStr">
        <is>
          <t>TJGO</t>
        </is>
      </c>
      <c r="AB72" t="inlineStr">
        <is>
          <t>stenius.com.br</t>
        </is>
      </c>
      <c r="AC72" t="inlineStr">
        <is>
          <t>CARLOS FREDERICO RESENDE</t>
        </is>
      </c>
      <c r="AD72" t="inlineStr">
        <is>
          <t>Administrador</t>
        </is>
      </c>
      <c r="AE72" t="inlineStr">
        <is>
          <t>(21) 2574-5858</t>
        </is>
      </c>
      <c r="AF72" t="inlineStr"/>
      <c r="AG72" t="inlineStr"/>
      <c r="AH72" t="inlineStr">
        <is>
          <t>RJ</t>
        </is>
      </c>
      <c r="AI72" t="inlineStr">
        <is>
          <t>RIO DE JANEIRO</t>
        </is>
      </c>
      <c r="AJ72" t="inlineStr">
        <is>
          <t>Comércio atacadista de álcool carburante, biodiesel, gasolina e demais derivados de petróleo, exceto lubrificantes, não realizado por transportador re</t>
        </is>
      </c>
      <c r="AK72" t="inlineStr">
        <is>
          <t>DEMAIS</t>
        </is>
      </c>
      <c r="AL72" t="inlineStr">
        <is>
          <t>ATIVA</t>
        </is>
      </c>
      <c r="AM72" s="17" t="inlineStr">
        <is>
          <t>https://stenius.com.br/wp-content/uploads/2026/06/EDITAL-GRUPO-3E.pdf</t>
        </is>
      </c>
      <c r="AN72" s="18" t="inlineStr">
        <is>
          <t>p18 r32</t>
        </is>
      </c>
      <c r="AO72" s="18" t="inlineStr">
        <is>
          <t>p18: R$ 165.699,00</t>
        </is>
      </c>
      <c r="AP72" s="18" t="inlineStr">
        <is>
          <t>DEBTOR_LIST</t>
        </is>
      </c>
      <c r="AQ72" s="18" t="inlineStr">
        <is>
          <t>2026-06-22</t>
        </is>
      </c>
      <c r="AR72" s="18" t="inlineStr">
        <is>
          <t>OK_NO_TOTALS</t>
        </is>
      </c>
      <c r="AS72" s="18" t="inlineStr">
        <is>
          <t>ROWS:p18r32 UNRECONCILED_SOURCE</t>
        </is>
      </c>
      <c r="AT72" s="18" t="inlineStr">
        <is>
          <t>8e8832093a15</t>
        </is>
      </c>
    </row>
    <row r="73">
      <c r="A73" s="9" t="n">
        <v>72</v>
      </c>
      <c r="B73" s="9" t="inlineStr">
        <is>
          <t>NEW</t>
        </is>
      </c>
      <c r="C73" s="9" t="inlineStr"/>
      <c r="D73" s="9" t="n">
        <v>0</v>
      </c>
      <c r="E73" s="9" t="inlineStr"/>
      <c r="F73" s="9" t="inlineStr"/>
      <c r="G73" s="9" t="inlineStr"/>
      <c r="H73" s="9" t="inlineStr"/>
      <c r="I73" t="inlineStr">
        <is>
          <t>FOKUS GOIAS DISTRIBUICAO E LOGISTICA LTDA</t>
        </is>
      </c>
      <c r="J73" t="inlineStr">
        <is>
          <t>Refil - Fokus Goias Distribuicao e Logistica Ltda</t>
        </is>
      </c>
      <c r="K73" t="inlineStr">
        <is>
          <t>09483773</t>
        </is>
      </c>
      <c r="L73" t="inlineStr">
        <is>
          <t>09483773000140</t>
        </is>
      </c>
      <c r="M73" s="10" t="n">
        <v>165418.29</v>
      </c>
      <c r="N73" t="n">
        <v>1</v>
      </c>
      <c r="O73" s="11" t="inlineStr">
        <is>
          <t>B</t>
        </is>
      </c>
      <c r="P73" s="11" t="inlineStr">
        <is>
          <t>ACTIVE</t>
        </is>
      </c>
      <c r="Q73" s="12" t="n">
        <v>46130</v>
      </c>
      <c r="R73" s="11">
        <f>IF(Q73="","",ROUND((TODAY()-Q73)/365.25,1))</f>
        <v/>
      </c>
      <c r="S73" s="13">
        <f>IFERROR(VLOOKUP(O73,Assumptions!$A$7:$F$11,2,FALSE),0.25)</f>
        <v/>
      </c>
      <c r="T73" s="14">
        <f>IF(O73="A",MAX(1,IFERROR(VLOOKUP(O73,Assumptions!$A$7:$F$11,3,FALSE),3)+IFERROR(VLOOKUP(O73,Assumptions!$A$7:$F$11,4,FALSE),8)/2-MAX(0,IF(R73="",0,R73)-IFERROR(VLOOKUP(O73,Assumptions!$A$7:$F$11,5,FALSE),1.5))),IFERROR(VLOOKUP(O73,Assumptions!$A$7:$F$11,5,FALSE),2.5)+IFERROR(VLOOKUP(O73,Assumptions!$A$7:$F$11,3,FALSE),3)+IFERROR(VLOOKUP(O73,Assumptions!$A$7:$F$11,4,FALSE),8)/2)</f>
        <v/>
      </c>
      <c r="U73" s="15">
        <f>M73*S73/(1+Assumptions!$B$3)^T73</f>
        <v/>
      </c>
      <c r="V73" s="11">
        <f>IF(M73=0,"",ROUND(U73/M73*100,1))</f>
        <v/>
      </c>
      <c r="W73" s="16">
        <f>U73*Assumptions!$B$4</f>
        <v/>
      </c>
      <c r="X73" s="11">
        <f>IF(M73=0,"",ROUND(W73/M73*100,1))</f>
        <v/>
      </c>
      <c r="Y73" t="inlineStr">
        <is>
          <t>GRUPO 3E</t>
        </is>
      </c>
      <c r="Z73" t="inlineStr">
        <is>
          <t>5341375-33.2026.8.09.0049</t>
        </is>
      </c>
      <c r="AA73" t="inlineStr">
        <is>
          <t>TJGO</t>
        </is>
      </c>
      <c r="AB73" t="inlineStr">
        <is>
          <t>stenius.com.br</t>
        </is>
      </c>
      <c r="AC73" t="inlineStr">
        <is>
          <t>LYZ MICHELLY BOVO RIOS LOBO</t>
        </is>
      </c>
      <c r="AD73" t="inlineStr">
        <is>
          <t>Administrador</t>
        </is>
      </c>
      <c r="AE73" t="inlineStr">
        <is>
          <t>(62) 3219-3000</t>
        </is>
      </c>
      <c r="AF73" t="inlineStr"/>
      <c r="AG73" t="inlineStr"/>
      <c r="AH73" t="inlineStr">
        <is>
          <t>GO</t>
        </is>
      </c>
      <c r="AI73" t="inlineStr">
        <is>
          <t>APARECIDA DE GOIANIA</t>
        </is>
      </c>
      <c r="AJ73" t="inlineStr">
        <is>
          <t>Comércio atacadista de produtos alimentícios em geral</t>
        </is>
      </c>
      <c r="AK73" t="inlineStr">
        <is>
          <t>DEMAIS</t>
        </is>
      </c>
      <c r="AL73" t="inlineStr">
        <is>
          <t>ATIVA</t>
        </is>
      </c>
      <c r="AM73" s="17" t="inlineStr">
        <is>
          <t>https://stenius.com.br/wp-content/uploads/2026/06/EDITAL-GRUPO-3E.pdf</t>
        </is>
      </c>
      <c r="AN73" s="18" t="inlineStr">
        <is>
          <t>p17 r16</t>
        </is>
      </c>
      <c r="AO73" s="18" t="inlineStr">
        <is>
          <t>p17: R$ 165.418,29</t>
        </is>
      </c>
      <c r="AP73" s="18" t="inlineStr">
        <is>
          <t>DEBTOR_LIST</t>
        </is>
      </c>
      <c r="AQ73" s="18" t="inlineStr">
        <is>
          <t>2026-06-22</t>
        </is>
      </c>
      <c r="AR73" s="18" t="inlineStr">
        <is>
          <t>OK_NO_TOTALS</t>
        </is>
      </c>
      <c r="AS73" s="18" t="inlineStr">
        <is>
          <t>ROWS:p17r16 UNRECONCILED_SOURCE</t>
        </is>
      </c>
      <c r="AT73" s="18" t="inlineStr">
        <is>
          <t>8e8832093a15</t>
        </is>
      </c>
    </row>
    <row r="74">
      <c r="A74" s="9" t="n">
        <v>73</v>
      </c>
      <c r="B74" s="9" t="inlineStr">
        <is>
          <t>NEW</t>
        </is>
      </c>
      <c r="C74" s="9" t="inlineStr"/>
      <c r="D74" s="9" t="n">
        <v>0</v>
      </c>
      <c r="E74" s="9" t="inlineStr"/>
      <c r="F74" s="9" t="inlineStr"/>
      <c r="G74" s="9" t="inlineStr"/>
      <c r="H74" s="9" t="inlineStr"/>
      <c r="I74" t="inlineStr">
        <is>
          <t>CAEMMUN INDUSTRIA E COMERCIO DE MOVEIS LTDA</t>
        </is>
      </c>
      <c r="J74" t="inlineStr">
        <is>
          <t>81.904.948/0002-54</t>
        </is>
      </c>
      <c r="K74" t="inlineStr">
        <is>
          <t>81904948</t>
        </is>
      </c>
      <c r="L74" t="inlineStr">
        <is>
          <t>81904948000254</t>
        </is>
      </c>
      <c r="M74" s="10" t="n">
        <v>165236.15</v>
      </c>
      <c r="N74" t="n">
        <v>1</v>
      </c>
      <c r="O74" s="11" t="inlineStr">
        <is>
          <t>C</t>
        </is>
      </c>
      <c r="P74" s="11" t="inlineStr">
        <is>
          <t>ACTIVE</t>
        </is>
      </c>
      <c r="Q74" s="12" t="n">
        <v>43894</v>
      </c>
      <c r="R74" s="11">
        <f>IF(Q74="","",ROUND((TODAY()-Q74)/365.25,1))</f>
        <v/>
      </c>
      <c r="S74" s="13">
        <f>IFERROR(VLOOKUP(O74,Assumptions!$A$7:$F$11,2,FALSE),0.25)</f>
        <v/>
      </c>
      <c r="T74" s="14">
        <f>IF(O74="A",MAX(1,IFERROR(VLOOKUP(O74,Assumptions!$A$7:$F$11,3,FALSE),3)+IFERROR(VLOOKUP(O74,Assumptions!$A$7:$F$11,4,FALSE),8)/2-MAX(0,IF(R74="",0,R74)-IFERROR(VLOOKUP(O74,Assumptions!$A$7:$F$11,5,FALSE),1.5))),IFERROR(VLOOKUP(O74,Assumptions!$A$7:$F$11,5,FALSE),2.5)+IFERROR(VLOOKUP(O74,Assumptions!$A$7:$F$11,3,FALSE),3)+IFERROR(VLOOKUP(O74,Assumptions!$A$7:$F$11,4,FALSE),8)/2)</f>
        <v/>
      </c>
      <c r="U74" s="15">
        <f>M74*S74/(1+Assumptions!$B$3)^T74</f>
        <v/>
      </c>
      <c r="V74" s="11">
        <f>IF(M74=0,"",ROUND(U74/M74*100,1))</f>
        <v/>
      </c>
      <c r="W74" s="16">
        <f>U74*Assumptions!$B$4</f>
        <v/>
      </c>
      <c r="X74" s="11">
        <f>IF(M74=0,"",ROUND(W74/M74*100,1))</f>
        <v/>
      </c>
      <c r="Y74" t="inlineStr">
        <is>
          <t>CREDIMÓVEIS NOVOLAR LTDA.</t>
        </is>
      </c>
      <c r="Z74" t="inlineStr">
        <is>
          <t>0007565-40.2020.8.17.2370</t>
        </is>
      </c>
      <c r="AA74" t="inlineStr">
        <is>
          <t>TJPE</t>
        </is>
      </c>
      <c r="AB74" t="inlineStr">
        <is>
          <t>recuperacaojudicial.squarespace.com</t>
        </is>
      </c>
      <c r="AC74" t="inlineStr">
        <is>
          <t>DIEGO SIMOES MUNHOZ</t>
        </is>
      </c>
      <c r="AD74" t="inlineStr">
        <is>
          <t>Administrador</t>
        </is>
      </c>
      <c r="AE74" t="inlineStr">
        <is>
          <t>(43) 3172-6300</t>
        </is>
      </c>
      <c r="AF74" t="inlineStr"/>
      <c r="AG74" t="inlineStr"/>
      <c r="AH74" t="inlineStr">
        <is>
          <t>PR</t>
        </is>
      </c>
      <c r="AI74" t="inlineStr">
        <is>
          <t>ARAPONGAS</t>
        </is>
      </c>
      <c r="AJ74" t="inlineStr">
        <is>
          <t>Fabricação de móveis com predominância de madeira</t>
        </is>
      </c>
      <c r="AK74" t="inlineStr">
        <is>
          <t>DEMAIS</t>
        </is>
      </c>
      <c r="AL74" t="inlineStr">
        <is>
          <t>ATIVA</t>
        </is>
      </c>
      <c r="AM74" s="17" t="inlineStr">
        <is>
          <t>https://recuperacaojudicial.squarespace.com/s/RJ-Credimoveis-QGC-01082025.pdf</t>
        </is>
      </c>
      <c r="AN74" s="18" t="inlineStr">
        <is>
          <t>p15 r26</t>
        </is>
      </c>
      <c r="AO74" s="18" t="inlineStr">
        <is>
          <t>p15: R$ 165.236,15</t>
        </is>
      </c>
      <c r="AP74" s="18" t="inlineStr">
        <is>
          <t>QGC</t>
        </is>
      </c>
      <c r="AQ74" s="18" t="inlineStr">
        <is>
          <t>2026-01-28</t>
        </is>
      </c>
      <c r="AR74" s="18" t="inlineStr">
        <is>
          <t>OK</t>
        </is>
      </c>
      <c r="AS74" s="18" t="inlineStr">
        <is>
          <t>ROWS:p15r26</t>
        </is>
      </c>
      <c r="AT74" s="18" t="inlineStr">
        <is>
          <t>849d4fe5adce</t>
        </is>
      </c>
    </row>
    <row r="75">
      <c r="A75" s="9" t="n">
        <v>74</v>
      </c>
      <c r="B75" s="9" t="inlineStr">
        <is>
          <t>NEW</t>
        </is>
      </c>
      <c r="C75" s="9" t="inlineStr"/>
      <c r="D75" s="9" t="n">
        <v>0</v>
      </c>
      <c r="E75" s="9" t="inlineStr"/>
      <c r="F75" s="9" t="inlineStr"/>
      <c r="G75" s="9" t="inlineStr"/>
      <c r="H75" s="9" t="inlineStr"/>
      <c r="I75" t="inlineStr">
        <is>
          <t>MAX TERMOPLASTICOS LTDA.</t>
        </is>
      </c>
      <c r="J75" t="inlineStr">
        <is>
          <t>MAX TERMOPLASTICOS LTDA</t>
        </is>
      </c>
      <c r="K75" t="inlineStr">
        <is>
          <t>07788670</t>
        </is>
      </c>
      <c r="L75" t="inlineStr">
        <is>
          <t>07788670000163</t>
        </is>
      </c>
      <c r="M75" s="10" t="n">
        <v>164869.28</v>
      </c>
      <c r="N75" t="n">
        <v>2</v>
      </c>
      <c r="O75" s="11" t="inlineStr">
        <is>
          <t>B</t>
        </is>
      </c>
      <c r="P75" s="11" t="inlineStr"/>
      <c r="Q75" s="12" t="inlineStr"/>
      <c r="R75" s="11">
        <f>IF(Q75="","",ROUND((TODAY()-Q75)/365.25,1))</f>
        <v/>
      </c>
      <c r="S75" s="13">
        <f>IFERROR(VLOOKUP(O75,Assumptions!$A$7:$F$11,2,FALSE),0.25)</f>
        <v/>
      </c>
      <c r="T75" s="14">
        <f>IF(O75="A",MAX(1,IFERROR(VLOOKUP(O75,Assumptions!$A$7:$F$11,3,FALSE),3)+IFERROR(VLOOKUP(O75,Assumptions!$A$7:$F$11,4,FALSE),8)/2-MAX(0,IF(R75="",0,R75)-IFERROR(VLOOKUP(O75,Assumptions!$A$7:$F$11,5,FALSE),1.5))),IFERROR(VLOOKUP(O75,Assumptions!$A$7:$F$11,5,FALSE),2.5)+IFERROR(VLOOKUP(O75,Assumptions!$A$7:$F$11,3,FALSE),3)+IFERROR(VLOOKUP(O75,Assumptions!$A$7:$F$11,4,FALSE),8)/2)</f>
        <v/>
      </c>
      <c r="U75" s="15">
        <f>M75*S75/(1+Assumptions!$B$3)^T75</f>
        <v/>
      </c>
      <c r="V75" s="11">
        <f>IF(M75=0,"",ROUND(U75/M75*100,1))</f>
        <v/>
      </c>
      <c r="W75" s="16">
        <f>U75*Assumptions!$B$4</f>
        <v/>
      </c>
      <c r="X75" s="11">
        <f>IF(M75=0,"",ROUND(W75/M75*100,1))</f>
        <v/>
      </c>
      <c r="Y75" t="inlineStr">
        <is>
          <t>Base</t>
        </is>
      </c>
      <c r="Z75" t="inlineStr">
        <is>
          <t>1022634-27.2024.8.26.0100</t>
        </is>
      </c>
      <c r="AA75" t="inlineStr"/>
      <c r="AB75" t="inlineStr">
        <is>
          <t>ajruiz.com.br</t>
        </is>
      </c>
      <c r="AC75" t="inlineStr">
        <is>
          <t>HENRIQUE SOARES BENTO</t>
        </is>
      </c>
      <c r="AD75" t="inlineStr">
        <is>
          <t>Sócio-Administrador</t>
        </is>
      </c>
      <c r="AE75" t="inlineStr">
        <is>
          <t>(37) 3226-4990</t>
        </is>
      </c>
      <c r="AF75" t="inlineStr"/>
      <c r="AG75" t="inlineStr"/>
      <c r="AH75" t="inlineStr">
        <is>
          <t>MG</t>
        </is>
      </c>
      <c r="AI75" t="inlineStr">
        <is>
          <t>NOVA SERRANA</t>
        </is>
      </c>
      <c r="AJ75" t="inlineStr">
        <is>
          <t>Fabricação de resinas termoplásticas</t>
        </is>
      </c>
      <c r="AK75" t="inlineStr">
        <is>
          <t>DEMAIS</t>
        </is>
      </c>
      <c r="AL75" t="inlineStr">
        <is>
          <t>ATIVA</t>
        </is>
      </c>
      <c r="AM75" s="17" t="inlineStr">
        <is>
          <t>https://ajruiz.com.br/sites/default/files/public/arquivos-processos/2024-04/relacao_de_credores_recuperanda_1.pdf</t>
        </is>
      </c>
      <c r="AN75" s="18" t="inlineStr">
        <is>
          <t>p8 r10; p9 r1</t>
        </is>
      </c>
      <c r="AO75" s="18" t="inlineStr">
        <is>
          <t>p8: R$ 161.747,58; p9: R$ 3.121,70</t>
        </is>
      </c>
      <c r="AP75" s="18" t="inlineStr">
        <is>
          <t>QGC</t>
        </is>
      </c>
      <c r="AQ75" s="18" t="inlineStr">
        <is>
          <t>2024-01-31</t>
        </is>
      </c>
      <c r="AR75" s="18" t="inlineStr">
        <is>
          <t>OK</t>
        </is>
      </c>
      <c r="AS75" s="18" t="inlineStr">
        <is>
          <t>ROWS:p8r10,p9r1 CASE_NUMBER_CORRECTED</t>
        </is>
      </c>
      <c r="AT75" s="18" t="inlineStr">
        <is>
          <t>380922480f80</t>
        </is>
      </c>
    </row>
    <row r="76">
      <c r="A76" s="9" t="n">
        <v>75</v>
      </c>
      <c r="B76" s="9" t="inlineStr">
        <is>
          <t>NEW</t>
        </is>
      </c>
      <c r="C76" s="9" t="inlineStr"/>
      <c r="D76" s="9" t="n">
        <v>0</v>
      </c>
      <c r="E76" s="9" t="inlineStr"/>
      <c r="F76" s="9" t="inlineStr"/>
      <c r="G76" s="9" t="inlineStr"/>
      <c r="H76" s="9" t="inlineStr"/>
      <c r="I76" t="inlineStr">
        <is>
          <t>JALLES MACHADO S.A.</t>
        </is>
      </c>
      <c r="J76" t="inlineStr">
        <is>
          <t>Jalles Machado S/A</t>
        </is>
      </c>
      <c r="K76" t="inlineStr">
        <is>
          <t>02635522</t>
        </is>
      </c>
      <c r="L76" t="inlineStr">
        <is>
          <t>02635522000195</t>
        </is>
      </c>
      <c r="M76" s="10" t="n">
        <v>164095.66</v>
      </c>
      <c r="N76" t="n">
        <v>1</v>
      </c>
      <c r="O76" s="11" t="inlineStr">
        <is>
          <t>B</t>
        </is>
      </c>
      <c r="P76" s="11" t="inlineStr">
        <is>
          <t>ACTIVE</t>
        </is>
      </c>
      <c r="Q76" s="12" t="n">
        <v>46130</v>
      </c>
      <c r="R76" s="11">
        <f>IF(Q76="","",ROUND((TODAY()-Q76)/365.25,1))</f>
        <v/>
      </c>
      <c r="S76" s="13">
        <f>IFERROR(VLOOKUP(O76,Assumptions!$A$7:$F$11,2,FALSE),0.25)</f>
        <v/>
      </c>
      <c r="T76" s="14">
        <f>IF(O76="A",MAX(1,IFERROR(VLOOKUP(O76,Assumptions!$A$7:$F$11,3,FALSE),3)+IFERROR(VLOOKUP(O76,Assumptions!$A$7:$F$11,4,FALSE),8)/2-MAX(0,IF(R76="",0,R76)-IFERROR(VLOOKUP(O76,Assumptions!$A$7:$F$11,5,FALSE),1.5))),IFERROR(VLOOKUP(O76,Assumptions!$A$7:$F$11,5,FALSE),2.5)+IFERROR(VLOOKUP(O76,Assumptions!$A$7:$F$11,3,FALSE),3)+IFERROR(VLOOKUP(O76,Assumptions!$A$7:$F$11,4,FALSE),8)/2)</f>
        <v/>
      </c>
      <c r="U76" s="15">
        <f>M76*S76/(1+Assumptions!$B$3)^T76</f>
        <v/>
      </c>
      <c r="V76" s="11">
        <f>IF(M76=0,"",ROUND(U76/M76*100,1))</f>
        <v/>
      </c>
      <c r="W76" s="16">
        <f>U76*Assumptions!$B$4</f>
        <v/>
      </c>
      <c r="X76" s="11">
        <f>IF(M76=0,"",ROUND(W76/M76*100,1))</f>
        <v/>
      </c>
      <c r="Y76" t="inlineStr">
        <is>
          <t>GRUPO 3E</t>
        </is>
      </c>
      <c r="Z76" t="inlineStr">
        <is>
          <t>5341375-33.2026.8.09.0049</t>
        </is>
      </c>
      <c r="AA76" t="inlineStr">
        <is>
          <t>TJGO</t>
        </is>
      </c>
      <c r="AB76" t="inlineStr">
        <is>
          <t>stenius.com.br</t>
        </is>
      </c>
      <c r="AC76" t="inlineStr">
        <is>
          <t>OTAVIO LAGE DE SIQUEIRA FILHO</t>
        </is>
      </c>
      <c r="AD76" t="inlineStr">
        <is>
          <t>Presidente</t>
        </is>
      </c>
      <c r="AE76" t="inlineStr">
        <is>
          <t>(63) 3389-9000</t>
        </is>
      </c>
      <c r="AF76" t="inlineStr"/>
      <c r="AG76" t="inlineStr"/>
      <c r="AH76" t="inlineStr">
        <is>
          <t>GO</t>
        </is>
      </c>
      <c r="AI76" t="inlineStr">
        <is>
          <t>GOIANESIA</t>
        </is>
      </c>
      <c r="AJ76" t="inlineStr">
        <is>
          <t>Fabricação de açúcar em bruto</t>
        </is>
      </c>
      <c r="AK76" t="inlineStr">
        <is>
          <t>DEMAIS</t>
        </is>
      </c>
      <c r="AL76" t="inlineStr">
        <is>
          <t>ATIVA</t>
        </is>
      </c>
      <c r="AM76" s="17" t="inlineStr">
        <is>
          <t>https://stenius.com.br/wp-content/uploads/2026/06/EDITAL-GRUPO-3E.pdf</t>
        </is>
      </c>
      <c r="AN76" s="18" t="inlineStr">
        <is>
          <t>p14 r66</t>
        </is>
      </c>
      <c r="AO76" s="18" t="inlineStr">
        <is>
          <t>p14: R$ 164.095,66</t>
        </is>
      </c>
      <c r="AP76" s="18" t="inlineStr">
        <is>
          <t>DEBTOR_LIST</t>
        </is>
      </c>
      <c r="AQ76" s="18" t="inlineStr">
        <is>
          <t>2026-06-22</t>
        </is>
      </c>
      <c r="AR76" s="18" t="inlineStr">
        <is>
          <t>OK_NO_TOTALS</t>
        </is>
      </c>
      <c r="AS76" s="18" t="inlineStr">
        <is>
          <t>ROWS:p14r66 UNRECONCILED_SOURCE</t>
        </is>
      </c>
      <c r="AT76" s="18" t="inlineStr">
        <is>
          <t>8e8832093a15</t>
        </is>
      </c>
    </row>
    <row r="77">
      <c r="A77" s="9" t="n">
        <v>76</v>
      </c>
      <c r="B77" s="9" t="inlineStr">
        <is>
          <t>NEW</t>
        </is>
      </c>
      <c r="C77" s="9" t="inlineStr"/>
      <c r="D77" s="9" t="n">
        <v>0</v>
      </c>
      <c r="E77" s="9" t="inlineStr"/>
      <c r="F77" s="9" t="inlineStr"/>
      <c r="G77" s="9" t="inlineStr"/>
      <c r="H77" s="9" t="inlineStr"/>
      <c r="I77" t="inlineStr">
        <is>
          <t>FUTURA CAMINHOES E MAQUINAS LTDA</t>
        </is>
      </c>
      <c r="J77" t="inlineStr">
        <is>
          <t>Futura Caminhoes e Maquinas Ltda</t>
        </is>
      </c>
      <c r="K77" t="inlineStr">
        <is>
          <t>05448784</t>
        </is>
      </c>
      <c r="L77" t="inlineStr">
        <is>
          <t>05448784000139</t>
        </is>
      </c>
      <c r="M77" s="10" t="n">
        <v>164011.71</v>
      </c>
      <c r="N77" t="n">
        <v>1</v>
      </c>
      <c r="O77" s="11" t="inlineStr">
        <is>
          <t>B</t>
        </is>
      </c>
      <c r="P77" s="11" t="inlineStr">
        <is>
          <t>ACTIVE</t>
        </is>
      </c>
      <c r="Q77" s="12" t="n">
        <v>46130</v>
      </c>
      <c r="R77" s="11">
        <f>IF(Q77="","",ROUND((TODAY()-Q77)/365.25,1))</f>
        <v/>
      </c>
      <c r="S77" s="13">
        <f>IFERROR(VLOOKUP(O77,Assumptions!$A$7:$F$11,2,FALSE),0.25)</f>
        <v/>
      </c>
      <c r="T77" s="14">
        <f>IF(O77="A",MAX(1,IFERROR(VLOOKUP(O77,Assumptions!$A$7:$F$11,3,FALSE),3)+IFERROR(VLOOKUP(O77,Assumptions!$A$7:$F$11,4,FALSE),8)/2-MAX(0,IF(R77="",0,R77)-IFERROR(VLOOKUP(O77,Assumptions!$A$7:$F$11,5,FALSE),1.5))),IFERROR(VLOOKUP(O77,Assumptions!$A$7:$F$11,5,FALSE),2.5)+IFERROR(VLOOKUP(O77,Assumptions!$A$7:$F$11,3,FALSE),3)+IFERROR(VLOOKUP(O77,Assumptions!$A$7:$F$11,4,FALSE),8)/2)</f>
        <v/>
      </c>
      <c r="U77" s="15">
        <f>M77*S77/(1+Assumptions!$B$3)^T77</f>
        <v/>
      </c>
      <c r="V77" s="11">
        <f>IF(M77=0,"",ROUND(U77/M77*100,1))</f>
        <v/>
      </c>
      <c r="W77" s="16">
        <f>U77*Assumptions!$B$4</f>
        <v/>
      </c>
      <c r="X77" s="11">
        <f>IF(M77=0,"",ROUND(W77/M77*100,1))</f>
        <v/>
      </c>
      <c r="Y77" t="inlineStr">
        <is>
          <t>GRUPO 3E</t>
        </is>
      </c>
      <c r="Z77" t="inlineStr">
        <is>
          <t>5341375-33.2026.8.09.0049</t>
        </is>
      </c>
      <c r="AA77" t="inlineStr">
        <is>
          <t>TJGO</t>
        </is>
      </c>
      <c r="AB77" t="inlineStr">
        <is>
          <t>stenius.com.br</t>
        </is>
      </c>
      <c r="AC77" t="inlineStr">
        <is>
          <t>CRISTIANE HIROTA ALVES DE ALMEIDA</t>
        </is>
      </c>
      <c r="AD77" t="inlineStr">
        <is>
          <t>Sócio-Administrador</t>
        </is>
      </c>
      <c r="AE77" t="inlineStr">
        <is>
          <t>(62) 3311-9600</t>
        </is>
      </c>
      <c r="AF77" t="inlineStr">
        <is>
          <t>(62) 3311-9627</t>
        </is>
      </c>
      <c r="AG77" t="inlineStr"/>
      <c r="AH77" t="inlineStr">
        <is>
          <t>GO</t>
        </is>
      </c>
      <c r="AI77" t="inlineStr">
        <is>
          <t>ANAPOLIS</t>
        </is>
      </c>
      <c r="AJ77" t="inlineStr">
        <is>
          <t>Comércio por atacado de caminhões novos e usados</t>
        </is>
      </c>
      <c r="AK77" t="inlineStr">
        <is>
          <t>DEMAIS</t>
        </is>
      </c>
      <c r="AL77" t="inlineStr">
        <is>
          <t>ATIVA</t>
        </is>
      </c>
      <c r="AM77" s="17" t="inlineStr">
        <is>
          <t>https://stenius.com.br/wp-content/uploads/2026/06/EDITAL-GRUPO-3E.pdf</t>
        </is>
      </c>
      <c r="AN77" s="18" t="inlineStr">
        <is>
          <t>p13 r71</t>
        </is>
      </c>
      <c r="AO77" s="18" t="inlineStr">
        <is>
          <t>p13: R$ 164.011,71</t>
        </is>
      </c>
      <c r="AP77" s="18" t="inlineStr">
        <is>
          <t>DEBTOR_LIST</t>
        </is>
      </c>
      <c r="AQ77" s="18" t="inlineStr">
        <is>
          <t>2026-06-22</t>
        </is>
      </c>
      <c r="AR77" s="18" t="inlineStr">
        <is>
          <t>OK_NO_TOTALS</t>
        </is>
      </c>
      <c r="AS77" s="18" t="inlineStr">
        <is>
          <t>ROWS:p13r71 UNRECONCILED_SOURCE</t>
        </is>
      </c>
      <c r="AT77" s="18" t="inlineStr">
        <is>
          <t>8e8832093a15</t>
        </is>
      </c>
    </row>
    <row r="78">
      <c r="A78" s="9" t="n">
        <v>77</v>
      </c>
      <c r="B78" s="9" t="inlineStr">
        <is>
          <t>NEW</t>
        </is>
      </c>
      <c r="C78" s="9" t="inlineStr"/>
      <c r="D78" s="9" t="n">
        <v>0</v>
      </c>
      <c r="E78" s="9" t="inlineStr"/>
      <c r="F78" s="9" t="inlineStr"/>
      <c r="G78" s="9" t="inlineStr"/>
      <c r="H78" s="9" t="inlineStr"/>
      <c r="I78" t="inlineStr">
        <is>
          <t>TEXDECOR COMERCIO DE DECORACOES LTDA</t>
        </is>
      </c>
      <c r="J78" t="inlineStr">
        <is>
          <t>TEXDECOR COMERCIO DE DECORAÇÕES LTDA</t>
        </is>
      </c>
      <c r="K78" t="inlineStr">
        <is>
          <t>07863618</t>
        </is>
      </c>
      <c r="L78" t="inlineStr">
        <is>
          <t>07863618000124</t>
        </is>
      </c>
      <c r="M78" s="10" t="n">
        <v>162336.66</v>
      </c>
      <c r="N78" t="n">
        <v>1</v>
      </c>
      <c r="O78" s="11" t="inlineStr">
        <is>
          <t>D</t>
        </is>
      </c>
      <c r="P78" s="11" t="inlineStr"/>
      <c r="Q78" s="12" t="inlineStr"/>
      <c r="R78" s="11">
        <f>IF(Q78="","",ROUND((TODAY()-Q78)/365.25,1))</f>
        <v/>
      </c>
      <c r="S78" s="13">
        <f>IFERROR(VLOOKUP(O78,Assumptions!$A$7:$F$11,2,FALSE),0.25)</f>
        <v/>
      </c>
      <c r="T78" s="14">
        <f>IF(O78="A",MAX(1,IFERROR(VLOOKUP(O78,Assumptions!$A$7:$F$11,3,FALSE),3)+IFERROR(VLOOKUP(O78,Assumptions!$A$7:$F$11,4,FALSE),8)/2-MAX(0,IF(R78="",0,R78)-IFERROR(VLOOKUP(O78,Assumptions!$A$7:$F$11,5,FALSE),1.5))),IFERROR(VLOOKUP(O78,Assumptions!$A$7:$F$11,5,FALSE),2.5)+IFERROR(VLOOKUP(O78,Assumptions!$A$7:$F$11,3,FALSE),3)+IFERROR(VLOOKUP(O78,Assumptions!$A$7:$F$11,4,FALSE),8)/2)</f>
        <v/>
      </c>
      <c r="U78" s="15">
        <f>M78*S78/(1+Assumptions!$B$3)^T78</f>
        <v/>
      </c>
      <c r="V78" s="11">
        <f>IF(M78=0,"",ROUND(U78/M78*100,1))</f>
        <v/>
      </c>
      <c r="W78" s="16">
        <f>U78*Assumptions!$B$4</f>
        <v/>
      </c>
      <c r="X78" s="11">
        <f>IF(M78=0,"",ROUND(W78/M78*100,1))</f>
        <v/>
      </c>
      <c r="Y78" t="inlineStr">
        <is>
          <t>Mannes</t>
        </is>
      </c>
      <c r="Z78" t="inlineStr">
        <is>
          <t>0005010-50.2013.8.24.0026</t>
        </is>
      </c>
      <c r="AA78" t="inlineStr"/>
      <c r="AB78" t="inlineStr">
        <is>
          <t>administradorajudicialgs.com.br</t>
        </is>
      </c>
      <c r="AC78" t="inlineStr">
        <is>
          <t>AURELIO VIEIRA DE GOUVEIA</t>
        </is>
      </c>
      <c r="AD78" t="inlineStr">
        <is>
          <t>Administrador</t>
        </is>
      </c>
      <c r="AE78" t="inlineStr">
        <is>
          <t>(99) 9999-9999</t>
        </is>
      </c>
      <c r="AF78" t="inlineStr"/>
      <c r="AG78" t="inlineStr"/>
      <c r="AH78" t="inlineStr">
        <is>
          <t>SP</t>
        </is>
      </c>
      <c r="AI78" t="inlineStr">
        <is>
          <t>SAO PAULO</t>
        </is>
      </c>
      <c r="AJ78" t="inlineStr">
        <is>
          <t>Comércio atacadista de tecidos</t>
        </is>
      </c>
      <c r="AK78" t="inlineStr">
        <is>
          <t>DEMAIS</t>
        </is>
      </c>
      <c r="AL78" t="inlineStr">
        <is>
          <t>ATIVA</t>
        </is>
      </c>
      <c r="AM78" s="17" t="inlineStr">
        <is>
          <t>https://administradorajudicialgs.com.br/wp-content/uploads/2024/12/relacao-de-credores-da-falida.pdf</t>
        </is>
      </c>
      <c r="AN78" s="18" t="inlineStr">
        <is>
          <t>p18 r60</t>
        </is>
      </c>
      <c r="AO78" s="18" t="inlineStr">
        <is>
          <t>p18: R$ 162.336,66</t>
        </is>
      </c>
      <c r="AP78" s="18" t="inlineStr">
        <is>
          <t>OTHER</t>
        </is>
      </c>
      <c r="AQ78" s="18" t="inlineStr">
        <is>
          <t>2025-03-25</t>
        </is>
      </c>
      <c r="AR78" s="18" t="inlineStr">
        <is>
          <t>OK_NO_TOTALS</t>
        </is>
      </c>
      <c r="AS78" s="18" t="inlineStr">
        <is>
          <t>ROWS:p18r60 UNRECONCILED_SOURCE CASE_NUMBER_CORRECTED</t>
        </is>
      </c>
      <c r="AT78" s="18" t="inlineStr">
        <is>
          <t>ea17ba43b261</t>
        </is>
      </c>
    </row>
    <row r="79">
      <c r="A79" s="9" t="n">
        <v>78</v>
      </c>
      <c r="B79" s="9" t="inlineStr">
        <is>
          <t>NEW</t>
        </is>
      </c>
      <c r="C79" s="9" t="inlineStr"/>
      <c r="D79" s="9" t="n">
        <v>0</v>
      </c>
      <c r="E79" s="9" t="inlineStr"/>
      <c r="F79" s="9" t="inlineStr"/>
      <c r="G79" s="9" t="inlineStr"/>
      <c r="H79" s="9" t="inlineStr"/>
      <c r="I79" t="inlineStr">
        <is>
          <t>ICCAP IMPLEMENTOS RODOVIARIOS LTDA</t>
        </is>
      </c>
      <c r="J79" t="inlineStr">
        <is>
          <t>RODOVIA BR 010 Nª91 - IMPERATRIZ-MA - CEP 65908-000</t>
        </is>
      </c>
      <c r="K79" t="inlineStr">
        <is>
          <t>02377798</t>
        </is>
      </c>
      <c r="L79" t="inlineStr">
        <is>
          <t>02377798001001</t>
        </is>
      </c>
      <c r="M79" s="10" t="n">
        <v>161659.1</v>
      </c>
      <c r="N79" t="n">
        <v>1</v>
      </c>
      <c r="O79" s="11" t="inlineStr">
        <is>
          <t>U</t>
        </is>
      </c>
      <c r="P79" s="11" t="inlineStr"/>
      <c r="Q79" s="12" t="inlineStr"/>
      <c r="R79" s="11">
        <f>IF(Q79="","",ROUND((TODAY()-Q79)/365.25,1))</f>
        <v/>
      </c>
      <c r="S79" s="13">
        <f>IFERROR(VLOOKUP(O79,Assumptions!$A$7:$F$11,2,FALSE),0.25)</f>
        <v/>
      </c>
      <c r="T79" s="14">
        <f>IF(O79="A",MAX(1,IFERROR(VLOOKUP(O79,Assumptions!$A$7:$F$11,3,FALSE),3)+IFERROR(VLOOKUP(O79,Assumptions!$A$7:$F$11,4,FALSE),8)/2-MAX(0,IF(R79="",0,R79)-IFERROR(VLOOKUP(O79,Assumptions!$A$7:$F$11,5,FALSE),1.5))),IFERROR(VLOOKUP(O79,Assumptions!$A$7:$F$11,5,FALSE),2.5)+IFERROR(VLOOKUP(O79,Assumptions!$A$7:$F$11,3,FALSE),3)+IFERROR(VLOOKUP(O79,Assumptions!$A$7:$F$11,4,FALSE),8)/2)</f>
        <v/>
      </c>
      <c r="U79" s="15">
        <f>M79*S79/(1+Assumptions!$B$3)^T79</f>
        <v/>
      </c>
      <c r="V79" s="11">
        <f>IF(M79=0,"",ROUND(U79/M79*100,1))</f>
        <v/>
      </c>
      <c r="W79" s="16">
        <f>U79*Assumptions!$B$4</f>
        <v/>
      </c>
      <c r="X79" s="11">
        <f>IF(M79=0,"",ROUND(W79/M79*100,1))</f>
        <v/>
      </c>
      <c r="Y79" t="inlineStr">
        <is>
          <t>Base</t>
        </is>
      </c>
      <c r="Z79" t="inlineStr">
        <is>
          <t>(not found in document)</t>
        </is>
      </c>
      <c r="AA79" t="inlineStr"/>
      <c r="AB79" t="inlineStr">
        <is>
          <t>ajruiz.com.br</t>
        </is>
      </c>
      <c r="AC79" t="inlineStr">
        <is>
          <t>CARLOS ALBERTO PINEIS</t>
        </is>
      </c>
      <c r="AD79" t="inlineStr">
        <is>
          <t>Administrador</t>
        </is>
      </c>
      <c r="AE79" t="inlineStr">
        <is>
          <t>(67) 3345-2200</t>
        </is>
      </c>
      <c r="AF79" t="inlineStr"/>
      <c r="AG79" t="inlineStr"/>
      <c r="AH79" t="inlineStr">
        <is>
          <t>MS</t>
        </is>
      </c>
      <c r="AI79" t="inlineStr">
        <is>
          <t>CAMPO GRANDE</t>
        </is>
      </c>
      <c r="AJ79" t="inlineStr">
        <is>
          <t>Comércio por atacado de reboques e semi-reboques novos e usados</t>
        </is>
      </c>
      <c r="AK79" t="inlineStr">
        <is>
          <t>DEMAIS</t>
        </is>
      </c>
      <c r="AL79" t="inlineStr">
        <is>
          <t>ATIVA</t>
        </is>
      </c>
      <c r="AM79" s="17" t="inlineStr">
        <is>
          <t>https://ajruiz.com.br/sites/default/files/public/arquivos-processos/2023-11/4_relacao_de_credores_analitica_art._51_iii_da_lre.pdf</t>
        </is>
      </c>
      <c r="AN79" s="18" t="inlineStr">
        <is>
          <t>p3 r17</t>
        </is>
      </c>
      <c r="AO79" s="18" t="inlineStr">
        <is>
          <t>p3: R$ 161.659,10</t>
        </is>
      </c>
      <c r="AP79" s="18" t="inlineStr">
        <is>
          <t>UNKNOWN</t>
        </is>
      </c>
      <c r="AQ79" s="18" t="inlineStr"/>
      <c r="AR79" s="18" t="inlineStr">
        <is>
          <t>OK</t>
        </is>
      </c>
      <c r="AS79" s="18" t="inlineStr">
        <is>
          <t>ROWS:p3r17 CASE_NUMBER_CORRECTED</t>
        </is>
      </c>
      <c r="AT79" s="18" t="inlineStr">
        <is>
          <t>2407a56c3502</t>
        </is>
      </c>
    </row>
    <row r="80">
      <c r="A80" s="9" t="n">
        <v>79</v>
      </c>
      <c r="B80" s="9" t="inlineStr">
        <is>
          <t>NEW</t>
        </is>
      </c>
      <c r="C80" s="9" t="inlineStr"/>
      <c r="D80" s="9" t="n">
        <v>0</v>
      </c>
      <c r="E80" s="9" t="inlineStr"/>
      <c r="F80" s="9" t="inlineStr"/>
      <c r="G80" s="9" t="inlineStr"/>
      <c r="H80" s="9" t="inlineStr"/>
      <c r="I80" t="inlineStr">
        <is>
          <t>GYNNOX IROS COMERCIO E INDUSTRIA LTDA</t>
        </is>
      </c>
      <c r="J80" t="inlineStr">
        <is>
          <t>Gynnox</t>
        </is>
      </c>
      <c r="K80" t="inlineStr">
        <is>
          <t>12301881</t>
        </is>
      </c>
      <c r="L80" t="inlineStr">
        <is>
          <t>12301881000160</t>
        </is>
      </c>
      <c r="M80" s="10" t="n">
        <v>161200</v>
      </c>
      <c r="N80" t="n">
        <v>1</v>
      </c>
      <c r="O80" s="11" t="inlineStr">
        <is>
          <t>B</t>
        </is>
      </c>
      <c r="P80" s="11" t="inlineStr">
        <is>
          <t>ACTIVE</t>
        </is>
      </c>
      <c r="Q80" s="12" t="n">
        <v>46130</v>
      </c>
      <c r="R80" s="11">
        <f>IF(Q80="","",ROUND((TODAY()-Q80)/365.25,1))</f>
        <v/>
      </c>
      <c r="S80" s="13">
        <f>IFERROR(VLOOKUP(O80,Assumptions!$A$7:$F$11,2,FALSE),0.25)</f>
        <v/>
      </c>
      <c r="T80" s="14">
        <f>IF(O80="A",MAX(1,IFERROR(VLOOKUP(O80,Assumptions!$A$7:$F$11,3,FALSE),3)+IFERROR(VLOOKUP(O80,Assumptions!$A$7:$F$11,4,FALSE),8)/2-MAX(0,IF(R80="",0,R80)-IFERROR(VLOOKUP(O80,Assumptions!$A$7:$F$11,5,FALSE),1.5))),IFERROR(VLOOKUP(O80,Assumptions!$A$7:$F$11,5,FALSE),2.5)+IFERROR(VLOOKUP(O80,Assumptions!$A$7:$F$11,3,FALSE),3)+IFERROR(VLOOKUP(O80,Assumptions!$A$7:$F$11,4,FALSE),8)/2)</f>
        <v/>
      </c>
      <c r="U80" s="15">
        <f>M80*S80/(1+Assumptions!$B$3)^T80</f>
        <v/>
      </c>
      <c r="V80" s="11">
        <f>IF(M80=0,"",ROUND(U80/M80*100,1))</f>
        <v/>
      </c>
      <c r="W80" s="16">
        <f>U80*Assumptions!$B$4</f>
        <v/>
      </c>
      <c r="X80" s="11">
        <f>IF(M80=0,"",ROUND(W80/M80*100,1))</f>
        <v/>
      </c>
      <c r="Y80" t="inlineStr">
        <is>
          <t>GRUPO 3E</t>
        </is>
      </c>
      <c r="Z80" t="inlineStr">
        <is>
          <t>5341375-33.2026.8.09.0049</t>
        </is>
      </c>
      <c r="AA80" t="inlineStr">
        <is>
          <t>TJGO</t>
        </is>
      </c>
      <c r="AB80" t="inlineStr">
        <is>
          <t>stenius.com.br</t>
        </is>
      </c>
      <c r="AC80" t="inlineStr">
        <is>
          <t>IDALINA RODRIGUES DE OLIVEIRA SOBRINHO</t>
        </is>
      </c>
      <c r="AD80" t="inlineStr">
        <is>
          <t>Sócio-Administrador</t>
        </is>
      </c>
      <c r="AE80" t="inlineStr">
        <is>
          <t>(62) 8597-6863</t>
        </is>
      </c>
      <c r="AF80" t="inlineStr"/>
      <c r="AG80" t="inlineStr"/>
      <c r="AH80" t="inlineStr">
        <is>
          <t>GO</t>
        </is>
      </c>
      <c r="AI80" t="inlineStr">
        <is>
          <t>GOIANIA</t>
        </is>
      </c>
      <c r="AJ80" t="inlineStr">
        <is>
          <t>Fabricação de artefatos diversos de madeira, exceto móveis</t>
        </is>
      </c>
      <c r="AK80" t="inlineStr">
        <is>
          <t>EMPRESA DE PEQUENO PORTE</t>
        </is>
      </c>
      <c r="AL80" t="inlineStr">
        <is>
          <t>ATIVA</t>
        </is>
      </c>
      <c r="AM80" s="17" t="inlineStr">
        <is>
          <t>https://stenius.com.br/wp-content/uploads/2026/06/EDITAL-GRUPO-3E.pdf</t>
        </is>
      </c>
      <c r="AN80" s="18" t="inlineStr">
        <is>
          <t>p14 r27</t>
        </is>
      </c>
      <c r="AO80" s="18" t="inlineStr">
        <is>
          <t>p14: R$ 161.200,00</t>
        </is>
      </c>
      <c r="AP80" s="18" t="inlineStr">
        <is>
          <t>DEBTOR_LIST</t>
        </is>
      </c>
      <c r="AQ80" s="18" t="inlineStr">
        <is>
          <t>2026-06-22</t>
        </is>
      </c>
      <c r="AR80" s="18" t="inlineStr">
        <is>
          <t>OK_NO_TOTALS</t>
        </is>
      </c>
      <c r="AS80" s="18" t="inlineStr">
        <is>
          <t>ROWS:p14r27 UNRECONCILED_SOURCE</t>
        </is>
      </c>
      <c r="AT80" s="18" t="inlineStr">
        <is>
          <t>8e8832093a15</t>
        </is>
      </c>
    </row>
    <row r="81">
      <c r="A81" s="9" t="n">
        <v>80</v>
      </c>
      <c r="B81" s="9" t="inlineStr">
        <is>
          <t>NEW</t>
        </is>
      </c>
      <c r="C81" s="9" t="inlineStr"/>
      <c r="D81" s="9" t="n">
        <v>0</v>
      </c>
      <c r="E81" s="9" t="inlineStr"/>
      <c r="F81" s="9" t="inlineStr"/>
      <c r="G81" s="9" t="inlineStr"/>
      <c r="H81" s="9" t="inlineStr"/>
      <c r="I81" t="inlineStr">
        <is>
          <t>PLANEF CONSULTORIA E PLANEJAMENTO LTDA</t>
        </is>
      </c>
      <c r="J81" t="inlineStr">
        <is>
          <t>PLANEF CONSULTORIA E PLANEJAMENTO LTDA (</t>
        </is>
      </c>
      <c r="K81" t="inlineStr">
        <is>
          <t>04523745</t>
        </is>
      </c>
      <c r="L81" t="inlineStr">
        <is>
          <t>04523745000196</t>
        </is>
      </c>
      <c r="M81" s="10" t="n">
        <v>161000</v>
      </c>
      <c r="N81" t="n">
        <v>1</v>
      </c>
      <c r="O81" s="11" t="inlineStr">
        <is>
          <t>C</t>
        </is>
      </c>
      <c r="P81" s="11" t="inlineStr">
        <is>
          <t>ACTIVE</t>
        </is>
      </c>
      <c r="Q81" s="12" t="n">
        <v>44354</v>
      </c>
      <c r="R81" s="11">
        <f>IF(Q81="","",ROUND((TODAY()-Q81)/365.25,1))</f>
        <v/>
      </c>
      <c r="S81" s="13">
        <f>IFERROR(VLOOKUP(O81,Assumptions!$A$7:$F$11,2,FALSE),0.25)</f>
        <v/>
      </c>
      <c r="T81" s="14">
        <f>IF(O81="A",MAX(1,IFERROR(VLOOKUP(O81,Assumptions!$A$7:$F$11,3,FALSE),3)+IFERROR(VLOOKUP(O81,Assumptions!$A$7:$F$11,4,FALSE),8)/2-MAX(0,IF(R81="",0,R81)-IFERROR(VLOOKUP(O81,Assumptions!$A$7:$F$11,5,FALSE),1.5))),IFERROR(VLOOKUP(O81,Assumptions!$A$7:$F$11,5,FALSE),2.5)+IFERROR(VLOOKUP(O81,Assumptions!$A$7:$F$11,3,FALSE),3)+IFERROR(VLOOKUP(O81,Assumptions!$A$7:$F$11,4,FALSE),8)/2)</f>
        <v/>
      </c>
      <c r="U81" s="15">
        <f>M81*S81/(1+Assumptions!$B$3)^T81</f>
        <v/>
      </c>
      <c r="V81" s="11">
        <f>IF(M81=0,"",ROUND(U81/M81*100,1))</f>
        <v/>
      </c>
      <c r="W81" s="16">
        <f>U81*Assumptions!$B$4</f>
        <v/>
      </c>
      <c r="X81" s="11">
        <f>IF(M81=0,"",ROUND(W81/M81*100,1))</f>
        <v/>
      </c>
      <c r="Y81" t="inlineStr">
        <is>
          <t>VECTOR INDÚSTRIA DE PRODUTOS METALÚRGICOS LTDA.</t>
        </is>
      </c>
      <c r="Z81" t="inlineStr">
        <is>
          <t>5014104-85.2021.8.21.0010</t>
        </is>
      </c>
      <c r="AA81" t="inlineStr">
        <is>
          <t>TJRS</t>
        </is>
      </c>
      <c r="AB81" t="inlineStr">
        <is>
          <t>scalzilliaj.com.br</t>
        </is>
      </c>
      <c r="AC81" t="inlineStr">
        <is>
          <t>CLAUDIO MAXIMILIANO BRANCHIERI</t>
        </is>
      </c>
      <c r="AD81" t="inlineStr">
        <is>
          <t>Sócio-Administrador</t>
        </is>
      </c>
      <c r="AE81" t="inlineStr">
        <is>
          <t>(54) 3538-0789</t>
        </is>
      </c>
      <c r="AF81" t="inlineStr">
        <is>
          <t>(34) 3419-4244</t>
        </is>
      </c>
      <c r="AG81" t="inlineStr"/>
      <c r="AH81" t="inlineStr">
        <is>
          <t>RS</t>
        </is>
      </c>
      <c r="AI81" t="inlineStr">
        <is>
          <t>CAXIAS DO SUL</t>
        </is>
      </c>
      <c r="AJ81" t="inlineStr">
        <is>
          <t>Atividades de consultoria em gestão empresarial, exceto consultoria técnica específica</t>
        </is>
      </c>
      <c r="AK81" t="inlineStr">
        <is>
          <t>DEMAIS</t>
        </is>
      </c>
      <c r="AL81" t="inlineStr">
        <is>
          <t>ATIVA</t>
        </is>
      </c>
      <c r="AM81" s="17" t="inlineStr">
        <is>
          <t>https://scalzilliaj.com.br/sgc/download.php?file=files/processo_documento/processo_documento15513401112022_1_.pdf&amp;nome=15 - Edital do art. 7º, §2º (segunda lista de credores) e do art. 53 da Lei 11.101/2005 (recebimento do plano)</t>
        </is>
      </c>
      <c r="AN81" s="18" t="inlineStr">
        <is>
          <t>p9 r6</t>
        </is>
      </c>
      <c r="AO81" s="18" t="inlineStr">
        <is>
          <t>p9: R$ 161.000,00</t>
        </is>
      </c>
      <c r="AP81" s="18" t="inlineStr">
        <is>
          <t>AJ_LIST</t>
        </is>
      </c>
      <c r="AQ81" s="18" t="inlineStr">
        <is>
          <t>2022-11-01</t>
        </is>
      </c>
      <c r="AR81" s="18" t="inlineStr">
        <is>
          <t>OK_NO_TOTALS</t>
        </is>
      </c>
      <c r="AS81" s="18" t="inlineStr">
        <is>
          <t>ROWS:p9r6 UNRECONCILED_SOURCE</t>
        </is>
      </c>
      <c r="AT81" s="18" t="inlineStr">
        <is>
          <t>84c586360a66</t>
        </is>
      </c>
    </row>
    <row r="82">
      <c r="A82" s="9" t="n">
        <v>81</v>
      </c>
      <c r="B82" s="9" t="inlineStr">
        <is>
          <t>NEW</t>
        </is>
      </c>
      <c r="C82" s="9" t="inlineStr"/>
      <c r="D82" s="9" t="n">
        <v>0</v>
      </c>
      <c r="E82" s="9" t="inlineStr"/>
      <c r="F82" s="9" t="inlineStr"/>
      <c r="G82" s="9" t="inlineStr"/>
      <c r="H82" s="9" t="inlineStr"/>
      <c r="I82" t="inlineStr">
        <is>
          <t>BRAVI CONSUMIVEIS DE HIGIENE E DESCARTAVEIS LTDA</t>
        </is>
      </c>
      <c r="J82" t="inlineStr">
        <is>
          <t>BRAVI CONSUMIVEIS DE HIGIENE E DESCARTAVEIS LTDA, CPF/CNPJ/OAB nº</t>
        </is>
      </c>
      <c r="K82" t="inlineStr">
        <is>
          <t>19457137</t>
        </is>
      </c>
      <c r="L82" t="inlineStr">
        <is>
          <t>19457137000106</t>
        </is>
      </c>
      <c r="M82" s="10" t="n">
        <v>160902.04</v>
      </c>
      <c r="N82" t="n">
        <v>1</v>
      </c>
      <c r="O82" s="11" t="inlineStr">
        <is>
          <t>B</t>
        </is>
      </c>
      <c r="P82" s="11" t="inlineStr">
        <is>
          <t>ACTIVE</t>
        </is>
      </c>
      <c r="Q82" s="12" t="n">
        <v>45349</v>
      </c>
      <c r="R82" s="11">
        <f>IF(Q82="","",ROUND((TODAY()-Q82)/365.25,1))</f>
        <v/>
      </c>
      <c r="S82" s="13">
        <f>IFERROR(VLOOKUP(O82,Assumptions!$A$7:$F$11,2,FALSE),0.25)</f>
        <v/>
      </c>
      <c r="T82" s="14">
        <f>IF(O82="A",MAX(1,IFERROR(VLOOKUP(O82,Assumptions!$A$7:$F$11,3,FALSE),3)+IFERROR(VLOOKUP(O82,Assumptions!$A$7:$F$11,4,FALSE),8)/2-MAX(0,IF(R82="",0,R82)-IFERROR(VLOOKUP(O82,Assumptions!$A$7:$F$11,5,FALSE),1.5))),IFERROR(VLOOKUP(O82,Assumptions!$A$7:$F$11,5,FALSE),2.5)+IFERROR(VLOOKUP(O82,Assumptions!$A$7:$F$11,3,FALSE),3)+IFERROR(VLOOKUP(O82,Assumptions!$A$7:$F$11,4,FALSE),8)/2)</f>
        <v/>
      </c>
      <c r="U82" s="15">
        <f>M82*S82/(1+Assumptions!$B$3)^T82</f>
        <v/>
      </c>
      <c r="V82" s="11">
        <f>IF(M82=0,"",ROUND(U82/M82*100,1))</f>
        <v/>
      </c>
      <c r="W82" s="16">
        <f>U82*Assumptions!$B$4</f>
        <v/>
      </c>
      <c r="X82" s="11">
        <f>IF(M82=0,"",ROUND(W82/M82*100,1))</f>
        <v/>
      </c>
      <c r="Y82" t="inlineStr">
        <is>
          <t>GRUPO ADLIM</t>
        </is>
      </c>
      <c r="Z82" t="inlineStr">
        <is>
          <t>0019761-43.2024.8.17.2001</t>
        </is>
      </c>
      <c r="AA82" t="inlineStr">
        <is>
          <t>TJPE</t>
        </is>
      </c>
      <c r="AB82" t="inlineStr">
        <is>
          <t>lrflideres.com.br</t>
        </is>
      </c>
      <c r="AC82" t="inlineStr">
        <is>
          <t>DANIELLA CARVALHO FONSECA</t>
        </is>
      </c>
      <c r="AD82" t="inlineStr">
        <is>
          <t>Sócio-Administrador</t>
        </is>
      </c>
      <c r="AE82" t="inlineStr">
        <is>
          <t>(81) 3478-8545</t>
        </is>
      </c>
      <c r="AF82" t="inlineStr"/>
      <c r="AG82" t="inlineStr"/>
      <c r="AH82" t="inlineStr">
        <is>
          <t>PE</t>
        </is>
      </c>
      <c r="AI82" t="inlineStr">
        <is>
          <t>RECIFE</t>
        </is>
      </c>
      <c r="AJ82" t="inlineStr">
        <is>
          <t>Comércio atacadista de produtos de higiene, limpeza e conservação domiciliar</t>
        </is>
      </c>
      <c r="AK82" t="inlineStr">
        <is>
          <t>DEMAIS</t>
        </is>
      </c>
      <c r="AL82" t="inlineStr">
        <is>
          <t>ATIVA</t>
        </is>
      </c>
      <c r="AM82" s="17" t="inlineStr">
        <is>
          <t>https://lrflideres.com.br/wp-content/plugins/download-attachments/includes/download.php?id=6051</t>
        </is>
      </c>
      <c r="AN82" s="18" t="inlineStr">
        <is>
          <t>p66 r72</t>
        </is>
      </c>
      <c r="AO82" s="18" t="inlineStr">
        <is>
          <t>p66: R$ 160902,04</t>
        </is>
      </c>
      <c r="AP82" s="18" t="inlineStr">
        <is>
          <t>AJ_LIST</t>
        </is>
      </c>
      <c r="AQ82" s="18" t="inlineStr">
        <is>
          <t>2024-08-12</t>
        </is>
      </c>
      <c r="AR82" s="18" t="inlineStr">
        <is>
          <t>QUARANTINED</t>
        </is>
      </c>
      <c r="AS82" s="18" t="inlineStr">
        <is>
          <t>PARTIAL_DOC_CLASS_III_RECONCILED ROWS:p66r72</t>
        </is>
      </c>
      <c r="AT82" s="18" t="inlineStr">
        <is>
          <t>a32497797bac</t>
        </is>
      </c>
    </row>
    <row r="83">
      <c r="A83" s="9" t="n">
        <v>82</v>
      </c>
      <c r="B83" s="9" t="inlineStr">
        <is>
          <t>NEW</t>
        </is>
      </c>
      <c r="C83" s="9" t="inlineStr"/>
      <c r="D83" s="9" t="n">
        <v>0</v>
      </c>
      <c r="E83" s="9" t="inlineStr"/>
      <c r="F83" s="9" t="inlineStr"/>
      <c r="G83" s="9" t="inlineStr"/>
      <c r="H83" s="9" t="inlineStr"/>
      <c r="I83" t="inlineStr">
        <is>
          <t>UNI REFRIGERACAO BRASIL LTDA</t>
        </is>
      </c>
      <c r="J83" t="inlineStr">
        <is>
          <t>Avenida Doutor Chucri Zidar, 1550, Conj 2704, Sala 03, Vila São Francisco, São Paulo -CEP 04711130</t>
        </is>
      </c>
      <c r="K83" t="inlineStr">
        <is>
          <t>38443576</t>
        </is>
      </c>
      <c r="L83" t="inlineStr">
        <is>
          <t>38443576000104</t>
        </is>
      </c>
      <c r="M83" s="10" t="n">
        <v>160527.72</v>
      </c>
      <c r="N83" t="n">
        <v>1</v>
      </c>
      <c r="O83" s="11" t="inlineStr">
        <is>
          <t>C</t>
        </is>
      </c>
      <c r="P83" s="11" t="inlineStr"/>
      <c r="Q83" s="12" t="inlineStr"/>
      <c r="R83" s="11">
        <f>IF(Q83="","",ROUND((TODAY()-Q83)/365.25,1))</f>
        <v/>
      </c>
      <c r="S83" s="13">
        <f>IFERROR(VLOOKUP(O83,Assumptions!$A$7:$F$11,2,FALSE),0.25)</f>
        <v/>
      </c>
      <c r="T83" s="14">
        <f>IF(O83="A",MAX(1,IFERROR(VLOOKUP(O83,Assumptions!$A$7:$F$11,3,FALSE),3)+IFERROR(VLOOKUP(O83,Assumptions!$A$7:$F$11,4,FALSE),8)/2-MAX(0,IF(R83="",0,R83)-IFERROR(VLOOKUP(O83,Assumptions!$A$7:$F$11,5,FALSE),1.5))),IFERROR(VLOOKUP(O83,Assumptions!$A$7:$F$11,5,FALSE),2.5)+IFERROR(VLOOKUP(O83,Assumptions!$A$7:$F$11,3,FALSE),3)+IFERROR(VLOOKUP(O83,Assumptions!$A$7:$F$11,4,FALSE),8)/2)</f>
        <v/>
      </c>
      <c r="U83" s="15">
        <f>M83*S83/(1+Assumptions!$B$3)^T83</f>
        <v/>
      </c>
      <c r="V83" s="11">
        <f>IF(M83=0,"",ROUND(U83/M83*100,1))</f>
        <v/>
      </c>
      <c r="W83" s="16">
        <f>U83*Assumptions!$B$4</f>
        <v/>
      </c>
      <c r="X83" s="11">
        <f>IF(M83=0,"",ROUND(W83/M83*100,1))</f>
        <v/>
      </c>
      <c r="Y83" t="inlineStr">
        <is>
          <t>REAL DISTRIBUIDORA ÚNICA RIO COMÉRCIO DE REFRIGERAÇÃO LTDA.</t>
        </is>
      </c>
      <c r="Z83" t="inlineStr">
        <is>
          <t>0873061-47.2023.8.19.0001</t>
        </is>
      </c>
      <c r="AA83" t="inlineStr"/>
      <c r="AB83" t="inlineStr">
        <is>
          <t>inova-aj.com.br</t>
        </is>
      </c>
      <c r="AC83" t="inlineStr">
        <is>
          <t>DAVID PHILIP MILMINE</t>
        </is>
      </c>
      <c r="AD83" t="inlineStr">
        <is>
          <t>Administrador</t>
        </is>
      </c>
      <c r="AE83" t="inlineStr">
        <is>
          <t>(19) 9533-4299</t>
        </is>
      </c>
      <c r="AF83" t="inlineStr"/>
      <c r="AG83" t="inlineStr"/>
      <c r="AH83" t="inlineStr">
        <is>
          <t>SP</t>
        </is>
      </c>
      <c r="AI83" t="inlineStr">
        <is>
          <t>SAO PAULO</t>
        </is>
      </c>
      <c r="AJ83" t="inlineStr">
        <is>
          <t>Comércio atacadista de outras máquinas e equipamentos não especificados anteriormente; partes e peças</t>
        </is>
      </c>
      <c r="AK83" t="inlineStr">
        <is>
          <t>DEMAIS</t>
        </is>
      </c>
      <c r="AL83" t="inlineStr">
        <is>
          <t>ATIVA</t>
        </is>
      </c>
      <c r="AM83" s="17" t="inlineStr">
        <is>
          <t>https://inova-aj.com.br/wp-content/uploads/2026/08/1a-Relacao-de-Credores-Real.pdf</t>
        </is>
      </c>
      <c r="AN83" s="18" t="inlineStr">
        <is>
          <t>p2 r13</t>
        </is>
      </c>
      <c r="AO83" s="18" t="inlineStr">
        <is>
          <t>p2: R$ 160.527,72</t>
        </is>
      </c>
      <c r="AP83" s="18" t="inlineStr">
        <is>
          <t>AJ_LIST</t>
        </is>
      </c>
      <c r="AQ83" s="18" t="inlineStr">
        <is>
          <t>2023-06-05</t>
        </is>
      </c>
      <c r="AR83" s="18" t="inlineStr">
        <is>
          <t>OK</t>
        </is>
      </c>
      <c r="AS83" s="18" t="inlineStr">
        <is>
          <t>ALT_VALUE:R$116.721,00 ROWS:p2r13</t>
        </is>
      </c>
      <c r="AT83" s="18" t="inlineStr">
        <is>
          <t>8eb5d0d64353</t>
        </is>
      </c>
    </row>
    <row r="84">
      <c r="A84" s="9" t="n">
        <v>83</v>
      </c>
      <c r="B84" s="9" t="inlineStr">
        <is>
          <t>NEW</t>
        </is>
      </c>
      <c r="C84" s="9" t="inlineStr"/>
      <c r="D84" s="9" t="n">
        <v>0</v>
      </c>
      <c r="E84" s="9" t="inlineStr"/>
      <c r="F84" s="9" t="inlineStr"/>
      <c r="G84" s="9" t="inlineStr"/>
      <c r="H84" s="9" t="inlineStr"/>
      <c r="I84" t="inlineStr">
        <is>
          <t>INCENOR INDUSTRIA CERAMICA DO NORDESTE LTDA EM RECUPERACAO JUDICIAL</t>
        </is>
      </c>
      <c r="J84" t="inlineStr">
        <is>
          <t>INCENOR INDUSTRIA CERAMICA DO NORDESTE LTDA</t>
        </is>
      </c>
      <c r="K84" t="inlineStr">
        <is>
          <t>04496698</t>
        </is>
      </c>
      <c r="L84" t="inlineStr">
        <is>
          <t>04496698000139</t>
        </is>
      </c>
      <c r="M84" s="10" t="n">
        <v>159772.18</v>
      </c>
      <c r="N84" t="n">
        <v>1</v>
      </c>
      <c r="O84" s="11" t="inlineStr">
        <is>
          <t>B</t>
        </is>
      </c>
      <c r="P84" s="11" t="inlineStr"/>
      <c r="Q84" s="12" t="n">
        <v>45785</v>
      </c>
      <c r="R84" s="11">
        <f>IF(Q84="","",ROUND((TODAY()-Q84)/365.25,1))</f>
        <v/>
      </c>
      <c r="S84" s="13">
        <f>IFERROR(VLOOKUP(O84,Assumptions!$A$7:$F$11,2,FALSE),0.25)</f>
        <v/>
      </c>
      <c r="T84" s="14">
        <f>IF(O84="A",MAX(1,IFERROR(VLOOKUP(O84,Assumptions!$A$7:$F$11,3,FALSE),3)+IFERROR(VLOOKUP(O84,Assumptions!$A$7:$F$11,4,FALSE),8)/2-MAX(0,IF(R84="",0,R84)-IFERROR(VLOOKUP(O84,Assumptions!$A$7:$F$11,5,FALSE),1.5))),IFERROR(VLOOKUP(O84,Assumptions!$A$7:$F$11,5,FALSE),2.5)+IFERROR(VLOOKUP(O84,Assumptions!$A$7:$F$11,3,FALSE),3)+IFERROR(VLOOKUP(O84,Assumptions!$A$7:$F$11,4,FALSE),8)/2)</f>
        <v/>
      </c>
      <c r="U84" s="15">
        <f>M84*S84/(1+Assumptions!$B$3)^T84</f>
        <v/>
      </c>
      <c r="V84" s="11">
        <f>IF(M84=0,"",ROUND(U84/M84*100,1))</f>
        <v/>
      </c>
      <c r="W84" s="16">
        <f>U84*Assumptions!$B$4</f>
        <v/>
      </c>
      <c r="X84" s="11">
        <f>IF(M84=0,"",ROUND(W84/M84*100,1))</f>
        <v/>
      </c>
      <c r="Y84" t="inlineStr">
        <is>
          <t>Grupo Pisebem</t>
        </is>
      </c>
      <c r="Z84" t="inlineStr">
        <is>
          <t>0700707-87.2025.8.02.0043</t>
        </is>
      </c>
      <c r="AA84" t="inlineStr">
        <is>
          <t>TJAL</t>
        </is>
      </c>
      <c r="AB84" t="inlineStr">
        <is>
          <t>recuperacaojudicial.squarespace.com</t>
        </is>
      </c>
      <c r="AC84" t="inlineStr">
        <is>
          <t>FILOMENA CRISTINA FRAGNANI</t>
        </is>
      </c>
      <c r="AD84" t="inlineStr">
        <is>
          <t>Administrador</t>
        </is>
      </c>
      <c r="AE84" t="inlineStr">
        <is>
          <t>(71) 2104-9300</t>
        </is>
      </c>
      <c r="AF84" t="inlineStr"/>
      <c r="AG84" t="inlineStr"/>
      <c r="AH84" t="inlineStr">
        <is>
          <t>BA</t>
        </is>
      </c>
      <c r="AI84" t="inlineStr">
        <is>
          <t>DIAS D'AVILA</t>
        </is>
      </c>
      <c r="AJ84" t="inlineStr">
        <is>
          <t>Fabricação de azulejos e pisos</t>
        </is>
      </c>
      <c r="AK84" t="inlineStr">
        <is>
          <t>DEMAIS</t>
        </is>
      </c>
      <c r="AL84" t="inlineStr">
        <is>
          <t>ATIVA</t>
        </is>
      </c>
      <c r="AM84" s="17" t="inlineStr">
        <is>
          <t>https://recuperacaojudicial.squarespace.com/s/EDITAL-COM-A-2-LISTA-DE-CREDORES-E-INFORMANDO-A-APRESENTACO-DO-PRJ_1532.pdf</t>
        </is>
      </c>
      <c r="AN84" s="18" t="inlineStr">
        <is>
          <t>p2 r9</t>
        </is>
      </c>
      <c r="AO84" s="18" t="inlineStr">
        <is>
          <t>p2: R$ 159.772,18</t>
        </is>
      </c>
      <c r="AP84" s="18" t="inlineStr">
        <is>
          <t>AJ_LIST</t>
        </is>
      </c>
      <c r="AQ84" s="18" t="inlineStr"/>
      <c r="AR84" s="18" t="inlineStr">
        <is>
          <t>OK_NO_TOTALS</t>
        </is>
      </c>
      <c r="AS84" s="18" t="inlineStr">
        <is>
          <t>ROWS:p2r9 UNRECONCILED_SOURCE CASE_NUMBER_CORRECTED</t>
        </is>
      </c>
      <c r="AT84" s="18" t="inlineStr">
        <is>
          <t>d7c426fbd475</t>
        </is>
      </c>
    </row>
    <row r="85">
      <c r="A85" s="9" t="n">
        <v>84</v>
      </c>
      <c r="B85" s="9" t="inlineStr">
        <is>
          <t>NEW</t>
        </is>
      </c>
      <c r="C85" s="9" t="inlineStr"/>
      <c r="D85" s="9" t="n">
        <v>0</v>
      </c>
      <c r="E85" s="9" t="inlineStr"/>
      <c r="F85" s="9" t="inlineStr"/>
      <c r="G85" s="9" t="inlineStr"/>
      <c r="H85" s="9" t="inlineStr"/>
      <c r="I85" t="inlineStr">
        <is>
          <t>PNEULANDIA COMERCIAL LTDA</t>
        </is>
      </c>
      <c r="J85" t="inlineStr">
        <is>
          <t>Pneulandia Comercial LTDA</t>
        </is>
      </c>
      <c r="K85" t="inlineStr">
        <is>
          <t>01536085</t>
        </is>
      </c>
      <c r="L85" t="inlineStr">
        <is>
          <t>01536085002648</t>
        </is>
      </c>
      <c r="M85" s="10" t="n">
        <v>159658.48</v>
      </c>
      <c r="N85" t="n">
        <v>1</v>
      </c>
      <c r="O85" s="11" t="inlineStr">
        <is>
          <t>B</t>
        </is>
      </c>
      <c r="P85" s="11" t="inlineStr">
        <is>
          <t>ACTIVE</t>
        </is>
      </c>
      <c r="Q85" s="12" t="n">
        <v>45460</v>
      </c>
      <c r="R85" s="11">
        <f>IF(Q85="","",ROUND((TODAY()-Q85)/365.25,1))</f>
        <v/>
      </c>
      <c r="S85" s="13">
        <f>IFERROR(VLOOKUP(O85,Assumptions!$A$7:$F$11,2,FALSE),0.25)</f>
        <v/>
      </c>
      <c r="T85" s="14">
        <f>IF(O85="A",MAX(1,IFERROR(VLOOKUP(O85,Assumptions!$A$7:$F$11,3,FALSE),3)+IFERROR(VLOOKUP(O85,Assumptions!$A$7:$F$11,4,FALSE),8)/2-MAX(0,IF(R85="",0,R85)-IFERROR(VLOOKUP(O85,Assumptions!$A$7:$F$11,5,FALSE),1.5))),IFERROR(VLOOKUP(O85,Assumptions!$A$7:$F$11,5,FALSE),2.5)+IFERROR(VLOOKUP(O85,Assumptions!$A$7:$F$11,3,FALSE),3)+IFERROR(VLOOKUP(O85,Assumptions!$A$7:$F$11,4,FALSE),8)/2)</f>
        <v/>
      </c>
      <c r="U85" s="15">
        <f>M85*S85/(1+Assumptions!$B$3)^T85</f>
        <v/>
      </c>
      <c r="V85" s="11">
        <f>IF(M85=0,"",ROUND(U85/M85*100,1))</f>
        <v/>
      </c>
      <c r="W85" s="16">
        <f>U85*Assumptions!$B$4</f>
        <v/>
      </c>
      <c r="X85" s="11">
        <f>IF(M85=0,"",ROUND(W85/M85*100,1))</f>
        <v/>
      </c>
      <c r="Y85" t="inlineStr">
        <is>
          <t>GRUPO D&amp;D</t>
        </is>
      </c>
      <c r="Z85" t="inlineStr">
        <is>
          <t>0001943-40.2024.8.16.0115</t>
        </is>
      </c>
      <c r="AA85" t="inlineStr">
        <is>
          <t>TJPR</t>
        </is>
      </c>
      <c r="AB85" t="inlineStr">
        <is>
          <t>marquesadmjudicial.com.br</t>
        </is>
      </c>
      <c r="AC85" t="inlineStr">
        <is>
          <t>PEDRO CORREA MALDI</t>
        </is>
      </c>
      <c r="AD85" t="inlineStr">
        <is>
          <t>Sócio-Administrador</t>
        </is>
      </c>
      <c r="AE85" t="inlineStr"/>
      <c r="AF85" t="inlineStr"/>
      <c r="AG85" t="inlineStr"/>
      <c r="AH85" t="inlineStr">
        <is>
          <t>GO</t>
        </is>
      </c>
      <c r="AI85" t="inlineStr">
        <is>
          <t>GOIANIA</t>
        </is>
      </c>
      <c r="AJ85" t="inlineStr">
        <is>
          <t>Comércio a varejo de pneumáticos e câmaras-de-ar</t>
        </is>
      </c>
      <c r="AK85" t="inlineStr">
        <is>
          <t>DEMAIS</t>
        </is>
      </c>
      <c r="AL85" t="inlineStr">
        <is>
          <t>ATIVA</t>
        </is>
      </c>
      <c r="AM85" s="17" t="inlineStr">
        <is>
          <t>https://marquesadmjudicial.com.br/sgc/download.php?file=files/processo_documento/processo_documento20014127022025_1_.pdf&amp;nome=Relação Nominal de Credores</t>
        </is>
      </c>
      <c r="AN85" s="18" t="inlineStr">
        <is>
          <t>p5 r11</t>
        </is>
      </c>
      <c r="AO85" s="18" t="inlineStr">
        <is>
          <t>p5: R$ 159.658,48</t>
        </is>
      </c>
      <c r="AP85" s="18" t="inlineStr">
        <is>
          <t>AJ_LIST</t>
        </is>
      </c>
      <c r="AQ85" s="18" t="inlineStr">
        <is>
          <t>2024-11-08</t>
        </is>
      </c>
      <c r="AR85" s="18" t="inlineStr">
        <is>
          <t>QUARANTINED</t>
        </is>
      </c>
      <c r="AS85" s="18" t="inlineStr">
        <is>
          <t>PARTIAL_DOC_CLASS_III_RECONCILED ROWS:p5r11</t>
        </is>
      </c>
      <c r="AT85" s="18" t="inlineStr">
        <is>
          <t>dfc3207dcd0f</t>
        </is>
      </c>
    </row>
    <row r="86">
      <c r="A86" s="9" t="n">
        <v>85</v>
      </c>
      <c r="B86" s="9" t="inlineStr">
        <is>
          <t>NEW</t>
        </is>
      </c>
      <c r="C86" s="9" t="inlineStr"/>
      <c r="D86" s="9" t="n">
        <v>0</v>
      </c>
      <c r="E86" s="9" t="inlineStr"/>
      <c r="F86" s="9" t="inlineStr"/>
      <c r="G86" s="9" t="inlineStr"/>
      <c r="H86" s="9" t="inlineStr"/>
      <c r="I86" t="inlineStr">
        <is>
          <t>AMAZONAS INDUSTRIA E COMERCIO LTDA</t>
        </is>
      </c>
      <c r="J86" t="inlineStr">
        <is>
          <t>AMAZONAS PRODUTOS PARA CALCADOS LTDA.</t>
        </is>
      </c>
      <c r="K86" t="inlineStr">
        <is>
          <t>47959697</t>
        </is>
      </c>
      <c r="L86" t="inlineStr">
        <is>
          <t>47959697000358</t>
        </is>
      </c>
      <c r="M86" s="10" t="n">
        <v>159440.8</v>
      </c>
      <c r="N86" t="n">
        <v>1</v>
      </c>
      <c r="O86" s="11" t="inlineStr">
        <is>
          <t>D</t>
        </is>
      </c>
      <c r="P86" s="11" t="inlineStr"/>
      <c r="Q86" s="12" t="inlineStr"/>
      <c r="R86" s="11">
        <f>IF(Q86="","",ROUND((TODAY()-Q86)/365.25,1))</f>
        <v/>
      </c>
      <c r="S86" s="13">
        <f>IFERROR(VLOOKUP(O86,Assumptions!$A$7:$F$11,2,FALSE),0.25)</f>
        <v/>
      </c>
      <c r="T86" s="14">
        <f>IF(O86="A",MAX(1,IFERROR(VLOOKUP(O86,Assumptions!$A$7:$F$11,3,FALSE),3)+IFERROR(VLOOKUP(O86,Assumptions!$A$7:$F$11,4,FALSE),8)/2-MAX(0,IF(R86="",0,R86)-IFERROR(VLOOKUP(O86,Assumptions!$A$7:$F$11,5,FALSE),1.5))),IFERROR(VLOOKUP(O86,Assumptions!$A$7:$F$11,5,FALSE),2.5)+IFERROR(VLOOKUP(O86,Assumptions!$A$7:$F$11,3,FALSE),3)+IFERROR(VLOOKUP(O86,Assumptions!$A$7:$F$11,4,FALSE),8)/2)</f>
        <v/>
      </c>
      <c r="U86" s="15">
        <f>M86*S86/(1+Assumptions!$B$3)^T86</f>
        <v/>
      </c>
      <c r="V86" s="11">
        <f>IF(M86=0,"",ROUND(U86/M86*100,1))</f>
        <v/>
      </c>
      <c r="W86" s="16">
        <f>U86*Assumptions!$B$4</f>
        <v/>
      </c>
      <c r="X86" s="11">
        <f>IF(M86=0,"",ROUND(W86/M86*100,1))</f>
        <v/>
      </c>
      <c r="Y86" t="inlineStr">
        <is>
          <t>Mannes</t>
        </is>
      </c>
      <c r="Z86" t="inlineStr">
        <is>
          <t>0005010-50.2013.8.24.0026</t>
        </is>
      </c>
      <c r="AA86" t="inlineStr"/>
      <c r="AB86" t="inlineStr">
        <is>
          <t>administradorajudicialgs.com.br</t>
        </is>
      </c>
      <c r="AC86" t="inlineStr">
        <is>
          <t>HAMILCAR DOURADO PUCCI</t>
        </is>
      </c>
      <c r="AD86" t="inlineStr">
        <is>
          <t>Administrador</t>
        </is>
      </c>
      <c r="AE86" t="inlineStr">
        <is>
          <t>(16) 3111-1600</t>
        </is>
      </c>
      <c r="AF86" t="inlineStr">
        <is>
          <t>(16) 3111-1613</t>
        </is>
      </c>
      <c r="AG86" t="inlineStr"/>
      <c r="AH86" t="inlineStr">
        <is>
          <t>SP</t>
        </is>
      </c>
      <c r="AI86" t="inlineStr">
        <is>
          <t>FRANCA</t>
        </is>
      </c>
      <c r="AJ86" t="inlineStr">
        <is>
          <t>Fabricação de artefatos de borracha não especificados anteriormente</t>
        </is>
      </c>
      <c r="AK86" t="inlineStr">
        <is>
          <t>DEMAIS</t>
        </is>
      </c>
      <c r="AL86" t="inlineStr">
        <is>
          <t>ATIVA</t>
        </is>
      </c>
      <c r="AM86" s="17" t="inlineStr">
        <is>
          <t>https://administradorajudicialgs.com.br/wp-content/uploads/2024/12/relacao-de-credores-da-falida.pdf</t>
        </is>
      </c>
      <c r="AN86" s="18" t="inlineStr">
        <is>
          <t>p12 r48</t>
        </is>
      </c>
      <c r="AO86" s="18" t="inlineStr">
        <is>
          <t>p12: R$ 159.440,80</t>
        </is>
      </c>
      <c r="AP86" s="18" t="inlineStr">
        <is>
          <t>OTHER</t>
        </is>
      </c>
      <c r="AQ86" s="18" t="inlineStr">
        <is>
          <t>2025-03-25</t>
        </is>
      </c>
      <c r="AR86" s="18" t="inlineStr">
        <is>
          <t>OK_NO_TOTALS</t>
        </is>
      </c>
      <c r="AS86" s="18" t="inlineStr">
        <is>
          <t>ROWS:p12r48 UNRECONCILED_SOURCE CASE_NUMBER_CORRECTED</t>
        </is>
      </c>
      <c r="AT86" s="18" t="inlineStr">
        <is>
          <t>ea17ba43b261</t>
        </is>
      </c>
    </row>
    <row r="87">
      <c r="A87" s="9" t="n">
        <v>86</v>
      </c>
      <c r="B87" s="9" t="inlineStr">
        <is>
          <t>NEW</t>
        </is>
      </c>
      <c r="C87" s="9" t="inlineStr"/>
      <c r="D87" s="9" t="n">
        <v>0</v>
      </c>
      <c r="E87" s="9" t="inlineStr"/>
      <c r="F87" s="9" t="inlineStr"/>
      <c r="G87" s="9" t="inlineStr"/>
      <c r="H87" s="9" t="inlineStr"/>
      <c r="I87" t="inlineStr">
        <is>
          <t>ROBERT BOSCH LIMITADA</t>
        </is>
      </c>
      <c r="J87" t="inlineStr">
        <is>
          <t>Via Anhanguera, Km 98, Boa Vista, CEP nº 13.065-900, Campinas/SP</t>
        </is>
      </c>
      <c r="K87" t="inlineStr">
        <is>
          <t>45990181</t>
        </is>
      </c>
      <c r="L87" t="inlineStr">
        <is>
          <t>45990181000189</t>
        </is>
      </c>
      <c r="M87" s="10" t="n">
        <v>158211.76</v>
      </c>
      <c r="N87" t="n">
        <v>2</v>
      </c>
      <c r="O87" s="11" t="inlineStr">
        <is>
          <t>B</t>
        </is>
      </c>
      <c r="P87" s="11" t="inlineStr">
        <is>
          <t>ACTIVE</t>
        </is>
      </c>
      <c r="Q87" s="12" t="n">
        <v>45644</v>
      </c>
      <c r="R87" s="11">
        <f>IF(Q87="","",ROUND((TODAY()-Q87)/365.25,1))</f>
        <v/>
      </c>
      <c r="S87" s="13">
        <f>IFERROR(VLOOKUP(O87,Assumptions!$A$7:$F$11,2,FALSE),0.25)</f>
        <v/>
      </c>
      <c r="T87" s="14">
        <f>IF(O87="A",MAX(1,IFERROR(VLOOKUP(O87,Assumptions!$A$7:$F$11,3,FALSE),3)+IFERROR(VLOOKUP(O87,Assumptions!$A$7:$F$11,4,FALSE),8)/2-MAX(0,IF(R87="",0,R87)-IFERROR(VLOOKUP(O87,Assumptions!$A$7:$F$11,5,FALSE),1.5))),IFERROR(VLOOKUP(O87,Assumptions!$A$7:$F$11,5,FALSE),2.5)+IFERROR(VLOOKUP(O87,Assumptions!$A$7:$F$11,3,FALSE),3)+IFERROR(VLOOKUP(O87,Assumptions!$A$7:$F$11,4,FALSE),8)/2)</f>
        <v/>
      </c>
      <c r="U87" s="15">
        <f>M87*S87/(1+Assumptions!$B$3)^T87</f>
        <v/>
      </c>
      <c r="V87" s="11">
        <f>IF(M87=0,"",ROUND(U87/M87*100,1))</f>
        <v/>
      </c>
      <c r="W87" s="16">
        <f>U87*Assumptions!$B$4</f>
        <v/>
      </c>
      <c r="X87" s="11">
        <f>IF(M87=0,"",ROUND(W87/M87*100,1))</f>
        <v/>
      </c>
      <c r="Y87" t="inlineStr">
        <is>
          <t>GRUPO RIVER MUSIC</t>
        </is>
      </c>
      <c r="Z87" t="inlineStr">
        <is>
          <t>1001174-80.2024.8.26.0359</t>
        </is>
      </c>
      <c r="AA87" t="inlineStr">
        <is>
          <t>TJSP</t>
        </is>
      </c>
      <c r="AB87" t="inlineStr">
        <is>
          <t>ativosajce.com.br</t>
        </is>
      </c>
      <c r="AC87" t="inlineStr">
        <is>
          <t>ANDRE AUGUSTO GARCEZ BERTOLIN</t>
        </is>
      </c>
      <c r="AD87" t="inlineStr">
        <is>
          <t>Administrador</t>
        </is>
      </c>
      <c r="AE87" t="inlineStr">
        <is>
          <t>(19) 2103-1954</t>
        </is>
      </c>
      <c r="AF87" t="inlineStr"/>
      <c r="AG87" t="inlineStr"/>
      <c r="AH87" t="inlineStr">
        <is>
          <t>SP</t>
        </is>
      </c>
      <c r="AI87" t="inlineStr">
        <is>
          <t>CAMPINAS</t>
        </is>
      </c>
      <c r="AJ87" t="inlineStr">
        <is>
          <t>Fabricação de peças e acessórios para o sistema motor de veículos automotores</t>
        </is>
      </c>
      <c r="AK87" t="inlineStr">
        <is>
          <t>DEMAIS</t>
        </is>
      </c>
      <c r="AL87" t="inlineStr">
        <is>
          <t>ATIVA</t>
        </is>
      </c>
      <c r="AM87" s="17" t="inlineStr">
        <is>
          <t>https://ativosajce.com.br/admin/download.php?file=files/processo_documento/processo_documento18543908052025_1_.pdf&amp;nome=Relação de Credores - art. 52, §1º da Lei 11.101/05 - 27/01/2025</t>
        </is>
      </c>
      <c r="AN87" s="18" t="inlineStr">
        <is>
          <t>p3 r10; p3 r26</t>
        </is>
      </c>
      <c r="AO87" s="18" t="inlineStr">
        <is>
          <t>p3: R$ 94.042,02; p3: R$ 64.169,74</t>
        </is>
      </c>
      <c r="AP87" s="18" t="inlineStr">
        <is>
          <t>UNKNOWN</t>
        </is>
      </c>
      <c r="AQ87" s="18" t="inlineStr"/>
      <c r="AR87" s="18" t="inlineStr">
        <is>
          <t>OK_NO_TOTALS</t>
        </is>
      </c>
      <c r="AS87" s="18" t="inlineStr">
        <is>
          <t>ROWS:p3r10,p3r26 UNRECONCILED_SOURCE VALUE_COL:Valor_Do_Créidto</t>
        </is>
      </c>
      <c r="AT87" s="18" t="inlineStr">
        <is>
          <t>442539f948e0</t>
        </is>
      </c>
    </row>
    <row r="88">
      <c r="A88" s="9" t="n">
        <v>87</v>
      </c>
      <c r="B88" s="9" t="inlineStr">
        <is>
          <t>NEW</t>
        </is>
      </c>
      <c r="C88" s="9" t="inlineStr"/>
      <c r="D88" s="9" t="n">
        <v>0</v>
      </c>
      <c r="E88" s="9" t="inlineStr"/>
      <c r="F88" s="9" t="inlineStr"/>
      <c r="G88" s="9" t="inlineStr"/>
      <c r="H88" s="9" t="inlineStr"/>
      <c r="I88" t="inlineStr">
        <is>
          <t>ICONE SC COMERCIAL IMPORTADORA E EXPORTADORA LTDA</t>
        </is>
      </c>
      <c r="J88" t="inlineStr">
        <is>
          <t>ICONE SC COMERCIAL IMPORTADORA E EXPORTADORA LTDA</t>
        </is>
      </c>
      <c r="K88" t="inlineStr">
        <is>
          <t>10212986</t>
        </is>
      </c>
      <c r="L88" t="inlineStr">
        <is>
          <t>10212986000117</t>
        </is>
      </c>
      <c r="M88" s="10" t="n">
        <v>158008.88</v>
      </c>
      <c r="N88" t="n">
        <v>3</v>
      </c>
      <c r="O88" s="11" t="inlineStr">
        <is>
          <t>C</t>
        </is>
      </c>
      <c r="P88" s="11" t="inlineStr">
        <is>
          <t>ACTIVE</t>
        </is>
      </c>
      <c r="Q88" s="12" t="n">
        <v>44571</v>
      </c>
      <c r="R88" s="11">
        <f>IF(Q88="","",ROUND((TODAY()-Q88)/365.25,1))</f>
        <v/>
      </c>
      <c r="S88" s="13">
        <f>IFERROR(VLOOKUP(O88,Assumptions!$A$7:$F$11,2,FALSE),0.25)</f>
        <v/>
      </c>
      <c r="T88" s="14">
        <f>IF(O88="A",MAX(1,IFERROR(VLOOKUP(O88,Assumptions!$A$7:$F$11,3,FALSE),3)+IFERROR(VLOOKUP(O88,Assumptions!$A$7:$F$11,4,FALSE),8)/2-MAX(0,IF(R88="",0,R88)-IFERROR(VLOOKUP(O88,Assumptions!$A$7:$F$11,5,FALSE),1.5))),IFERROR(VLOOKUP(O88,Assumptions!$A$7:$F$11,5,FALSE),2.5)+IFERROR(VLOOKUP(O88,Assumptions!$A$7:$F$11,3,FALSE),3)+IFERROR(VLOOKUP(O88,Assumptions!$A$7:$F$11,4,FALSE),8)/2)</f>
        <v/>
      </c>
      <c r="U88" s="15">
        <f>M88*S88/(1+Assumptions!$B$3)^T88</f>
        <v/>
      </c>
      <c r="V88" s="11">
        <f>IF(M88=0,"",ROUND(U88/M88*100,1))</f>
        <v/>
      </c>
      <c r="W88" s="16">
        <f>U88*Assumptions!$B$4</f>
        <v/>
      </c>
      <c r="X88" s="11">
        <f>IF(M88=0,"",ROUND(W88/M88*100,1))</f>
        <v/>
      </c>
      <c r="Y88" t="inlineStr">
        <is>
          <t>GRUPO CATTAN</t>
        </is>
      </c>
      <c r="Z88" t="inlineStr">
        <is>
          <t>0002484-82.2022.8.17.2001</t>
        </is>
      </c>
      <c r="AA88" t="inlineStr">
        <is>
          <t>TJPE</t>
        </is>
      </c>
      <c r="AB88" t="inlineStr">
        <is>
          <t>lrflideres.com.br</t>
        </is>
      </c>
      <c r="AC88" t="inlineStr">
        <is>
          <t>ELIAS MARTINS</t>
        </is>
      </c>
      <c r="AD88" t="inlineStr">
        <is>
          <t>Administrador</t>
        </is>
      </c>
      <c r="AE88" t="inlineStr">
        <is>
          <t>(47) 3387-3236</t>
        </is>
      </c>
      <c r="AF88" t="inlineStr"/>
      <c r="AG88" t="inlineStr"/>
      <c r="AH88" t="inlineStr">
        <is>
          <t>SC</t>
        </is>
      </c>
      <c r="AI88" t="inlineStr">
        <is>
          <t>POMERODE</t>
        </is>
      </c>
      <c r="AJ88" t="inlineStr">
        <is>
          <t>Comércio atacadista de artigos do vestuário e acessórios, exceto profissionais e de segurança</t>
        </is>
      </c>
      <c r="AK88" t="inlineStr">
        <is>
          <t>DEMAIS</t>
        </is>
      </c>
      <c r="AL88" t="inlineStr">
        <is>
          <t>ATIVA</t>
        </is>
      </c>
      <c r="AM88" s="17" t="inlineStr">
        <is>
          <t>https://lrflideres.com.br/wp-content/plugins/download-attachments/includes/download.php?id=4023</t>
        </is>
      </c>
      <c r="AN88" s="18" t="inlineStr">
        <is>
          <t>p4 r76; p7 r101; p9 r75</t>
        </is>
      </c>
      <c r="AO88" s="18" t="inlineStr">
        <is>
          <t>p4: R$ 14.112,00; p7: R$ 119.786,84; p9: R$ 24.110,04</t>
        </is>
      </c>
      <c r="AP88" s="18" t="inlineStr">
        <is>
          <t>DEBTOR_LIST</t>
        </is>
      </c>
      <c r="AQ88" s="18" t="inlineStr"/>
      <c r="AR88" s="18" t="inlineStr">
        <is>
          <t>QUARANTINED</t>
        </is>
      </c>
      <c r="AS88" s="18" t="inlineStr">
        <is>
          <t>PARTIAL_DOC_CLASS_III_RECONCILED ROWS:p4r76,p7r101,p9r75</t>
        </is>
      </c>
      <c r="AT88" s="18" t="inlineStr">
        <is>
          <t>f3b6182e3aa2</t>
        </is>
      </c>
    </row>
    <row r="89">
      <c r="A89" s="9" t="n">
        <v>88</v>
      </c>
      <c r="B89" s="9" t="inlineStr">
        <is>
          <t>NEW</t>
        </is>
      </c>
      <c r="C89" s="9" t="inlineStr"/>
      <c r="D89" s="9" t="n">
        <v>0</v>
      </c>
      <c r="E89" s="9" t="inlineStr"/>
      <c r="F89" s="9" t="inlineStr"/>
      <c r="G89" s="9" t="inlineStr"/>
      <c r="H89" s="9" t="inlineStr"/>
      <c r="I89" t="inlineStr">
        <is>
          <t>CPF COMERCIAL DE PARAFUSOS E FERRAGENS LTDA</t>
        </is>
      </c>
      <c r="J89" t="inlineStr">
        <is>
          <t>CPF Comércio de Parafusos e Ferragens Ltda</t>
        </is>
      </c>
      <c r="K89" t="inlineStr">
        <is>
          <t>00872615</t>
        </is>
      </c>
      <c r="L89" t="inlineStr">
        <is>
          <t>00872615000108</t>
        </is>
      </c>
      <c r="M89" s="10" t="n">
        <v>156941.76</v>
      </c>
      <c r="N89" t="n">
        <v>1</v>
      </c>
      <c r="O89" s="11" t="inlineStr">
        <is>
          <t>B</t>
        </is>
      </c>
      <c r="P89" s="11" t="inlineStr"/>
      <c r="Q89" s="12" t="n">
        <v>45756</v>
      </c>
      <c r="R89" s="11">
        <f>IF(Q89="","",ROUND((TODAY()-Q89)/365.25,1))</f>
        <v/>
      </c>
      <c r="S89" s="13">
        <f>IFERROR(VLOOKUP(O89,Assumptions!$A$7:$F$11,2,FALSE),0.25)</f>
        <v/>
      </c>
      <c r="T89" s="14">
        <f>IF(O89="A",MAX(1,IFERROR(VLOOKUP(O89,Assumptions!$A$7:$F$11,3,FALSE),3)+IFERROR(VLOOKUP(O89,Assumptions!$A$7:$F$11,4,FALSE),8)/2-MAX(0,IF(R89="",0,R89)-IFERROR(VLOOKUP(O89,Assumptions!$A$7:$F$11,5,FALSE),1.5))),IFERROR(VLOOKUP(O89,Assumptions!$A$7:$F$11,5,FALSE),2.5)+IFERROR(VLOOKUP(O89,Assumptions!$A$7:$F$11,3,FALSE),3)+IFERROR(VLOOKUP(O89,Assumptions!$A$7:$F$11,4,FALSE),8)/2)</f>
        <v/>
      </c>
      <c r="U89" s="15">
        <f>M89*S89/(1+Assumptions!$B$3)^T89</f>
        <v/>
      </c>
      <c r="V89" s="11">
        <f>IF(M89=0,"",ROUND(U89/M89*100,1))</f>
        <v/>
      </c>
      <c r="W89" s="16">
        <f>U89*Assumptions!$B$4</f>
        <v/>
      </c>
      <c r="X89" s="11">
        <f>IF(M89=0,"",ROUND(W89/M89*100,1))</f>
        <v/>
      </c>
      <c r="Y89" t="inlineStr">
        <is>
          <t>GRUPO EGESA (EGESA ENG S.A, EGESUR PART E EMP S.A, MATRIX INFRA LTDA, BEMVIVER ENG AMBIENTAL E SERV LTDA, DKF CONST E EMP LTDA, EGEPEL LTDA, ETR ASSESSORIA EMP E PART LTDA, MVT ENG E SERV LTDA, PARQUES DO VALE LTDA, ELMO RIBEIRO E ANA RIBEIRO)</t>
        </is>
      </c>
      <c r="Z89" t="inlineStr">
        <is>
          <t>5088952-81.2025.8.13.0024</t>
        </is>
      </c>
      <c r="AA89" t="inlineStr">
        <is>
          <t>TJMG</t>
        </is>
      </c>
      <c r="AB89" t="inlineStr">
        <is>
          <t>scalzilliaj.com.br</t>
        </is>
      </c>
      <c r="AC89" t="inlineStr">
        <is>
          <t>MARCELO YEIRI MARINHO</t>
        </is>
      </c>
      <c r="AD89" t="inlineStr">
        <is>
          <t>Sócio-Administrador</t>
        </is>
      </c>
      <c r="AE89" t="inlineStr">
        <is>
          <t>(79) 4009-0101</t>
        </is>
      </c>
      <c r="AF89" t="inlineStr"/>
      <c r="AG89" t="inlineStr"/>
      <c r="AH89" t="inlineStr">
        <is>
          <t>SE</t>
        </is>
      </c>
      <c r="AI89" t="inlineStr">
        <is>
          <t>ARACAJU</t>
        </is>
      </c>
      <c r="AJ89" t="inlineStr">
        <is>
          <t>Fabricação de produtos de trefilados de metal padronizados</t>
        </is>
      </c>
      <c r="AK89" t="inlineStr">
        <is>
          <t>EMPRESA DE PEQUENO PORTE</t>
        </is>
      </c>
      <c r="AL89" t="inlineStr">
        <is>
          <t>ATIVA</t>
        </is>
      </c>
      <c r="AM89" s="17" t="inlineStr">
        <is>
          <t>https://scalzilliaj.com.br/sgc/download.php?file=files/processo_documento/processo_documento09514021082025_1_.pdf&amp;nome=04 - Relação de credores das Recuperandas</t>
        </is>
      </c>
      <c r="AN89" s="18" t="inlineStr">
        <is>
          <t>p64 r15</t>
        </is>
      </c>
      <c r="AO89" s="18" t="inlineStr">
        <is>
          <t>p64: R$ 156.941,76</t>
        </is>
      </c>
      <c r="AP89" s="18" t="inlineStr">
        <is>
          <t>DEBTOR_LIST</t>
        </is>
      </c>
      <c r="AQ89" s="18" t="inlineStr"/>
      <c r="AR89" s="18" t="inlineStr">
        <is>
          <t>OK</t>
        </is>
      </c>
      <c r="AS89" s="18" t="inlineStr">
        <is>
          <t>ROWS:p64r15 VALUE_COL:Valor_Atualizado CASE_NUMBER_CORRECTED CASE_FROM_PORTAL</t>
        </is>
      </c>
      <c r="AT89" s="18" t="inlineStr">
        <is>
          <t>24ed98480a57</t>
        </is>
      </c>
    </row>
    <row r="90">
      <c r="A90" s="9" t="n">
        <v>89</v>
      </c>
      <c r="B90" s="9" t="inlineStr">
        <is>
          <t>NEW</t>
        </is>
      </c>
      <c r="C90" s="9" t="inlineStr"/>
      <c r="D90" s="9" t="n">
        <v>0</v>
      </c>
      <c r="E90" s="9" t="inlineStr"/>
      <c r="F90" s="9" t="inlineStr"/>
      <c r="G90" s="9" t="inlineStr"/>
      <c r="H90" s="9" t="inlineStr"/>
      <c r="I90" t="inlineStr">
        <is>
          <t>BARRETO E SILVA ADVOGADOS</t>
        </is>
      </c>
      <c r="J90" t="inlineStr">
        <is>
          <t>Barreto e Silva Advogados</t>
        </is>
      </c>
      <c r="K90" t="inlineStr">
        <is>
          <t>10821493</t>
        </is>
      </c>
      <c r="L90" t="inlineStr">
        <is>
          <t>10821493000184</t>
        </is>
      </c>
      <c r="M90" s="10" t="n">
        <v>156926.63</v>
      </c>
      <c r="N90" t="n">
        <v>2</v>
      </c>
      <c r="O90" s="11" t="inlineStr">
        <is>
          <t>B</t>
        </is>
      </c>
      <c r="P90" s="11" t="inlineStr"/>
      <c r="Q90" s="12" t="n">
        <v>45756</v>
      </c>
      <c r="R90" s="11">
        <f>IF(Q90="","",ROUND((TODAY()-Q90)/365.25,1))</f>
        <v/>
      </c>
      <c r="S90" s="13">
        <f>IFERROR(VLOOKUP(O90,Assumptions!$A$7:$F$11,2,FALSE),0.25)</f>
        <v/>
      </c>
      <c r="T90" s="14">
        <f>IF(O90="A",MAX(1,IFERROR(VLOOKUP(O90,Assumptions!$A$7:$F$11,3,FALSE),3)+IFERROR(VLOOKUP(O90,Assumptions!$A$7:$F$11,4,FALSE),8)/2-MAX(0,IF(R90="",0,R90)-IFERROR(VLOOKUP(O90,Assumptions!$A$7:$F$11,5,FALSE),1.5))),IFERROR(VLOOKUP(O90,Assumptions!$A$7:$F$11,5,FALSE),2.5)+IFERROR(VLOOKUP(O90,Assumptions!$A$7:$F$11,3,FALSE),3)+IFERROR(VLOOKUP(O90,Assumptions!$A$7:$F$11,4,FALSE),8)/2)</f>
        <v/>
      </c>
      <c r="U90" s="15">
        <f>M90*S90/(1+Assumptions!$B$3)^T90</f>
        <v/>
      </c>
      <c r="V90" s="11">
        <f>IF(M90=0,"",ROUND(U90/M90*100,1))</f>
        <v/>
      </c>
      <c r="W90" s="16">
        <f>U90*Assumptions!$B$4</f>
        <v/>
      </c>
      <c r="X90" s="11">
        <f>IF(M90=0,"",ROUND(W90/M90*100,1))</f>
        <v/>
      </c>
      <c r="Y90" t="inlineStr">
        <is>
          <t>GRUPO EGESA (EGESA ENG S.A, EGESUR PART E EMP S.A, MATRIX INFRA LTDA, BEMVIVER ENG AMBIENTAL E SERV LTDA, DKF CONST E EMP LTDA, EGEPEL LTDA, ETR ASSESSORIA EMP E PART LTDA, MVT ENG E SERV LTDA, PARQUES DO VALE LTDA, ELMO RIBEIRO E ANA RIBEIRO)</t>
        </is>
      </c>
      <c r="Z90" t="inlineStr">
        <is>
          <t>5088952-81.2025.8.13.0024</t>
        </is>
      </c>
      <c r="AA90" t="inlineStr">
        <is>
          <t>TJMG</t>
        </is>
      </c>
      <c r="AB90" t="inlineStr">
        <is>
          <t>scalzilliaj.com.br</t>
        </is>
      </c>
      <c r="AC90" t="inlineStr">
        <is>
          <t>WANDER CASSIO BARRETO E SILVA</t>
        </is>
      </c>
      <c r="AD90" t="inlineStr">
        <is>
          <t>Sócio-Administrador</t>
        </is>
      </c>
      <c r="AE90" t="inlineStr">
        <is>
          <t>(31) 3194-2600</t>
        </is>
      </c>
      <c r="AF90" t="inlineStr"/>
      <c r="AG90" t="inlineStr"/>
      <c r="AH90" t="inlineStr">
        <is>
          <t>MG</t>
        </is>
      </c>
      <c r="AI90" t="inlineStr">
        <is>
          <t>BELO HORIZONTE</t>
        </is>
      </c>
      <c r="AJ90" t="inlineStr">
        <is>
          <t>Serviços advocatícios</t>
        </is>
      </c>
      <c r="AK90" t="inlineStr">
        <is>
          <t>DEMAIS</t>
        </is>
      </c>
      <c r="AL90" t="inlineStr">
        <is>
          <t>ATIVA</t>
        </is>
      </c>
      <c r="AM90" s="17" t="inlineStr">
        <is>
          <t>https://scalzilliaj.com.br/sgc/download.php?file=files/processo_documento/processo_documento09514021082025_1_.pdf&amp;nome=04 - Relação de credores das Recuperandas</t>
        </is>
      </c>
      <c r="AN90" s="18" t="inlineStr">
        <is>
          <t>p63 r5; p63 r6</t>
        </is>
      </c>
      <c r="AO90" s="18" t="inlineStr">
        <is>
          <t>p63: R$ 83.134,71; p63: R$ 73.791,92</t>
        </is>
      </c>
      <c r="AP90" s="18" t="inlineStr">
        <is>
          <t>DEBTOR_LIST</t>
        </is>
      </c>
      <c r="AQ90" s="18" t="inlineStr"/>
      <c r="AR90" s="18" t="inlineStr">
        <is>
          <t>OK</t>
        </is>
      </c>
      <c r="AS90" s="18" t="inlineStr">
        <is>
          <t>ROWS:p63r5,p63r6 VALUE_COL:Valor_Atualizado CASE_NUMBER_CORRECTED CASE_FROM_PORTAL</t>
        </is>
      </c>
      <c r="AT90" s="18" t="inlineStr">
        <is>
          <t>24ed98480a57</t>
        </is>
      </c>
    </row>
    <row r="91">
      <c r="A91" s="9" t="n">
        <v>90</v>
      </c>
      <c r="B91" s="9" t="inlineStr">
        <is>
          <t>NEW</t>
        </is>
      </c>
      <c r="C91" s="9" t="inlineStr"/>
      <c r="D91" s="9" t="n">
        <v>0</v>
      </c>
      <c r="E91" s="9" t="inlineStr"/>
      <c r="F91" s="9" t="inlineStr"/>
      <c r="G91" s="9" t="inlineStr"/>
      <c r="H91" s="9" t="inlineStr"/>
      <c r="I91" t="inlineStr">
        <is>
          <t>PETRONAS LUBRIFICANTES BRASIL S.A</t>
        </is>
      </c>
      <c r="J91" t="inlineStr">
        <is>
          <t>RUA TRAJANO DE ARAUJO,2500 - CONTAGEM-MG - CEP 32010-090</t>
        </is>
      </c>
      <c r="K91" t="inlineStr">
        <is>
          <t>03613421</t>
        </is>
      </c>
      <c r="L91" t="inlineStr">
        <is>
          <t>03613421000186</t>
        </is>
      </c>
      <c r="M91" s="10" t="n">
        <v>156605.75</v>
      </c>
      <c r="N91" t="n">
        <v>1</v>
      </c>
      <c r="O91" s="11" t="inlineStr">
        <is>
          <t>U</t>
        </is>
      </c>
      <c r="P91" s="11" t="inlineStr"/>
      <c r="Q91" s="12" t="inlineStr"/>
      <c r="R91" s="11">
        <f>IF(Q91="","",ROUND((TODAY()-Q91)/365.25,1))</f>
        <v/>
      </c>
      <c r="S91" s="13">
        <f>IFERROR(VLOOKUP(O91,Assumptions!$A$7:$F$11,2,FALSE),0.25)</f>
        <v/>
      </c>
      <c r="T91" s="14">
        <f>IF(O91="A",MAX(1,IFERROR(VLOOKUP(O91,Assumptions!$A$7:$F$11,3,FALSE),3)+IFERROR(VLOOKUP(O91,Assumptions!$A$7:$F$11,4,FALSE),8)/2-MAX(0,IF(R91="",0,R91)-IFERROR(VLOOKUP(O91,Assumptions!$A$7:$F$11,5,FALSE),1.5))),IFERROR(VLOOKUP(O91,Assumptions!$A$7:$F$11,5,FALSE),2.5)+IFERROR(VLOOKUP(O91,Assumptions!$A$7:$F$11,3,FALSE),3)+IFERROR(VLOOKUP(O91,Assumptions!$A$7:$F$11,4,FALSE),8)/2)</f>
        <v/>
      </c>
      <c r="U91" s="15">
        <f>M91*S91/(1+Assumptions!$B$3)^T91</f>
        <v/>
      </c>
      <c r="V91" s="11">
        <f>IF(M91=0,"",ROUND(U91/M91*100,1))</f>
        <v/>
      </c>
      <c r="W91" s="16">
        <f>U91*Assumptions!$B$4</f>
        <v/>
      </c>
      <c r="X91" s="11">
        <f>IF(M91=0,"",ROUND(W91/M91*100,1))</f>
        <v/>
      </c>
      <c r="Y91" t="inlineStr">
        <is>
          <t>Base</t>
        </is>
      </c>
      <c r="Z91" t="inlineStr">
        <is>
          <t>(not found in document)</t>
        </is>
      </c>
      <c r="AA91" t="inlineStr"/>
      <c r="AB91" t="inlineStr">
        <is>
          <t>ajruiz.com.br</t>
        </is>
      </c>
      <c r="AC91" t="inlineStr">
        <is>
          <t>ROGERIO HENRIQUE LUDORF</t>
        </is>
      </c>
      <c r="AD91" t="inlineStr">
        <is>
          <t>Presidente</t>
        </is>
      </c>
      <c r="AE91" t="inlineStr">
        <is>
          <t>(31) 3506-9100</t>
        </is>
      </c>
      <c r="AF91" t="inlineStr">
        <is>
          <t>(31) 3506-9111</t>
        </is>
      </c>
      <c r="AG91" t="inlineStr"/>
      <c r="AH91" t="inlineStr">
        <is>
          <t>MG</t>
        </is>
      </c>
      <c r="AI91" t="inlineStr">
        <is>
          <t>CONTAGEM</t>
        </is>
      </c>
      <c r="AJ91" t="inlineStr">
        <is>
          <t>Fabricação de outros produtos derivados do petróleo, exceto produtos do refino</t>
        </is>
      </c>
      <c r="AK91" t="inlineStr">
        <is>
          <t>DEMAIS</t>
        </is>
      </c>
      <c r="AL91" t="inlineStr">
        <is>
          <t>ATIVA</t>
        </is>
      </c>
      <c r="AM91" s="17" t="inlineStr">
        <is>
          <t>https://ajruiz.com.br/sites/default/files/public/arquivos-processos/2023-11/4_relacao_de_credores_analitica_art._51_iii_da_lre.pdf</t>
        </is>
      </c>
      <c r="AN91" s="18" t="inlineStr">
        <is>
          <t>p3 r44</t>
        </is>
      </c>
      <c r="AO91" s="18" t="inlineStr">
        <is>
          <t>p3: R$ 156.605,75</t>
        </is>
      </c>
      <c r="AP91" s="18" t="inlineStr">
        <is>
          <t>UNKNOWN</t>
        </is>
      </c>
      <c r="AQ91" s="18" t="inlineStr"/>
      <c r="AR91" s="18" t="inlineStr">
        <is>
          <t>OK</t>
        </is>
      </c>
      <c r="AS91" s="18" t="inlineStr">
        <is>
          <t>ROWS:p3r44 CASE_NUMBER_CORRECTED</t>
        </is>
      </c>
      <c r="AT91" s="18" t="inlineStr">
        <is>
          <t>2407a56c3502</t>
        </is>
      </c>
    </row>
    <row r="92">
      <c r="A92" s="9" t="n">
        <v>91</v>
      </c>
      <c r="B92" s="9" t="inlineStr">
        <is>
          <t>NEW</t>
        </is>
      </c>
      <c r="C92" s="9" t="inlineStr"/>
      <c r="D92" s="9" t="n">
        <v>0</v>
      </c>
      <c r="E92" s="9" t="inlineStr"/>
      <c r="F92" s="9" t="inlineStr"/>
      <c r="G92" s="9" t="inlineStr"/>
      <c r="H92" s="9" t="inlineStr"/>
      <c r="I92" t="inlineStr">
        <is>
          <t>JPOL DISTRIBUIDORA DE PLASTICO LTDA</t>
        </is>
      </c>
      <c r="J92" t="inlineStr">
        <is>
          <t>JPOL DISTRIBUIDORA DE PLASTICO LTDA</t>
        </is>
      </c>
      <c r="K92" t="inlineStr">
        <is>
          <t>43296808</t>
        </is>
      </c>
      <c r="L92" t="inlineStr">
        <is>
          <t>43296808000170</t>
        </is>
      </c>
      <c r="M92" s="10" t="n">
        <v>155925</v>
      </c>
      <c r="N92" t="n">
        <v>1</v>
      </c>
      <c r="O92" s="11" t="inlineStr">
        <is>
          <t>B</t>
        </is>
      </c>
      <c r="P92" s="11" t="inlineStr"/>
      <c r="Q92" s="12" t="inlineStr"/>
      <c r="R92" s="11">
        <f>IF(Q92="","",ROUND((TODAY()-Q92)/365.25,1))</f>
        <v/>
      </c>
      <c r="S92" s="13">
        <f>IFERROR(VLOOKUP(O92,Assumptions!$A$7:$F$11,2,FALSE),0.25)</f>
        <v/>
      </c>
      <c r="T92" s="14">
        <f>IF(O92="A",MAX(1,IFERROR(VLOOKUP(O92,Assumptions!$A$7:$F$11,3,FALSE),3)+IFERROR(VLOOKUP(O92,Assumptions!$A$7:$F$11,4,FALSE),8)/2-MAX(0,IF(R92="",0,R92)-IFERROR(VLOOKUP(O92,Assumptions!$A$7:$F$11,5,FALSE),1.5))),IFERROR(VLOOKUP(O92,Assumptions!$A$7:$F$11,5,FALSE),2.5)+IFERROR(VLOOKUP(O92,Assumptions!$A$7:$F$11,3,FALSE),3)+IFERROR(VLOOKUP(O92,Assumptions!$A$7:$F$11,4,FALSE),8)/2)</f>
        <v/>
      </c>
      <c r="U92" s="15">
        <f>M92*S92/(1+Assumptions!$B$3)^T92</f>
        <v/>
      </c>
      <c r="V92" s="11">
        <f>IF(M92=0,"",ROUND(U92/M92*100,1))</f>
        <v/>
      </c>
      <c r="W92" s="16">
        <f>U92*Assumptions!$B$4</f>
        <v/>
      </c>
      <c r="X92" s="11">
        <f>IF(M92=0,"",ROUND(W92/M92*100,1))</f>
        <v/>
      </c>
      <c r="Y92" t="inlineStr">
        <is>
          <t>Base</t>
        </is>
      </c>
      <c r="Z92" t="inlineStr">
        <is>
          <t>1022634-27.2024.8.26.0100</t>
        </is>
      </c>
      <c r="AA92" t="inlineStr"/>
      <c r="AB92" t="inlineStr">
        <is>
          <t>ajruiz.com.br</t>
        </is>
      </c>
      <c r="AC92" t="inlineStr">
        <is>
          <t>JOSEPH SAFDIE</t>
        </is>
      </c>
      <c r="AD92" t="inlineStr">
        <is>
          <t>Sócio-Administrador</t>
        </is>
      </c>
      <c r="AE92" t="inlineStr">
        <is>
          <t>(11) 3514-8710</t>
        </is>
      </c>
      <c r="AF92" t="inlineStr"/>
      <c r="AG92" t="inlineStr"/>
      <c r="AH92" t="inlineStr">
        <is>
          <t>SP</t>
        </is>
      </c>
      <c r="AI92" t="inlineStr">
        <is>
          <t>SAO PAULO</t>
        </is>
      </c>
      <c r="AJ92" t="inlineStr">
        <is>
          <t>Comércio atacadista de resinas e elastômeros</t>
        </is>
      </c>
      <c r="AK92" t="inlineStr">
        <is>
          <t>DEMAIS</t>
        </is>
      </c>
      <c r="AL92" t="inlineStr">
        <is>
          <t>ATIVA</t>
        </is>
      </c>
      <c r="AM92" s="17" t="inlineStr">
        <is>
          <t>https://ajruiz.com.br/sites/default/files/public/arquivos-processos/2024-04/relacao_de_credores_recuperanda_1.pdf</t>
        </is>
      </c>
      <c r="AN92" s="18" t="inlineStr">
        <is>
          <t>p6 r10</t>
        </is>
      </c>
      <c r="AO92" s="18" t="inlineStr">
        <is>
          <t>p6: R$ 155.925,00</t>
        </is>
      </c>
      <c r="AP92" s="18" t="inlineStr">
        <is>
          <t>QGC</t>
        </is>
      </c>
      <c r="AQ92" s="18" t="inlineStr">
        <is>
          <t>2024-01-31</t>
        </is>
      </c>
      <c r="AR92" s="18" t="inlineStr">
        <is>
          <t>OK</t>
        </is>
      </c>
      <c r="AS92" s="18" t="inlineStr">
        <is>
          <t>ROWS:p6r10 CASE_NUMBER_CORRECTED</t>
        </is>
      </c>
      <c r="AT92" s="18" t="inlineStr">
        <is>
          <t>380922480f80</t>
        </is>
      </c>
    </row>
    <row r="93">
      <c r="A93" s="9" t="n">
        <v>92</v>
      </c>
      <c r="B93" s="9" t="inlineStr">
        <is>
          <t>NEW</t>
        </is>
      </c>
      <c r="C93" s="9" t="inlineStr"/>
      <c r="D93" s="9" t="n">
        <v>0</v>
      </c>
      <c r="E93" s="9" t="inlineStr"/>
      <c r="F93" s="9" t="inlineStr"/>
      <c r="G93" s="9" t="inlineStr"/>
      <c r="H93" s="9" t="inlineStr"/>
      <c r="I93" t="inlineStr">
        <is>
          <t>SIAGRI SISTEMAS DE GESTAO LTDA</t>
        </is>
      </c>
      <c r="J93" t="inlineStr">
        <is>
          <t>SIAGRI SISTEMAS DE GESTAO LTDA</t>
        </is>
      </c>
      <c r="K93" t="inlineStr">
        <is>
          <t>02435301</t>
        </is>
      </c>
      <c r="L93" t="inlineStr">
        <is>
          <t>02435301000416</t>
        </is>
      </c>
      <c r="M93" s="10" t="n">
        <v>155266.23</v>
      </c>
      <c r="N93" t="n">
        <v>1</v>
      </c>
      <c r="O93" s="11" t="inlineStr">
        <is>
          <t>B</t>
        </is>
      </c>
      <c r="P93" s="11" t="inlineStr">
        <is>
          <t>ACTIVE</t>
        </is>
      </c>
      <c r="Q93" s="12" t="n">
        <v>45845</v>
      </c>
      <c r="R93" s="11">
        <f>IF(Q93="","",ROUND((TODAY()-Q93)/365.25,1))</f>
        <v/>
      </c>
      <c r="S93" s="13">
        <f>IFERROR(VLOOKUP(O93,Assumptions!$A$7:$F$11,2,FALSE),0.25)</f>
        <v/>
      </c>
      <c r="T93" s="14">
        <f>IF(O93="A",MAX(1,IFERROR(VLOOKUP(O93,Assumptions!$A$7:$F$11,3,FALSE),3)+IFERROR(VLOOKUP(O93,Assumptions!$A$7:$F$11,4,FALSE),8)/2-MAX(0,IF(R93="",0,R93)-IFERROR(VLOOKUP(O93,Assumptions!$A$7:$F$11,5,FALSE),1.5))),IFERROR(VLOOKUP(O93,Assumptions!$A$7:$F$11,5,FALSE),2.5)+IFERROR(VLOOKUP(O93,Assumptions!$A$7:$F$11,3,FALSE),3)+IFERROR(VLOOKUP(O93,Assumptions!$A$7:$F$11,4,FALSE),8)/2)</f>
        <v/>
      </c>
      <c r="U93" s="15">
        <f>M93*S93/(1+Assumptions!$B$3)^T93</f>
        <v/>
      </c>
      <c r="V93" s="11">
        <f>IF(M93=0,"",ROUND(U93/M93*100,1))</f>
        <v/>
      </c>
      <c r="W93" s="16">
        <f>U93*Assumptions!$B$4</f>
        <v/>
      </c>
      <c r="X93" s="11">
        <f>IF(M93=0,"",ROUND(W93/M93*100,1))</f>
        <v/>
      </c>
      <c r="Y93" t="inlineStr">
        <is>
          <t>SOJAL COMERCIAL AGRICOLA LTDA e OUTROS</t>
        </is>
      </c>
      <c r="Z93" t="inlineStr">
        <is>
          <t>0804401-51.2025.8.14.0039</t>
        </is>
      </c>
      <c r="AA93" t="inlineStr">
        <is>
          <t>TJPA</t>
        </is>
      </c>
      <c r="AB93" t="inlineStr">
        <is>
          <t>lrflideres.com.br</t>
        </is>
      </c>
      <c r="AC93" t="inlineStr">
        <is>
          <t>CARLOS ANTONIO BARBOSA</t>
        </is>
      </c>
      <c r="AD93" t="inlineStr">
        <is>
          <t>Administrador</t>
        </is>
      </c>
      <c r="AE93" t="inlineStr">
        <is>
          <t>(64) 3620-1550</t>
        </is>
      </c>
      <c r="AF93" t="inlineStr">
        <is>
          <t>(64) 3620-1500</t>
        </is>
      </c>
      <c r="AG93" t="inlineStr"/>
      <c r="AH93" t="inlineStr">
        <is>
          <t>GO</t>
        </is>
      </c>
      <c r="AI93" t="inlineStr">
        <is>
          <t>RIO VERDE</t>
        </is>
      </c>
      <c r="AJ93" t="inlineStr">
        <is>
          <t>Desenvolvimento e licenciamento de programas de computador customizáveis</t>
        </is>
      </c>
      <c r="AK93" t="inlineStr">
        <is>
          <t>DEMAIS</t>
        </is>
      </c>
      <c r="AL93" t="inlineStr">
        <is>
          <t>ATIVA</t>
        </is>
      </c>
      <c r="AM93" s="17" t="inlineStr">
        <is>
          <t>https://lrflideres.com.br/wp-content/plugins/download-attachments/includes/download.php?id=6879</t>
        </is>
      </c>
      <c r="AN93" s="18" t="inlineStr">
        <is>
          <t>p2 r8</t>
        </is>
      </c>
      <c r="AO93" s="18" t="inlineStr">
        <is>
          <t>p2: R$ 155.266,23</t>
        </is>
      </c>
      <c r="AP93" s="18" t="inlineStr">
        <is>
          <t>AJ_LIST</t>
        </is>
      </c>
      <c r="AQ93" s="18" t="inlineStr">
        <is>
          <t>2026-01-15</t>
        </is>
      </c>
      <c r="AR93" s="18" t="inlineStr">
        <is>
          <t>OK</t>
        </is>
      </c>
      <c r="AS93" s="18" t="inlineStr">
        <is>
          <t>ROWS:p2r8</t>
        </is>
      </c>
      <c r="AT93" s="18" t="inlineStr">
        <is>
          <t>c56751547323</t>
        </is>
      </c>
    </row>
    <row r="94">
      <c r="A94" s="9" t="n">
        <v>93</v>
      </c>
      <c r="B94" s="9" t="inlineStr">
        <is>
          <t>NEW</t>
        </is>
      </c>
      <c r="C94" s="9" t="inlineStr"/>
      <c r="D94" s="9" t="n">
        <v>0</v>
      </c>
      <c r="E94" s="9" t="inlineStr"/>
      <c r="F94" s="9" t="inlineStr"/>
      <c r="G94" s="9" t="inlineStr"/>
      <c r="H94" s="9" t="inlineStr"/>
      <c r="I94" t="inlineStr">
        <is>
          <t>COPEL DISTRIBUICAO S.A.</t>
        </is>
      </c>
      <c r="J94" t="inlineStr">
        <is>
          <t>e Copel Distribuição S.A.</t>
        </is>
      </c>
      <c r="K94" t="inlineStr">
        <is>
          <t>04368898</t>
        </is>
      </c>
      <c r="L94" t="inlineStr">
        <is>
          <t>04368898000106</t>
        </is>
      </c>
      <c r="M94" s="10" t="n">
        <v>154741.41</v>
      </c>
      <c r="N94" t="n">
        <v>1</v>
      </c>
      <c r="O94" s="11" t="inlineStr">
        <is>
          <t>C</t>
        </is>
      </c>
      <c r="P94" s="11" t="inlineStr">
        <is>
          <t>ACTIVE</t>
        </is>
      </c>
      <c r="Q94" s="12" t="n">
        <v>44218</v>
      </c>
      <c r="R94" s="11">
        <f>IF(Q94="","",ROUND((TODAY()-Q94)/365.25,1))</f>
        <v/>
      </c>
      <c r="S94" s="13">
        <f>IFERROR(VLOOKUP(O94,Assumptions!$A$7:$F$11,2,FALSE),0.25)</f>
        <v/>
      </c>
      <c r="T94" s="14">
        <f>IF(O94="A",MAX(1,IFERROR(VLOOKUP(O94,Assumptions!$A$7:$F$11,3,FALSE),3)+IFERROR(VLOOKUP(O94,Assumptions!$A$7:$F$11,4,FALSE),8)/2-MAX(0,IF(R94="",0,R94)-IFERROR(VLOOKUP(O94,Assumptions!$A$7:$F$11,5,FALSE),1.5))),IFERROR(VLOOKUP(O94,Assumptions!$A$7:$F$11,5,FALSE),2.5)+IFERROR(VLOOKUP(O94,Assumptions!$A$7:$F$11,3,FALSE),3)+IFERROR(VLOOKUP(O94,Assumptions!$A$7:$F$11,4,FALSE),8)/2)</f>
        <v/>
      </c>
      <c r="U94" s="15">
        <f>M94*S94/(1+Assumptions!$B$3)^T94</f>
        <v/>
      </c>
      <c r="V94" s="11">
        <f>IF(M94=0,"",ROUND(U94/M94*100,1))</f>
        <v/>
      </c>
      <c r="W94" s="16">
        <f>U94*Assumptions!$B$4</f>
        <v/>
      </c>
      <c r="X94" s="11">
        <f>IF(M94=0,"",ROUND(W94/M94*100,1))</f>
        <v/>
      </c>
      <c r="Y94" t="inlineStr">
        <is>
          <t>FORMAPLAN FORMAS PLANEJADAS INDÚSTRIA E COMÉRCIO LTDA</t>
        </is>
      </c>
      <c r="Z94" t="inlineStr">
        <is>
          <t>0000410-68.2021.8.16.0174</t>
        </is>
      </c>
      <c r="AA94" t="inlineStr">
        <is>
          <t>TJPR</t>
        </is>
      </c>
      <c r="AB94" t="inlineStr">
        <is>
          <t>marquesadmjudicial.com.br</t>
        </is>
      </c>
      <c r="AC94" t="inlineStr">
        <is>
          <t>DENIS MOLLICA</t>
        </is>
      </c>
      <c r="AD94" t="inlineStr">
        <is>
          <t>Presidente</t>
        </is>
      </c>
      <c r="AE94" t="inlineStr">
        <is>
          <t>(41) 3331-4141</t>
        </is>
      </c>
      <c r="AF94" t="inlineStr">
        <is>
          <t>(41) 3322-3535</t>
        </is>
      </c>
      <c r="AG94" t="inlineStr"/>
      <c r="AH94" t="inlineStr">
        <is>
          <t>PR</t>
        </is>
      </c>
      <c r="AI94" t="inlineStr">
        <is>
          <t>CURITIBA</t>
        </is>
      </c>
      <c r="AJ94" t="inlineStr">
        <is>
          <t>Distribuição de energia elétrica</t>
        </is>
      </c>
      <c r="AK94" t="inlineStr">
        <is>
          <t>DEMAIS</t>
        </is>
      </c>
      <c r="AL94" t="inlineStr">
        <is>
          <t>ATIVA</t>
        </is>
      </c>
      <c r="AM94" s="17" t="inlineStr">
        <is>
          <t>https://marquesadmjudicial.com.br/sgc/download.php?file=files/processo_documento/processo_documento15232121112024_1_.pdf&amp;nome=Relação de Credores</t>
        </is>
      </c>
      <c r="AN94" s="18" t="inlineStr">
        <is>
          <t>p13 r21</t>
        </is>
      </c>
      <c r="AO94" s="18" t="inlineStr">
        <is>
          <t>p13: R$ 154.741,41</t>
        </is>
      </c>
      <c r="AP94" s="18" t="inlineStr">
        <is>
          <t>AJ_LIST</t>
        </is>
      </c>
      <c r="AQ94" s="18" t="inlineStr">
        <is>
          <t>2021-01-22</t>
        </is>
      </c>
      <c r="AR94" s="18" t="inlineStr">
        <is>
          <t>QUARANTINED</t>
        </is>
      </c>
      <c r="AS94" s="18" t="inlineStr">
        <is>
          <t>PARTIAL_DOC_CLASS_III_RECONCILED ROWS:p13r21</t>
        </is>
      </c>
      <c r="AT94" s="18" t="inlineStr">
        <is>
          <t>b1a9f73b4c11</t>
        </is>
      </c>
    </row>
    <row r="95">
      <c r="A95" s="9" t="n">
        <v>94</v>
      </c>
      <c r="B95" s="9" t="inlineStr">
        <is>
          <t>NEW</t>
        </is>
      </c>
      <c r="C95" s="9" t="inlineStr"/>
      <c r="D95" s="9" t="n">
        <v>0</v>
      </c>
      <c r="E95" s="9" t="inlineStr"/>
      <c r="F95" s="9" t="inlineStr"/>
      <c r="G95" s="9" t="inlineStr"/>
      <c r="H95" s="9" t="inlineStr"/>
      <c r="I95" t="inlineStr">
        <is>
          <t>MILLS LOCACAO, SERVICOS E LOGISTICA S.A.</t>
        </is>
      </c>
      <c r="J95" t="inlineStr">
        <is>
          <t>Mills Estruturas e Serviços de Engenharia S/A</t>
        </is>
      </c>
      <c r="K95" t="inlineStr">
        <is>
          <t>27093558</t>
        </is>
      </c>
      <c r="L95" t="inlineStr">
        <is>
          <t>27093558001430</t>
        </is>
      </c>
      <c r="M95" s="10" t="n">
        <v>153156.39</v>
      </c>
      <c r="N95" t="n">
        <v>1</v>
      </c>
      <c r="O95" s="11" t="inlineStr">
        <is>
          <t>B</t>
        </is>
      </c>
      <c r="P95" s="11" t="inlineStr"/>
      <c r="Q95" s="12" t="n">
        <v>45756</v>
      </c>
      <c r="R95" s="11">
        <f>IF(Q95="","",ROUND((TODAY()-Q95)/365.25,1))</f>
        <v/>
      </c>
      <c r="S95" s="13">
        <f>IFERROR(VLOOKUP(O95,Assumptions!$A$7:$F$11,2,FALSE),0.25)</f>
        <v/>
      </c>
      <c r="T95" s="14">
        <f>IF(O95="A",MAX(1,IFERROR(VLOOKUP(O95,Assumptions!$A$7:$F$11,3,FALSE),3)+IFERROR(VLOOKUP(O95,Assumptions!$A$7:$F$11,4,FALSE),8)/2-MAX(0,IF(R95="",0,R95)-IFERROR(VLOOKUP(O95,Assumptions!$A$7:$F$11,5,FALSE),1.5))),IFERROR(VLOOKUP(O95,Assumptions!$A$7:$F$11,5,FALSE),2.5)+IFERROR(VLOOKUP(O95,Assumptions!$A$7:$F$11,3,FALSE),3)+IFERROR(VLOOKUP(O95,Assumptions!$A$7:$F$11,4,FALSE),8)/2)</f>
        <v/>
      </c>
      <c r="U95" s="15">
        <f>M95*S95/(1+Assumptions!$B$3)^T95</f>
        <v/>
      </c>
      <c r="V95" s="11">
        <f>IF(M95=0,"",ROUND(U95/M95*100,1))</f>
        <v/>
      </c>
      <c r="W95" s="16">
        <f>U95*Assumptions!$B$4</f>
        <v/>
      </c>
      <c r="X95" s="11">
        <f>IF(M95=0,"",ROUND(W95/M95*100,1))</f>
        <v/>
      </c>
      <c r="Y95" t="inlineStr">
        <is>
          <t>GRUPO EGESA (EGESA ENG S.A, EGESUR PART E EMP S.A, MATRIX INFRA LTDA, BEMVIVER ENG AMBIENTAL E SERV LTDA, DKF CONST E EMP LTDA, EGEPEL LTDA, ETR ASSESSORIA EMP E PART LTDA, MVT ENG E SERV LTDA, PARQUES DO VALE LTDA, ELMO RIBEIRO E ANA RIBEIRO)</t>
        </is>
      </c>
      <c r="Z95" t="inlineStr">
        <is>
          <t>5088952-81.2025.8.13.0024</t>
        </is>
      </c>
      <c r="AA95" t="inlineStr">
        <is>
          <t>TJMG</t>
        </is>
      </c>
      <c r="AB95" t="inlineStr">
        <is>
          <t>scalzilliaj.com.br</t>
        </is>
      </c>
      <c r="AC95" t="inlineStr">
        <is>
          <t>SERGIO KARIYA</t>
        </is>
      </c>
      <c r="AD95" t="inlineStr">
        <is>
          <t>Presidente</t>
        </is>
      </c>
      <c r="AE95" t="inlineStr">
        <is>
          <t>(21) 3924-8700</t>
        </is>
      </c>
      <c r="AF95" t="inlineStr">
        <is>
          <t>(11) 5430-6490</t>
        </is>
      </c>
      <c r="AG95" t="inlineStr"/>
      <c r="AH95" t="inlineStr">
        <is>
          <t>SP</t>
        </is>
      </c>
      <c r="AI95" t="inlineStr">
        <is>
          <t>SAO PAULO</t>
        </is>
      </c>
      <c r="AJ95" t="inlineStr">
        <is>
          <t>Aluguel de outras máquinas e equipamentos comerciais e industriais não especificados anteriormente, sem operador</t>
        </is>
      </c>
      <c r="AK95" t="inlineStr">
        <is>
          <t>DEMAIS</t>
        </is>
      </c>
      <c r="AL95" t="inlineStr">
        <is>
          <t>ATIVA</t>
        </is>
      </c>
      <c r="AM95" s="17" t="inlineStr">
        <is>
          <t>https://scalzilliaj.com.br/sgc/download.php?file=files/processo_documento/processo_documento09514021082025_1_.pdf&amp;nome=04 - Relação de credores das Recuperandas</t>
        </is>
      </c>
      <c r="AN95" s="18" t="inlineStr">
        <is>
          <t>p70 r1</t>
        </is>
      </c>
      <c r="AO95" s="18" t="inlineStr">
        <is>
          <t>p70: R$ 153.156,39</t>
        </is>
      </c>
      <c r="AP95" s="18" t="inlineStr">
        <is>
          <t>DEBTOR_LIST</t>
        </is>
      </c>
      <c r="AQ95" s="18" t="inlineStr"/>
      <c r="AR95" s="18" t="inlineStr">
        <is>
          <t>OK</t>
        </is>
      </c>
      <c r="AS95" s="18" t="inlineStr">
        <is>
          <t>ROWS:p70r1 VALUE_COL:Valor_Atualizado CASE_NUMBER_CORRECTED CASE_FROM_PORTAL</t>
        </is>
      </c>
      <c r="AT95" s="18" t="inlineStr">
        <is>
          <t>24ed98480a57</t>
        </is>
      </c>
    </row>
    <row r="96">
      <c r="A96" s="9" t="n">
        <v>95</v>
      </c>
      <c r="B96" s="9" t="inlineStr">
        <is>
          <t>NEW</t>
        </is>
      </c>
      <c r="C96" s="9" t="inlineStr"/>
      <c r="D96" s="9" t="n">
        <v>0</v>
      </c>
      <c r="E96" s="9" t="inlineStr"/>
      <c r="F96" s="9" t="inlineStr"/>
      <c r="G96" s="9" t="inlineStr"/>
      <c r="H96" s="9" t="inlineStr"/>
      <c r="I96" t="inlineStr">
        <is>
          <t>STA - DISTRIBUIDORA DE ALIMENTOS LTDA</t>
        </is>
      </c>
      <c r="J96" t="inlineStr">
        <is>
          <t>Sta Distribuidora De Alimentos Ltda.</t>
        </is>
      </c>
      <c r="K96" t="inlineStr">
        <is>
          <t>07546521</t>
        </is>
      </c>
      <c r="L96" t="inlineStr">
        <is>
          <t>07546521000198</t>
        </is>
      </c>
      <c r="M96" s="10" t="n">
        <v>152844.49</v>
      </c>
      <c r="N96" t="n">
        <v>1</v>
      </c>
      <c r="O96" s="11" t="inlineStr">
        <is>
          <t>B</t>
        </is>
      </c>
      <c r="P96" s="11" t="inlineStr">
        <is>
          <t>ACTIVE</t>
        </is>
      </c>
      <c r="Q96" s="12" t="n">
        <v>46130</v>
      </c>
      <c r="R96" s="11">
        <f>IF(Q96="","",ROUND((TODAY()-Q96)/365.25,1))</f>
        <v/>
      </c>
      <c r="S96" s="13">
        <f>IFERROR(VLOOKUP(O96,Assumptions!$A$7:$F$11,2,FALSE),0.25)</f>
        <v/>
      </c>
      <c r="T96" s="14">
        <f>IF(O96="A",MAX(1,IFERROR(VLOOKUP(O96,Assumptions!$A$7:$F$11,3,FALSE),3)+IFERROR(VLOOKUP(O96,Assumptions!$A$7:$F$11,4,FALSE),8)/2-MAX(0,IF(R96="",0,R96)-IFERROR(VLOOKUP(O96,Assumptions!$A$7:$F$11,5,FALSE),1.5))),IFERROR(VLOOKUP(O96,Assumptions!$A$7:$F$11,5,FALSE),2.5)+IFERROR(VLOOKUP(O96,Assumptions!$A$7:$F$11,3,FALSE),3)+IFERROR(VLOOKUP(O96,Assumptions!$A$7:$F$11,4,FALSE),8)/2)</f>
        <v/>
      </c>
      <c r="U96" s="15">
        <f>M96*S96/(1+Assumptions!$B$3)^T96</f>
        <v/>
      </c>
      <c r="V96" s="11">
        <f>IF(M96=0,"",ROUND(U96/M96*100,1))</f>
        <v/>
      </c>
      <c r="W96" s="16">
        <f>U96*Assumptions!$B$4</f>
        <v/>
      </c>
      <c r="X96" s="11">
        <f>IF(M96=0,"",ROUND(W96/M96*100,1))</f>
        <v/>
      </c>
      <c r="Y96" t="inlineStr">
        <is>
          <t>GRUPO 3E</t>
        </is>
      </c>
      <c r="Z96" t="inlineStr">
        <is>
          <t>5341375-33.2026.8.09.0049</t>
        </is>
      </c>
      <c r="AA96" t="inlineStr">
        <is>
          <t>TJGO</t>
        </is>
      </c>
      <c r="AB96" t="inlineStr">
        <is>
          <t>stenius.com.br</t>
        </is>
      </c>
      <c r="AC96" t="inlineStr">
        <is>
          <t>JOAO CARLOS DIVINO FELICIANO</t>
        </is>
      </c>
      <c r="AD96" t="inlineStr">
        <is>
          <t>Sócio-Administrador</t>
        </is>
      </c>
      <c r="AE96" t="inlineStr">
        <is>
          <t>(62) 3287-9764</t>
        </is>
      </c>
      <c r="AF96" t="inlineStr"/>
      <c r="AG96" t="inlineStr"/>
      <c r="AH96" t="inlineStr">
        <is>
          <t>GO</t>
        </is>
      </c>
      <c r="AI96" t="inlineStr">
        <is>
          <t>APARECIDA DE GOIANIA</t>
        </is>
      </c>
      <c r="AJ96" t="inlineStr">
        <is>
          <t>Comércio atacadista de farinhas, amidos e féculas</t>
        </is>
      </c>
      <c r="AK96" t="inlineStr">
        <is>
          <t>DEMAIS</t>
        </is>
      </c>
      <c r="AL96" t="inlineStr">
        <is>
          <t>ATIVA</t>
        </is>
      </c>
      <c r="AM96" s="17" t="inlineStr">
        <is>
          <t>https://stenius.com.br/wp-content/uploads/2026/06/EDITAL-GRUPO-3E.pdf</t>
        </is>
      </c>
      <c r="AN96" s="18" t="inlineStr">
        <is>
          <t>p18 r6</t>
        </is>
      </c>
      <c r="AO96" s="18" t="inlineStr">
        <is>
          <t>p18: R$ 152.844,49</t>
        </is>
      </c>
      <c r="AP96" s="18" t="inlineStr">
        <is>
          <t>DEBTOR_LIST</t>
        </is>
      </c>
      <c r="AQ96" s="18" t="inlineStr">
        <is>
          <t>2026-06-22</t>
        </is>
      </c>
      <c r="AR96" s="18" t="inlineStr">
        <is>
          <t>OK_NO_TOTALS</t>
        </is>
      </c>
      <c r="AS96" s="18" t="inlineStr">
        <is>
          <t>ROWS:p18r6 UNRECONCILED_SOURCE</t>
        </is>
      </c>
      <c r="AT96" s="18" t="inlineStr">
        <is>
          <t>8e8832093a15</t>
        </is>
      </c>
    </row>
    <row r="97">
      <c r="A97" s="9" t="n">
        <v>96</v>
      </c>
      <c r="B97" s="9" t="inlineStr">
        <is>
          <t>NEW</t>
        </is>
      </c>
      <c r="C97" s="9" t="inlineStr"/>
      <c r="D97" s="9" t="n">
        <v>0</v>
      </c>
      <c r="E97" s="9" t="inlineStr"/>
      <c r="F97" s="9" t="inlineStr"/>
      <c r="G97" s="9" t="inlineStr"/>
      <c r="H97" s="9" t="inlineStr"/>
      <c r="I97" t="inlineStr">
        <is>
          <t>ENGEMON - ENGENHARIA E CONSTRUCOES LTDA</t>
        </is>
      </c>
      <c r="J97" t="inlineStr">
        <is>
          <t>Engemon - Engenharia e Construções Ltda</t>
        </is>
      </c>
      <c r="K97" t="inlineStr">
        <is>
          <t>05293491</t>
        </is>
      </c>
      <c r="L97" t="inlineStr">
        <is>
          <t>05293491000120</t>
        </is>
      </c>
      <c r="M97" s="10" t="n">
        <v>152761.44</v>
      </c>
      <c r="N97" t="n">
        <v>1</v>
      </c>
      <c r="O97" s="11" t="inlineStr">
        <is>
          <t>B</t>
        </is>
      </c>
      <c r="P97" s="11" t="inlineStr"/>
      <c r="Q97" s="12" t="n">
        <v>45756</v>
      </c>
      <c r="R97" s="11">
        <f>IF(Q97="","",ROUND((TODAY()-Q97)/365.25,1))</f>
        <v/>
      </c>
      <c r="S97" s="13">
        <f>IFERROR(VLOOKUP(O97,Assumptions!$A$7:$F$11,2,FALSE),0.25)</f>
        <v/>
      </c>
      <c r="T97" s="14">
        <f>IF(O97="A",MAX(1,IFERROR(VLOOKUP(O97,Assumptions!$A$7:$F$11,3,FALSE),3)+IFERROR(VLOOKUP(O97,Assumptions!$A$7:$F$11,4,FALSE),8)/2-MAX(0,IF(R97="",0,R97)-IFERROR(VLOOKUP(O97,Assumptions!$A$7:$F$11,5,FALSE),1.5))),IFERROR(VLOOKUP(O97,Assumptions!$A$7:$F$11,5,FALSE),2.5)+IFERROR(VLOOKUP(O97,Assumptions!$A$7:$F$11,3,FALSE),3)+IFERROR(VLOOKUP(O97,Assumptions!$A$7:$F$11,4,FALSE),8)/2)</f>
        <v/>
      </c>
      <c r="U97" s="15">
        <f>M97*S97/(1+Assumptions!$B$3)^T97</f>
        <v/>
      </c>
      <c r="V97" s="11">
        <f>IF(M97=0,"",ROUND(U97/M97*100,1))</f>
        <v/>
      </c>
      <c r="W97" s="16">
        <f>U97*Assumptions!$B$4</f>
        <v/>
      </c>
      <c r="X97" s="11">
        <f>IF(M97=0,"",ROUND(W97/M97*100,1))</f>
        <v/>
      </c>
      <c r="Y97" t="inlineStr">
        <is>
          <t>GRUPO EGESA (EGESA ENG S.A, EGESUR PART E EMP S.A, MATRIX INFRA LTDA, BEMVIVER ENG AMBIENTAL E SERV LTDA, DKF CONST E EMP LTDA, EGEPEL LTDA, ETR ASSESSORIA EMP E PART LTDA, MVT ENG E SERV LTDA, PARQUES DO VALE LTDA, ELMO RIBEIRO E ANA RIBEIRO)</t>
        </is>
      </c>
      <c r="Z97" t="inlineStr">
        <is>
          <t>5088952-81.2025.8.13.0024</t>
        </is>
      </c>
      <c r="AA97" t="inlineStr">
        <is>
          <t>TJMG</t>
        </is>
      </c>
      <c r="AB97" t="inlineStr">
        <is>
          <t>scalzilliaj.com.br</t>
        </is>
      </c>
      <c r="AC97" t="inlineStr">
        <is>
          <t>GILMAR ARAUJO DA PAZ</t>
        </is>
      </c>
      <c r="AD97" t="inlineStr">
        <is>
          <t>Sócio-Administrador</t>
        </is>
      </c>
      <c r="AE97" t="inlineStr">
        <is>
          <t>(11) 4468-1659</t>
        </is>
      </c>
      <c r="AF97" t="inlineStr"/>
      <c r="AG97" t="inlineStr"/>
      <c r="AH97" t="inlineStr">
        <is>
          <t>SP</t>
        </is>
      </c>
      <c r="AI97" t="inlineStr">
        <is>
          <t>SANTO ANDRE</t>
        </is>
      </c>
      <c r="AJ97" t="inlineStr">
        <is>
          <t>Construção de edifícios</t>
        </is>
      </c>
      <c r="AK97" t="inlineStr">
        <is>
          <t>DEMAIS</t>
        </is>
      </c>
      <c r="AL97" t="inlineStr">
        <is>
          <t>ATIVA</t>
        </is>
      </c>
      <c r="AM97" s="17" t="inlineStr">
        <is>
          <t>https://scalzilliaj.com.br/sgc/download.php?file=files/processo_documento/processo_documento09514021082025_1_.pdf&amp;nome=04 - Relação de credores das Recuperandas</t>
        </is>
      </c>
      <c r="AN97" s="18" t="inlineStr">
        <is>
          <t>p66 r5</t>
        </is>
      </c>
      <c r="AO97" s="18" t="inlineStr">
        <is>
          <t>p66: R$ 152.761,44</t>
        </is>
      </c>
      <c r="AP97" s="18" t="inlineStr">
        <is>
          <t>DEBTOR_LIST</t>
        </is>
      </c>
      <c r="AQ97" s="18" t="inlineStr"/>
      <c r="AR97" s="18" t="inlineStr">
        <is>
          <t>OK</t>
        </is>
      </c>
      <c r="AS97" s="18" t="inlineStr">
        <is>
          <t>ROWS:p66r5 VALUE_COL:Valor_Atualizado CASE_NUMBER_CORRECTED CASE_FROM_PORTAL</t>
        </is>
      </c>
      <c r="AT97" s="18" t="inlineStr">
        <is>
          <t>24ed98480a57</t>
        </is>
      </c>
    </row>
    <row r="98">
      <c r="A98" s="9" t="n">
        <v>97</v>
      </c>
      <c r="B98" s="9" t="inlineStr">
        <is>
          <t>NEW</t>
        </is>
      </c>
      <c r="C98" s="9" t="inlineStr"/>
      <c r="D98" s="9" t="n">
        <v>0</v>
      </c>
      <c r="E98" s="9" t="inlineStr"/>
      <c r="F98" s="9" t="inlineStr"/>
      <c r="G98" s="9" t="inlineStr"/>
      <c r="H98" s="9" t="inlineStr"/>
      <c r="I98" t="inlineStr">
        <is>
          <t>ARIPE CITRUS AGRO INDUSTRIAL LTDA.</t>
        </is>
      </c>
      <c r="J98" t="inlineStr">
        <is>
          <t>ARIPE CITRUS AGRO INDUSTRIAL LTDA FILIAL</t>
        </is>
      </c>
      <c r="K98" t="inlineStr">
        <is>
          <t>87178448</t>
        </is>
      </c>
      <c r="L98" t="inlineStr">
        <is>
          <t>87178448000420</t>
        </is>
      </c>
      <c r="M98" s="10" t="n">
        <v>152358.41</v>
      </c>
      <c r="N98" t="n">
        <v>2</v>
      </c>
      <c r="O98" s="11" t="inlineStr">
        <is>
          <t>B</t>
        </is>
      </c>
      <c r="P98" s="11" t="inlineStr">
        <is>
          <t>ACTIVE</t>
        </is>
      </c>
      <c r="Q98" s="12" t="n">
        <v>45713</v>
      </c>
      <c r="R98" s="11">
        <f>IF(Q98="","",ROUND((TODAY()-Q98)/365.25,1))</f>
        <v/>
      </c>
      <c r="S98" s="13">
        <f>IFERROR(VLOOKUP(O98,Assumptions!$A$7:$F$11,2,FALSE),0.25)</f>
        <v/>
      </c>
      <c r="T98" s="14">
        <f>IF(O98="A",MAX(1,IFERROR(VLOOKUP(O98,Assumptions!$A$7:$F$11,3,FALSE),3)+IFERROR(VLOOKUP(O98,Assumptions!$A$7:$F$11,4,FALSE),8)/2-MAX(0,IF(R98="",0,R98)-IFERROR(VLOOKUP(O98,Assumptions!$A$7:$F$11,5,FALSE),1.5))),IFERROR(VLOOKUP(O98,Assumptions!$A$7:$F$11,5,FALSE),2.5)+IFERROR(VLOOKUP(O98,Assumptions!$A$7:$F$11,3,FALSE),3)+IFERROR(VLOOKUP(O98,Assumptions!$A$7:$F$11,4,FALSE),8)/2)</f>
        <v/>
      </c>
      <c r="U98" s="15">
        <f>M98*S98/(1+Assumptions!$B$3)^T98</f>
        <v/>
      </c>
      <c r="V98" s="11">
        <f>IF(M98=0,"",ROUND(U98/M98*100,1))</f>
        <v/>
      </c>
      <c r="W98" s="16">
        <f>U98*Assumptions!$B$4</f>
        <v/>
      </c>
      <c r="X98" s="11">
        <f>IF(M98=0,"",ROUND(W98/M98*100,1))</f>
        <v/>
      </c>
      <c r="Y98" t="inlineStr">
        <is>
          <t>FLAVOUR MIX IND. E REP. ALIM. E INGR. QUÍMICOS LTDA.</t>
        </is>
      </c>
      <c r="Z98" t="inlineStr">
        <is>
          <t>1000119-75.2025.8.26.0354</t>
        </is>
      </c>
      <c r="AA98" t="inlineStr">
        <is>
          <t>TJSP</t>
        </is>
      </c>
      <c r="AB98" t="inlineStr">
        <is>
          <t>ativosajce.com.br</t>
        </is>
      </c>
      <c r="AC98" t="inlineStr">
        <is>
          <t>RENATO ALBRECHT</t>
        </is>
      </c>
      <c r="AD98" t="inlineStr">
        <is>
          <t>Administrador</t>
        </is>
      </c>
      <c r="AE98" t="inlineStr">
        <is>
          <t>(51) 3883-1444</t>
        </is>
      </c>
      <c r="AF98" t="inlineStr">
        <is>
          <t>(51) 9273-5165</t>
        </is>
      </c>
      <c r="AG98" t="inlineStr"/>
      <c r="AH98" t="inlineStr">
        <is>
          <t>RS</t>
        </is>
      </c>
      <c r="AI98" t="inlineStr">
        <is>
          <t>MONTENEGRO</t>
        </is>
      </c>
      <c r="AJ98" t="inlineStr">
        <is>
          <t>Fabricação de sucos concentrados de frutas, hortaliças e legumes</t>
        </is>
      </c>
      <c r="AK98" t="inlineStr">
        <is>
          <t>DEMAIS</t>
        </is>
      </c>
      <c r="AL98" t="inlineStr">
        <is>
          <t>ATIVA</t>
        </is>
      </c>
      <c r="AM98" s="17" t="inlineStr">
        <is>
          <t>https://ativosajce.com.br/admin/download.php?file=files/processo_documento/processo_documento13422625032025_1_.pdf&amp;nome=Relação de Credores - Art. 52º § 1º, da Lei nº 11.101/2005 - 25/02/2025</t>
        </is>
      </c>
      <c r="AN98" s="18" t="inlineStr">
        <is>
          <t>p3 r11; p3 r12; p3 r13</t>
        </is>
      </c>
      <c r="AO98" s="18" t="inlineStr">
        <is>
          <t>p3: R$ 76.129,45; p3: R$ 76.129,45; p3: R$ 76.228,96</t>
        </is>
      </c>
      <c r="AP98" s="18" t="inlineStr">
        <is>
          <t>UNKNOWN</t>
        </is>
      </c>
      <c r="AQ98" s="18" t="inlineStr">
        <is>
          <t>2025-02-28</t>
        </is>
      </c>
      <c r="AR98" s="18" t="inlineStr">
        <is>
          <t>OK_NO_TOTALS</t>
        </is>
      </c>
      <c r="AS98" s="18" t="inlineStr">
        <is>
          <t>ROWS:p3r11,p3r13 UNRECONCILED_SOURCE</t>
        </is>
      </c>
      <c r="AT98" s="18" t="inlineStr">
        <is>
          <t>7e2dd0270ed8</t>
        </is>
      </c>
    </row>
    <row r="99">
      <c r="A99" s="9" t="n">
        <v>98</v>
      </c>
      <c r="B99" s="9" t="inlineStr">
        <is>
          <t>NEW</t>
        </is>
      </c>
      <c r="C99" s="9" t="inlineStr"/>
      <c r="D99" s="9" t="n">
        <v>0</v>
      </c>
      <c r="E99" s="9" t="inlineStr"/>
      <c r="F99" s="9" t="inlineStr"/>
      <c r="G99" s="9" t="inlineStr"/>
      <c r="H99" s="9" t="inlineStr"/>
      <c r="I99" t="inlineStr">
        <is>
          <t>AVENORTE AVICOLA CIANORTE LTDA</t>
        </is>
      </c>
      <c r="J99" t="inlineStr">
        <is>
          <t>Avenorte Avicola Cianorte Ltda</t>
        </is>
      </c>
      <c r="K99" t="inlineStr">
        <is>
          <t>01682147</t>
        </is>
      </c>
      <c r="L99" t="inlineStr">
        <is>
          <t>01682147000171</t>
        </is>
      </c>
      <c r="M99" s="10" t="n">
        <v>152160</v>
      </c>
      <c r="N99" t="n">
        <v>1</v>
      </c>
      <c r="O99" s="11" t="inlineStr">
        <is>
          <t>C</t>
        </is>
      </c>
      <c r="P99" s="11" t="inlineStr">
        <is>
          <t>ACTIVE</t>
        </is>
      </c>
      <c r="Q99" s="12" t="n">
        <v>45275</v>
      </c>
      <c r="R99" s="11">
        <f>IF(Q99="","",ROUND((TODAY()-Q99)/365.25,1))</f>
        <v/>
      </c>
      <c r="S99" s="13">
        <f>IFERROR(VLOOKUP(O99,Assumptions!$A$7:$F$11,2,FALSE),0.25)</f>
        <v/>
      </c>
      <c r="T99" s="14">
        <f>IF(O99="A",MAX(1,IFERROR(VLOOKUP(O99,Assumptions!$A$7:$F$11,3,FALSE),3)+IFERROR(VLOOKUP(O99,Assumptions!$A$7:$F$11,4,FALSE),8)/2-MAX(0,IF(R99="",0,R99)-IFERROR(VLOOKUP(O99,Assumptions!$A$7:$F$11,5,FALSE),1.5))),IFERROR(VLOOKUP(O99,Assumptions!$A$7:$F$11,5,FALSE),2.5)+IFERROR(VLOOKUP(O99,Assumptions!$A$7:$F$11,3,FALSE),3)+IFERROR(VLOOKUP(O99,Assumptions!$A$7:$F$11,4,FALSE),8)/2)</f>
        <v/>
      </c>
      <c r="U99" s="15">
        <f>M99*S99/(1+Assumptions!$B$3)^T99</f>
        <v/>
      </c>
      <c r="V99" s="11">
        <f>IF(M99=0,"",ROUND(U99/M99*100,1))</f>
        <v/>
      </c>
      <c r="W99" s="16">
        <f>U99*Assumptions!$B$4</f>
        <v/>
      </c>
      <c r="X99" s="11">
        <f>IF(M99=0,"",ROUND(W99/M99*100,1))</f>
        <v/>
      </c>
      <c r="Y99" t="inlineStr">
        <is>
          <t>Grupo Agromeal</t>
        </is>
      </c>
      <c r="Z99" t="inlineStr">
        <is>
          <t>0003971-03.2023.8.16.0119</t>
        </is>
      </c>
      <c r="AA99" t="inlineStr">
        <is>
          <t>TJPR</t>
        </is>
      </c>
      <c r="AB99" t="inlineStr">
        <is>
          <t>marquesadmjudicial.com.br</t>
        </is>
      </c>
      <c r="AC99" t="inlineStr">
        <is>
          <t>HUGO LEONARDO BONGIORNO</t>
        </is>
      </c>
      <c r="AD99" t="inlineStr">
        <is>
          <t>Administrador</t>
        </is>
      </c>
      <c r="AE99" t="inlineStr">
        <is>
          <t>(44) 3619-5544</t>
        </is>
      </c>
      <c r="AF99" t="inlineStr"/>
      <c r="AG99" t="inlineStr"/>
      <c r="AH99" t="inlineStr">
        <is>
          <t>PR</t>
        </is>
      </c>
      <c r="AI99" t="inlineStr">
        <is>
          <t>CIANORTE</t>
        </is>
      </c>
      <c r="AJ99" t="inlineStr">
        <is>
          <t>Abate de aves</t>
        </is>
      </c>
      <c r="AK99" t="inlineStr">
        <is>
          <t>DEMAIS</t>
        </is>
      </c>
      <c r="AL99" t="inlineStr">
        <is>
          <t>ATIVA</t>
        </is>
      </c>
      <c r="AM99" s="17" t="inlineStr">
        <is>
          <t>https://marquesadmjudicial.com.br/sgc/download.php?file=files/processo_documento/processo_documento17040729052024_1_.pdf&amp;nome=Relação Nominal de Credores AJ-Sintética</t>
        </is>
      </c>
      <c r="AN99" s="18" t="inlineStr">
        <is>
          <t>p9 r13</t>
        </is>
      </c>
      <c r="AO99" s="18" t="inlineStr">
        <is>
          <t>p9: R$ 152.160,00</t>
        </is>
      </c>
      <c r="AP99" s="18" t="inlineStr">
        <is>
          <t>AJ_LIST</t>
        </is>
      </c>
      <c r="AQ99" s="18" t="inlineStr">
        <is>
          <t>2024-05-27</t>
        </is>
      </c>
      <c r="AR99" s="18" t="inlineStr">
        <is>
          <t>QUARANTINED</t>
        </is>
      </c>
      <c r="AS99" s="18" t="inlineStr">
        <is>
          <t>PARTIAL_DOC_CLASS_III_RECONCILED ROWS:p9r13</t>
        </is>
      </c>
      <c r="AT99" s="18" t="inlineStr">
        <is>
          <t>1209dafe77b7</t>
        </is>
      </c>
    </row>
    <row r="100">
      <c r="A100" s="9" t="n">
        <v>99</v>
      </c>
      <c r="B100" s="9" t="inlineStr">
        <is>
          <t>NEW</t>
        </is>
      </c>
      <c r="C100" s="9" t="inlineStr"/>
      <c r="D100" s="9" t="n">
        <v>0</v>
      </c>
      <c r="E100" s="9" t="inlineStr"/>
      <c r="F100" s="9" t="inlineStr"/>
      <c r="G100" s="9" t="inlineStr"/>
      <c r="H100" s="9" t="inlineStr"/>
      <c r="I100" t="inlineStr">
        <is>
          <t>JUAREZ DE OLIVEIRA</t>
        </is>
      </c>
      <c r="J100" t="inlineStr">
        <is>
          <t>JUAREZ DE OLIVEIRA M E</t>
        </is>
      </c>
      <c r="K100" t="inlineStr">
        <is>
          <t>69915536</t>
        </is>
      </c>
      <c r="L100" t="inlineStr">
        <is>
          <t>69915536000133</t>
        </is>
      </c>
      <c r="M100" s="10" t="n">
        <v>151663.31</v>
      </c>
      <c r="N100" t="n">
        <v>1</v>
      </c>
      <c r="O100" s="11" t="inlineStr">
        <is>
          <t>C</t>
        </is>
      </c>
      <c r="P100" s="11" t="inlineStr"/>
      <c r="Q100" s="12" t="inlineStr"/>
      <c r="R100" s="11">
        <f>IF(Q100="","",ROUND((TODAY()-Q100)/365.25,1))</f>
        <v/>
      </c>
      <c r="S100" s="13">
        <f>IFERROR(VLOOKUP(O100,Assumptions!$A$7:$F$11,2,FALSE),0.25)</f>
        <v/>
      </c>
      <c r="T100" s="14">
        <f>IF(O100="A",MAX(1,IFERROR(VLOOKUP(O100,Assumptions!$A$7:$F$11,3,FALSE),3)+IFERROR(VLOOKUP(O100,Assumptions!$A$7:$F$11,4,FALSE),8)/2-MAX(0,IF(R100="",0,R100)-IFERROR(VLOOKUP(O100,Assumptions!$A$7:$F$11,5,FALSE),1.5))),IFERROR(VLOOKUP(O100,Assumptions!$A$7:$F$11,5,FALSE),2.5)+IFERROR(VLOOKUP(O100,Assumptions!$A$7:$F$11,3,FALSE),3)+IFERROR(VLOOKUP(O100,Assumptions!$A$7:$F$11,4,FALSE),8)/2)</f>
        <v/>
      </c>
      <c r="U100" s="15">
        <f>M100*S100/(1+Assumptions!$B$3)^T100</f>
        <v/>
      </c>
      <c r="V100" s="11">
        <f>IF(M100=0,"",ROUND(U100/M100*100,1))</f>
        <v/>
      </c>
      <c r="W100" s="16">
        <f>U100*Assumptions!$B$4</f>
        <v/>
      </c>
      <c r="X100" s="11">
        <f>IF(M100=0,"",ROUND(W100/M100*100,1))</f>
        <v/>
      </c>
      <c r="Y100" t="inlineStr">
        <is>
          <t>AGROPECUÁRIA SERROTE REDONDO</t>
        </is>
      </c>
      <c r="Z100" t="inlineStr">
        <is>
          <t>0000206-69.2013.8.17.1340</t>
        </is>
      </c>
      <c r="AA100" t="inlineStr"/>
      <c r="AB100" t="inlineStr">
        <is>
          <t>lrflideres.com.br</t>
        </is>
      </c>
      <c r="AC100" t="inlineStr"/>
      <c r="AD100" t="inlineStr"/>
      <c r="AE100" t="inlineStr"/>
      <c r="AF100" t="inlineStr"/>
      <c r="AG100" t="inlineStr"/>
      <c r="AH100" t="inlineStr">
        <is>
          <t>PE</t>
        </is>
      </c>
      <c r="AI100" t="inlineStr">
        <is>
          <t>ARCOVERDE</t>
        </is>
      </c>
      <c r="AJ100" t="inlineStr">
        <is>
          <t>Comércio varejista de outros produtos não especificados anteriormente</t>
        </is>
      </c>
      <c r="AK100" t="inlineStr">
        <is>
          <t>MICRO EMPRESA</t>
        </is>
      </c>
      <c r="AL100" t="inlineStr">
        <is>
          <t>ATIVA</t>
        </is>
      </c>
      <c r="AM100" s="17" t="inlineStr">
        <is>
          <t>https://lrflideres.com.br/wp-content/plugins/download-attachments/includes/download.php?id=5001</t>
        </is>
      </c>
      <c r="AN100" s="18" t="inlineStr">
        <is>
          <t>p2 r32</t>
        </is>
      </c>
      <c r="AO100" s="18" t="inlineStr">
        <is>
          <t>p2: R$ 151.663,31</t>
        </is>
      </c>
      <c r="AP100" s="18" t="inlineStr">
        <is>
          <t>UNKNOWN</t>
        </is>
      </c>
      <c r="AQ100" s="18" t="inlineStr"/>
      <c r="AR100" s="18" t="inlineStr">
        <is>
          <t>OK</t>
        </is>
      </c>
      <c r="AS100" s="18" t="inlineStr">
        <is>
          <t>ALT_VALUE:67.051,58 ROWS:p2r32</t>
        </is>
      </c>
      <c r="AT100" s="18" t="inlineStr">
        <is>
          <t>7c0ce2830d0d</t>
        </is>
      </c>
    </row>
    <row r="101">
      <c r="A101" s="9" t="n">
        <v>100</v>
      </c>
      <c r="B101" s="9" t="inlineStr">
        <is>
          <t>NEW</t>
        </is>
      </c>
      <c r="C101" s="9" t="inlineStr"/>
      <c r="D101" s="9" t="n">
        <v>0</v>
      </c>
      <c r="E101" s="9" t="inlineStr"/>
      <c r="F101" s="9" t="inlineStr"/>
      <c r="G101" s="9" t="inlineStr"/>
      <c r="H101" s="9" t="inlineStr"/>
      <c r="I101" t="inlineStr">
        <is>
          <t>JC SOCCER TALENTS MARKETING ESPORTIVO LTDA</t>
        </is>
      </c>
      <c r="J101" t="inlineStr">
        <is>
          <t>JC SOCCER TALENTS</t>
        </is>
      </c>
      <c r="K101" t="inlineStr">
        <is>
          <t>12073848</t>
        </is>
      </c>
      <c r="L101" t="inlineStr">
        <is>
          <t>12073848000120</t>
        </is>
      </c>
      <c r="M101" s="10" t="n">
        <v>151585.39</v>
      </c>
      <c r="N101" t="n">
        <v>1</v>
      </c>
      <c r="O101" s="11" t="inlineStr">
        <is>
          <t>B</t>
        </is>
      </c>
      <c r="P101" s="11" t="inlineStr">
        <is>
          <t>ACTIVE</t>
        </is>
      </c>
      <c r="Q101" s="12" t="n">
        <v>46065</v>
      </c>
      <c r="R101" s="11">
        <f>IF(Q101="","",ROUND((TODAY()-Q101)/365.25,1))</f>
        <v/>
      </c>
      <c r="S101" s="13">
        <f>IFERROR(VLOOKUP(O101,Assumptions!$A$7:$F$11,2,FALSE),0.25)</f>
        <v/>
      </c>
      <c r="T101" s="14">
        <f>IF(O101="A",MAX(1,IFERROR(VLOOKUP(O101,Assumptions!$A$7:$F$11,3,FALSE),3)+IFERROR(VLOOKUP(O101,Assumptions!$A$7:$F$11,4,FALSE),8)/2-MAX(0,IF(R101="",0,R101)-IFERROR(VLOOKUP(O101,Assumptions!$A$7:$F$11,5,FALSE),1.5))),IFERROR(VLOOKUP(O101,Assumptions!$A$7:$F$11,5,FALSE),2.5)+IFERROR(VLOOKUP(O101,Assumptions!$A$7:$F$11,3,FALSE),3)+IFERROR(VLOOKUP(O101,Assumptions!$A$7:$F$11,4,FALSE),8)/2)</f>
        <v/>
      </c>
      <c r="U101" s="15">
        <f>M101*S101/(1+Assumptions!$B$3)^T101</f>
        <v/>
      </c>
      <c r="V101" s="11">
        <f>IF(M101=0,"",ROUND(U101/M101*100,1))</f>
        <v/>
      </c>
      <c r="W101" s="16">
        <f>U101*Assumptions!$B$4</f>
        <v/>
      </c>
      <c r="X101" s="11">
        <f>IF(M101=0,"",ROUND(W101/M101*100,1))</f>
        <v/>
      </c>
      <c r="Y101" t="inlineStr">
        <is>
          <t>PAYSANDU SPORT CLUB</t>
        </is>
      </c>
      <c r="Z101" t="inlineStr">
        <is>
          <t>0820780-23.2026.8.14.0301</t>
        </is>
      </c>
      <c r="AA101" t="inlineStr">
        <is>
          <t>TJPA</t>
        </is>
      </c>
      <c r="AB101" t="inlineStr">
        <is>
          <t>cdn.dol.com.br</t>
        </is>
      </c>
      <c r="AC101" t="inlineStr">
        <is>
          <t>ALEXANDRE BASTOS LOPES</t>
        </is>
      </c>
      <c r="AD101" t="inlineStr">
        <is>
          <t>Sócio-Administrador</t>
        </is>
      </c>
      <c r="AE101" t="inlineStr">
        <is>
          <t>(21) 3970-8940</t>
        </is>
      </c>
      <c r="AF101" t="inlineStr"/>
      <c r="AG101" t="inlineStr"/>
      <c r="AH101" t="inlineStr">
        <is>
          <t>RJ</t>
        </is>
      </c>
      <c r="AI101" t="inlineStr">
        <is>
          <t>RIO DE JANEIRO</t>
        </is>
      </c>
      <c r="AJ101" t="inlineStr">
        <is>
          <t>Agenciamento de profissionais para atividades esportivas, culturais e artísticas</t>
        </is>
      </c>
      <c r="AK101" t="inlineStr">
        <is>
          <t>DEMAIS</t>
        </is>
      </c>
      <c r="AL101" t="inlineStr">
        <is>
          <t>ATIVA</t>
        </is>
      </c>
      <c r="AM101" s="17" t="inlineStr">
        <is>
          <t>https://cdn.dol.com.br/img/attachmentinline/940000/6publicacao-2-edital-art-7-parag-2-da-lei-11101-20009467060.pdf?xid=3272528</t>
        </is>
      </c>
      <c r="AN101" s="18" t="inlineStr">
        <is>
          <t>p3 r22</t>
        </is>
      </c>
      <c r="AO101" s="18" t="inlineStr">
        <is>
          <t>p3: R$ 151.585,39</t>
        </is>
      </c>
      <c r="AP101" s="18" t="inlineStr">
        <is>
          <t>AJ_LIST</t>
        </is>
      </c>
      <c r="AQ101" s="18" t="inlineStr">
        <is>
          <t>2026-07-07</t>
        </is>
      </c>
      <c r="AR101" s="18" t="inlineStr">
        <is>
          <t>QUARANTINED</t>
        </is>
      </c>
      <c r="AS101" s="18" t="inlineStr">
        <is>
          <t>PARTIAL_DOC_CLASS_III_RECONCILED ROWS:p3r22</t>
        </is>
      </c>
      <c r="AT101" s="18" t="inlineStr">
        <is>
          <t>38d930ab1caa</t>
        </is>
      </c>
    </row>
    <row r="102">
      <c r="A102" s="9" t="n">
        <v>101</v>
      </c>
      <c r="B102" s="9" t="inlineStr">
        <is>
          <t>NEW</t>
        </is>
      </c>
      <c r="C102" s="9" t="inlineStr"/>
      <c r="D102" s="9" t="n">
        <v>0</v>
      </c>
      <c r="E102" s="9" t="inlineStr"/>
      <c r="F102" s="9" t="inlineStr"/>
      <c r="G102" s="9" t="inlineStr"/>
      <c r="H102" s="9" t="inlineStr"/>
      <c r="I102" t="inlineStr">
        <is>
          <t>JOMHEDICA NORTE PRODUTOS MEDICOS HOSPITALARES LTDA</t>
        </is>
      </c>
      <c r="J102" t="inlineStr">
        <is>
          <t>JOMHEDICA NORTE PRODUTOS MED. (</t>
        </is>
      </c>
      <c r="K102" t="inlineStr">
        <is>
          <t>02429547</t>
        </is>
      </c>
      <c r="L102" t="inlineStr">
        <is>
          <t>02429547000132</t>
        </is>
      </c>
      <c r="M102" s="10" t="n">
        <v>151521.52</v>
      </c>
      <c r="N102" t="n">
        <v>1</v>
      </c>
      <c r="O102" s="11" t="inlineStr">
        <is>
          <t>C</t>
        </is>
      </c>
      <c r="P102" s="11" t="inlineStr">
        <is>
          <t>ACTIVE</t>
        </is>
      </c>
      <c r="Q102" s="12" t="n">
        <v>44735</v>
      </c>
      <c r="R102" s="11">
        <f>IF(Q102="","",ROUND((TODAY()-Q102)/365.25,1))</f>
        <v/>
      </c>
      <c r="S102" s="13">
        <f>IFERROR(VLOOKUP(O102,Assumptions!$A$7:$F$11,2,FALSE),0.25)</f>
        <v/>
      </c>
      <c r="T102" s="14">
        <f>IF(O102="A",MAX(1,IFERROR(VLOOKUP(O102,Assumptions!$A$7:$F$11,3,FALSE),3)+IFERROR(VLOOKUP(O102,Assumptions!$A$7:$F$11,4,FALSE),8)/2-MAX(0,IF(R102="",0,R102)-IFERROR(VLOOKUP(O102,Assumptions!$A$7:$F$11,5,FALSE),1.5))),IFERROR(VLOOKUP(O102,Assumptions!$A$7:$F$11,5,FALSE),2.5)+IFERROR(VLOOKUP(O102,Assumptions!$A$7:$F$11,3,FALSE),3)+IFERROR(VLOOKUP(O102,Assumptions!$A$7:$F$11,4,FALSE),8)/2)</f>
        <v/>
      </c>
      <c r="U102" s="15">
        <f>M102*S102/(1+Assumptions!$B$3)^T102</f>
        <v/>
      </c>
      <c r="V102" s="11">
        <f>IF(M102=0,"",ROUND(U102/M102*100,1))</f>
        <v/>
      </c>
      <c r="W102" s="16">
        <f>U102*Assumptions!$B$4</f>
        <v/>
      </c>
      <c r="X102" s="11">
        <f>IF(M102=0,"",ROUND(W102/M102*100,1))</f>
        <v/>
      </c>
      <c r="Y102" t="inlineStr">
        <is>
          <t>ASSOCIAÇÃO DE CARIDADE SANTA CASA DO RIO GRANDE</t>
        </is>
      </c>
      <c r="Z102" t="inlineStr">
        <is>
          <t>5012306-16.2022.8.21.0023</t>
        </is>
      </c>
      <c r="AA102" t="inlineStr">
        <is>
          <t>TJRS</t>
        </is>
      </c>
      <c r="AB102" t="inlineStr">
        <is>
          <t>scalzilliaj.com.br</t>
        </is>
      </c>
      <c r="AC102" t="inlineStr">
        <is>
          <t>MARCOS ANTONIO CASTILHOS SOARES</t>
        </is>
      </c>
      <c r="AD102" t="inlineStr">
        <is>
          <t>Sócio-Administrador</t>
        </is>
      </c>
      <c r="AE102" t="inlineStr">
        <is>
          <t>(51) 2108-0900</t>
        </is>
      </c>
      <c r="AF102" t="inlineStr"/>
      <c r="AG102" t="inlineStr"/>
      <c r="AH102" t="inlineStr">
        <is>
          <t>RS</t>
        </is>
      </c>
      <c r="AI102" t="inlineStr">
        <is>
          <t>PORTO ALEGRE</t>
        </is>
      </c>
      <c r="AJ102" t="inlineStr">
        <is>
          <t>Comércio varejista de artigos médicos e ortopédicos</t>
        </is>
      </c>
      <c r="AK102" t="inlineStr">
        <is>
          <t>DEMAIS</t>
        </is>
      </c>
      <c r="AL102" t="inlineStr">
        <is>
          <t>ATIVA</t>
        </is>
      </c>
      <c r="AM102" s="17" t="inlineStr">
        <is>
          <t>https://scalzilliaj.com.br/sgc/download.php?file=files/processo_documento/processo_documento09120721032023_1_.pdf&amp;nome=15 - Edital do art. 7º, §2º e 53 da Lei 11.101/2005 (segunda lista de credores e recebimento do plano))</t>
        </is>
      </c>
      <c r="AN102" s="18" t="inlineStr">
        <is>
          <t>p28 r21</t>
        </is>
      </c>
      <c r="AO102" s="18" t="inlineStr">
        <is>
          <t>p28: R$ 151.521,52</t>
        </is>
      </c>
      <c r="AP102" s="18" t="inlineStr">
        <is>
          <t>AJ_LIST</t>
        </is>
      </c>
      <c r="AQ102" s="18" t="inlineStr">
        <is>
          <t>2023-03-21</t>
        </is>
      </c>
      <c r="AR102" s="18" t="inlineStr">
        <is>
          <t>OK_NO_TOTALS</t>
        </is>
      </c>
      <c r="AS102" s="18" t="inlineStr">
        <is>
          <t>ROWS:p28r21 UNRECONCILED_SOURCE</t>
        </is>
      </c>
      <c r="AT102" s="18" t="inlineStr">
        <is>
          <t>ebfb999b457c</t>
        </is>
      </c>
    </row>
    <row r="103">
      <c r="A103" s="9" t="n">
        <v>102</v>
      </c>
      <c r="B103" s="9" t="inlineStr">
        <is>
          <t>NEW</t>
        </is>
      </c>
      <c r="C103" s="9" t="inlineStr"/>
      <c r="D103" s="9" t="n">
        <v>0</v>
      </c>
      <c r="E103" s="9" t="inlineStr"/>
      <c r="F103" s="9" t="inlineStr"/>
      <c r="G103" s="9" t="inlineStr"/>
      <c r="H103" s="9" t="inlineStr"/>
      <c r="I103" t="inlineStr">
        <is>
          <t>SIVIERO ALIMENTOS E SEMENTES LTDA</t>
        </is>
      </c>
      <c r="J103" t="inlineStr">
        <is>
          <t>Siviero Alimentos E Sementes LTDA (CNPJ n°</t>
        </is>
      </c>
      <c r="K103" t="inlineStr">
        <is>
          <t>73562126</t>
        </is>
      </c>
      <c r="L103" t="inlineStr">
        <is>
          <t>37752980000199, 73562126000123</t>
        </is>
      </c>
      <c r="M103" s="10" t="n">
        <v>151500</v>
      </c>
      <c r="N103" t="n">
        <v>1</v>
      </c>
      <c r="O103" s="11" t="inlineStr">
        <is>
          <t>B</t>
        </is>
      </c>
      <c r="P103" s="11" t="inlineStr">
        <is>
          <t>ACTIVE</t>
        </is>
      </c>
      <c r="Q103" s="12" t="n">
        <v>45303</v>
      </c>
      <c r="R103" s="11">
        <f>IF(Q103="","",ROUND((TODAY()-Q103)/365.25,1))</f>
        <v/>
      </c>
      <c r="S103" s="13">
        <f>IFERROR(VLOOKUP(O103,Assumptions!$A$7:$F$11,2,FALSE),0.25)</f>
        <v/>
      </c>
      <c r="T103" s="14">
        <f>IF(O103="A",MAX(1,IFERROR(VLOOKUP(O103,Assumptions!$A$7:$F$11,3,FALSE),3)+IFERROR(VLOOKUP(O103,Assumptions!$A$7:$F$11,4,FALSE),8)/2-MAX(0,IF(R103="",0,R103)-IFERROR(VLOOKUP(O103,Assumptions!$A$7:$F$11,5,FALSE),1.5))),IFERROR(VLOOKUP(O103,Assumptions!$A$7:$F$11,5,FALSE),2.5)+IFERROR(VLOOKUP(O103,Assumptions!$A$7:$F$11,3,FALSE),3)+IFERROR(VLOOKUP(O103,Assumptions!$A$7:$F$11,4,FALSE),8)/2)</f>
        <v/>
      </c>
      <c r="U103" s="15">
        <f>M103*S103/(1+Assumptions!$B$3)^T103</f>
        <v/>
      </c>
      <c r="V103" s="11">
        <f>IF(M103=0,"",ROUND(U103/M103*100,1))</f>
        <v/>
      </c>
      <c r="W103" s="16">
        <f>U103*Assumptions!$B$4</f>
        <v/>
      </c>
      <c r="X103" s="11">
        <f>IF(M103=0,"",ROUND(W103/M103*100,1))</f>
        <v/>
      </c>
      <c r="Y103" t="inlineStr">
        <is>
          <t>Grupo Battisti</t>
        </is>
      </c>
      <c r="Z103" t="inlineStr">
        <is>
          <t>0000357-17.2024.8.16.0131</t>
        </is>
      </c>
      <c r="AA103" t="inlineStr">
        <is>
          <t>TJPR</t>
        </is>
      </c>
      <c r="AB103" t="inlineStr">
        <is>
          <t>marquesadmjudicial.com.br</t>
        </is>
      </c>
      <c r="AC103" t="inlineStr">
        <is>
          <t>VALMOR LUIZ SIVIERO</t>
        </is>
      </c>
      <c r="AD103" t="inlineStr">
        <is>
          <t>Sócio-Administrador</t>
        </is>
      </c>
      <c r="AE103" t="inlineStr">
        <is>
          <t>(46) 3252-1454</t>
        </is>
      </c>
      <c r="AF103" t="inlineStr"/>
      <c r="AG103" t="inlineStr"/>
      <c r="AH103" t="inlineStr">
        <is>
          <t>PR</t>
        </is>
      </c>
      <c r="AI103" t="inlineStr">
        <is>
          <t>CLEVELANDIA</t>
        </is>
      </c>
      <c r="AJ103" t="inlineStr">
        <is>
          <t>Comércio atacadista de produtos alimentícios em geral</t>
        </is>
      </c>
      <c r="AK103" t="inlineStr">
        <is>
          <t>DEMAIS</t>
        </is>
      </c>
      <c r="AL103" t="inlineStr">
        <is>
          <t>ATIVA</t>
        </is>
      </c>
      <c r="AM103" s="17" t="inlineStr">
        <is>
          <t>https://marquesadmjudicial.com.br/sgc/download.php?file=files/processo_documento/processo_documento10074612042024_1_.pdf&amp;nome=2º Edital-Relação de Credores AJ e PRJ</t>
        </is>
      </c>
      <c r="AN103" s="18" t="inlineStr">
        <is>
          <t>p2 r27</t>
        </is>
      </c>
      <c r="AO103" s="18" t="inlineStr">
        <is>
          <t>p2: R$ 151.500,00</t>
        </is>
      </c>
      <c r="AP103" s="18" t="inlineStr">
        <is>
          <t>AJ_LIST</t>
        </is>
      </c>
      <c r="AQ103" s="18" t="inlineStr">
        <is>
          <t>2024-01-12</t>
        </is>
      </c>
      <c r="AR103" s="18" t="inlineStr">
        <is>
          <t>OK_NO_TOTALS</t>
        </is>
      </c>
      <c r="AS103" s="18" t="inlineStr">
        <is>
          <t>MULTI_ROOT ROWS:p2r27 UNRECONCILED_SOURCE</t>
        </is>
      </c>
      <c r="AT103" s="18" t="inlineStr">
        <is>
          <t>96830f5ef11b</t>
        </is>
      </c>
    </row>
    <row r="104">
      <c r="A104" s="9" t="n">
        <v>103</v>
      </c>
      <c r="B104" s="9" t="inlineStr">
        <is>
          <t>NEW</t>
        </is>
      </c>
      <c r="C104" s="9" t="inlineStr"/>
      <c r="D104" s="9" t="n">
        <v>0</v>
      </c>
      <c r="E104" s="9" t="inlineStr"/>
      <c r="F104" s="9" t="inlineStr"/>
      <c r="G104" s="9" t="inlineStr"/>
      <c r="H104" s="9" t="inlineStr"/>
      <c r="I104" t="inlineStr">
        <is>
          <t>LA GESTAO LTDA.</t>
        </is>
      </c>
      <c r="J104" t="inlineStr">
        <is>
          <t>Técnicas em Geotecnia LTDA</t>
        </is>
      </c>
      <c r="K104" t="inlineStr">
        <is>
          <t>00056013</t>
        </is>
      </c>
      <c r="L104" t="inlineStr">
        <is>
          <t>00056013000182</t>
        </is>
      </c>
      <c r="M104" s="10" t="n">
        <v>150344</v>
      </c>
      <c r="N104" t="n">
        <v>1</v>
      </c>
      <c r="O104" s="11" t="inlineStr">
        <is>
          <t>B</t>
        </is>
      </c>
      <c r="P104" s="11" t="inlineStr"/>
      <c r="Q104" s="12" t="n">
        <v>45756</v>
      </c>
      <c r="R104" s="11">
        <f>IF(Q104="","",ROUND((TODAY()-Q104)/365.25,1))</f>
        <v/>
      </c>
      <c r="S104" s="13">
        <f>IFERROR(VLOOKUP(O104,Assumptions!$A$7:$F$11,2,FALSE),0.25)</f>
        <v/>
      </c>
      <c r="T104" s="14">
        <f>IF(O104="A",MAX(1,IFERROR(VLOOKUP(O104,Assumptions!$A$7:$F$11,3,FALSE),3)+IFERROR(VLOOKUP(O104,Assumptions!$A$7:$F$11,4,FALSE),8)/2-MAX(0,IF(R104="",0,R104)-IFERROR(VLOOKUP(O104,Assumptions!$A$7:$F$11,5,FALSE),1.5))),IFERROR(VLOOKUP(O104,Assumptions!$A$7:$F$11,5,FALSE),2.5)+IFERROR(VLOOKUP(O104,Assumptions!$A$7:$F$11,3,FALSE),3)+IFERROR(VLOOKUP(O104,Assumptions!$A$7:$F$11,4,FALSE),8)/2)</f>
        <v/>
      </c>
      <c r="U104" s="15">
        <f>M104*S104/(1+Assumptions!$B$3)^T104</f>
        <v/>
      </c>
      <c r="V104" s="11">
        <f>IF(M104=0,"",ROUND(U104/M104*100,1))</f>
        <v/>
      </c>
      <c r="W104" s="16">
        <f>U104*Assumptions!$B$4</f>
        <v/>
      </c>
      <c r="X104" s="11">
        <f>IF(M104=0,"",ROUND(W104/M104*100,1))</f>
        <v/>
      </c>
      <c r="Y104" t="inlineStr">
        <is>
          <t>GRUPO EGESA (EGESA ENG S.A, EGESUR PART E EMP S.A, MATRIX INFRA LTDA, BEMVIVER ENG AMBIENTAL E SERV LTDA, DKF CONST E EMP LTDA, EGEPEL LTDA, ETR ASSESSORIA EMP E PART LTDA, MVT ENG E SERV LTDA, PARQUES DO VALE LTDA, ELMO RIBEIRO E ANA RIBEIRO)</t>
        </is>
      </c>
      <c r="Z104" t="inlineStr">
        <is>
          <t>5088952-81.2025.8.13.0024</t>
        </is>
      </c>
      <c r="AA104" t="inlineStr">
        <is>
          <t>TJMG</t>
        </is>
      </c>
      <c r="AB104" t="inlineStr">
        <is>
          <t>scalzilliaj.com.br</t>
        </is>
      </c>
      <c r="AC104" t="inlineStr">
        <is>
          <t>ANDRE LOBATO DE PAULA</t>
        </is>
      </c>
      <c r="AD104" t="inlineStr">
        <is>
          <t>Sócio-Administrador</t>
        </is>
      </c>
      <c r="AE104" t="inlineStr">
        <is>
          <t>(31) 3271-1471</t>
        </is>
      </c>
      <c r="AF104" t="inlineStr"/>
      <c r="AG104" t="inlineStr"/>
      <c r="AH104" t="inlineStr">
        <is>
          <t>MG</t>
        </is>
      </c>
      <c r="AI104" t="inlineStr">
        <is>
          <t>BELO HORIZONTE</t>
        </is>
      </c>
      <c r="AJ104" t="inlineStr">
        <is>
          <t>Aluguel de imóveis próprios</t>
        </is>
      </c>
      <c r="AK104" t="inlineStr">
        <is>
          <t>DEMAIS</t>
        </is>
      </c>
      <c r="AL104" t="inlineStr">
        <is>
          <t>ATIVA</t>
        </is>
      </c>
      <c r="AM104" s="17" t="inlineStr">
        <is>
          <t>https://scalzilliaj.com.br/sgc/download.php?file=files/processo_documento/processo_documento09514021082025_1_.pdf&amp;nome=04 - Relação de credores das Recuperandas</t>
        </is>
      </c>
      <c r="AN104" s="18" t="inlineStr">
        <is>
          <t>p74 r5</t>
        </is>
      </c>
      <c r="AO104" s="18" t="inlineStr">
        <is>
          <t>p74: R$ 150.344,00</t>
        </is>
      </c>
      <c r="AP104" s="18" t="inlineStr">
        <is>
          <t>DEBTOR_LIST</t>
        </is>
      </c>
      <c r="AQ104" s="18" t="inlineStr"/>
      <c r="AR104" s="18" t="inlineStr">
        <is>
          <t>OK</t>
        </is>
      </c>
      <c r="AS104" s="18" t="inlineStr">
        <is>
          <t>ROWS:p74r5 VALUE_COL:Valor_Atualizado CASE_NUMBER_CORRECTED CASE_FROM_PORTAL</t>
        </is>
      </c>
      <c r="AT104" s="18" t="inlineStr">
        <is>
          <t>24ed98480a57</t>
        </is>
      </c>
    </row>
    <row r="105">
      <c r="A105" s="9" t="n">
        <v>104</v>
      </c>
      <c r="B105" s="9" t="inlineStr">
        <is>
          <t>NEW</t>
        </is>
      </c>
      <c r="C105" s="9" t="inlineStr"/>
      <c r="D105" s="9" t="n">
        <v>0</v>
      </c>
      <c r="E105" s="9" t="inlineStr"/>
      <c r="F105" s="9" t="inlineStr"/>
      <c r="G105" s="9" t="inlineStr"/>
      <c r="H105" s="9" t="inlineStr"/>
      <c r="I105" t="inlineStr">
        <is>
          <t>MADERMOVEIS INDUSTRIA E COMERCIO DE MADEIRAS LTDA</t>
        </is>
      </c>
      <c r="J105" t="inlineStr">
        <is>
          <t>MADERMOVEIS IND E COM DE MADEIRAS LTDA.</t>
        </is>
      </c>
      <c r="K105" t="inlineStr">
        <is>
          <t>76568260</t>
        </is>
      </c>
      <c r="L105" t="inlineStr">
        <is>
          <t>76568260000120</t>
        </is>
      </c>
      <c r="M105" s="10" t="n">
        <v>150238.44</v>
      </c>
      <c r="N105" t="n">
        <v>2</v>
      </c>
      <c r="O105" s="11" t="inlineStr">
        <is>
          <t>D</t>
        </is>
      </c>
      <c r="P105" s="11" t="inlineStr"/>
      <c r="Q105" s="12" t="inlineStr"/>
      <c r="R105" s="11">
        <f>IF(Q105="","",ROUND((TODAY()-Q105)/365.25,1))</f>
        <v/>
      </c>
      <c r="S105" s="13">
        <f>IFERROR(VLOOKUP(O105,Assumptions!$A$7:$F$11,2,FALSE),0.25)</f>
        <v/>
      </c>
      <c r="T105" s="14">
        <f>IF(O105="A",MAX(1,IFERROR(VLOOKUP(O105,Assumptions!$A$7:$F$11,3,FALSE),3)+IFERROR(VLOOKUP(O105,Assumptions!$A$7:$F$11,4,FALSE),8)/2-MAX(0,IF(R105="",0,R105)-IFERROR(VLOOKUP(O105,Assumptions!$A$7:$F$11,5,FALSE),1.5))),IFERROR(VLOOKUP(O105,Assumptions!$A$7:$F$11,5,FALSE),2.5)+IFERROR(VLOOKUP(O105,Assumptions!$A$7:$F$11,3,FALSE),3)+IFERROR(VLOOKUP(O105,Assumptions!$A$7:$F$11,4,FALSE),8)/2)</f>
        <v/>
      </c>
      <c r="U105" s="15">
        <f>M105*S105/(1+Assumptions!$B$3)^T105</f>
        <v/>
      </c>
      <c r="V105" s="11">
        <f>IF(M105=0,"",ROUND(U105/M105*100,1))</f>
        <v/>
      </c>
      <c r="W105" s="16">
        <f>U105*Assumptions!$B$4</f>
        <v/>
      </c>
      <c r="X105" s="11">
        <f>IF(M105=0,"",ROUND(W105/M105*100,1))</f>
        <v/>
      </c>
      <c r="Y105" t="inlineStr">
        <is>
          <t>Mannes</t>
        </is>
      </c>
      <c r="Z105" t="inlineStr">
        <is>
          <t>0005010-50.2013.8.24.0026</t>
        </is>
      </c>
      <c r="AA105" t="inlineStr"/>
      <c r="AB105" t="inlineStr">
        <is>
          <t>administradorajudicialgs.com.br</t>
        </is>
      </c>
      <c r="AC105" t="inlineStr">
        <is>
          <t>LUCI TANIA PAGANI</t>
        </is>
      </c>
      <c r="AD105" t="inlineStr">
        <is>
          <t>Sócio-Administrador</t>
        </is>
      </c>
      <c r="AE105" t="inlineStr"/>
      <c r="AF105" t="inlineStr"/>
      <c r="AG105" t="inlineStr"/>
      <c r="AH105" t="inlineStr">
        <is>
          <t>SC</t>
        </is>
      </c>
      <c r="AI105" t="inlineStr">
        <is>
          <t>XAXIM</t>
        </is>
      </c>
      <c r="AJ105" t="inlineStr">
        <is>
          <t>Serrarias com desdobramento de madeira em bruto</t>
        </is>
      </c>
      <c r="AK105" t="inlineStr">
        <is>
          <t>DEMAIS</t>
        </is>
      </c>
      <c r="AL105" t="inlineStr">
        <is>
          <t>ATIVA</t>
        </is>
      </c>
      <c r="AM105" s="17" t="inlineStr">
        <is>
          <t>https://administradorajudicialgs.com.br/wp-content/uploads/2024/12/relacao-de-credores-da-falida.pdf</t>
        </is>
      </c>
      <c r="AN105" s="18" t="inlineStr">
        <is>
          <t>p16 r30; p16 r31</t>
        </is>
      </c>
      <c r="AO105" s="18" t="inlineStr">
        <is>
          <t>p16: R$ 110.238,44; p16: R$ 40.000,00</t>
        </is>
      </c>
      <c r="AP105" s="18" t="inlineStr">
        <is>
          <t>OTHER</t>
        </is>
      </c>
      <c r="AQ105" s="18" t="inlineStr">
        <is>
          <t>2025-03-25</t>
        </is>
      </c>
      <c r="AR105" s="18" t="inlineStr">
        <is>
          <t>OK_NO_TOTALS</t>
        </is>
      </c>
      <c r="AS105" s="18" t="inlineStr">
        <is>
          <t>ROWS:p16r30,p16r31 UNRECONCILED_SOURCE CASE_NUMBER_CORRECTED</t>
        </is>
      </c>
      <c r="AT105" s="18" t="inlineStr">
        <is>
          <t>ea17ba43b261</t>
        </is>
      </c>
    </row>
    <row r="106">
      <c r="A106" s="9" t="n">
        <v>105</v>
      </c>
      <c r="B106" s="9" t="inlineStr">
        <is>
          <t>NEW</t>
        </is>
      </c>
      <c r="C106" s="9" t="inlineStr"/>
      <c r="D106" s="9" t="n">
        <v>0</v>
      </c>
      <c r="E106" s="9" t="inlineStr"/>
      <c r="F106" s="9" t="inlineStr"/>
      <c r="G106" s="9" t="inlineStr"/>
      <c r="H106" s="9" t="inlineStr"/>
      <c r="I106" t="inlineStr">
        <is>
          <t>ZAPONI MAGNO E COIMBRA ADVOGADOS</t>
        </is>
      </c>
      <c r="J106" t="inlineStr"/>
      <c r="K106" t="inlineStr">
        <is>
          <t>24890044</t>
        </is>
      </c>
      <c r="L106" t="inlineStr">
        <is>
          <t>24890044000100</t>
        </is>
      </c>
      <c r="M106" s="10" t="n">
        <v>150000</v>
      </c>
      <c r="N106" t="n">
        <v>1</v>
      </c>
      <c r="O106" s="11" t="inlineStr">
        <is>
          <t>C</t>
        </is>
      </c>
      <c r="P106" s="11" t="inlineStr">
        <is>
          <t>ACTIVE</t>
        </is>
      </c>
      <c r="Q106" s="12" t="n">
        <v>45209</v>
      </c>
      <c r="R106" s="11">
        <f>IF(Q106="","",ROUND((TODAY()-Q106)/365.25,1))</f>
        <v/>
      </c>
      <c r="S106" s="13">
        <f>IFERROR(VLOOKUP(O106,Assumptions!$A$7:$F$11,2,FALSE),0.25)</f>
        <v/>
      </c>
      <c r="T106" s="14">
        <f>IF(O106="A",MAX(1,IFERROR(VLOOKUP(O106,Assumptions!$A$7:$F$11,3,FALSE),3)+IFERROR(VLOOKUP(O106,Assumptions!$A$7:$F$11,4,FALSE),8)/2-MAX(0,IF(R106="",0,R106)-IFERROR(VLOOKUP(O106,Assumptions!$A$7:$F$11,5,FALSE),1.5))),IFERROR(VLOOKUP(O106,Assumptions!$A$7:$F$11,5,FALSE),2.5)+IFERROR(VLOOKUP(O106,Assumptions!$A$7:$F$11,3,FALSE),3)+IFERROR(VLOOKUP(O106,Assumptions!$A$7:$F$11,4,FALSE),8)/2)</f>
        <v/>
      </c>
      <c r="U106" s="15">
        <f>M106*S106/(1+Assumptions!$B$3)^T106</f>
        <v/>
      </c>
      <c r="V106" s="11">
        <f>IF(M106=0,"",ROUND(U106/M106*100,1))</f>
        <v/>
      </c>
      <c r="W106" s="16">
        <f>U106*Assumptions!$B$4</f>
        <v/>
      </c>
      <c r="X106" s="11">
        <f>IF(M106=0,"",ROUND(W106/M106*100,1))</f>
        <v/>
      </c>
      <c r="Y106" t="inlineStr">
        <is>
          <t>GRUPO UNIBRÁS</t>
        </is>
      </c>
      <c r="Z106" t="inlineStr">
        <is>
          <t>5677250-87.2023.8.09.0051</t>
        </is>
      </c>
      <c r="AA106" t="inlineStr">
        <is>
          <t>TJGO</t>
        </is>
      </c>
      <c r="AB106" t="inlineStr">
        <is>
          <t>stenius.com.br</t>
        </is>
      </c>
      <c r="AC106" t="inlineStr">
        <is>
          <t>BRUNO CAETANO AMANCIO COIMBRA</t>
        </is>
      </c>
      <c r="AD106" t="inlineStr">
        <is>
          <t>Sócio-Administrador</t>
        </is>
      </c>
      <c r="AE106" t="inlineStr">
        <is>
          <t>(61) 3544-7354</t>
        </is>
      </c>
      <c r="AF106" t="inlineStr"/>
      <c r="AG106" t="inlineStr"/>
      <c r="AH106" t="inlineStr">
        <is>
          <t>DF</t>
        </is>
      </c>
      <c r="AI106" t="inlineStr">
        <is>
          <t>BRASILIA</t>
        </is>
      </c>
      <c r="AJ106" t="inlineStr">
        <is>
          <t>Serviços advocatícios</t>
        </is>
      </c>
      <c r="AK106" t="inlineStr">
        <is>
          <t>DEMAIS</t>
        </is>
      </c>
      <c r="AL106" t="inlineStr">
        <is>
          <t>ATIVA</t>
        </is>
      </c>
      <c r="AM106" s="17" t="inlineStr">
        <is>
          <t>https://stenius.com.br/wp-content/uploads/2026/03/EDITAL-1-UNIBRAS.pdf</t>
        </is>
      </c>
      <c r="AN106" s="18" t="inlineStr">
        <is>
          <t>p24 r2</t>
        </is>
      </c>
      <c r="AO106" s="18" t="inlineStr">
        <is>
          <t>p24: R$ 150.000,00</t>
        </is>
      </c>
      <c r="AP106" s="18" t="inlineStr">
        <is>
          <t>AJ_LIST</t>
        </is>
      </c>
      <c r="AQ106" s="18" t="inlineStr">
        <is>
          <t>2025-03-27</t>
        </is>
      </c>
      <c r="AR106" s="18" t="inlineStr">
        <is>
          <t>OK_NO_TOTALS</t>
        </is>
      </c>
      <c r="AS106" s="18" t="inlineStr">
        <is>
          <t>NAME_MISSING ROWS:p24r2 UNRECONCILED_SOURCE</t>
        </is>
      </c>
      <c r="AT106" s="18" t="inlineStr">
        <is>
          <t>62943bec3423</t>
        </is>
      </c>
    </row>
    <row r="107">
      <c r="A107" s="9" t="n">
        <v>106</v>
      </c>
      <c r="B107" s="9" t="inlineStr">
        <is>
          <t>NEW</t>
        </is>
      </c>
      <c r="C107" s="9" t="inlineStr"/>
      <c r="D107" s="9" t="n">
        <v>0</v>
      </c>
      <c r="E107" s="9" t="inlineStr"/>
      <c r="F107" s="9" t="inlineStr"/>
      <c r="G107" s="9" t="inlineStr"/>
      <c r="H107" s="9" t="inlineStr"/>
      <c r="I107" t="inlineStr">
        <is>
          <t>RIO VERMELHO DISTRIBUICAO DE ALIMENTOS LTDA</t>
        </is>
      </c>
      <c r="J107" t="inlineStr">
        <is>
          <t>Rio Vermelho Distribuidor</t>
        </is>
      </c>
      <c r="K107" t="inlineStr">
        <is>
          <t>10912900</t>
        </is>
      </c>
      <c r="L107" t="inlineStr">
        <is>
          <t>10912900000240</t>
        </is>
      </c>
      <c r="M107" s="10" t="n">
        <v>149363.01</v>
      </c>
      <c r="N107" t="n">
        <v>1</v>
      </c>
      <c r="O107" s="11" t="inlineStr">
        <is>
          <t>B</t>
        </is>
      </c>
      <c r="P107" s="11" t="inlineStr">
        <is>
          <t>ACTIVE</t>
        </is>
      </c>
      <c r="Q107" s="12" t="n">
        <v>46130</v>
      </c>
      <c r="R107" s="11">
        <f>IF(Q107="","",ROUND((TODAY()-Q107)/365.25,1))</f>
        <v/>
      </c>
      <c r="S107" s="13">
        <f>IFERROR(VLOOKUP(O107,Assumptions!$A$7:$F$11,2,FALSE),0.25)</f>
        <v/>
      </c>
      <c r="T107" s="14">
        <f>IF(O107="A",MAX(1,IFERROR(VLOOKUP(O107,Assumptions!$A$7:$F$11,3,FALSE),3)+IFERROR(VLOOKUP(O107,Assumptions!$A$7:$F$11,4,FALSE),8)/2-MAX(0,IF(R107="",0,R107)-IFERROR(VLOOKUP(O107,Assumptions!$A$7:$F$11,5,FALSE),1.5))),IFERROR(VLOOKUP(O107,Assumptions!$A$7:$F$11,5,FALSE),2.5)+IFERROR(VLOOKUP(O107,Assumptions!$A$7:$F$11,3,FALSE),3)+IFERROR(VLOOKUP(O107,Assumptions!$A$7:$F$11,4,FALSE),8)/2)</f>
        <v/>
      </c>
      <c r="U107" s="15">
        <f>M107*S107/(1+Assumptions!$B$3)^T107</f>
        <v/>
      </c>
      <c r="V107" s="11">
        <f>IF(M107=0,"",ROUND(U107/M107*100,1))</f>
        <v/>
      </c>
      <c r="W107" s="16">
        <f>U107*Assumptions!$B$4</f>
        <v/>
      </c>
      <c r="X107" s="11">
        <f>IF(M107=0,"",ROUND(W107/M107*100,1))</f>
        <v/>
      </c>
      <c r="Y107" t="inlineStr">
        <is>
          <t>GRUPO 3E</t>
        </is>
      </c>
      <c r="Z107" t="inlineStr">
        <is>
          <t>5341375-33.2026.8.09.0049</t>
        </is>
      </c>
      <c r="AA107" t="inlineStr">
        <is>
          <t>TJGO</t>
        </is>
      </c>
      <c r="AB107" t="inlineStr">
        <is>
          <t>stenius.com.br</t>
        </is>
      </c>
      <c r="AC107" t="inlineStr">
        <is>
          <t>EDER ABRAHAO</t>
        </is>
      </c>
      <c r="AD107" t="inlineStr">
        <is>
          <t>Sócio-Administrador</t>
        </is>
      </c>
      <c r="AE107" t="inlineStr">
        <is>
          <t>(62) 3310-3592</t>
        </is>
      </c>
      <c r="AF107" t="inlineStr"/>
      <c r="AG107" t="inlineStr"/>
      <c r="AH107" t="inlineStr">
        <is>
          <t>DF</t>
        </is>
      </c>
      <c r="AI107" t="inlineStr">
        <is>
          <t>BRASILIA</t>
        </is>
      </c>
      <c r="AJ107" t="inlineStr">
        <is>
          <t>Comércio atacadista de produtos alimentícios em geral</t>
        </is>
      </c>
      <c r="AK107" t="inlineStr">
        <is>
          <t>DEMAIS</t>
        </is>
      </c>
      <c r="AL107" t="inlineStr">
        <is>
          <t>ATIVA</t>
        </is>
      </c>
      <c r="AM107" s="17" t="inlineStr">
        <is>
          <t>https://stenius.com.br/wp-content/uploads/2026/06/EDITAL-GRUPO-3E.pdf</t>
        </is>
      </c>
      <c r="AN107" s="18" t="inlineStr">
        <is>
          <t>p17 r28</t>
        </is>
      </c>
      <c r="AO107" s="18" t="inlineStr">
        <is>
          <t>p17: R$ 149.363,01</t>
        </is>
      </c>
      <c r="AP107" s="18" t="inlineStr">
        <is>
          <t>DEBTOR_LIST</t>
        </is>
      </c>
      <c r="AQ107" s="18" t="inlineStr">
        <is>
          <t>2026-06-22</t>
        </is>
      </c>
      <c r="AR107" s="18" t="inlineStr">
        <is>
          <t>OK_NO_TOTALS</t>
        </is>
      </c>
      <c r="AS107" s="18" t="inlineStr">
        <is>
          <t>ROWS:p17r28 UNRECONCILED_SOURCE</t>
        </is>
      </c>
      <c r="AT107" s="18" t="inlineStr">
        <is>
          <t>8e8832093a15</t>
        </is>
      </c>
    </row>
    <row r="108">
      <c r="A108" s="9" t="n">
        <v>107</v>
      </c>
      <c r="B108" s="9" t="inlineStr">
        <is>
          <t>NEW</t>
        </is>
      </c>
      <c r="C108" s="9" t="inlineStr"/>
      <c r="D108" s="9" t="n">
        <v>0</v>
      </c>
      <c r="E108" s="9" t="inlineStr"/>
      <c r="F108" s="9" t="inlineStr"/>
      <c r="G108" s="9" t="inlineStr"/>
      <c r="H108" s="9" t="inlineStr"/>
      <c r="I108" t="inlineStr">
        <is>
          <t>COPASUL COOPERATIVA AGRICOLA SUL MATOGROSSENSE</t>
        </is>
      </c>
      <c r="J108" t="inlineStr">
        <is>
          <t>COPASUL COOPERATIVA AGRICOLA SUL MATOGROSSENSE</t>
        </is>
      </c>
      <c r="K108" t="inlineStr">
        <is>
          <t>03902129</t>
        </is>
      </c>
      <c r="L108" t="inlineStr">
        <is>
          <t>03902129001589</t>
        </is>
      </c>
      <c r="M108" s="10" t="n">
        <v>147774.41</v>
      </c>
      <c r="N108" t="n">
        <v>1</v>
      </c>
      <c r="O108" s="11" t="inlineStr">
        <is>
          <t>C</t>
        </is>
      </c>
      <c r="P108" s="11" t="inlineStr"/>
      <c r="Q108" s="12" t="inlineStr"/>
      <c r="R108" s="11">
        <f>IF(Q108="","",ROUND((TODAY()-Q108)/365.25,1))</f>
        <v/>
      </c>
      <c r="S108" s="13">
        <f>IFERROR(VLOOKUP(O108,Assumptions!$A$7:$F$11,2,FALSE),0.25)</f>
        <v/>
      </c>
      <c r="T108" s="14">
        <f>IF(O108="A",MAX(1,IFERROR(VLOOKUP(O108,Assumptions!$A$7:$F$11,3,FALSE),3)+IFERROR(VLOOKUP(O108,Assumptions!$A$7:$F$11,4,FALSE),8)/2-MAX(0,IF(R108="",0,R108)-IFERROR(VLOOKUP(O108,Assumptions!$A$7:$F$11,5,FALSE),1.5))),IFERROR(VLOOKUP(O108,Assumptions!$A$7:$F$11,5,FALSE),2.5)+IFERROR(VLOOKUP(O108,Assumptions!$A$7:$F$11,3,FALSE),3)+IFERROR(VLOOKUP(O108,Assumptions!$A$7:$F$11,4,FALSE),8)/2)</f>
        <v/>
      </c>
      <c r="U108" s="15">
        <f>M108*S108/(1+Assumptions!$B$3)^T108</f>
        <v/>
      </c>
      <c r="V108" s="11">
        <f>IF(M108=0,"",ROUND(U108/M108*100,1))</f>
        <v/>
      </c>
      <c r="W108" s="16">
        <f>U108*Assumptions!$B$4</f>
        <v/>
      </c>
      <c r="X108" s="11">
        <f>IF(M108=0,"",ROUND(W108/M108*100,1))</f>
        <v/>
      </c>
      <c r="Y108" t="inlineStr">
        <is>
          <t>CONFECÇÕES ANDRIMALHAS LTDA</t>
        </is>
      </c>
      <c r="Z108" t="inlineStr">
        <is>
          <t>0302174-63.2015.8.24.0025</t>
        </is>
      </c>
      <c r="AA108" t="inlineStr"/>
      <c r="AB108" t="inlineStr">
        <is>
          <t>administradorajudicialgs.com.br</t>
        </is>
      </c>
      <c r="AC108" t="inlineStr">
        <is>
          <t>SEBASTIAAN SIMON PETRUS SPEKKEN</t>
        </is>
      </c>
      <c r="AD108" t="inlineStr">
        <is>
          <t>Presidente</t>
        </is>
      </c>
      <c r="AE108" t="inlineStr">
        <is>
          <t>(67) 3409-1234</t>
        </is>
      </c>
      <c r="AF108" t="inlineStr"/>
      <c r="AG108" t="inlineStr"/>
      <c r="AH108" t="inlineStr">
        <is>
          <t>MS</t>
        </is>
      </c>
      <c r="AI108" t="inlineStr">
        <is>
          <t>NAVIRAI</t>
        </is>
      </c>
      <c r="AJ108" t="inlineStr">
        <is>
          <t>Comércio atacadista de soja</t>
        </is>
      </c>
      <c r="AK108" t="inlineStr">
        <is>
          <t>DEMAIS</t>
        </is>
      </c>
      <c r="AL108" t="inlineStr">
        <is>
          <t>ATIVA</t>
        </is>
      </c>
      <c r="AM108" s="17" t="inlineStr">
        <is>
          <t>https://administradorajudicialgs.com.br/wp-content/uploads/2023/08/doc-06-relacao-credores-do-administrador-judicial-10-02-2015.pdf</t>
        </is>
      </c>
      <c r="AN108" s="18" t="inlineStr">
        <is>
          <t>p2 r1</t>
        </is>
      </c>
      <c r="AO108" s="18" t="inlineStr">
        <is>
          <t>p2: R$ 147.774,41</t>
        </is>
      </c>
      <c r="AP108" s="18" t="inlineStr">
        <is>
          <t>AJ_LIST</t>
        </is>
      </c>
      <c r="AQ108" s="18" t="inlineStr"/>
      <c r="AR108" s="18" t="inlineStr">
        <is>
          <t>QUARANTINED</t>
        </is>
      </c>
      <c r="AS108" s="18" t="inlineStr">
        <is>
          <t>PARTIAL_DOC_CLASS_III_RECONCILED ROWS:p2r1</t>
        </is>
      </c>
      <c r="AT108" s="18" t="inlineStr">
        <is>
          <t>d403116b357d</t>
        </is>
      </c>
    </row>
    <row r="109">
      <c r="A109" s="9" t="n">
        <v>108</v>
      </c>
      <c r="B109" s="9" t="inlineStr">
        <is>
          <t>NEW</t>
        </is>
      </c>
      <c r="C109" s="9" t="inlineStr"/>
      <c r="D109" s="9" t="n">
        <v>0</v>
      </c>
      <c r="E109" s="9" t="inlineStr"/>
      <c r="F109" s="9" t="inlineStr"/>
      <c r="G109" s="9" t="inlineStr"/>
      <c r="H109" s="9" t="inlineStr"/>
      <c r="I109" t="inlineStr">
        <is>
          <t>ITAMBE MINAS COMERCIO E DISTRIBUICAO DE ALIMENTOS LTDA</t>
        </is>
      </c>
      <c r="J109" t="inlineStr">
        <is>
          <t>Itambe</t>
        </is>
      </c>
      <c r="K109" t="inlineStr">
        <is>
          <t>16849231</t>
        </is>
      </c>
      <c r="L109" t="inlineStr">
        <is>
          <t>16849231001771</t>
        </is>
      </c>
      <c r="M109" s="10" t="n">
        <v>147601.01</v>
      </c>
      <c r="N109" t="n">
        <v>1</v>
      </c>
      <c r="O109" s="11" t="inlineStr">
        <is>
          <t>B</t>
        </is>
      </c>
      <c r="P109" s="11" t="inlineStr">
        <is>
          <t>ACTIVE</t>
        </is>
      </c>
      <c r="Q109" s="12" t="n">
        <v>46130</v>
      </c>
      <c r="R109" s="11">
        <f>IF(Q109="","",ROUND((TODAY()-Q109)/365.25,1))</f>
        <v/>
      </c>
      <c r="S109" s="13">
        <f>IFERROR(VLOOKUP(O109,Assumptions!$A$7:$F$11,2,FALSE),0.25)</f>
        <v/>
      </c>
      <c r="T109" s="14">
        <f>IF(O109="A",MAX(1,IFERROR(VLOOKUP(O109,Assumptions!$A$7:$F$11,3,FALSE),3)+IFERROR(VLOOKUP(O109,Assumptions!$A$7:$F$11,4,FALSE),8)/2-MAX(0,IF(R109="",0,R109)-IFERROR(VLOOKUP(O109,Assumptions!$A$7:$F$11,5,FALSE),1.5))),IFERROR(VLOOKUP(O109,Assumptions!$A$7:$F$11,5,FALSE),2.5)+IFERROR(VLOOKUP(O109,Assumptions!$A$7:$F$11,3,FALSE),3)+IFERROR(VLOOKUP(O109,Assumptions!$A$7:$F$11,4,FALSE),8)/2)</f>
        <v/>
      </c>
      <c r="U109" s="15">
        <f>M109*S109/(1+Assumptions!$B$3)^T109</f>
        <v/>
      </c>
      <c r="V109" s="11">
        <f>IF(M109=0,"",ROUND(U109/M109*100,1))</f>
        <v/>
      </c>
      <c r="W109" s="16">
        <f>U109*Assumptions!$B$4</f>
        <v/>
      </c>
      <c r="X109" s="11">
        <f>IF(M109=0,"",ROUND(W109/M109*100,1))</f>
        <v/>
      </c>
      <c r="Y109" t="inlineStr">
        <is>
          <t>GRUPO 3E</t>
        </is>
      </c>
      <c r="Z109" t="inlineStr">
        <is>
          <t>5341375-33.2026.8.09.0049</t>
        </is>
      </c>
      <c r="AA109" t="inlineStr">
        <is>
          <t>TJGO</t>
        </is>
      </c>
      <c r="AB109" t="inlineStr">
        <is>
          <t>stenius.com.br</t>
        </is>
      </c>
      <c r="AC109" t="inlineStr">
        <is>
          <t>BEATRIZ CARDOSO SILVA LABORNE</t>
        </is>
      </c>
      <c r="AD109" t="inlineStr">
        <is>
          <t>Administrador</t>
        </is>
      </c>
      <c r="AE109" t="inlineStr">
        <is>
          <t>(31) 2126-3700</t>
        </is>
      </c>
      <c r="AF109" t="inlineStr">
        <is>
          <t>(31) 2126-3820</t>
        </is>
      </c>
      <c r="AG109" t="inlineStr"/>
      <c r="AH109" t="inlineStr">
        <is>
          <t>MG</t>
        </is>
      </c>
      <c r="AI109" t="inlineStr">
        <is>
          <t>BELO HORIZONTE</t>
        </is>
      </c>
      <c r="AJ109" t="inlineStr">
        <is>
          <t>Fabricação de laticínios</t>
        </is>
      </c>
      <c r="AK109" t="inlineStr">
        <is>
          <t>DEMAIS</t>
        </is>
      </c>
      <c r="AL109" t="inlineStr">
        <is>
          <t>ATIVA</t>
        </is>
      </c>
      <c r="AM109" s="17" t="inlineStr">
        <is>
          <t>https://stenius.com.br/wp-content/uploads/2026/06/EDITAL-GRUPO-3E.pdf</t>
        </is>
      </c>
      <c r="AN109" s="18" t="inlineStr">
        <is>
          <t>p14 r62</t>
        </is>
      </c>
      <c r="AO109" s="18" t="inlineStr">
        <is>
          <t>p14: R$ 147.601,01</t>
        </is>
      </c>
      <c r="AP109" s="18" t="inlineStr">
        <is>
          <t>DEBTOR_LIST</t>
        </is>
      </c>
      <c r="AQ109" s="18" t="inlineStr">
        <is>
          <t>2026-06-22</t>
        </is>
      </c>
      <c r="AR109" s="18" t="inlineStr">
        <is>
          <t>OK_NO_TOTALS</t>
        </is>
      </c>
      <c r="AS109" s="18" t="inlineStr">
        <is>
          <t>ROWS:p14r62 UNRECONCILED_SOURCE</t>
        </is>
      </c>
      <c r="AT109" s="18" t="inlineStr">
        <is>
          <t>8e8832093a15</t>
        </is>
      </c>
    </row>
    <row r="110">
      <c r="A110" s="9" t="n">
        <v>109</v>
      </c>
      <c r="B110" s="9" t="inlineStr">
        <is>
          <t>NEW</t>
        </is>
      </c>
      <c r="C110" s="9" t="inlineStr"/>
      <c r="D110" s="9" t="n">
        <v>0</v>
      </c>
      <c r="E110" s="9" t="inlineStr"/>
      <c r="F110" s="9" t="inlineStr"/>
      <c r="G110" s="9" t="inlineStr"/>
      <c r="H110" s="9" t="inlineStr"/>
      <c r="I110" t="inlineStr">
        <is>
          <t>BAYER S.A.</t>
        </is>
      </c>
      <c r="J110" t="inlineStr">
        <is>
          <t>Bayer S.A</t>
        </is>
      </c>
      <c r="K110" t="inlineStr">
        <is>
          <t>18459628</t>
        </is>
      </c>
      <c r="L110" t="inlineStr">
        <is>
          <t>18459628010188</t>
        </is>
      </c>
      <c r="M110" s="10" t="n">
        <v>147575.97</v>
      </c>
      <c r="N110" t="n">
        <v>1</v>
      </c>
      <c r="O110" s="11" t="inlineStr">
        <is>
          <t>B</t>
        </is>
      </c>
      <c r="P110" s="11" t="inlineStr">
        <is>
          <t>ACTIVE</t>
        </is>
      </c>
      <c r="Q110" s="12" t="n">
        <v>46130</v>
      </c>
      <c r="R110" s="11">
        <f>IF(Q110="","",ROUND((TODAY()-Q110)/365.25,1))</f>
        <v/>
      </c>
      <c r="S110" s="13">
        <f>IFERROR(VLOOKUP(O110,Assumptions!$A$7:$F$11,2,FALSE),0.25)</f>
        <v/>
      </c>
      <c r="T110" s="14">
        <f>IF(O110="A",MAX(1,IFERROR(VLOOKUP(O110,Assumptions!$A$7:$F$11,3,FALSE),3)+IFERROR(VLOOKUP(O110,Assumptions!$A$7:$F$11,4,FALSE),8)/2-MAX(0,IF(R110="",0,R110)-IFERROR(VLOOKUP(O110,Assumptions!$A$7:$F$11,5,FALSE),1.5))),IFERROR(VLOOKUP(O110,Assumptions!$A$7:$F$11,5,FALSE),2.5)+IFERROR(VLOOKUP(O110,Assumptions!$A$7:$F$11,3,FALSE),3)+IFERROR(VLOOKUP(O110,Assumptions!$A$7:$F$11,4,FALSE),8)/2)</f>
        <v/>
      </c>
      <c r="U110" s="15">
        <f>M110*S110/(1+Assumptions!$B$3)^T110</f>
        <v/>
      </c>
      <c r="V110" s="11">
        <f>IF(M110=0,"",ROUND(U110/M110*100,1))</f>
        <v/>
      </c>
      <c r="W110" s="16">
        <f>U110*Assumptions!$B$4</f>
        <v/>
      </c>
      <c r="X110" s="11">
        <f>IF(M110=0,"",ROUND(W110/M110*100,1))</f>
        <v/>
      </c>
      <c r="Y110" t="inlineStr">
        <is>
          <t>GRUPO 3E</t>
        </is>
      </c>
      <c r="Z110" t="inlineStr">
        <is>
          <t>5341375-33.2026.8.09.0049</t>
        </is>
      </c>
      <c r="AA110" t="inlineStr">
        <is>
          <t>TJGO</t>
        </is>
      </c>
      <c r="AB110" t="inlineStr">
        <is>
          <t>stenius.com.br</t>
        </is>
      </c>
      <c r="AC110" t="inlineStr">
        <is>
          <t>ERICA BRANDINI BARBAGALO</t>
        </is>
      </c>
      <c r="AD110" t="inlineStr">
        <is>
          <t>Administrador</t>
        </is>
      </c>
      <c r="AE110" t="inlineStr">
        <is>
          <t>(11) 5694-5166</t>
        </is>
      </c>
      <c r="AF110" t="inlineStr"/>
      <c r="AG110" t="inlineStr"/>
      <c r="AH110" t="inlineStr">
        <is>
          <t>SP</t>
        </is>
      </c>
      <c r="AI110" t="inlineStr">
        <is>
          <t>SAO PAULO</t>
        </is>
      </c>
      <c r="AJ110" t="inlineStr">
        <is>
          <t>Fabricação de outros produtos químicos não especificados anteriormente</t>
        </is>
      </c>
      <c r="AK110" t="inlineStr">
        <is>
          <t>DEMAIS</t>
        </is>
      </c>
      <c r="AL110" t="inlineStr">
        <is>
          <t>ATIVA</t>
        </is>
      </c>
      <c r="AM110" s="17" t="inlineStr">
        <is>
          <t>https://stenius.com.br/wp-content/uploads/2026/06/EDITAL-GRUPO-3E.pdf</t>
        </is>
      </c>
      <c r="AN110" s="18" t="inlineStr">
        <is>
          <t>p10 r45</t>
        </is>
      </c>
      <c r="AO110" s="18" t="inlineStr">
        <is>
          <t>p10: R$ 147.575,97</t>
        </is>
      </c>
      <c r="AP110" s="18" t="inlineStr">
        <is>
          <t>DEBTOR_LIST</t>
        </is>
      </c>
      <c r="AQ110" s="18" t="inlineStr">
        <is>
          <t>2026-06-22</t>
        </is>
      </c>
      <c r="AR110" s="18" t="inlineStr">
        <is>
          <t>OK_NO_TOTALS</t>
        </is>
      </c>
      <c r="AS110" s="18" t="inlineStr">
        <is>
          <t>ROWS:p10r45 UNRECONCILED_SOURCE</t>
        </is>
      </c>
      <c r="AT110" s="18" t="inlineStr">
        <is>
          <t>8e8832093a15</t>
        </is>
      </c>
    </row>
    <row r="111">
      <c r="A111" s="9" t="n">
        <v>110</v>
      </c>
      <c r="B111" s="9" t="inlineStr">
        <is>
          <t>NEW</t>
        </is>
      </c>
      <c r="C111" s="9" t="inlineStr"/>
      <c r="D111" s="9" t="n">
        <v>0</v>
      </c>
      <c r="E111" s="9" t="inlineStr"/>
      <c r="F111" s="9" t="inlineStr"/>
      <c r="G111" s="9" t="inlineStr"/>
      <c r="H111" s="9" t="inlineStr"/>
      <c r="I111" t="inlineStr">
        <is>
          <t>ROMITEX MALHAS LTDA</t>
        </is>
      </c>
      <c r="J111" t="inlineStr">
        <is>
          <t>ROMITEX MALHAS LTDA</t>
        </is>
      </c>
      <c r="K111" t="inlineStr">
        <is>
          <t>80415433</t>
        </is>
      </c>
      <c r="L111" t="inlineStr">
        <is>
          <t>80415433000147</t>
        </is>
      </c>
      <c r="M111" s="10" t="n">
        <v>146812.8</v>
      </c>
      <c r="N111" t="n">
        <v>2</v>
      </c>
      <c r="O111" s="11" t="inlineStr">
        <is>
          <t>C</t>
        </is>
      </c>
      <c r="P111" s="11" t="inlineStr">
        <is>
          <t>ACTIVE</t>
        </is>
      </c>
      <c r="Q111" s="12" t="n">
        <v>44571</v>
      </c>
      <c r="R111" s="11">
        <f>IF(Q111="","",ROUND((TODAY()-Q111)/365.25,1))</f>
        <v/>
      </c>
      <c r="S111" s="13">
        <f>IFERROR(VLOOKUP(O111,Assumptions!$A$7:$F$11,2,FALSE),0.25)</f>
        <v/>
      </c>
      <c r="T111" s="14">
        <f>IF(O111="A",MAX(1,IFERROR(VLOOKUP(O111,Assumptions!$A$7:$F$11,3,FALSE),3)+IFERROR(VLOOKUP(O111,Assumptions!$A$7:$F$11,4,FALSE),8)/2-MAX(0,IF(R111="",0,R111)-IFERROR(VLOOKUP(O111,Assumptions!$A$7:$F$11,5,FALSE),1.5))),IFERROR(VLOOKUP(O111,Assumptions!$A$7:$F$11,5,FALSE),2.5)+IFERROR(VLOOKUP(O111,Assumptions!$A$7:$F$11,3,FALSE),3)+IFERROR(VLOOKUP(O111,Assumptions!$A$7:$F$11,4,FALSE),8)/2)</f>
        <v/>
      </c>
      <c r="U111" s="15">
        <f>M111*S111/(1+Assumptions!$B$3)^T111</f>
        <v/>
      </c>
      <c r="V111" s="11">
        <f>IF(M111=0,"",ROUND(U111/M111*100,1))</f>
        <v/>
      </c>
      <c r="W111" s="16">
        <f>U111*Assumptions!$B$4</f>
        <v/>
      </c>
      <c r="X111" s="11">
        <f>IF(M111=0,"",ROUND(W111/M111*100,1))</f>
        <v/>
      </c>
      <c r="Y111" t="inlineStr">
        <is>
          <t>GRUPO CATTAN</t>
        </is>
      </c>
      <c r="Z111" t="inlineStr">
        <is>
          <t>0002484-82.2022.8.17.2001</t>
        </is>
      </c>
      <c r="AA111" t="inlineStr">
        <is>
          <t>TJPE</t>
        </is>
      </c>
      <c r="AB111" t="inlineStr">
        <is>
          <t>lrflideres.com.br</t>
        </is>
      </c>
      <c r="AC111" t="inlineStr">
        <is>
          <t>EVANIO JOSE PRESTINI</t>
        </is>
      </c>
      <c r="AD111" t="inlineStr">
        <is>
          <t>Sócio-Administrador</t>
        </is>
      </c>
      <c r="AE111" t="inlineStr">
        <is>
          <t>(47) 2107-0450</t>
        </is>
      </c>
      <c r="AF111" t="inlineStr"/>
      <c r="AG111" t="inlineStr"/>
      <c r="AH111" t="inlineStr">
        <is>
          <t>SC</t>
        </is>
      </c>
      <c r="AI111" t="inlineStr">
        <is>
          <t>GUARAMIRIM</t>
        </is>
      </c>
      <c r="AJ111" t="inlineStr">
        <is>
          <t>Confecção de peças de vestuário, exceto roupas íntimas e as confeccionadas sob medida</t>
        </is>
      </c>
      <c r="AK111" t="inlineStr">
        <is>
          <t>DEMAIS</t>
        </is>
      </c>
      <c r="AL111" t="inlineStr">
        <is>
          <t>ATIVA</t>
        </is>
      </c>
      <c r="AM111" s="17" t="inlineStr">
        <is>
          <t>https://lrflideres.com.br/wp-content/plugins/download-attachments/includes/download.php?id=4023</t>
        </is>
      </c>
      <c r="AN111" s="18" t="inlineStr">
        <is>
          <t>p7 r118; p9 r88</t>
        </is>
      </c>
      <c r="AO111" s="18" t="inlineStr">
        <is>
          <t>p7: R$ 126.331,20; p9: R$ 20.481,60</t>
        </is>
      </c>
      <c r="AP111" s="18" t="inlineStr">
        <is>
          <t>DEBTOR_LIST</t>
        </is>
      </c>
      <c r="AQ111" s="18" t="inlineStr"/>
      <c r="AR111" s="18" t="inlineStr">
        <is>
          <t>QUARANTINED</t>
        </is>
      </c>
      <c r="AS111" s="18" t="inlineStr">
        <is>
          <t>PARTIAL_DOC_CLASS_III_RECONCILED ROWS:p7r118,p9r88</t>
        </is>
      </c>
      <c r="AT111" s="18" t="inlineStr">
        <is>
          <t>f3b6182e3aa2</t>
        </is>
      </c>
    </row>
    <row r="112">
      <c r="A112" s="9" t="n">
        <v>111</v>
      </c>
      <c r="B112" s="9" t="inlineStr">
        <is>
          <t>NEW</t>
        </is>
      </c>
      <c r="C112" s="9" t="inlineStr"/>
      <c r="D112" s="9" t="n">
        <v>0</v>
      </c>
      <c r="E112" s="9" t="inlineStr"/>
      <c r="F112" s="9" t="inlineStr"/>
      <c r="G112" s="9" t="inlineStr"/>
      <c r="H112" s="9" t="inlineStr"/>
      <c r="I112" t="inlineStr">
        <is>
          <t>BRASKEM S.A</t>
        </is>
      </c>
      <c r="J112" t="inlineStr">
        <is>
          <t>BRASKEM S.A.</t>
        </is>
      </c>
      <c r="K112" t="inlineStr">
        <is>
          <t>42150391</t>
        </is>
      </c>
      <c r="L112" t="inlineStr">
        <is>
          <t>42150391003005</t>
        </is>
      </c>
      <c r="M112" s="10" t="n">
        <v>146729.62</v>
      </c>
      <c r="N112" t="n">
        <v>1</v>
      </c>
      <c r="O112" s="11" t="inlineStr">
        <is>
          <t>C</t>
        </is>
      </c>
      <c r="P112" s="11" t="inlineStr">
        <is>
          <t>ACTIVE</t>
        </is>
      </c>
      <c r="Q112" s="12" t="n">
        <v>45016</v>
      </c>
      <c r="R112" s="11">
        <f>IF(Q112="","",ROUND((TODAY()-Q112)/365.25,1))</f>
        <v/>
      </c>
      <c r="S112" s="13">
        <f>IFERROR(VLOOKUP(O112,Assumptions!$A$7:$F$11,2,FALSE),0.25)</f>
        <v/>
      </c>
      <c r="T112" s="14">
        <f>IF(O112="A",MAX(1,IFERROR(VLOOKUP(O112,Assumptions!$A$7:$F$11,3,FALSE),3)+IFERROR(VLOOKUP(O112,Assumptions!$A$7:$F$11,4,FALSE),8)/2-MAX(0,IF(R112="",0,R112)-IFERROR(VLOOKUP(O112,Assumptions!$A$7:$F$11,5,FALSE),1.5))),IFERROR(VLOOKUP(O112,Assumptions!$A$7:$F$11,5,FALSE),2.5)+IFERROR(VLOOKUP(O112,Assumptions!$A$7:$F$11,3,FALSE),3)+IFERROR(VLOOKUP(O112,Assumptions!$A$7:$F$11,4,FALSE),8)/2)</f>
        <v/>
      </c>
      <c r="U112" s="15">
        <f>M112*S112/(1+Assumptions!$B$3)^T112</f>
        <v/>
      </c>
      <c r="V112" s="11">
        <f>IF(M112=0,"",ROUND(U112/M112*100,1))</f>
        <v/>
      </c>
      <c r="W112" s="16">
        <f>U112*Assumptions!$B$4</f>
        <v/>
      </c>
      <c r="X112" s="11">
        <f>IF(M112=0,"",ROUND(W112/M112*100,1))</f>
        <v/>
      </c>
      <c r="Y112" t="inlineStr">
        <is>
          <t>GRUPO IMPLASVERDE</t>
        </is>
      </c>
      <c r="Z112" t="inlineStr">
        <is>
          <t>0800778-16.2023.8.20.5104</t>
        </is>
      </c>
      <c r="AA112" t="inlineStr">
        <is>
          <t>TJRN</t>
        </is>
      </c>
      <c r="AB112" t="inlineStr">
        <is>
          <t>recuperacaojudicial.squarespace.com</t>
        </is>
      </c>
      <c r="AC112" t="inlineStr">
        <is>
          <t>HELCIO TOKESHI</t>
        </is>
      </c>
      <c r="AD112" t="inlineStr">
        <is>
          <t>Presidente</t>
        </is>
      </c>
      <c r="AE112" t="inlineStr">
        <is>
          <t>(71) 3504-7100</t>
        </is>
      </c>
      <c r="AF112" t="inlineStr"/>
      <c r="AG112" t="inlineStr"/>
      <c r="AH112" t="inlineStr">
        <is>
          <t>BA</t>
        </is>
      </c>
      <c r="AI112" t="inlineStr">
        <is>
          <t>CAMACARI</t>
        </is>
      </c>
      <c r="AJ112" t="inlineStr">
        <is>
          <t>Fabricação de produtos petroquímicos básicos</t>
        </is>
      </c>
      <c r="AK112" t="inlineStr">
        <is>
          <t>DEMAIS</t>
        </is>
      </c>
      <c r="AL112" t="inlineStr">
        <is>
          <t>ATIVA</t>
        </is>
      </c>
      <c r="AM112" s="17" t="inlineStr">
        <is>
          <t>http://recuperacaojudicial.squarespace.com/s/LISTA-DE-CREDORES-CONSOLIDADA-ATE-04102024.pdf</t>
        </is>
      </c>
      <c r="AN112" s="18" t="inlineStr">
        <is>
          <t>p6 r9</t>
        </is>
      </c>
      <c r="AO112" s="18" t="inlineStr">
        <is>
          <t>p6: R$ 146.729,62</t>
        </is>
      </c>
      <c r="AP112" s="18" t="inlineStr">
        <is>
          <t>AJ_LIST</t>
        </is>
      </c>
      <c r="AQ112" s="18" t="inlineStr">
        <is>
          <t>2024-10-04</t>
        </is>
      </c>
      <c r="AR112" s="18" t="inlineStr">
        <is>
          <t>OK</t>
        </is>
      </c>
      <c r="AS112" s="18" t="inlineStr">
        <is>
          <t>ROWS:p6r9 VALUE_COL:Valor_Do_Crédito</t>
        </is>
      </c>
      <c r="AT112" s="18" t="inlineStr">
        <is>
          <t>7501ec99fc8e</t>
        </is>
      </c>
    </row>
    <row r="113">
      <c r="A113" s="9" t="n">
        <v>112</v>
      </c>
      <c r="B113" s="9" t="inlineStr">
        <is>
          <t>NEW</t>
        </is>
      </c>
      <c r="C113" s="9" t="inlineStr"/>
      <c r="D113" s="9" t="n">
        <v>0</v>
      </c>
      <c r="E113" s="9" t="inlineStr"/>
      <c r="F113" s="9" t="inlineStr"/>
      <c r="G113" s="9" t="inlineStr"/>
      <c r="H113" s="9" t="inlineStr"/>
      <c r="I113" t="inlineStr">
        <is>
          <t>LYNEL INDUSTRIA TEXTIL LTDA</t>
        </is>
      </c>
      <c r="J113" t="inlineStr">
        <is>
          <t>LYNEL INDUSTRIA TEXTIL LTDA</t>
        </is>
      </c>
      <c r="K113" t="inlineStr">
        <is>
          <t>75797118</t>
        </is>
      </c>
      <c r="L113" t="inlineStr">
        <is>
          <t>75797118000191</t>
        </is>
      </c>
      <c r="M113" s="10" t="n">
        <v>146053.67</v>
      </c>
      <c r="N113" t="n">
        <v>1</v>
      </c>
      <c r="O113" s="11" t="inlineStr">
        <is>
          <t>D</t>
        </is>
      </c>
      <c r="P113" s="11" t="inlineStr"/>
      <c r="Q113" s="12" t="inlineStr"/>
      <c r="R113" s="11">
        <f>IF(Q113="","",ROUND((TODAY()-Q113)/365.25,1))</f>
        <v/>
      </c>
      <c r="S113" s="13">
        <f>IFERROR(VLOOKUP(O113,Assumptions!$A$7:$F$11,2,FALSE),0.25)</f>
        <v/>
      </c>
      <c r="T113" s="14">
        <f>IF(O113="A",MAX(1,IFERROR(VLOOKUP(O113,Assumptions!$A$7:$F$11,3,FALSE),3)+IFERROR(VLOOKUP(O113,Assumptions!$A$7:$F$11,4,FALSE),8)/2-MAX(0,IF(R113="",0,R113)-IFERROR(VLOOKUP(O113,Assumptions!$A$7:$F$11,5,FALSE),1.5))),IFERROR(VLOOKUP(O113,Assumptions!$A$7:$F$11,5,FALSE),2.5)+IFERROR(VLOOKUP(O113,Assumptions!$A$7:$F$11,3,FALSE),3)+IFERROR(VLOOKUP(O113,Assumptions!$A$7:$F$11,4,FALSE),8)/2)</f>
        <v/>
      </c>
      <c r="U113" s="15">
        <f>M113*S113/(1+Assumptions!$B$3)^T113</f>
        <v/>
      </c>
      <c r="V113" s="11">
        <f>IF(M113=0,"",ROUND(U113/M113*100,1))</f>
        <v/>
      </c>
      <c r="W113" s="16">
        <f>U113*Assumptions!$B$4</f>
        <v/>
      </c>
      <c r="X113" s="11">
        <f>IF(M113=0,"",ROUND(W113/M113*100,1))</f>
        <v/>
      </c>
      <c r="Y113" t="inlineStr">
        <is>
          <t>Mannes</t>
        </is>
      </c>
      <c r="Z113" t="inlineStr">
        <is>
          <t>0005010-50.2013.8.24.0026</t>
        </is>
      </c>
      <c r="AA113" t="inlineStr"/>
      <c r="AB113" t="inlineStr">
        <is>
          <t>administradorajudicialgs.com.br</t>
        </is>
      </c>
      <c r="AC113" t="inlineStr">
        <is>
          <t>CLEMENTINA BILESKI EVARISTO</t>
        </is>
      </c>
      <c r="AD113" t="inlineStr">
        <is>
          <t>Sócio-Administrador</t>
        </is>
      </c>
      <c r="AE113" t="inlineStr">
        <is>
          <t>(47) 3653-2159</t>
        </is>
      </c>
      <c r="AF113" t="inlineStr"/>
      <c r="AG113" t="inlineStr"/>
      <c r="AH113" t="inlineStr">
        <is>
          <t>SC</t>
        </is>
      </c>
      <c r="AI113" t="inlineStr">
        <is>
          <t>PAPANDUVA</t>
        </is>
      </c>
      <c r="AJ113" t="inlineStr">
        <is>
          <t>Fabricação de artefatos têxteis para uso doméstico</t>
        </is>
      </c>
      <c r="AK113" t="inlineStr">
        <is>
          <t>DEMAIS</t>
        </is>
      </c>
      <c r="AL113" t="inlineStr">
        <is>
          <t>ATIVA</t>
        </is>
      </c>
      <c r="AM113" s="17" t="inlineStr">
        <is>
          <t>https://administradorajudicialgs.com.br/wp-content/uploads/2024/12/relacao-de-credores-da-falida.pdf</t>
        </is>
      </c>
      <c r="AN113" s="18" t="inlineStr">
        <is>
          <t>p16 r23</t>
        </is>
      </c>
      <c r="AO113" s="18" t="inlineStr">
        <is>
          <t>p16: R$ 146.053,67</t>
        </is>
      </c>
      <c r="AP113" s="18" t="inlineStr">
        <is>
          <t>OTHER</t>
        </is>
      </c>
      <c r="AQ113" s="18" t="inlineStr">
        <is>
          <t>2025-03-25</t>
        </is>
      </c>
      <c r="AR113" s="18" t="inlineStr">
        <is>
          <t>OK_NO_TOTALS</t>
        </is>
      </c>
      <c r="AS113" s="18" t="inlineStr">
        <is>
          <t>ROWS:p16r23 UNRECONCILED_SOURCE CASE_NUMBER_CORRECTED</t>
        </is>
      </c>
      <c r="AT113" s="18" t="inlineStr">
        <is>
          <t>ea17ba43b261</t>
        </is>
      </c>
    </row>
    <row r="114">
      <c r="A114" s="9" t="n">
        <v>113</v>
      </c>
      <c r="B114" s="9" t="inlineStr">
        <is>
          <t>NEW</t>
        </is>
      </c>
      <c r="C114" s="9" t="inlineStr"/>
      <c r="D114" s="9" t="n">
        <v>0</v>
      </c>
      <c r="E114" s="9" t="inlineStr"/>
      <c r="F114" s="9" t="inlineStr"/>
      <c r="G114" s="9" t="inlineStr"/>
      <c r="H114" s="9" t="inlineStr"/>
      <c r="I114" t="inlineStr">
        <is>
          <t>AGROVISP IMPORTADORA EXPORTADORA E SERVICOS LTDA</t>
        </is>
      </c>
      <c r="J114" t="inlineStr">
        <is>
          <t>AGROVISP IMPORTADORA EXPORTADORA E SERVICOS LTDA</t>
        </is>
      </c>
      <c r="K114" t="inlineStr">
        <is>
          <t>07563820</t>
        </is>
      </c>
      <c r="L114" t="inlineStr">
        <is>
          <t>07563820000130</t>
        </is>
      </c>
      <c r="M114" s="10" t="n">
        <v>145593.85</v>
      </c>
      <c r="N114" t="n">
        <v>1</v>
      </c>
      <c r="O114" s="11" t="inlineStr">
        <is>
          <t>B</t>
        </is>
      </c>
      <c r="P114" s="11" t="inlineStr"/>
      <c r="Q114" s="12" t="inlineStr"/>
      <c r="R114" s="11">
        <f>IF(Q114="","",ROUND((TODAY()-Q114)/365.25,1))</f>
        <v/>
      </c>
      <c r="S114" s="13">
        <f>IFERROR(VLOOKUP(O114,Assumptions!$A$7:$F$11,2,FALSE),0.25)</f>
        <v/>
      </c>
      <c r="T114" s="14">
        <f>IF(O114="A",MAX(1,IFERROR(VLOOKUP(O114,Assumptions!$A$7:$F$11,3,FALSE),3)+IFERROR(VLOOKUP(O114,Assumptions!$A$7:$F$11,4,FALSE),8)/2-MAX(0,IF(R114="",0,R114)-IFERROR(VLOOKUP(O114,Assumptions!$A$7:$F$11,5,FALSE),1.5))),IFERROR(VLOOKUP(O114,Assumptions!$A$7:$F$11,5,FALSE),2.5)+IFERROR(VLOOKUP(O114,Assumptions!$A$7:$F$11,3,FALSE),3)+IFERROR(VLOOKUP(O114,Assumptions!$A$7:$F$11,4,FALSE),8)/2)</f>
        <v/>
      </c>
      <c r="U114" s="15">
        <f>M114*S114/(1+Assumptions!$B$3)^T114</f>
        <v/>
      </c>
      <c r="V114" s="11">
        <f>IF(M114=0,"",ROUND(U114/M114*100,1))</f>
        <v/>
      </c>
      <c r="W114" s="16">
        <f>U114*Assumptions!$B$4</f>
        <v/>
      </c>
      <c r="X114" s="11">
        <f>IF(M114=0,"",ROUND(W114/M114*100,1))</f>
        <v/>
      </c>
      <c r="Y114" t="inlineStr">
        <is>
          <t>Base</t>
        </is>
      </c>
      <c r="Z114" t="inlineStr">
        <is>
          <t>1022634-27.2024.8.26.0100</t>
        </is>
      </c>
      <c r="AA114" t="inlineStr"/>
      <c r="AB114" t="inlineStr">
        <is>
          <t>ajruiz.com.br</t>
        </is>
      </c>
      <c r="AC114" t="inlineStr">
        <is>
          <t>PAULO MARCIO BERNARDINO</t>
        </is>
      </c>
      <c r="AD114" t="inlineStr">
        <is>
          <t>Sócio-Administrador</t>
        </is>
      </c>
      <c r="AE114" t="inlineStr">
        <is>
          <t>(11) 5555-5555</t>
        </is>
      </c>
      <c r="AF114" t="inlineStr"/>
      <c r="AG114" t="inlineStr"/>
      <c r="AH114" t="inlineStr">
        <is>
          <t>SP</t>
        </is>
      </c>
      <c r="AI114" t="inlineStr">
        <is>
          <t>SAO PAULO</t>
        </is>
      </c>
      <c r="AJ114" t="inlineStr">
        <is>
          <t>Comércio atacadista de produtos da extração mineral, exceto combustíveis</t>
        </is>
      </c>
      <c r="AK114" t="inlineStr">
        <is>
          <t>DEMAIS</t>
        </is>
      </c>
      <c r="AL114" t="inlineStr">
        <is>
          <t>ATIVA</t>
        </is>
      </c>
      <c r="AM114" s="17" t="inlineStr">
        <is>
          <t>https://ajruiz.com.br/sites/default/files/public/arquivos-processos/2024-04/relacao_de_credores_recuperanda_1.pdf</t>
        </is>
      </c>
      <c r="AN114" s="18" t="inlineStr">
        <is>
          <t>p2 r7</t>
        </is>
      </c>
      <c r="AO114" s="18" t="inlineStr">
        <is>
          <t>p2: R$ 145.593,85</t>
        </is>
      </c>
      <c r="AP114" s="18" t="inlineStr">
        <is>
          <t>QGC</t>
        </is>
      </c>
      <c r="AQ114" s="18" t="inlineStr">
        <is>
          <t>2024-01-31</t>
        </is>
      </c>
      <c r="AR114" s="18" t="inlineStr">
        <is>
          <t>OK</t>
        </is>
      </c>
      <c r="AS114" s="18" t="inlineStr">
        <is>
          <t>ROWS:p2r7 VALUE_COL:Valor_Atualizado_Do_Débito CASE_NUMBER_CORRECTED</t>
        </is>
      </c>
      <c r="AT114" s="18" t="inlineStr">
        <is>
          <t>380922480f80</t>
        </is>
      </c>
    </row>
    <row r="115">
      <c r="A115" s="9" t="n">
        <v>114</v>
      </c>
      <c r="B115" s="9" t="inlineStr">
        <is>
          <t>NEW</t>
        </is>
      </c>
      <c r="C115" s="9" t="inlineStr"/>
      <c r="D115" s="9" t="n">
        <v>0</v>
      </c>
      <c r="E115" s="9" t="inlineStr"/>
      <c r="F115" s="9" t="inlineStr"/>
      <c r="G115" s="9" t="inlineStr"/>
      <c r="H115" s="9" t="inlineStr"/>
      <c r="I115" t="inlineStr">
        <is>
          <t>W.J.A. DO BRASIL INDUSTRIA E COMERCIO LTDA</t>
        </is>
      </c>
      <c r="J115" t="inlineStr">
        <is>
          <t>WJA DO BRASIL IND COM LTDA</t>
        </is>
      </c>
      <c r="K115" t="inlineStr">
        <is>
          <t>58831348</t>
        </is>
      </c>
      <c r="L115" t="inlineStr">
        <is>
          <t>58831348000100</t>
        </is>
      </c>
      <c r="M115" s="10" t="n">
        <v>145311.55</v>
      </c>
      <c r="N115" t="n">
        <v>1</v>
      </c>
      <c r="O115" s="11" t="inlineStr">
        <is>
          <t>D</t>
        </is>
      </c>
      <c r="P115" s="11" t="inlineStr"/>
      <c r="Q115" s="12" t="inlineStr"/>
      <c r="R115" s="11">
        <f>IF(Q115="","",ROUND((TODAY()-Q115)/365.25,1))</f>
        <v/>
      </c>
      <c r="S115" s="13">
        <f>IFERROR(VLOOKUP(O115,Assumptions!$A$7:$F$11,2,FALSE),0.25)</f>
        <v/>
      </c>
      <c r="T115" s="14">
        <f>IF(O115="A",MAX(1,IFERROR(VLOOKUP(O115,Assumptions!$A$7:$F$11,3,FALSE),3)+IFERROR(VLOOKUP(O115,Assumptions!$A$7:$F$11,4,FALSE),8)/2-MAX(0,IF(R115="",0,R115)-IFERROR(VLOOKUP(O115,Assumptions!$A$7:$F$11,5,FALSE),1.5))),IFERROR(VLOOKUP(O115,Assumptions!$A$7:$F$11,5,FALSE),2.5)+IFERROR(VLOOKUP(O115,Assumptions!$A$7:$F$11,3,FALSE),3)+IFERROR(VLOOKUP(O115,Assumptions!$A$7:$F$11,4,FALSE),8)/2)</f>
        <v/>
      </c>
      <c r="U115" s="15">
        <f>M115*S115/(1+Assumptions!$B$3)^T115</f>
        <v/>
      </c>
      <c r="V115" s="11">
        <f>IF(M115=0,"",ROUND(U115/M115*100,1))</f>
        <v/>
      </c>
      <c r="W115" s="16">
        <f>U115*Assumptions!$B$4</f>
        <v/>
      </c>
      <c r="X115" s="11">
        <f>IF(M115=0,"",ROUND(W115/M115*100,1))</f>
        <v/>
      </c>
      <c r="Y115" t="inlineStr">
        <is>
          <t>Mannes</t>
        </is>
      </c>
      <c r="Z115" t="inlineStr">
        <is>
          <t>0005010-50.2013.8.24.0026</t>
        </is>
      </c>
      <c r="AA115" t="inlineStr"/>
      <c r="AB115" t="inlineStr">
        <is>
          <t>administradorajudicialgs.com.br</t>
        </is>
      </c>
      <c r="AC115" t="inlineStr">
        <is>
          <t>ANDERSON HANNA YOUSSEF</t>
        </is>
      </c>
      <c r="AD115" t="inlineStr">
        <is>
          <t>Sócio-Administrador</t>
        </is>
      </c>
      <c r="AE115" t="inlineStr">
        <is>
          <t>(11) 3488-1388</t>
        </is>
      </c>
      <c r="AF115" t="inlineStr">
        <is>
          <t>(11) 3804-9643</t>
        </is>
      </c>
      <c r="AG115" t="inlineStr"/>
      <c r="AH115" t="inlineStr">
        <is>
          <t>SP</t>
        </is>
      </c>
      <c r="AI115" t="inlineStr">
        <is>
          <t>SAO PAULO</t>
        </is>
      </c>
      <c r="AJ115" t="inlineStr">
        <is>
          <t>Fabricação de outros produtos têxteis não especificados anteriormente</t>
        </is>
      </c>
      <c r="AK115" t="inlineStr">
        <is>
          <t>DEMAIS</t>
        </is>
      </c>
      <c r="AL115" t="inlineStr">
        <is>
          <t>ATIVA</t>
        </is>
      </c>
      <c r="AM115" s="17" t="inlineStr">
        <is>
          <t>https://administradorajudicialgs.com.br/wp-content/uploads/2024/12/relacao-de-credores-da-falida.pdf</t>
        </is>
      </c>
      <c r="AN115" s="18" t="inlineStr">
        <is>
          <t>p19 r52</t>
        </is>
      </c>
      <c r="AO115" s="18" t="inlineStr">
        <is>
          <t>p19: R$ 145.311,55</t>
        </is>
      </c>
      <c r="AP115" s="18" t="inlineStr">
        <is>
          <t>OTHER</t>
        </is>
      </c>
      <c r="AQ115" s="18" t="inlineStr">
        <is>
          <t>2025-03-25</t>
        </is>
      </c>
      <c r="AR115" s="18" t="inlineStr">
        <is>
          <t>OK_NO_TOTALS</t>
        </is>
      </c>
      <c r="AS115" s="18" t="inlineStr">
        <is>
          <t>ROWS:p19r52 UNRECONCILED_SOURCE CASE_NUMBER_CORRECTED</t>
        </is>
      </c>
      <c r="AT115" s="18" t="inlineStr">
        <is>
          <t>ea17ba43b261</t>
        </is>
      </c>
    </row>
    <row r="116">
      <c r="A116" s="9" t="n">
        <v>115</v>
      </c>
      <c r="B116" s="9" t="inlineStr">
        <is>
          <t>NEW</t>
        </is>
      </c>
      <c r="C116" s="9" t="inlineStr"/>
      <c r="D116" s="9" t="n">
        <v>0</v>
      </c>
      <c r="E116" s="9" t="inlineStr"/>
      <c r="F116" s="9" t="inlineStr"/>
      <c r="G116" s="9" t="inlineStr"/>
      <c r="H116" s="9" t="inlineStr"/>
      <c r="I116" t="inlineStr">
        <is>
          <t>TECELAGEM VALLE LTDA</t>
        </is>
      </c>
      <c r="J116" t="inlineStr">
        <is>
          <t>TECELAGEM VALLE LTDA</t>
        </is>
      </c>
      <c r="K116" t="inlineStr">
        <is>
          <t>79315198</t>
        </is>
      </c>
      <c r="L116" t="inlineStr">
        <is>
          <t>79315198000152</t>
        </is>
      </c>
      <c r="M116" s="10" t="n">
        <v>145255.68</v>
      </c>
      <c r="N116" t="n">
        <v>1</v>
      </c>
      <c r="O116" s="11" t="inlineStr">
        <is>
          <t>C</t>
        </is>
      </c>
      <c r="P116" s="11" t="inlineStr">
        <is>
          <t>ACTIVE</t>
        </is>
      </c>
      <c r="Q116" s="12" t="n">
        <v>44571</v>
      </c>
      <c r="R116" s="11">
        <f>IF(Q116="","",ROUND((TODAY()-Q116)/365.25,1))</f>
        <v/>
      </c>
      <c r="S116" s="13">
        <f>IFERROR(VLOOKUP(O116,Assumptions!$A$7:$F$11,2,FALSE),0.25)</f>
        <v/>
      </c>
      <c r="T116" s="14">
        <f>IF(O116="A",MAX(1,IFERROR(VLOOKUP(O116,Assumptions!$A$7:$F$11,3,FALSE),3)+IFERROR(VLOOKUP(O116,Assumptions!$A$7:$F$11,4,FALSE),8)/2-MAX(0,IF(R116="",0,R116)-IFERROR(VLOOKUP(O116,Assumptions!$A$7:$F$11,5,FALSE),1.5))),IFERROR(VLOOKUP(O116,Assumptions!$A$7:$F$11,5,FALSE),2.5)+IFERROR(VLOOKUP(O116,Assumptions!$A$7:$F$11,3,FALSE),3)+IFERROR(VLOOKUP(O116,Assumptions!$A$7:$F$11,4,FALSE),8)/2)</f>
        <v/>
      </c>
      <c r="U116" s="15">
        <f>M116*S116/(1+Assumptions!$B$3)^T116</f>
        <v/>
      </c>
      <c r="V116" s="11">
        <f>IF(M116=0,"",ROUND(U116/M116*100,1))</f>
        <v/>
      </c>
      <c r="W116" s="16">
        <f>U116*Assumptions!$B$4</f>
        <v/>
      </c>
      <c r="X116" s="11">
        <f>IF(M116=0,"",ROUND(W116/M116*100,1))</f>
        <v/>
      </c>
      <c r="Y116" t="inlineStr">
        <is>
          <t>GRUPO CATTAN</t>
        </is>
      </c>
      <c r="Z116" t="inlineStr">
        <is>
          <t>0002484-82.2022.8.17.2001</t>
        </is>
      </c>
      <c r="AA116" t="inlineStr">
        <is>
          <t>TJPE</t>
        </is>
      </c>
      <c r="AB116" t="inlineStr">
        <is>
          <t>lrflideres.com.br</t>
        </is>
      </c>
      <c r="AC116" t="inlineStr">
        <is>
          <t>ELENICE RAIMUNDO BERTOTTI</t>
        </is>
      </c>
      <c r="AD116" t="inlineStr">
        <is>
          <t>Sócio-Administrador</t>
        </is>
      </c>
      <c r="AE116" t="inlineStr">
        <is>
          <t>(47) 3350-0048</t>
        </is>
      </c>
      <c r="AF116" t="inlineStr"/>
      <c r="AG116" t="inlineStr"/>
      <c r="AH116" t="inlineStr">
        <is>
          <t>SC</t>
        </is>
      </c>
      <c r="AI116" t="inlineStr">
        <is>
          <t>BRUSQUE</t>
        </is>
      </c>
      <c r="AJ116" t="inlineStr">
        <is>
          <t>Fabricação de artefatos têxteis para uso doméstico</t>
        </is>
      </c>
      <c r="AK116" t="inlineStr">
        <is>
          <t>DEMAIS</t>
        </is>
      </c>
      <c r="AL116" t="inlineStr">
        <is>
          <t>ATIVA</t>
        </is>
      </c>
      <c r="AM116" s="17" t="inlineStr">
        <is>
          <t>https://lrflideres.com.br/wp-content/plugins/download-attachments/includes/download.php?id=4023</t>
        </is>
      </c>
      <c r="AN116" s="18" t="inlineStr">
        <is>
          <t>p7 r123</t>
        </is>
      </c>
      <c r="AO116" s="18" t="inlineStr">
        <is>
          <t>p7: R$ 145.255,68</t>
        </is>
      </c>
      <c r="AP116" s="18" t="inlineStr">
        <is>
          <t>DEBTOR_LIST</t>
        </is>
      </c>
      <c r="AQ116" s="18" t="inlineStr"/>
      <c r="AR116" s="18" t="inlineStr">
        <is>
          <t>QUARANTINED</t>
        </is>
      </c>
      <c r="AS116" s="18" t="inlineStr">
        <is>
          <t>PARTIAL_DOC_CLASS_III_RECONCILED ROWS:p7r123</t>
        </is>
      </c>
      <c r="AT116" s="18" t="inlineStr">
        <is>
          <t>f3b6182e3aa2</t>
        </is>
      </c>
    </row>
    <row r="117">
      <c r="A117" s="9" t="n">
        <v>116</v>
      </c>
      <c r="B117" s="9" t="inlineStr">
        <is>
          <t>NEW</t>
        </is>
      </c>
      <c r="C117" s="9" t="inlineStr"/>
      <c r="D117" s="9" t="n">
        <v>0</v>
      </c>
      <c r="E117" s="9" t="inlineStr"/>
      <c r="F117" s="9" t="inlineStr"/>
      <c r="G117" s="9" t="inlineStr"/>
      <c r="H117" s="9" t="inlineStr"/>
      <c r="I117" t="inlineStr">
        <is>
          <t>LATICINIOS J L LTDA</t>
        </is>
      </c>
      <c r="J117" t="inlineStr">
        <is>
          <t>Valeza</t>
        </is>
      </c>
      <c r="K117" t="inlineStr">
        <is>
          <t>16005431</t>
        </is>
      </c>
      <c r="L117" t="inlineStr">
        <is>
          <t>16005431000180</t>
        </is>
      </c>
      <c r="M117" s="10" t="n">
        <v>145103.11</v>
      </c>
      <c r="N117" t="n">
        <v>1</v>
      </c>
      <c r="O117" s="11" t="inlineStr">
        <is>
          <t>B</t>
        </is>
      </c>
      <c r="P117" s="11" t="inlineStr">
        <is>
          <t>ACTIVE</t>
        </is>
      </c>
      <c r="Q117" s="12" t="n">
        <v>46130</v>
      </c>
      <c r="R117" s="11">
        <f>IF(Q117="","",ROUND((TODAY()-Q117)/365.25,1))</f>
        <v/>
      </c>
      <c r="S117" s="13">
        <f>IFERROR(VLOOKUP(O117,Assumptions!$A$7:$F$11,2,FALSE),0.25)</f>
        <v/>
      </c>
      <c r="T117" s="14">
        <f>IF(O117="A",MAX(1,IFERROR(VLOOKUP(O117,Assumptions!$A$7:$F$11,3,FALSE),3)+IFERROR(VLOOKUP(O117,Assumptions!$A$7:$F$11,4,FALSE),8)/2-MAX(0,IF(R117="",0,R117)-IFERROR(VLOOKUP(O117,Assumptions!$A$7:$F$11,5,FALSE),1.5))),IFERROR(VLOOKUP(O117,Assumptions!$A$7:$F$11,5,FALSE),2.5)+IFERROR(VLOOKUP(O117,Assumptions!$A$7:$F$11,3,FALSE),3)+IFERROR(VLOOKUP(O117,Assumptions!$A$7:$F$11,4,FALSE),8)/2)</f>
        <v/>
      </c>
      <c r="U117" s="15">
        <f>M117*S117/(1+Assumptions!$B$3)^T117</f>
        <v/>
      </c>
      <c r="V117" s="11">
        <f>IF(M117=0,"",ROUND(U117/M117*100,1))</f>
        <v/>
      </c>
      <c r="W117" s="16">
        <f>U117*Assumptions!$B$4</f>
        <v/>
      </c>
      <c r="X117" s="11">
        <f>IF(M117=0,"",ROUND(W117/M117*100,1))</f>
        <v/>
      </c>
      <c r="Y117" t="inlineStr">
        <is>
          <t>GRUPO 3E</t>
        </is>
      </c>
      <c r="Z117" t="inlineStr">
        <is>
          <t>5341375-33.2026.8.09.0049</t>
        </is>
      </c>
      <c r="AA117" t="inlineStr">
        <is>
          <t>TJGO</t>
        </is>
      </c>
      <c r="AB117" t="inlineStr">
        <is>
          <t>stenius.com.br</t>
        </is>
      </c>
      <c r="AC117" t="inlineStr">
        <is>
          <t>JAIR JOSE ANTONIO BORGES</t>
        </is>
      </c>
      <c r="AD117" t="inlineStr">
        <is>
          <t>Sócio-Administrador</t>
        </is>
      </c>
      <c r="AE117" t="inlineStr"/>
      <c r="AF117" t="inlineStr"/>
      <c r="AG117" t="inlineStr"/>
      <c r="AH117" t="inlineStr">
        <is>
          <t>GO</t>
        </is>
      </c>
      <c r="AI117" t="inlineStr">
        <is>
          <t>ORIZONA</t>
        </is>
      </c>
      <c r="AJ117" t="inlineStr">
        <is>
          <t>Fabricação de laticínios</t>
        </is>
      </c>
      <c r="AK117" t="inlineStr">
        <is>
          <t>DEMAIS</t>
        </is>
      </c>
      <c r="AL117" t="inlineStr">
        <is>
          <t>ATIVA</t>
        </is>
      </c>
      <c r="AM117" s="17" t="inlineStr">
        <is>
          <t>https://stenius.com.br/wp-content/uploads/2026/06/EDITAL-GRUPO-3E.pdf</t>
        </is>
      </c>
      <c r="AN117" s="18" t="inlineStr">
        <is>
          <t>p18 r59</t>
        </is>
      </c>
      <c r="AO117" s="18" t="inlineStr">
        <is>
          <t>p18: R$ 145.103,11</t>
        </is>
      </c>
      <c r="AP117" s="18" t="inlineStr">
        <is>
          <t>DEBTOR_LIST</t>
        </is>
      </c>
      <c r="AQ117" s="18" t="inlineStr">
        <is>
          <t>2026-06-22</t>
        </is>
      </c>
      <c r="AR117" s="18" t="inlineStr">
        <is>
          <t>OK_NO_TOTALS</t>
        </is>
      </c>
      <c r="AS117" s="18" t="inlineStr">
        <is>
          <t>ROWS:p18r59 UNRECONCILED_SOURCE</t>
        </is>
      </c>
      <c r="AT117" s="18" t="inlineStr">
        <is>
          <t>8e8832093a15</t>
        </is>
      </c>
    </row>
    <row r="118">
      <c r="A118" s="9" t="n">
        <v>117</v>
      </c>
      <c r="B118" s="9" t="inlineStr">
        <is>
          <t>NEW</t>
        </is>
      </c>
      <c r="C118" s="9" t="inlineStr"/>
      <c r="D118" s="9" t="n">
        <v>0</v>
      </c>
      <c r="E118" s="9" t="inlineStr"/>
      <c r="F118" s="9" t="inlineStr"/>
      <c r="G118" s="9" t="inlineStr"/>
      <c r="H118" s="9" t="inlineStr"/>
      <c r="I118" t="inlineStr">
        <is>
          <t>GERDAU ACOS LONGOS S.A.</t>
        </is>
      </c>
      <c r="J118" t="inlineStr">
        <is>
          <t>Gerdau Acos Longos</t>
        </is>
      </c>
      <c r="K118" t="inlineStr">
        <is>
          <t>07358761</t>
        </is>
      </c>
      <c r="L118" t="inlineStr">
        <is>
          <t>07358761021832, 07358761023452</t>
        </is>
      </c>
      <c r="M118" s="10" t="n">
        <v>144404.57</v>
      </c>
      <c r="N118" t="n">
        <v>2</v>
      </c>
      <c r="O118" s="11" t="inlineStr">
        <is>
          <t>B</t>
        </is>
      </c>
      <c r="P118" s="11" t="inlineStr">
        <is>
          <t>ACTIVE</t>
        </is>
      </c>
      <c r="Q118" s="12" t="n">
        <v>46130</v>
      </c>
      <c r="R118" s="11">
        <f>IF(Q118="","",ROUND((TODAY()-Q118)/365.25,1))</f>
        <v/>
      </c>
      <c r="S118" s="13">
        <f>IFERROR(VLOOKUP(O118,Assumptions!$A$7:$F$11,2,FALSE),0.25)</f>
        <v/>
      </c>
      <c r="T118" s="14">
        <f>IF(O118="A",MAX(1,IFERROR(VLOOKUP(O118,Assumptions!$A$7:$F$11,3,FALSE),3)+IFERROR(VLOOKUP(O118,Assumptions!$A$7:$F$11,4,FALSE),8)/2-MAX(0,IF(R118="",0,R118)-IFERROR(VLOOKUP(O118,Assumptions!$A$7:$F$11,5,FALSE),1.5))),IFERROR(VLOOKUP(O118,Assumptions!$A$7:$F$11,5,FALSE),2.5)+IFERROR(VLOOKUP(O118,Assumptions!$A$7:$F$11,3,FALSE),3)+IFERROR(VLOOKUP(O118,Assumptions!$A$7:$F$11,4,FALSE),8)/2)</f>
        <v/>
      </c>
      <c r="U118" s="15">
        <f>M118*S118/(1+Assumptions!$B$3)^T118</f>
        <v/>
      </c>
      <c r="V118" s="11">
        <f>IF(M118=0,"",ROUND(U118/M118*100,1))</f>
        <v/>
      </c>
      <c r="W118" s="16">
        <f>U118*Assumptions!$B$4</f>
        <v/>
      </c>
      <c r="X118" s="11">
        <f>IF(M118=0,"",ROUND(W118/M118*100,1))</f>
        <v/>
      </c>
      <c r="Y118" t="inlineStr">
        <is>
          <t>GRUPO 3E</t>
        </is>
      </c>
      <c r="Z118" t="inlineStr">
        <is>
          <t>5341375-33.2026.8.09.0049</t>
        </is>
      </c>
      <c r="AA118" t="inlineStr">
        <is>
          <t>TJGO</t>
        </is>
      </c>
      <c r="AB118" t="inlineStr">
        <is>
          <t>stenius.com.br</t>
        </is>
      </c>
      <c r="AC118" t="inlineStr">
        <is>
          <t>GUSTAVO WERNECK DA CUNHA</t>
        </is>
      </c>
      <c r="AD118" t="inlineStr">
        <is>
          <t>Presidente</t>
        </is>
      </c>
      <c r="AE118" t="inlineStr">
        <is>
          <t>(11) 3094-6600</t>
        </is>
      </c>
      <c r="AF118" t="inlineStr"/>
      <c r="AG118" t="inlineStr"/>
      <c r="AH118" t="inlineStr">
        <is>
          <t>RJ</t>
        </is>
      </c>
      <c r="AI118" t="inlineStr">
        <is>
          <t>RIO DE JANEIRO</t>
        </is>
      </c>
      <c r="AJ118" t="inlineStr">
        <is>
          <t>Produção de laminados longos de aço, exceto tubos</t>
        </is>
      </c>
      <c r="AK118" t="inlineStr">
        <is>
          <t>DEMAIS</t>
        </is>
      </c>
      <c r="AL118" t="inlineStr">
        <is>
          <t>ATIVA</t>
        </is>
      </c>
      <c r="AM118" s="17" t="inlineStr">
        <is>
          <t>https://stenius.com.br/wp-content/uploads/2026/06/EDITAL-GRUPO-3E.pdf</t>
        </is>
      </c>
      <c r="AN118" s="18" t="inlineStr">
        <is>
          <t>p11 r75; p14 r4</t>
        </is>
      </c>
      <c r="AO118" s="18" t="inlineStr">
        <is>
          <t>p11: R$ 40.696,05; p14: R$ 103.708,52</t>
        </is>
      </c>
      <c r="AP118" s="18" t="inlineStr">
        <is>
          <t>DEBTOR_LIST</t>
        </is>
      </c>
      <c r="AQ118" s="18" t="inlineStr">
        <is>
          <t>2026-06-22</t>
        </is>
      </c>
      <c r="AR118" s="18" t="inlineStr">
        <is>
          <t>OK_NO_TOTALS</t>
        </is>
      </c>
      <c r="AS118" s="18" t="inlineStr">
        <is>
          <t>ROWS:p11r75,p14r4 UNRECONCILED_SOURCE</t>
        </is>
      </c>
      <c r="AT118" s="18" t="inlineStr">
        <is>
          <t>8e8832093a15</t>
        </is>
      </c>
    </row>
    <row r="119">
      <c r="A119" s="9" t="n">
        <v>118</v>
      </c>
      <c r="B119" s="9" t="inlineStr">
        <is>
          <t>NEW</t>
        </is>
      </c>
      <c r="C119" s="9" t="inlineStr"/>
      <c r="D119" s="9" t="n">
        <v>0</v>
      </c>
      <c r="E119" s="9" t="inlineStr"/>
      <c r="F119" s="9" t="inlineStr"/>
      <c r="G119" s="9" t="inlineStr"/>
      <c r="H119" s="9" t="inlineStr"/>
      <c r="I119" t="inlineStr">
        <is>
          <t>DISTRIBUIDORA DE FERROS E ACO B E R LTDA</t>
        </is>
      </c>
      <c r="J119" t="inlineStr">
        <is>
          <t>Distribuidora de Ferros e Aço B E R Ltda</t>
        </is>
      </c>
      <c r="K119" t="inlineStr">
        <is>
          <t>33204165</t>
        </is>
      </c>
      <c r="L119" t="inlineStr">
        <is>
          <t>33204165000134</t>
        </is>
      </c>
      <c r="M119" s="10" t="n">
        <v>144101.35</v>
      </c>
      <c r="N119" t="n">
        <v>1</v>
      </c>
      <c r="O119" s="11" t="inlineStr">
        <is>
          <t>B</t>
        </is>
      </c>
      <c r="P119" s="11" t="inlineStr"/>
      <c r="Q119" s="12" t="n">
        <v>45756</v>
      </c>
      <c r="R119" s="11">
        <f>IF(Q119="","",ROUND((TODAY()-Q119)/365.25,1))</f>
        <v/>
      </c>
      <c r="S119" s="13">
        <f>IFERROR(VLOOKUP(O119,Assumptions!$A$7:$F$11,2,FALSE),0.25)</f>
        <v/>
      </c>
      <c r="T119" s="14">
        <f>IF(O119="A",MAX(1,IFERROR(VLOOKUP(O119,Assumptions!$A$7:$F$11,3,FALSE),3)+IFERROR(VLOOKUP(O119,Assumptions!$A$7:$F$11,4,FALSE),8)/2-MAX(0,IF(R119="",0,R119)-IFERROR(VLOOKUP(O119,Assumptions!$A$7:$F$11,5,FALSE),1.5))),IFERROR(VLOOKUP(O119,Assumptions!$A$7:$F$11,5,FALSE),2.5)+IFERROR(VLOOKUP(O119,Assumptions!$A$7:$F$11,3,FALSE),3)+IFERROR(VLOOKUP(O119,Assumptions!$A$7:$F$11,4,FALSE),8)/2)</f>
        <v/>
      </c>
      <c r="U119" s="15">
        <f>M119*S119/(1+Assumptions!$B$3)^T119</f>
        <v/>
      </c>
      <c r="V119" s="11">
        <f>IF(M119=0,"",ROUND(U119/M119*100,1))</f>
        <v/>
      </c>
      <c r="W119" s="16">
        <f>U119*Assumptions!$B$4</f>
        <v/>
      </c>
      <c r="X119" s="11">
        <f>IF(M119=0,"",ROUND(W119/M119*100,1))</f>
        <v/>
      </c>
      <c r="Y119" t="inlineStr">
        <is>
          <t>GRUPO EGESA (EGESA ENG S.A, EGESUR PART E EMP S.A, MATRIX INFRA LTDA, BEMVIVER ENG AMBIENTAL E SERV LTDA, DKF CONST E EMP LTDA, EGEPEL LTDA, ETR ASSESSORIA EMP E PART LTDA, MVT ENG E SERV LTDA, PARQUES DO VALE LTDA, ELMO RIBEIRO E ANA RIBEIRO)</t>
        </is>
      </c>
      <c r="Z119" t="inlineStr">
        <is>
          <t>5088952-81.2025.8.13.0024</t>
        </is>
      </c>
      <c r="AA119" t="inlineStr">
        <is>
          <t>TJMG</t>
        </is>
      </c>
      <c r="AB119" t="inlineStr">
        <is>
          <t>scalzilliaj.com.br</t>
        </is>
      </c>
      <c r="AC119" t="inlineStr">
        <is>
          <t>DIORDIO ALEXANDER BANDEIRA</t>
        </is>
      </c>
      <c r="AD119" t="inlineStr">
        <is>
          <t>Administrador</t>
        </is>
      </c>
      <c r="AE119" t="inlineStr">
        <is>
          <t>(63) 3416-2636</t>
        </is>
      </c>
      <c r="AF119" t="inlineStr"/>
      <c r="AG119" t="inlineStr"/>
      <c r="AH119" t="inlineStr">
        <is>
          <t>TO</t>
        </is>
      </c>
      <c r="AI119" t="inlineStr">
        <is>
          <t>ARAGUAINA</t>
        </is>
      </c>
      <c r="AJ119" t="inlineStr">
        <is>
          <t>Comércio atacadista de ferragens e ferramentas</t>
        </is>
      </c>
      <c r="AK119" t="inlineStr">
        <is>
          <t>DEMAIS</t>
        </is>
      </c>
      <c r="AL119" t="inlineStr">
        <is>
          <t>ATIVA</t>
        </is>
      </c>
      <c r="AM119" s="17" t="inlineStr">
        <is>
          <t>https://scalzilliaj.com.br/sgc/download.php?file=files/processo_documento/processo_documento09514021082025_1_.pdf&amp;nome=04 - Relação de credores das Recuperandas</t>
        </is>
      </c>
      <c r="AN119" s="18" t="inlineStr">
        <is>
          <t>p65 r6</t>
        </is>
      </c>
      <c r="AO119" s="18" t="inlineStr">
        <is>
          <t>p65: R$ 144.101,35</t>
        </is>
      </c>
      <c r="AP119" s="18" t="inlineStr">
        <is>
          <t>DEBTOR_LIST</t>
        </is>
      </c>
      <c r="AQ119" s="18" t="inlineStr"/>
      <c r="AR119" s="18" t="inlineStr">
        <is>
          <t>OK</t>
        </is>
      </c>
      <c r="AS119" s="18" t="inlineStr">
        <is>
          <t>ROWS:p65r6 VALUE_COL:Valor_Atualizado CASE_NUMBER_CORRECTED CASE_FROM_PORTAL</t>
        </is>
      </c>
      <c r="AT119" s="18" t="inlineStr">
        <is>
          <t>24ed98480a57</t>
        </is>
      </c>
    </row>
    <row r="120">
      <c r="A120" s="9" t="n">
        <v>119</v>
      </c>
      <c r="B120" s="9" t="inlineStr">
        <is>
          <t>NEW</t>
        </is>
      </c>
      <c r="C120" s="9" t="inlineStr"/>
      <c r="D120" s="9" t="n">
        <v>0</v>
      </c>
      <c r="E120" s="9" t="inlineStr"/>
      <c r="F120" s="9" t="inlineStr"/>
      <c r="G120" s="9" t="inlineStr"/>
      <c r="H120" s="9" t="inlineStr"/>
      <c r="I120" t="inlineStr">
        <is>
          <t>PPE FIOS ESMALTADOS S.A</t>
        </is>
      </c>
      <c r="J120" t="inlineStr">
        <is>
          <t>PPE FIOS ESMALTADOS S/A.</t>
        </is>
      </c>
      <c r="K120" t="inlineStr">
        <is>
          <t>62255682</t>
        </is>
      </c>
      <c r="L120" t="inlineStr">
        <is>
          <t>62255682000130</t>
        </is>
      </c>
      <c r="M120" s="10" t="n">
        <v>144025.94</v>
      </c>
      <c r="N120" t="n">
        <v>1</v>
      </c>
      <c r="O120" s="11" t="inlineStr">
        <is>
          <t>C</t>
        </is>
      </c>
      <c r="P120" s="11" t="inlineStr"/>
      <c r="Q120" s="12" t="inlineStr"/>
      <c r="R120" s="11">
        <f>IF(Q120="","",ROUND((TODAY()-Q120)/365.25,1))</f>
        <v/>
      </c>
      <c r="S120" s="13">
        <f>IFERROR(VLOOKUP(O120,Assumptions!$A$7:$F$11,2,FALSE),0.25)</f>
        <v/>
      </c>
      <c r="T120" s="14">
        <f>IF(O120="A",MAX(1,IFERROR(VLOOKUP(O120,Assumptions!$A$7:$F$11,3,FALSE),3)+IFERROR(VLOOKUP(O120,Assumptions!$A$7:$F$11,4,FALSE),8)/2-MAX(0,IF(R120="",0,R120)-IFERROR(VLOOKUP(O120,Assumptions!$A$7:$F$11,5,FALSE),1.5))),IFERROR(VLOOKUP(O120,Assumptions!$A$7:$F$11,5,FALSE),2.5)+IFERROR(VLOOKUP(O120,Assumptions!$A$7:$F$11,3,FALSE),3)+IFERROR(VLOOKUP(O120,Assumptions!$A$7:$F$11,4,FALSE),8)/2)</f>
        <v/>
      </c>
      <c r="U120" s="15">
        <f>M120*S120/(1+Assumptions!$B$3)^T120</f>
        <v/>
      </c>
      <c r="V120" s="11">
        <f>IF(M120=0,"",ROUND(U120/M120*100,1))</f>
        <v/>
      </c>
      <c r="W120" s="16">
        <f>U120*Assumptions!$B$4</f>
        <v/>
      </c>
      <c r="X120" s="11">
        <f>IF(M120=0,"",ROUND(W120/M120*100,1))</f>
        <v/>
      </c>
      <c r="Y120" t="inlineStr">
        <is>
          <t>BLUTRAFOS BLUMENAU TRANSFORMADORES LTDA</t>
        </is>
      </c>
      <c r="Z120" t="inlineStr">
        <is>
          <t>0022845-08.2013.8.24.0008</t>
        </is>
      </c>
      <c r="AA120" t="inlineStr"/>
      <c r="AB120" t="inlineStr">
        <is>
          <t>administradorajudicialgs.com.br</t>
        </is>
      </c>
      <c r="AC120" t="inlineStr">
        <is>
          <t>ANTONIO PAULO BIANCHI GARCIA SILVA</t>
        </is>
      </c>
      <c r="AD120" t="inlineStr">
        <is>
          <t>Presidente</t>
        </is>
      </c>
      <c r="AE120" t="inlineStr">
        <is>
          <t>(15) 3384-9000</t>
        </is>
      </c>
      <c r="AF120" t="inlineStr">
        <is>
          <t>(11) 5018-5000</t>
        </is>
      </c>
      <c r="AG120" t="inlineStr"/>
      <c r="AH120" t="inlineStr">
        <is>
          <t>SP</t>
        </is>
      </c>
      <c r="AI120" t="inlineStr">
        <is>
          <t>CERQUILHO</t>
        </is>
      </c>
      <c r="AJ120" t="inlineStr">
        <is>
          <t>Fabricação de fios, cabos e condutores elétricos isolados</t>
        </is>
      </c>
      <c r="AK120" t="inlineStr">
        <is>
          <t>DEMAIS</t>
        </is>
      </c>
      <c r="AL120" t="inlineStr">
        <is>
          <t>ATIVA</t>
        </is>
      </c>
      <c r="AM120" s="17" t="inlineStr">
        <is>
          <t>https://administradorajudicialgs.com.br/wp-content/uploads/2023/08/advogados-sgrott-doc-22-relacao-de-credores-do-administrador-judicial-classe-iii-05-02-14.pdf</t>
        </is>
      </c>
      <c r="AN120" s="18" t="inlineStr">
        <is>
          <t>p4 r59</t>
        </is>
      </c>
      <c r="AO120" s="18" t="inlineStr">
        <is>
          <t>p4: R$ 144.025,94</t>
        </is>
      </c>
      <c r="AP120" s="18" t="inlineStr">
        <is>
          <t>UNKNOWN</t>
        </is>
      </c>
      <c r="AQ120" s="18" t="inlineStr"/>
      <c r="AR120" s="18" t="inlineStr">
        <is>
          <t>OK</t>
        </is>
      </c>
      <c r="AS120" s="18" t="inlineStr">
        <is>
          <t>ROWS:p4r59</t>
        </is>
      </c>
      <c r="AT120" s="18" t="inlineStr">
        <is>
          <t>22ac347cfe4f</t>
        </is>
      </c>
    </row>
    <row r="121">
      <c r="A121" s="9" t="n">
        <v>120</v>
      </c>
      <c r="B121" s="9" t="inlineStr">
        <is>
          <t>NEW</t>
        </is>
      </c>
      <c r="C121" s="9" t="inlineStr"/>
      <c r="D121" s="9" t="n">
        <v>0</v>
      </c>
      <c r="E121" s="9" t="inlineStr"/>
      <c r="F121" s="9" t="inlineStr"/>
      <c r="G121" s="9" t="inlineStr"/>
      <c r="H121" s="9" t="inlineStr"/>
      <c r="I121" t="inlineStr">
        <is>
          <t>STONES PISOS DE BASALTOS &amp; GRANITOS LTDA</t>
        </is>
      </c>
      <c r="J121" t="inlineStr">
        <is>
          <t>Supley Laboratório De Alimentos</t>
        </is>
      </c>
      <c r="K121" t="inlineStr">
        <is>
          <t>23774874</t>
        </is>
      </c>
      <c r="L121" t="inlineStr">
        <is>
          <t>23774874000100</t>
        </is>
      </c>
      <c r="M121" s="10" t="n">
        <v>143676</v>
      </c>
      <c r="N121" t="n">
        <v>1</v>
      </c>
      <c r="O121" s="11" t="inlineStr">
        <is>
          <t>B</t>
        </is>
      </c>
      <c r="P121" s="11" t="inlineStr">
        <is>
          <t>ACTIVE</t>
        </is>
      </c>
      <c r="Q121" s="12" t="n">
        <v>45303</v>
      </c>
      <c r="R121" s="11">
        <f>IF(Q121="","",ROUND((TODAY()-Q121)/365.25,1))</f>
        <v/>
      </c>
      <c r="S121" s="13">
        <f>IFERROR(VLOOKUP(O121,Assumptions!$A$7:$F$11,2,FALSE),0.25)</f>
        <v/>
      </c>
      <c r="T121" s="14">
        <f>IF(O121="A",MAX(1,IFERROR(VLOOKUP(O121,Assumptions!$A$7:$F$11,3,FALSE),3)+IFERROR(VLOOKUP(O121,Assumptions!$A$7:$F$11,4,FALSE),8)/2-MAX(0,IF(R121="",0,R121)-IFERROR(VLOOKUP(O121,Assumptions!$A$7:$F$11,5,FALSE),1.5))),IFERROR(VLOOKUP(O121,Assumptions!$A$7:$F$11,5,FALSE),2.5)+IFERROR(VLOOKUP(O121,Assumptions!$A$7:$F$11,3,FALSE),3)+IFERROR(VLOOKUP(O121,Assumptions!$A$7:$F$11,4,FALSE),8)/2)</f>
        <v/>
      </c>
      <c r="U121" s="15">
        <f>M121*S121/(1+Assumptions!$B$3)^T121</f>
        <v/>
      </c>
      <c r="V121" s="11">
        <f>IF(M121=0,"",ROUND(U121/M121*100,1))</f>
        <v/>
      </c>
      <c r="W121" s="16">
        <f>U121*Assumptions!$B$4</f>
        <v/>
      </c>
      <c r="X121" s="11">
        <f>IF(M121=0,"",ROUND(W121/M121*100,1))</f>
        <v/>
      </c>
      <c r="Y121" t="inlineStr">
        <is>
          <t>Grupo Battisti</t>
        </is>
      </c>
      <c r="Z121" t="inlineStr">
        <is>
          <t>0000357-17.2024.8.16.0131</t>
        </is>
      </c>
      <c r="AA121" t="inlineStr">
        <is>
          <t>TJPR</t>
        </is>
      </c>
      <c r="AB121" t="inlineStr">
        <is>
          <t>marquesadmjudicial.com.br</t>
        </is>
      </c>
      <c r="AC121" t="inlineStr">
        <is>
          <t>BETANIA MUNARETTO</t>
        </is>
      </c>
      <c r="AD121" t="inlineStr">
        <is>
          <t>Sócio-Administrador</t>
        </is>
      </c>
      <c r="AE121" t="inlineStr">
        <is>
          <t>(54) 9605-3888</t>
        </is>
      </c>
      <c r="AF121" t="inlineStr"/>
      <c r="AG121" t="inlineStr"/>
      <c r="AH121" t="inlineStr">
        <is>
          <t>RS</t>
        </is>
      </c>
      <c r="AI121" t="inlineStr">
        <is>
          <t>PARAI</t>
        </is>
      </c>
      <c r="AJ121" t="inlineStr">
        <is>
          <t>Comércio varejista de produtos saneantes domissanitários</t>
        </is>
      </c>
      <c r="AK121" t="inlineStr">
        <is>
          <t>MICRO EMPRESA</t>
        </is>
      </c>
      <c r="AL121" t="inlineStr">
        <is>
          <t>ATIVA</t>
        </is>
      </c>
      <c r="AM121" s="17" t="inlineStr">
        <is>
          <t>https://marquesadmjudicial.com.br/sgc/download.php?file=files/processo_documento/processo_documento10074612042024_1_.pdf&amp;nome=2º Edital-Relação de Credores AJ e PRJ</t>
        </is>
      </c>
      <c r="AN121" s="18" t="inlineStr">
        <is>
          <t>p2 r33</t>
        </is>
      </c>
      <c r="AO121" s="18" t="inlineStr">
        <is>
          <t>p2: R$ 143.676,00</t>
        </is>
      </c>
      <c r="AP121" s="18" t="inlineStr">
        <is>
          <t>AJ_LIST</t>
        </is>
      </c>
      <c r="AQ121" s="18" t="inlineStr">
        <is>
          <t>2024-01-12</t>
        </is>
      </c>
      <c r="AR121" s="18" t="inlineStr">
        <is>
          <t>OK_NO_TOTALS</t>
        </is>
      </c>
      <c r="AS121" s="18" t="inlineStr">
        <is>
          <t>ROWS:p2r33 UNRECONCILED_SOURCE</t>
        </is>
      </c>
      <c r="AT121" s="18" t="inlineStr">
        <is>
          <t>96830f5ef11b</t>
        </is>
      </c>
    </row>
    <row r="122">
      <c r="A122" s="9" t="n">
        <v>121</v>
      </c>
      <c r="B122" s="9" t="inlineStr">
        <is>
          <t>NEW</t>
        </is>
      </c>
      <c r="C122" s="9" t="inlineStr"/>
      <c r="D122" s="9" t="n">
        <v>0</v>
      </c>
      <c r="E122" s="9" t="inlineStr"/>
      <c r="F122" s="9" t="inlineStr"/>
      <c r="G122" s="9" t="inlineStr"/>
      <c r="H122" s="9" t="inlineStr"/>
      <c r="I122" t="inlineStr">
        <is>
          <t>SABER MORAR ADMINISTRADORA DE BENS IMOVEIS LTDA</t>
        </is>
      </c>
      <c r="J122" t="inlineStr">
        <is>
          <t>Rua Araguaia, 265, Sala 621, Freguesia, Rio de Janeiro - CEP 22745270</t>
        </is>
      </c>
      <c r="K122" t="inlineStr">
        <is>
          <t>30886033</t>
        </is>
      </c>
      <c r="L122" t="inlineStr">
        <is>
          <t>30886033000141</t>
        </is>
      </c>
      <c r="M122" s="10" t="n">
        <v>143644.54</v>
      </c>
      <c r="N122" t="n">
        <v>1</v>
      </c>
      <c r="O122" s="11" t="inlineStr">
        <is>
          <t>C</t>
        </is>
      </c>
      <c r="P122" s="11" t="inlineStr"/>
      <c r="Q122" s="12" t="inlineStr"/>
      <c r="R122" s="11">
        <f>IF(Q122="","",ROUND((TODAY()-Q122)/365.25,1))</f>
        <v/>
      </c>
      <c r="S122" s="13">
        <f>IFERROR(VLOOKUP(O122,Assumptions!$A$7:$F$11,2,FALSE),0.25)</f>
        <v/>
      </c>
      <c r="T122" s="14">
        <f>IF(O122="A",MAX(1,IFERROR(VLOOKUP(O122,Assumptions!$A$7:$F$11,3,FALSE),3)+IFERROR(VLOOKUP(O122,Assumptions!$A$7:$F$11,4,FALSE),8)/2-MAX(0,IF(R122="",0,R122)-IFERROR(VLOOKUP(O122,Assumptions!$A$7:$F$11,5,FALSE),1.5))),IFERROR(VLOOKUP(O122,Assumptions!$A$7:$F$11,5,FALSE),2.5)+IFERROR(VLOOKUP(O122,Assumptions!$A$7:$F$11,3,FALSE),3)+IFERROR(VLOOKUP(O122,Assumptions!$A$7:$F$11,4,FALSE),8)/2)</f>
        <v/>
      </c>
      <c r="U122" s="15">
        <f>M122*S122/(1+Assumptions!$B$3)^T122</f>
        <v/>
      </c>
      <c r="V122" s="11">
        <f>IF(M122=0,"",ROUND(U122/M122*100,1))</f>
        <v/>
      </c>
      <c r="W122" s="16">
        <f>U122*Assumptions!$B$4</f>
        <v/>
      </c>
      <c r="X122" s="11">
        <f>IF(M122=0,"",ROUND(W122/M122*100,1))</f>
        <v/>
      </c>
      <c r="Y122" t="inlineStr">
        <is>
          <t>REAL DISTRIBUIDORA ÚNICA RIO COMÉRCIO DE REFRIGERAÇÃO LTDA.</t>
        </is>
      </c>
      <c r="Z122" t="inlineStr">
        <is>
          <t>0873061-47.2023.8.19.0001</t>
        </is>
      </c>
      <c r="AA122" t="inlineStr"/>
      <c r="AB122" t="inlineStr">
        <is>
          <t>inova-aj.com.br</t>
        </is>
      </c>
      <c r="AC122" t="inlineStr">
        <is>
          <t>ANA LUCIA AIRES AZEVEDO</t>
        </is>
      </c>
      <c r="AD122" t="inlineStr">
        <is>
          <t>Sócio-Administrador</t>
        </is>
      </c>
      <c r="AE122" t="inlineStr">
        <is>
          <t>(21) 2467-6984</t>
        </is>
      </c>
      <c r="AF122" t="inlineStr"/>
      <c r="AG122" t="inlineStr"/>
      <c r="AH122" t="inlineStr">
        <is>
          <t>RJ</t>
        </is>
      </c>
      <c r="AI122" t="inlineStr">
        <is>
          <t>RIO DE JANEIRO</t>
        </is>
      </c>
      <c r="AJ122" t="inlineStr">
        <is>
          <t>Aluguel de imóveis próprios</t>
        </is>
      </c>
      <c r="AK122" t="inlineStr">
        <is>
          <t>EMPRESA DE PEQUENO PORTE</t>
        </is>
      </c>
      <c r="AL122" t="inlineStr">
        <is>
          <t>ATIVA</t>
        </is>
      </c>
      <c r="AM122" s="17" t="inlineStr">
        <is>
          <t>https://inova-aj.com.br/wp-content/uploads/2026/08/1a-Relacao-de-Credores-Real.pdf</t>
        </is>
      </c>
      <c r="AN122" s="18" t="inlineStr">
        <is>
          <t>p2 r2</t>
        </is>
      </c>
      <c r="AO122" s="18" t="inlineStr">
        <is>
          <t>p2: R$ 143.644,54</t>
        </is>
      </c>
      <c r="AP122" s="18" t="inlineStr">
        <is>
          <t>AJ_LIST</t>
        </is>
      </c>
      <c r="AQ122" s="18" t="inlineStr">
        <is>
          <t>2023-06-05</t>
        </is>
      </c>
      <c r="AR122" s="18" t="inlineStr">
        <is>
          <t>OK</t>
        </is>
      </c>
      <c r="AS122" s="18" t="inlineStr">
        <is>
          <t>ALT_VALUE:R$104.445,10 ROWS:p2r2</t>
        </is>
      </c>
      <c r="AT122" s="18" t="inlineStr">
        <is>
          <t>8eb5d0d64353</t>
        </is>
      </c>
    </row>
    <row r="123">
      <c r="A123" s="9" t="n">
        <v>122</v>
      </c>
      <c r="B123" s="9" t="inlineStr">
        <is>
          <t>NEW</t>
        </is>
      </c>
      <c r="C123" s="9" t="inlineStr"/>
      <c r="D123" s="9" t="n">
        <v>0</v>
      </c>
      <c r="E123" s="9" t="inlineStr"/>
      <c r="F123" s="9" t="inlineStr"/>
      <c r="G123" s="9" t="inlineStr"/>
      <c r="H123" s="9" t="inlineStr"/>
      <c r="I123" t="inlineStr">
        <is>
          <t>SERGIFIL INDUSTRIA TEXTIL LTDA</t>
        </is>
      </c>
      <c r="J123" t="inlineStr">
        <is>
          <t>SERGIFIL INDUSTRIA TEXTIL LTDA</t>
        </is>
      </c>
      <c r="K123" t="inlineStr">
        <is>
          <t>03838932</t>
        </is>
      </c>
      <c r="L123" t="inlineStr">
        <is>
          <t>03838932000104</t>
        </is>
      </c>
      <c r="M123" s="10" t="n">
        <v>143186.87</v>
      </c>
      <c r="N123" t="n">
        <v>1</v>
      </c>
      <c r="O123" s="11" t="inlineStr">
        <is>
          <t>C</t>
        </is>
      </c>
      <c r="P123" s="11" t="inlineStr"/>
      <c r="Q123" s="12" t="inlineStr"/>
      <c r="R123" s="11">
        <f>IF(Q123="","",ROUND((TODAY()-Q123)/365.25,1))</f>
        <v/>
      </c>
      <c r="S123" s="13">
        <f>IFERROR(VLOOKUP(O123,Assumptions!$A$7:$F$11,2,FALSE),0.25)</f>
        <v/>
      </c>
      <c r="T123" s="14">
        <f>IF(O123="A",MAX(1,IFERROR(VLOOKUP(O123,Assumptions!$A$7:$F$11,3,FALSE),3)+IFERROR(VLOOKUP(O123,Assumptions!$A$7:$F$11,4,FALSE),8)/2-MAX(0,IF(R123="",0,R123)-IFERROR(VLOOKUP(O123,Assumptions!$A$7:$F$11,5,FALSE),1.5))),IFERROR(VLOOKUP(O123,Assumptions!$A$7:$F$11,5,FALSE),2.5)+IFERROR(VLOOKUP(O123,Assumptions!$A$7:$F$11,3,FALSE),3)+IFERROR(VLOOKUP(O123,Assumptions!$A$7:$F$11,4,FALSE),8)/2)</f>
        <v/>
      </c>
      <c r="U123" s="15">
        <f>M123*S123/(1+Assumptions!$B$3)^T123</f>
        <v/>
      </c>
      <c r="V123" s="11">
        <f>IF(M123=0,"",ROUND(U123/M123*100,1))</f>
        <v/>
      </c>
      <c r="W123" s="16">
        <f>U123*Assumptions!$B$4</f>
        <v/>
      </c>
      <c r="X123" s="11">
        <f>IF(M123=0,"",ROUND(W123/M123*100,1))</f>
        <v/>
      </c>
      <c r="Y123" t="inlineStr">
        <is>
          <t>CONFECÇÕES ANDRIMALHAS LTDA</t>
        </is>
      </c>
      <c r="Z123" t="inlineStr">
        <is>
          <t>0302174-63.2015.8.24.0025</t>
        </is>
      </c>
      <c r="AA123" t="inlineStr"/>
      <c r="AB123" t="inlineStr">
        <is>
          <t>administradorajudicialgs.com.br</t>
        </is>
      </c>
      <c r="AC123" t="inlineStr">
        <is>
          <t>ROSA TERESA FURLAN DE CARVALHO</t>
        </is>
      </c>
      <c r="AD123" t="inlineStr">
        <is>
          <t>Sócio-Administrador</t>
        </is>
      </c>
      <c r="AE123" t="inlineStr">
        <is>
          <t>(79) 3301-8548</t>
        </is>
      </c>
      <c r="AF123" t="inlineStr">
        <is>
          <t>(79) 3301-8508</t>
        </is>
      </c>
      <c r="AG123" t="inlineStr"/>
      <c r="AH123" t="inlineStr">
        <is>
          <t>SE</t>
        </is>
      </c>
      <c r="AI123" t="inlineStr">
        <is>
          <t>ARACAJU</t>
        </is>
      </c>
      <c r="AJ123" t="inlineStr">
        <is>
          <t>Preparação e fiação de fibras de algodão</t>
        </is>
      </c>
      <c r="AK123" t="inlineStr">
        <is>
          <t>DEMAIS</t>
        </is>
      </c>
      <c r="AL123" t="inlineStr">
        <is>
          <t>ATIVA</t>
        </is>
      </c>
      <c r="AM123" s="17" t="inlineStr">
        <is>
          <t>https://administradorajudicialgs.com.br/wp-content/uploads/2023/08/doc-06-relacao-credores-do-administrador-judicial-10-02-2015.pdf</t>
        </is>
      </c>
      <c r="AN123" s="18" t="inlineStr">
        <is>
          <t>p2 r35</t>
        </is>
      </c>
      <c r="AO123" s="18" t="inlineStr">
        <is>
          <t>p2: R$ 143.186,87</t>
        </is>
      </c>
      <c r="AP123" s="18" t="inlineStr">
        <is>
          <t>AJ_LIST</t>
        </is>
      </c>
      <c r="AQ123" s="18" t="inlineStr"/>
      <c r="AR123" s="18" t="inlineStr">
        <is>
          <t>QUARANTINED</t>
        </is>
      </c>
      <c r="AS123" s="18" t="inlineStr">
        <is>
          <t>PARTIAL_DOC_CLASS_III_RECONCILED ROWS:p2r35</t>
        </is>
      </c>
      <c r="AT123" s="18" t="inlineStr">
        <is>
          <t>d403116b357d</t>
        </is>
      </c>
    </row>
    <row r="124">
      <c r="A124" s="9" t="n">
        <v>123</v>
      </c>
      <c r="B124" s="9" t="inlineStr">
        <is>
          <t>NEW</t>
        </is>
      </c>
      <c r="C124" s="9" t="inlineStr"/>
      <c r="D124" s="9" t="n">
        <v>0</v>
      </c>
      <c r="E124" s="9" t="inlineStr"/>
      <c r="F124" s="9" t="inlineStr"/>
      <c r="G124" s="9" t="inlineStr"/>
      <c r="H124" s="9" t="inlineStr"/>
      <c r="I124" t="inlineStr">
        <is>
          <t>PIERP COMERCIALIZADORA DE ENERGIA S/A</t>
        </is>
      </c>
      <c r="J124" t="inlineStr">
        <is>
          <t>PIERP COMERCIALIZADORA DE ENERGIA S/A</t>
        </is>
      </c>
      <c r="K124" t="inlineStr">
        <is>
          <t>04810290</t>
        </is>
      </c>
      <c r="L124" t="inlineStr">
        <is>
          <t>04810290000190</t>
        </is>
      </c>
      <c r="M124" s="10" t="n">
        <v>142976.05</v>
      </c>
      <c r="N124" t="n">
        <v>1</v>
      </c>
      <c r="O124" s="11" t="inlineStr">
        <is>
          <t>C</t>
        </is>
      </c>
      <c r="P124" s="11" t="inlineStr">
        <is>
          <t>ACTIVE</t>
        </is>
      </c>
      <c r="Q124" s="12" t="n">
        <v>45154</v>
      </c>
      <c r="R124" s="11">
        <f>IF(Q124="","",ROUND((TODAY()-Q124)/365.25,1))</f>
        <v/>
      </c>
      <c r="S124" s="13">
        <f>IFERROR(VLOOKUP(O124,Assumptions!$A$7:$F$11,2,FALSE),0.25)</f>
        <v/>
      </c>
      <c r="T124" s="14">
        <f>IF(O124="A",MAX(1,IFERROR(VLOOKUP(O124,Assumptions!$A$7:$F$11,3,FALSE),3)+IFERROR(VLOOKUP(O124,Assumptions!$A$7:$F$11,4,FALSE),8)/2-MAX(0,IF(R124="",0,R124)-IFERROR(VLOOKUP(O124,Assumptions!$A$7:$F$11,5,FALSE),1.5))),IFERROR(VLOOKUP(O124,Assumptions!$A$7:$F$11,5,FALSE),2.5)+IFERROR(VLOOKUP(O124,Assumptions!$A$7:$F$11,3,FALSE),3)+IFERROR(VLOOKUP(O124,Assumptions!$A$7:$F$11,4,FALSE),8)/2)</f>
        <v/>
      </c>
      <c r="U124" s="15">
        <f>M124*S124/(1+Assumptions!$B$3)^T124</f>
        <v/>
      </c>
      <c r="V124" s="11">
        <f>IF(M124=0,"",ROUND(U124/M124*100,1))</f>
        <v/>
      </c>
      <c r="W124" s="16">
        <f>U124*Assumptions!$B$4</f>
        <v/>
      </c>
      <c r="X124" s="11">
        <f>IF(M124=0,"",ROUND(W124/M124*100,1))</f>
        <v/>
      </c>
      <c r="Y124" t="inlineStr">
        <is>
          <t>AZEPLAST INDÚSTRIA E COMÉRCIO LTDA</t>
        </is>
      </c>
      <c r="Z124" t="inlineStr">
        <is>
          <t>5008793-34.2023.8.24.0019</t>
        </is>
      </c>
      <c r="AA124" t="inlineStr">
        <is>
          <t>TJSC</t>
        </is>
      </c>
      <c r="AB124" t="inlineStr">
        <is>
          <t>ajruiz.com.br</t>
        </is>
      </c>
      <c r="AC124" t="inlineStr">
        <is>
          <t>GUILHERME ROCHA AVILA</t>
        </is>
      </c>
      <c r="AD124" t="inlineStr">
        <is>
          <t>Presidente</t>
        </is>
      </c>
      <c r="AE124" t="inlineStr">
        <is>
          <t>(41) 3021-1100</t>
        </is>
      </c>
      <c r="AF124" t="inlineStr">
        <is>
          <t>(41) 3021-1117</t>
        </is>
      </c>
      <c r="AG124" t="inlineStr"/>
      <c r="AH124" t="inlineStr">
        <is>
          <t>PR</t>
        </is>
      </c>
      <c r="AI124" t="inlineStr">
        <is>
          <t>CURITIBA</t>
        </is>
      </c>
      <c r="AJ124" t="inlineStr">
        <is>
          <t>Comércio atacadista de energia elétrica</t>
        </is>
      </c>
      <c r="AK124" t="inlineStr">
        <is>
          <t>DEMAIS</t>
        </is>
      </c>
      <c r="AL124" t="inlineStr">
        <is>
          <t>ATIVA</t>
        </is>
      </c>
      <c r="AM124" s="17" t="inlineStr">
        <is>
          <t>https://ajruiz.com.br/sites/default/files/public/arquivos-processos/2026-08/qgc_azeplast_julho_2026.pdf</t>
        </is>
      </c>
      <c r="AN124" s="18" t="inlineStr">
        <is>
          <t>p2 r5</t>
        </is>
      </c>
      <c r="AO124" s="18" t="inlineStr">
        <is>
          <t>p2: R$ 142.976,05</t>
        </is>
      </c>
      <c r="AP124" s="18" t="inlineStr">
        <is>
          <t>QGC</t>
        </is>
      </c>
      <c r="AQ124" s="18" t="inlineStr"/>
      <c r="AR124" s="18" t="inlineStr">
        <is>
          <t>QUARANTINED</t>
        </is>
      </c>
      <c r="AS124" s="18" t="inlineStr">
        <is>
          <t>PARTIAL_DOC_CLASS_III_RECONCILED ROWS:p2r5</t>
        </is>
      </c>
      <c r="AT124" s="18" t="inlineStr">
        <is>
          <t>229081edb0ea</t>
        </is>
      </c>
    </row>
    <row r="125">
      <c r="A125" s="9" t="n">
        <v>124</v>
      </c>
      <c r="B125" s="9" t="inlineStr">
        <is>
          <t>NEW</t>
        </is>
      </c>
      <c r="C125" s="9" t="inlineStr"/>
      <c r="D125" s="9" t="n">
        <v>0</v>
      </c>
      <c r="E125" s="9" t="inlineStr"/>
      <c r="F125" s="9" t="inlineStr"/>
      <c r="G125" s="9" t="inlineStr"/>
      <c r="H125" s="9" t="inlineStr"/>
      <c r="I125" t="inlineStr">
        <is>
          <t>TOTAL LIGHT EX BR DO BRASIL INDUSTRIA DE COMPONENTES ELETRO-MECANICOS LTDA</t>
        </is>
      </c>
      <c r="J125" t="inlineStr">
        <is>
          <t>Total Light Ex BR do Brasil Industria de Componentes Eletromecânicos LTDA</t>
        </is>
      </c>
      <c r="K125" t="inlineStr">
        <is>
          <t>08670431</t>
        </is>
      </c>
      <c r="L125" t="inlineStr">
        <is>
          <t>08670431000177</t>
        </is>
      </c>
      <c r="M125" s="10" t="n">
        <v>142599.13</v>
      </c>
      <c r="N125" t="n">
        <v>1</v>
      </c>
      <c r="O125" s="11" t="inlineStr">
        <is>
          <t>B</t>
        </is>
      </c>
      <c r="P125" s="11" t="inlineStr"/>
      <c r="Q125" s="12" t="n">
        <v>45756</v>
      </c>
      <c r="R125" s="11">
        <f>IF(Q125="","",ROUND((TODAY()-Q125)/365.25,1))</f>
        <v/>
      </c>
      <c r="S125" s="13">
        <f>IFERROR(VLOOKUP(O125,Assumptions!$A$7:$F$11,2,FALSE),0.25)</f>
        <v/>
      </c>
      <c r="T125" s="14">
        <f>IF(O125="A",MAX(1,IFERROR(VLOOKUP(O125,Assumptions!$A$7:$F$11,3,FALSE),3)+IFERROR(VLOOKUP(O125,Assumptions!$A$7:$F$11,4,FALSE),8)/2-MAX(0,IF(R125="",0,R125)-IFERROR(VLOOKUP(O125,Assumptions!$A$7:$F$11,5,FALSE),1.5))),IFERROR(VLOOKUP(O125,Assumptions!$A$7:$F$11,5,FALSE),2.5)+IFERROR(VLOOKUP(O125,Assumptions!$A$7:$F$11,3,FALSE),3)+IFERROR(VLOOKUP(O125,Assumptions!$A$7:$F$11,4,FALSE),8)/2)</f>
        <v/>
      </c>
      <c r="U125" s="15">
        <f>M125*S125/(1+Assumptions!$B$3)^T125</f>
        <v/>
      </c>
      <c r="V125" s="11">
        <f>IF(M125=0,"",ROUND(U125/M125*100,1))</f>
        <v/>
      </c>
      <c r="W125" s="16">
        <f>U125*Assumptions!$B$4</f>
        <v/>
      </c>
      <c r="X125" s="11">
        <f>IF(M125=0,"",ROUND(W125/M125*100,1))</f>
        <v/>
      </c>
      <c r="Y125" t="inlineStr">
        <is>
          <t>GRUPO EGESA (EGESA ENG S.A, EGESUR PART E EMP S.A, MATRIX INFRA LTDA, BEMVIVER ENG AMBIENTAL E SERV LTDA, DKF CONST E EMP LTDA, EGEPEL LTDA, ETR ASSESSORIA EMP E PART LTDA, MVT ENG E SERV LTDA, PARQUES DO VALE LTDA, ELMO RIBEIRO E ANA RIBEIRO)</t>
        </is>
      </c>
      <c r="Z125" t="inlineStr">
        <is>
          <t>5088952-81.2025.8.13.0024</t>
        </is>
      </c>
      <c r="AA125" t="inlineStr">
        <is>
          <t>TJMG</t>
        </is>
      </c>
      <c r="AB125" t="inlineStr">
        <is>
          <t>scalzilliaj.com.br</t>
        </is>
      </c>
      <c r="AC125" t="inlineStr">
        <is>
          <t>LUCAS MARTIN SOARES GIOJA</t>
        </is>
      </c>
      <c r="AD125" t="inlineStr">
        <is>
          <t>Sócio-Administrador</t>
        </is>
      </c>
      <c r="AE125" t="inlineStr">
        <is>
          <t>(21) 2687-0950</t>
        </is>
      </c>
      <c r="AF125" t="inlineStr">
        <is>
          <t>(22) 2748-1200</t>
        </is>
      </c>
      <c r="AG125" t="inlineStr"/>
      <c r="AH125" t="inlineStr">
        <is>
          <t>RJ</t>
        </is>
      </c>
      <c r="AI125" t="inlineStr">
        <is>
          <t>CAMPOS DOS GOYTACAZES</t>
        </is>
      </c>
      <c r="AJ125" t="inlineStr">
        <is>
          <t>Fabricação de luminárias e outros equipamentos de iluminação</t>
        </is>
      </c>
      <c r="AK125" t="inlineStr">
        <is>
          <t>DEMAIS</t>
        </is>
      </c>
      <c r="AL125" t="inlineStr">
        <is>
          <t>ATIVA</t>
        </is>
      </c>
      <c r="AM125" s="17" t="inlineStr">
        <is>
          <t>https://scalzilliaj.com.br/sgc/download.php?file=files/processo_documento/processo_documento09514021082025_1_.pdf&amp;nome=04 - Relação de credores das Recuperandas</t>
        </is>
      </c>
      <c r="AN125" s="18" t="inlineStr">
        <is>
          <t>p74 r9</t>
        </is>
      </c>
      <c r="AO125" s="18" t="inlineStr">
        <is>
          <t>p74: R$ 142.599,13</t>
        </is>
      </c>
      <c r="AP125" s="18" t="inlineStr">
        <is>
          <t>DEBTOR_LIST</t>
        </is>
      </c>
      <c r="AQ125" s="18" t="inlineStr"/>
      <c r="AR125" s="18" t="inlineStr">
        <is>
          <t>OK</t>
        </is>
      </c>
      <c r="AS125" s="18" t="inlineStr">
        <is>
          <t>ROWS:p74r9 VALUE_COL:Valor_Atualizado CASE_NUMBER_CORRECTED CASE_FROM_PORTAL</t>
        </is>
      </c>
      <c r="AT125" s="18" t="inlineStr">
        <is>
          <t>24ed98480a57</t>
        </is>
      </c>
    </row>
    <row r="126">
      <c r="A126" s="9" t="n">
        <v>125</v>
      </c>
      <c r="B126" s="9" t="inlineStr">
        <is>
          <t>NEW</t>
        </is>
      </c>
      <c r="C126" s="9" t="inlineStr"/>
      <c r="D126" s="9" t="n">
        <v>0</v>
      </c>
      <c r="E126" s="9" t="inlineStr"/>
      <c r="F126" s="9" t="inlineStr"/>
      <c r="G126" s="9" t="inlineStr"/>
      <c r="H126" s="9" t="inlineStr"/>
      <c r="I126" t="inlineStr">
        <is>
          <t>ALLOXY ESPECIALIDADES QUIMICAS LTDA</t>
        </is>
      </c>
      <c r="J126" t="inlineStr">
        <is>
          <t>ALLOXY ESPECIALIDADES QUIMICAS LTDA</t>
        </is>
      </c>
      <c r="K126" t="inlineStr">
        <is>
          <t>16987597</t>
        </is>
      </c>
      <c r="L126" t="inlineStr">
        <is>
          <t>16987597000140</t>
        </is>
      </c>
      <c r="M126" s="10" t="n">
        <v>141654.12</v>
      </c>
      <c r="N126" t="n">
        <v>1</v>
      </c>
      <c r="O126" s="11" t="inlineStr">
        <is>
          <t>C</t>
        </is>
      </c>
      <c r="P126" s="11" t="inlineStr">
        <is>
          <t>ACTIVE</t>
        </is>
      </c>
      <c r="Q126" s="12" t="n">
        <v>45264</v>
      </c>
      <c r="R126" s="11">
        <f>IF(Q126="","",ROUND((TODAY()-Q126)/365.25,1))</f>
        <v/>
      </c>
      <c r="S126" s="13">
        <f>IFERROR(VLOOKUP(O126,Assumptions!$A$7:$F$11,2,FALSE),0.25)</f>
        <v/>
      </c>
      <c r="T126" s="14">
        <f>IF(O126="A",MAX(1,IFERROR(VLOOKUP(O126,Assumptions!$A$7:$F$11,3,FALSE),3)+IFERROR(VLOOKUP(O126,Assumptions!$A$7:$F$11,4,FALSE),8)/2-MAX(0,IF(R126="",0,R126)-IFERROR(VLOOKUP(O126,Assumptions!$A$7:$F$11,5,FALSE),1.5))),IFERROR(VLOOKUP(O126,Assumptions!$A$7:$F$11,5,FALSE),2.5)+IFERROR(VLOOKUP(O126,Assumptions!$A$7:$F$11,3,FALSE),3)+IFERROR(VLOOKUP(O126,Assumptions!$A$7:$F$11,4,FALSE),8)/2)</f>
        <v/>
      </c>
      <c r="U126" s="15">
        <f>M126*S126/(1+Assumptions!$B$3)^T126</f>
        <v/>
      </c>
      <c r="V126" s="11">
        <f>IF(M126=0,"",ROUND(U126/M126*100,1))</f>
        <v/>
      </c>
      <c r="W126" s="16">
        <f>U126*Assumptions!$B$4</f>
        <v/>
      </c>
      <c r="X126" s="11">
        <f>IF(M126=0,"",ROUND(W126/M126*100,1))</f>
        <v/>
      </c>
      <c r="Y126" t="inlineStr">
        <is>
          <t>Alto Uruguai Indústria e Comércio de Óleos Ltda</t>
        </is>
      </c>
      <c r="Z126" t="inlineStr">
        <is>
          <t>5012743-51.2023.8.24.0019</t>
        </is>
      </c>
      <c r="AA126" t="inlineStr">
        <is>
          <t>TJSC</t>
        </is>
      </c>
      <c r="AB126" t="inlineStr">
        <is>
          <t>ajruiz.com.br</t>
        </is>
      </c>
      <c r="AC126" t="inlineStr">
        <is>
          <t>FERNANDA SCUISSIATTO MARES DE SOUZA</t>
        </is>
      </c>
      <c r="AD126" t="inlineStr">
        <is>
          <t>Sócio-Administrador</t>
        </is>
      </c>
      <c r="AE126" t="inlineStr">
        <is>
          <t>(41) 3383-0233</t>
        </is>
      </c>
      <c r="AF126" t="inlineStr">
        <is>
          <t>(41) 3383-0233</t>
        </is>
      </c>
      <c r="AG126" t="inlineStr"/>
      <c r="AH126" t="inlineStr">
        <is>
          <t>PR</t>
        </is>
      </c>
      <c r="AI126" t="inlineStr">
        <is>
          <t>SAO JOSE DOS PINHAIS</t>
        </is>
      </c>
      <c r="AJ126" t="inlineStr">
        <is>
          <t>Comércio atacadista de outros produtos químicos e petroquímicos não especificados anteriormente</t>
        </is>
      </c>
      <c r="AK126" t="inlineStr">
        <is>
          <t>DEMAIS</t>
        </is>
      </c>
      <c r="AL126" t="inlineStr">
        <is>
          <t>ATIVA</t>
        </is>
      </c>
      <c r="AM126" s="17" t="inlineStr">
        <is>
          <t>https://ajruiz.com.br/sites/default/files/public/arquivos-processos/2026-06/alto_uruguai_qgc_junho.2026.pdf</t>
        </is>
      </c>
      <c r="AN126" s="18" t="inlineStr">
        <is>
          <t>p1 r5</t>
        </is>
      </c>
      <c r="AO126" s="18" t="inlineStr">
        <is>
          <t>p1: R$ 141.654,12</t>
        </is>
      </c>
      <c r="AP126" s="18" t="inlineStr">
        <is>
          <t>UNKNOWN</t>
        </is>
      </c>
      <c r="AQ126" s="18" t="inlineStr"/>
      <c r="AR126" s="18" t="inlineStr">
        <is>
          <t>OK</t>
        </is>
      </c>
      <c r="AS126" s="18" t="inlineStr">
        <is>
          <t>ROWS:p1r5 VALUE_COL:Valor_Do_Crédito</t>
        </is>
      </c>
      <c r="AT126" s="18" t="inlineStr">
        <is>
          <t>75336e98f447</t>
        </is>
      </c>
    </row>
    <row r="127">
      <c r="A127" s="9" t="n">
        <v>126</v>
      </c>
      <c r="B127" s="9" t="inlineStr">
        <is>
          <t>NEW</t>
        </is>
      </c>
      <c r="C127" s="9" t="inlineStr"/>
      <c r="D127" s="9" t="n">
        <v>0</v>
      </c>
      <c r="E127" s="9" t="inlineStr"/>
      <c r="F127" s="9" t="inlineStr"/>
      <c r="G127" s="9" t="inlineStr"/>
      <c r="H127" s="9" t="inlineStr"/>
      <c r="I127" t="inlineStr">
        <is>
          <t>TCIL MOVEIS LTDA</t>
        </is>
      </c>
      <c r="J127" t="inlineStr">
        <is>
          <t>38.542.932/0002-10</t>
        </is>
      </c>
      <c r="K127" t="inlineStr">
        <is>
          <t>38542932</t>
        </is>
      </c>
      <c r="L127" t="inlineStr">
        <is>
          <t>38542932000210</t>
        </is>
      </c>
      <c r="M127" s="10" t="n">
        <v>140647.14</v>
      </c>
      <c r="N127" t="n">
        <v>1</v>
      </c>
      <c r="O127" s="11" t="inlineStr">
        <is>
          <t>C</t>
        </is>
      </c>
      <c r="P127" s="11" t="inlineStr">
        <is>
          <t>ACTIVE</t>
        </is>
      </c>
      <c r="Q127" s="12" t="n">
        <v>43894</v>
      </c>
      <c r="R127" s="11">
        <f>IF(Q127="","",ROUND((TODAY()-Q127)/365.25,1))</f>
        <v/>
      </c>
      <c r="S127" s="13">
        <f>IFERROR(VLOOKUP(O127,Assumptions!$A$7:$F$11,2,FALSE),0.25)</f>
        <v/>
      </c>
      <c r="T127" s="14">
        <f>IF(O127="A",MAX(1,IFERROR(VLOOKUP(O127,Assumptions!$A$7:$F$11,3,FALSE),3)+IFERROR(VLOOKUP(O127,Assumptions!$A$7:$F$11,4,FALSE),8)/2-MAX(0,IF(R127="",0,R127)-IFERROR(VLOOKUP(O127,Assumptions!$A$7:$F$11,5,FALSE),1.5))),IFERROR(VLOOKUP(O127,Assumptions!$A$7:$F$11,5,FALSE),2.5)+IFERROR(VLOOKUP(O127,Assumptions!$A$7:$F$11,3,FALSE),3)+IFERROR(VLOOKUP(O127,Assumptions!$A$7:$F$11,4,FALSE),8)/2)</f>
        <v/>
      </c>
      <c r="U127" s="15">
        <f>M127*S127/(1+Assumptions!$B$3)^T127</f>
        <v/>
      </c>
      <c r="V127" s="11">
        <f>IF(M127=0,"",ROUND(U127/M127*100,1))</f>
        <v/>
      </c>
      <c r="W127" s="16">
        <f>U127*Assumptions!$B$4</f>
        <v/>
      </c>
      <c r="X127" s="11">
        <f>IF(M127=0,"",ROUND(W127/M127*100,1))</f>
        <v/>
      </c>
      <c r="Y127" t="inlineStr">
        <is>
          <t>CREDIMÓVEIS NOVOLAR LTDA.</t>
        </is>
      </c>
      <c r="Z127" t="inlineStr">
        <is>
          <t>0007565-40.2020.8.17.2370</t>
        </is>
      </c>
      <c r="AA127" t="inlineStr">
        <is>
          <t>TJPE</t>
        </is>
      </c>
      <c r="AB127" t="inlineStr">
        <is>
          <t>recuperacaojudicial.squarespace.com</t>
        </is>
      </c>
      <c r="AC127" t="inlineStr">
        <is>
          <t>DELFIM DE SOUZA TEIXEIRA</t>
        </is>
      </c>
      <c r="AD127" t="inlineStr">
        <is>
          <t>Sócio-Administrador</t>
        </is>
      </c>
      <c r="AE127" t="inlineStr">
        <is>
          <t>(32) 3539-7400</t>
        </is>
      </c>
      <c r="AF127" t="inlineStr"/>
      <c r="AG127" t="inlineStr"/>
      <c r="AH127" t="inlineStr">
        <is>
          <t>MG</t>
        </is>
      </c>
      <c r="AI127" t="inlineStr">
        <is>
          <t>UBA</t>
        </is>
      </c>
      <c r="AJ127" t="inlineStr">
        <is>
          <t>Fabricação de móveis com predominância de madeira</t>
        </is>
      </c>
      <c r="AK127" t="inlineStr">
        <is>
          <t>DEMAIS</t>
        </is>
      </c>
      <c r="AL127" t="inlineStr">
        <is>
          <t>ATIVA</t>
        </is>
      </c>
      <c r="AM127" s="17" t="inlineStr">
        <is>
          <t>https://recuperacaojudicial.squarespace.com/s/RJ-Credimoveis-QGC-01082025.pdf</t>
        </is>
      </c>
      <c r="AN127" s="18" t="inlineStr">
        <is>
          <t>p17 r1</t>
        </is>
      </c>
      <c r="AO127" s="18" t="inlineStr">
        <is>
          <t>p17: R$ 140.647,14</t>
        </is>
      </c>
      <c r="AP127" s="18" t="inlineStr">
        <is>
          <t>QGC</t>
        </is>
      </c>
      <c r="AQ127" s="18" t="inlineStr">
        <is>
          <t>2026-01-28</t>
        </is>
      </c>
      <c r="AR127" s="18" t="inlineStr">
        <is>
          <t>OK</t>
        </is>
      </c>
      <c r="AS127" s="18" t="inlineStr">
        <is>
          <t>ROWS:p17r1</t>
        </is>
      </c>
      <c r="AT127" s="18" t="inlineStr">
        <is>
          <t>849d4fe5adce</t>
        </is>
      </c>
    </row>
    <row r="128">
      <c r="A128" s="9" t="n">
        <v>127</v>
      </c>
      <c r="B128" s="9" t="inlineStr">
        <is>
          <t>NEW</t>
        </is>
      </c>
      <c r="C128" s="9" t="inlineStr"/>
      <c r="D128" s="9" t="n">
        <v>0</v>
      </c>
      <c r="E128" s="9" t="inlineStr"/>
      <c r="F128" s="9" t="inlineStr"/>
      <c r="G128" s="9" t="inlineStr"/>
      <c r="H128" s="9" t="inlineStr"/>
      <c r="I128" t="inlineStr">
        <is>
          <t>VESTTI INDUSTRIA DE ARTIGOS DO VESTUARIO LTDA</t>
        </is>
      </c>
      <c r="J128" t="inlineStr">
        <is>
          <t>VESTTI INDUSTRIA DE ARTIGOS DO VESTUARIO LTDA</t>
        </is>
      </c>
      <c r="K128" t="inlineStr">
        <is>
          <t>20611482</t>
        </is>
      </c>
      <c r="L128" t="inlineStr">
        <is>
          <t>20611482000123</t>
        </is>
      </c>
      <c r="M128" s="10" t="n">
        <v>140127.35</v>
      </c>
      <c r="N128" t="n">
        <v>3</v>
      </c>
      <c r="O128" s="11" t="inlineStr">
        <is>
          <t>C</t>
        </is>
      </c>
      <c r="P128" s="11" t="inlineStr">
        <is>
          <t>ACTIVE</t>
        </is>
      </c>
      <c r="Q128" s="12" t="n">
        <v>44571</v>
      </c>
      <c r="R128" s="11">
        <f>IF(Q128="","",ROUND((TODAY()-Q128)/365.25,1))</f>
        <v/>
      </c>
      <c r="S128" s="13">
        <f>IFERROR(VLOOKUP(O128,Assumptions!$A$7:$F$11,2,FALSE),0.25)</f>
        <v/>
      </c>
      <c r="T128" s="14">
        <f>IF(O128="A",MAX(1,IFERROR(VLOOKUP(O128,Assumptions!$A$7:$F$11,3,FALSE),3)+IFERROR(VLOOKUP(O128,Assumptions!$A$7:$F$11,4,FALSE),8)/2-MAX(0,IF(R128="",0,R128)-IFERROR(VLOOKUP(O128,Assumptions!$A$7:$F$11,5,FALSE),1.5))),IFERROR(VLOOKUP(O128,Assumptions!$A$7:$F$11,5,FALSE),2.5)+IFERROR(VLOOKUP(O128,Assumptions!$A$7:$F$11,3,FALSE),3)+IFERROR(VLOOKUP(O128,Assumptions!$A$7:$F$11,4,FALSE),8)/2)</f>
        <v/>
      </c>
      <c r="U128" s="15">
        <f>M128*S128/(1+Assumptions!$B$3)^T128</f>
        <v/>
      </c>
      <c r="V128" s="11">
        <f>IF(M128=0,"",ROUND(U128/M128*100,1))</f>
        <v/>
      </c>
      <c r="W128" s="16">
        <f>U128*Assumptions!$B$4</f>
        <v/>
      </c>
      <c r="X128" s="11">
        <f>IF(M128=0,"",ROUND(W128/M128*100,1))</f>
        <v/>
      </c>
      <c r="Y128" t="inlineStr">
        <is>
          <t>GRUPO CATTAN</t>
        </is>
      </c>
      <c r="Z128" t="inlineStr">
        <is>
          <t>0002484-82.2022.8.17.2001</t>
        </is>
      </c>
      <c r="AA128" t="inlineStr">
        <is>
          <t>TJPE</t>
        </is>
      </c>
      <c r="AB128" t="inlineStr">
        <is>
          <t>lrflideres.com.br</t>
        </is>
      </c>
      <c r="AC128" t="inlineStr">
        <is>
          <t>ELIANE MARIA TRINDADE GOMES</t>
        </is>
      </c>
      <c r="AD128" t="inlineStr">
        <is>
          <t>Sócio-Administrador</t>
        </is>
      </c>
      <c r="AE128" t="inlineStr">
        <is>
          <t>(24) 2246-1229</t>
        </is>
      </c>
      <c r="AF128" t="inlineStr"/>
      <c r="AG128" t="inlineStr"/>
      <c r="AH128" t="inlineStr">
        <is>
          <t>RJ</t>
        </is>
      </c>
      <c r="AI128" t="inlineStr">
        <is>
          <t>PETROPOLIS</t>
        </is>
      </c>
      <c r="AJ128" t="inlineStr">
        <is>
          <t>Confecção de peças de vestuário, exceto roupas íntimas e as confeccionadas sob medida</t>
        </is>
      </c>
      <c r="AK128" t="inlineStr">
        <is>
          <t>DEMAIS</t>
        </is>
      </c>
      <c r="AL128" t="inlineStr">
        <is>
          <t>ATIVA</t>
        </is>
      </c>
      <c r="AM128" s="17" t="inlineStr">
        <is>
          <t>https://lrflideres.com.br/wp-content/plugins/download-attachments/includes/download.php?id=4023</t>
        </is>
      </c>
      <c r="AN128" s="18" t="inlineStr">
        <is>
          <t>p4 r96; p7 r128; p9 r94</t>
        </is>
      </c>
      <c r="AO128" s="18" t="inlineStr">
        <is>
          <t>p4: R$ 47.887,95; p7: R$ 71.375,70; p9: R$ 20.863,70</t>
        </is>
      </c>
      <c r="AP128" s="18" t="inlineStr">
        <is>
          <t>DEBTOR_LIST</t>
        </is>
      </c>
      <c r="AQ128" s="18" t="inlineStr"/>
      <c r="AR128" s="18" t="inlineStr">
        <is>
          <t>QUARANTINED</t>
        </is>
      </c>
      <c r="AS128" s="18" t="inlineStr">
        <is>
          <t>PARTIAL_DOC_CLASS_III_RECONCILED ROWS:p4r96,p7r128,p9r94</t>
        </is>
      </c>
      <c r="AT128" s="18" t="inlineStr">
        <is>
          <t>f3b6182e3aa2</t>
        </is>
      </c>
    </row>
    <row r="129">
      <c r="A129" s="9" t="n">
        <v>128</v>
      </c>
      <c r="B129" s="9" t="inlineStr">
        <is>
          <t>NEW</t>
        </is>
      </c>
      <c r="C129" s="9" t="inlineStr"/>
      <c r="D129" s="9" t="n">
        <v>0</v>
      </c>
      <c r="E129" s="9" t="inlineStr"/>
      <c r="F129" s="9" t="inlineStr"/>
      <c r="G129" s="9" t="inlineStr"/>
      <c r="H129" s="9" t="inlineStr"/>
      <c r="I129" t="inlineStr">
        <is>
          <t>ENGETELA COMERCIO E SERVICOS LTDA</t>
        </is>
      </c>
      <c r="J129" t="inlineStr">
        <is>
          <t>AV IPIRANGA 1204 SANTANA 37187000</t>
        </is>
      </c>
      <c r="K129" t="inlineStr">
        <is>
          <t>12721248</t>
        </is>
      </c>
      <c r="L129" t="inlineStr">
        <is>
          <t>12721248000120</t>
        </is>
      </c>
      <c r="M129" s="10" t="n">
        <v>139982.34</v>
      </c>
      <c r="N129" t="n">
        <v>1</v>
      </c>
      <c r="O129" s="11" t="inlineStr">
        <is>
          <t>B</t>
        </is>
      </c>
      <c r="P129" s="11" t="inlineStr">
        <is>
          <t>ACTIVE</t>
        </is>
      </c>
      <c r="Q129" s="12" t="n">
        <v>45964</v>
      </c>
      <c r="R129" s="11">
        <f>IF(Q129="","",ROUND((TODAY()-Q129)/365.25,1))</f>
        <v/>
      </c>
      <c r="S129" s="13">
        <f>IFERROR(VLOOKUP(O129,Assumptions!$A$7:$F$11,2,FALSE),0.25)</f>
        <v/>
      </c>
      <c r="T129" s="14">
        <f>IF(O129="A",MAX(1,IFERROR(VLOOKUP(O129,Assumptions!$A$7:$F$11,3,FALSE),3)+IFERROR(VLOOKUP(O129,Assumptions!$A$7:$F$11,4,FALSE),8)/2-MAX(0,IF(R129="",0,R129)-IFERROR(VLOOKUP(O129,Assumptions!$A$7:$F$11,5,FALSE),1.5))),IFERROR(VLOOKUP(O129,Assumptions!$A$7:$F$11,5,FALSE),2.5)+IFERROR(VLOOKUP(O129,Assumptions!$A$7:$F$11,3,FALSE),3)+IFERROR(VLOOKUP(O129,Assumptions!$A$7:$F$11,4,FALSE),8)/2)</f>
        <v/>
      </c>
      <c r="U129" s="15">
        <f>M129*S129/(1+Assumptions!$B$3)^T129</f>
        <v/>
      </c>
      <c r="V129" s="11">
        <f>IF(M129=0,"",ROUND(U129/M129*100,1))</f>
        <v/>
      </c>
      <c r="W129" s="16">
        <f>U129*Assumptions!$B$4</f>
        <v/>
      </c>
      <c r="X129" s="11">
        <f>IF(M129=0,"",ROUND(W129/M129*100,1))</f>
        <v/>
      </c>
      <c r="Y129" t="inlineStr">
        <is>
          <t>CENTURY CONSTRUÇÕES COMÉRCIO E SERVIÇOS LTDA.</t>
        </is>
      </c>
      <c r="Z129" t="inlineStr">
        <is>
          <t>4054599-35.2025.8.26.0100</t>
        </is>
      </c>
      <c r="AA129" t="inlineStr">
        <is>
          <t>TJSP</t>
        </is>
      </c>
      <c r="AB129" t="inlineStr">
        <is>
          <t>ativosajce.com.br</t>
        </is>
      </c>
      <c r="AC129" t="inlineStr">
        <is>
          <t>MILLER SCATOLINO MESQUITA</t>
        </is>
      </c>
      <c r="AD129" t="inlineStr">
        <is>
          <t>Sócio-Administrador</t>
        </is>
      </c>
      <c r="AE129" t="inlineStr">
        <is>
          <t>(35) 3265-2599</t>
        </is>
      </c>
      <c r="AF129" t="inlineStr">
        <is>
          <t>(35) 3265-2382</t>
        </is>
      </c>
      <c r="AG129" t="inlineStr"/>
      <c r="AH129" t="inlineStr">
        <is>
          <t>MG</t>
        </is>
      </c>
      <c r="AI129" t="inlineStr">
        <is>
          <t>TRES PONTAS</t>
        </is>
      </c>
      <c r="AJ129" t="inlineStr">
        <is>
          <t>Comércio varejista de materiais de construção em geral</t>
        </is>
      </c>
      <c r="AK129" t="inlineStr">
        <is>
          <t>DEMAIS</t>
        </is>
      </c>
      <c r="AL129" t="inlineStr">
        <is>
          <t>ATIVA</t>
        </is>
      </c>
      <c r="AM129" s="17" t="inlineStr">
        <is>
          <t>https://ativosajce.com.br/admin/download.php?file=files/processo_documento/processo_documento16022716122025_1_.pdf&amp;nome=Relação de credores - art. 52, §1º da Lei 11.101/05 - 15/12/2025</t>
        </is>
      </c>
      <c r="AN129" s="18" t="inlineStr">
        <is>
          <t>p3 r12</t>
        </is>
      </c>
      <c r="AO129" s="18" t="inlineStr">
        <is>
          <t>p3: R$ 139.982,34</t>
        </is>
      </c>
      <c r="AP129" s="18" t="inlineStr">
        <is>
          <t>UNKNOWN</t>
        </is>
      </c>
      <c r="AQ129" s="18" t="inlineStr"/>
      <c r="AR129" s="18" t="inlineStr">
        <is>
          <t>OK_NO_TOTALS</t>
        </is>
      </c>
      <c r="AS129" s="18" t="inlineStr">
        <is>
          <t>ROWS:p3r12 UNRECONCILED_SOURCE</t>
        </is>
      </c>
      <c r="AT129" s="18" t="inlineStr">
        <is>
          <t>2fe04bf4466d</t>
        </is>
      </c>
    </row>
    <row r="130">
      <c r="A130" s="9" t="n">
        <v>129</v>
      </c>
      <c r="B130" s="9" t="inlineStr">
        <is>
          <t>NEW</t>
        </is>
      </c>
      <c r="C130" s="9" t="inlineStr"/>
      <c r="D130" s="9" t="n">
        <v>0</v>
      </c>
      <c r="E130" s="9" t="inlineStr"/>
      <c r="F130" s="9" t="inlineStr"/>
      <c r="G130" s="9" t="inlineStr"/>
      <c r="H130" s="9" t="inlineStr"/>
      <c r="I130" t="inlineStr">
        <is>
          <t>MAPOL COMERCIO, IMPORTACAO E EXPORTACAO LTDA</t>
        </is>
      </c>
      <c r="J130" t="inlineStr">
        <is>
          <t>MAPOL IND E COM LTDA</t>
        </is>
      </c>
      <c r="K130" t="inlineStr">
        <is>
          <t>55364111</t>
        </is>
      </c>
      <c r="L130" t="inlineStr">
        <is>
          <t>55364111000179</t>
        </is>
      </c>
      <c r="M130" s="10" t="n">
        <v>139726.43</v>
      </c>
      <c r="N130" t="n">
        <v>1</v>
      </c>
      <c r="O130" s="11" t="inlineStr">
        <is>
          <t>D</t>
        </is>
      </c>
      <c r="P130" s="11" t="inlineStr"/>
      <c r="Q130" s="12" t="inlineStr"/>
      <c r="R130" s="11">
        <f>IF(Q130="","",ROUND((TODAY()-Q130)/365.25,1))</f>
        <v/>
      </c>
      <c r="S130" s="13">
        <f>IFERROR(VLOOKUP(O130,Assumptions!$A$7:$F$11,2,FALSE),0.25)</f>
        <v/>
      </c>
      <c r="T130" s="14">
        <f>IF(O130="A",MAX(1,IFERROR(VLOOKUP(O130,Assumptions!$A$7:$F$11,3,FALSE),3)+IFERROR(VLOOKUP(O130,Assumptions!$A$7:$F$11,4,FALSE),8)/2-MAX(0,IF(R130="",0,R130)-IFERROR(VLOOKUP(O130,Assumptions!$A$7:$F$11,5,FALSE),1.5))),IFERROR(VLOOKUP(O130,Assumptions!$A$7:$F$11,5,FALSE),2.5)+IFERROR(VLOOKUP(O130,Assumptions!$A$7:$F$11,3,FALSE),3)+IFERROR(VLOOKUP(O130,Assumptions!$A$7:$F$11,4,FALSE),8)/2)</f>
        <v/>
      </c>
      <c r="U130" s="15">
        <f>M130*S130/(1+Assumptions!$B$3)^T130</f>
        <v/>
      </c>
      <c r="V130" s="11">
        <f>IF(M130=0,"",ROUND(U130/M130*100,1))</f>
        <v/>
      </c>
      <c r="W130" s="16">
        <f>U130*Assumptions!$B$4</f>
        <v/>
      </c>
      <c r="X130" s="11">
        <f>IF(M130=0,"",ROUND(W130/M130*100,1))</f>
        <v/>
      </c>
      <c r="Y130" t="inlineStr">
        <is>
          <t>Mannes</t>
        </is>
      </c>
      <c r="Z130" t="inlineStr">
        <is>
          <t>0005010-50.2013.8.24.0026</t>
        </is>
      </c>
      <c r="AA130" t="inlineStr"/>
      <c r="AB130" t="inlineStr">
        <is>
          <t>administradorajudicialgs.com.br</t>
        </is>
      </c>
      <c r="AC130" t="inlineStr">
        <is>
          <t>ELIANA MARQUES CORDEIRO ROSA</t>
        </is>
      </c>
      <c r="AD130" t="inlineStr">
        <is>
          <t>Sócio-Administrador</t>
        </is>
      </c>
      <c r="AE130" t="inlineStr">
        <is>
          <t>(11) 5581-1553</t>
        </is>
      </c>
      <c r="AF130" t="inlineStr"/>
      <c r="AG130" t="inlineStr"/>
      <c r="AH130" t="inlineStr">
        <is>
          <t>SP</t>
        </is>
      </c>
      <c r="AI130" t="inlineStr">
        <is>
          <t>SAO PAULO</t>
        </is>
      </c>
      <c r="AJ130" t="inlineStr">
        <is>
          <t>Comércio atacadista de móveis e artigos de colchoaria</t>
        </is>
      </c>
      <c r="AK130" t="inlineStr">
        <is>
          <t>DEMAIS</t>
        </is>
      </c>
      <c r="AL130" t="inlineStr">
        <is>
          <t>ATIVA</t>
        </is>
      </c>
      <c r="AM130" s="17" t="inlineStr">
        <is>
          <t>https://administradorajudicialgs.com.br/wp-content/uploads/2024/12/relacao-de-credores-da-falida.pdf</t>
        </is>
      </c>
      <c r="AN130" s="18" t="inlineStr">
        <is>
          <t>p16 r37</t>
        </is>
      </c>
      <c r="AO130" s="18" t="inlineStr">
        <is>
          <t>p16: R$ 139.726,43</t>
        </is>
      </c>
      <c r="AP130" s="18" t="inlineStr">
        <is>
          <t>OTHER</t>
        </is>
      </c>
      <c r="AQ130" s="18" t="inlineStr">
        <is>
          <t>2025-03-25</t>
        </is>
      </c>
      <c r="AR130" s="18" t="inlineStr">
        <is>
          <t>OK_NO_TOTALS</t>
        </is>
      </c>
      <c r="AS130" s="18" t="inlineStr">
        <is>
          <t>ROWS:p16r37 UNRECONCILED_SOURCE CASE_NUMBER_CORRECTED</t>
        </is>
      </c>
      <c r="AT130" s="18" t="inlineStr">
        <is>
          <t>ea17ba43b261</t>
        </is>
      </c>
    </row>
    <row r="131">
      <c r="A131" s="9" t="n">
        <v>130</v>
      </c>
      <c r="B131" s="9" t="inlineStr">
        <is>
          <t>NEW</t>
        </is>
      </c>
      <c r="C131" s="9" t="inlineStr"/>
      <c r="D131" s="9" t="n">
        <v>0</v>
      </c>
      <c r="E131" s="9" t="inlineStr"/>
      <c r="F131" s="9" t="inlineStr"/>
      <c r="G131" s="9" t="inlineStr"/>
      <c r="H131" s="9" t="inlineStr"/>
      <c r="I131" t="inlineStr">
        <is>
          <t>APIUNA COMERCIAL TEXTIL LTDA.</t>
        </is>
      </c>
      <c r="J131" t="inlineStr">
        <is>
          <t>APIUNA COMERCIAL TEXTIL LTDA</t>
        </is>
      </c>
      <c r="K131" t="inlineStr">
        <is>
          <t>11287642</t>
        </is>
      </c>
      <c r="L131" t="inlineStr">
        <is>
          <t>11287642000130</t>
        </is>
      </c>
      <c r="M131" s="10" t="n">
        <v>138825.7</v>
      </c>
      <c r="N131" t="n">
        <v>1</v>
      </c>
      <c r="O131" s="11" t="inlineStr">
        <is>
          <t>C</t>
        </is>
      </c>
      <c r="P131" s="11" t="inlineStr"/>
      <c r="Q131" s="12" t="inlineStr"/>
      <c r="R131" s="11">
        <f>IF(Q131="","",ROUND((TODAY()-Q131)/365.25,1))</f>
        <v/>
      </c>
      <c r="S131" s="13">
        <f>IFERROR(VLOOKUP(O131,Assumptions!$A$7:$F$11,2,FALSE),0.25)</f>
        <v/>
      </c>
      <c r="T131" s="14">
        <f>IF(O131="A",MAX(1,IFERROR(VLOOKUP(O131,Assumptions!$A$7:$F$11,3,FALSE),3)+IFERROR(VLOOKUP(O131,Assumptions!$A$7:$F$11,4,FALSE),8)/2-MAX(0,IF(R131="",0,R131)-IFERROR(VLOOKUP(O131,Assumptions!$A$7:$F$11,5,FALSE),1.5))),IFERROR(VLOOKUP(O131,Assumptions!$A$7:$F$11,5,FALSE),2.5)+IFERROR(VLOOKUP(O131,Assumptions!$A$7:$F$11,3,FALSE),3)+IFERROR(VLOOKUP(O131,Assumptions!$A$7:$F$11,4,FALSE),8)/2)</f>
        <v/>
      </c>
      <c r="U131" s="15">
        <f>M131*S131/(1+Assumptions!$B$3)^T131</f>
        <v/>
      </c>
      <c r="V131" s="11">
        <f>IF(M131=0,"",ROUND(U131/M131*100,1))</f>
        <v/>
      </c>
      <c r="W131" s="16">
        <f>U131*Assumptions!$B$4</f>
        <v/>
      </c>
      <c r="X131" s="11">
        <f>IF(M131=0,"",ROUND(W131/M131*100,1))</f>
        <v/>
      </c>
      <c r="Y131" t="inlineStr">
        <is>
          <t>CONFECÇÕES ANDRIMALHAS LTDA</t>
        </is>
      </c>
      <c r="Z131" t="inlineStr">
        <is>
          <t>0302174-63.2015.8.24.0025</t>
        </is>
      </c>
      <c r="AA131" t="inlineStr"/>
      <c r="AB131" t="inlineStr">
        <is>
          <t>administradorajudicialgs.com.br</t>
        </is>
      </c>
      <c r="AC131" t="inlineStr">
        <is>
          <t>CESAR AUGUSTO THEISS</t>
        </is>
      </c>
      <c r="AD131" t="inlineStr">
        <is>
          <t>Administrador</t>
        </is>
      </c>
      <c r="AE131" t="inlineStr">
        <is>
          <t>(47) 3353-1558</t>
        </is>
      </c>
      <c r="AF131" t="inlineStr"/>
      <c r="AG131" t="inlineStr"/>
      <c r="AH131" t="inlineStr">
        <is>
          <t>SC</t>
        </is>
      </c>
      <c r="AI131" t="inlineStr">
        <is>
          <t>APIUNA</t>
        </is>
      </c>
      <c r="AJ131" t="inlineStr">
        <is>
          <t>Comércio atacadista especializado em outros produtos intermediários não especificados anteriormente</t>
        </is>
      </c>
      <c r="AK131" t="inlineStr">
        <is>
          <t>DEMAIS</t>
        </is>
      </c>
      <c r="AL131" t="inlineStr">
        <is>
          <t>ATIVA</t>
        </is>
      </c>
      <c r="AM131" s="17" t="inlineStr">
        <is>
          <t>https://administradorajudicialgs.com.br/wp-content/uploads/2023/08/doc-06-relacao-credores-do-administrador-judicial-10-02-2015.pdf</t>
        </is>
      </c>
      <c r="AN131" s="18" t="inlineStr">
        <is>
          <t>p1 r31</t>
        </is>
      </c>
      <c r="AO131" s="18" t="inlineStr">
        <is>
          <t>p1: R$ 138.825,70</t>
        </is>
      </c>
      <c r="AP131" s="18" t="inlineStr">
        <is>
          <t>AJ_LIST</t>
        </is>
      </c>
      <c r="AQ131" s="18" t="inlineStr"/>
      <c r="AR131" s="18" t="inlineStr">
        <is>
          <t>QUARANTINED</t>
        </is>
      </c>
      <c r="AS131" s="18" t="inlineStr">
        <is>
          <t>PARTIAL_DOC_CLASS_III_RECONCILED ROWS:p1r31 VALUE_COL:Valores</t>
        </is>
      </c>
      <c r="AT131" s="18" t="inlineStr">
        <is>
          <t>d403116b357d</t>
        </is>
      </c>
    </row>
    <row r="132">
      <c r="A132" s="9" t="n">
        <v>131</v>
      </c>
      <c r="B132" s="9" t="inlineStr">
        <is>
          <t>NEW</t>
        </is>
      </c>
      <c r="C132" s="9" t="inlineStr"/>
      <c r="D132" s="9" t="n">
        <v>0</v>
      </c>
      <c r="E132" s="9" t="inlineStr"/>
      <c r="F132" s="9" t="inlineStr"/>
      <c r="G132" s="9" t="inlineStr"/>
      <c r="H132" s="9" t="inlineStr"/>
      <c r="I132" t="inlineStr">
        <is>
          <t>PLACE RESINAS TERMOPLASTICAS COMERCIO, IMPORTACAO E EXPORTACAO LTDA.</t>
        </is>
      </c>
      <c r="J132" t="inlineStr">
        <is>
          <t>PLACE RESINAS TERMOPLASTICAS COM. IMP. EXP. LTDA</t>
        </is>
      </c>
      <c r="K132" t="inlineStr">
        <is>
          <t>18351514</t>
        </is>
      </c>
      <c r="L132" t="inlineStr">
        <is>
          <t>18351514000157</t>
        </is>
      </c>
      <c r="M132" s="10" t="n">
        <v>138783.49</v>
      </c>
      <c r="N132" t="n">
        <v>1</v>
      </c>
      <c r="O132" s="11" t="inlineStr">
        <is>
          <t>B</t>
        </is>
      </c>
      <c r="P132" s="11" t="inlineStr"/>
      <c r="Q132" s="12" t="inlineStr"/>
      <c r="R132" s="11">
        <f>IF(Q132="","",ROUND((TODAY()-Q132)/365.25,1))</f>
        <v/>
      </c>
      <c r="S132" s="13">
        <f>IFERROR(VLOOKUP(O132,Assumptions!$A$7:$F$11,2,FALSE),0.25)</f>
        <v/>
      </c>
      <c r="T132" s="14">
        <f>IF(O132="A",MAX(1,IFERROR(VLOOKUP(O132,Assumptions!$A$7:$F$11,3,FALSE),3)+IFERROR(VLOOKUP(O132,Assumptions!$A$7:$F$11,4,FALSE),8)/2-MAX(0,IF(R132="",0,R132)-IFERROR(VLOOKUP(O132,Assumptions!$A$7:$F$11,5,FALSE),1.5))),IFERROR(VLOOKUP(O132,Assumptions!$A$7:$F$11,5,FALSE),2.5)+IFERROR(VLOOKUP(O132,Assumptions!$A$7:$F$11,3,FALSE),3)+IFERROR(VLOOKUP(O132,Assumptions!$A$7:$F$11,4,FALSE),8)/2)</f>
        <v/>
      </c>
      <c r="U132" s="15">
        <f>M132*S132/(1+Assumptions!$B$3)^T132</f>
        <v/>
      </c>
      <c r="V132" s="11">
        <f>IF(M132=0,"",ROUND(U132/M132*100,1))</f>
        <v/>
      </c>
      <c r="W132" s="16">
        <f>U132*Assumptions!$B$4</f>
        <v/>
      </c>
      <c r="X132" s="11">
        <f>IF(M132=0,"",ROUND(W132/M132*100,1))</f>
        <v/>
      </c>
      <c r="Y132" t="inlineStr">
        <is>
          <t>Base</t>
        </is>
      </c>
      <c r="Z132" t="inlineStr">
        <is>
          <t>1022634-27.2024.8.26.0100</t>
        </is>
      </c>
      <c r="AA132" t="inlineStr"/>
      <c r="AB132" t="inlineStr">
        <is>
          <t>ajruiz.com.br</t>
        </is>
      </c>
      <c r="AC132" t="inlineStr">
        <is>
          <t>FERNANDA DE CASSIA HENRIQUES MOTTA</t>
        </is>
      </c>
      <c r="AD132" t="inlineStr">
        <is>
          <t>Sócio-Administrador</t>
        </is>
      </c>
      <c r="AE132" t="inlineStr">
        <is>
          <t>(11) 4941-3617</t>
        </is>
      </c>
      <c r="AF132" t="inlineStr"/>
      <c r="AG132" t="inlineStr"/>
      <c r="AH132" t="inlineStr">
        <is>
          <t>SP</t>
        </is>
      </c>
      <c r="AI132" t="inlineStr">
        <is>
          <t>SAO BERNARDO DO CAMPO</t>
        </is>
      </c>
      <c r="AJ132" t="inlineStr">
        <is>
          <t>Comércio atacadista de resinas e elastômeros</t>
        </is>
      </c>
      <c r="AK132" t="inlineStr">
        <is>
          <t>DEMAIS</t>
        </is>
      </c>
      <c r="AL132" t="inlineStr">
        <is>
          <t>ATIVA</t>
        </is>
      </c>
      <c r="AM132" s="17" t="inlineStr">
        <is>
          <t>https://ajruiz.com.br/sites/default/files/public/arquivos-processos/2024-04/relacao_de_credores_recuperanda_1.pdf</t>
        </is>
      </c>
      <c r="AN132" s="18" t="inlineStr">
        <is>
          <t>p9 r5</t>
        </is>
      </c>
      <c r="AO132" s="18" t="inlineStr">
        <is>
          <t>p9: R$ 138.783,49</t>
        </is>
      </c>
      <c r="AP132" s="18" t="inlineStr">
        <is>
          <t>QGC</t>
        </is>
      </c>
      <c r="AQ132" s="18" t="inlineStr">
        <is>
          <t>2024-01-31</t>
        </is>
      </c>
      <c r="AR132" s="18" t="inlineStr">
        <is>
          <t>OK</t>
        </is>
      </c>
      <c r="AS132" s="18" t="inlineStr">
        <is>
          <t>ROWS:p9r5 CASE_NUMBER_CORRECTED</t>
        </is>
      </c>
      <c r="AT132" s="18" t="inlineStr">
        <is>
          <t>380922480f80</t>
        </is>
      </c>
    </row>
    <row r="133">
      <c r="A133" s="9" t="n">
        <v>132</v>
      </c>
      <c r="B133" s="9" t="inlineStr">
        <is>
          <t>NEW</t>
        </is>
      </c>
      <c r="C133" s="9" t="inlineStr"/>
      <c r="D133" s="9" t="n">
        <v>0</v>
      </c>
      <c r="E133" s="9" t="inlineStr"/>
      <c r="F133" s="9" t="inlineStr"/>
      <c r="G133" s="9" t="inlineStr"/>
      <c r="H133" s="9" t="inlineStr"/>
      <c r="I133" t="inlineStr">
        <is>
          <t>MULTIPLAX INDUSTRIA E COMERCIO DE PLASTICOS LTDA</t>
        </is>
      </c>
      <c r="J133" t="inlineStr">
        <is>
          <t>MULTIPLAX INDUSTRIA E COMERCIO DE PLASTICOS LTDA</t>
        </is>
      </c>
      <c r="K133" t="inlineStr">
        <is>
          <t>09665178</t>
        </is>
      </c>
      <c r="L133" t="inlineStr">
        <is>
          <t>09665178000550</t>
        </is>
      </c>
      <c r="M133" s="10" t="n">
        <v>138625</v>
      </c>
      <c r="N133" t="n">
        <v>1</v>
      </c>
      <c r="O133" s="11" t="inlineStr">
        <is>
          <t>C</t>
        </is>
      </c>
      <c r="P133" s="11" t="inlineStr">
        <is>
          <t>ACTIVE</t>
        </is>
      </c>
      <c r="Q133" s="12" t="n">
        <v>45016</v>
      </c>
      <c r="R133" s="11">
        <f>IF(Q133="","",ROUND((TODAY()-Q133)/365.25,1))</f>
        <v/>
      </c>
      <c r="S133" s="13">
        <f>IFERROR(VLOOKUP(O133,Assumptions!$A$7:$F$11,2,FALSE),0.25)</f>
        <v/>
      </c>
      <c r="T133" s="14">
        <f>IF(O133="A",MAX(1,IFERROR(VLOOKUP(O133,Assumptions!$A$7:$F$11,3,FALSE),3)+IFERROR(VLOOKUP(O133,Assumptions!$A$7:$F$11,4,FALSE),8)/2-MAX(0,IF(R133="",0,R133)-IFERROR(VLOOKUP(O133,Assumptions!$A$7:$F$11,5,FALSE),1.5))),IFERROR(VLOOKUP(O133,Assumptions!$A$7:$F$11,5,FALSE),2.5)+IFERROR(VLOOKUP(O133,Assumptions!$A$7:$F$11,3,FALSE),3)+IFERROR(VLOOKUP(O133,Assumptions!$A$7:$F$11,4,FALSE),8)/2)</f>
        <v/>
      </c>
      <c r="U133" s="15">
        <f>M133*S133/(1+Assumptions!$B$3)^T133</f>
        <v/>
      </c>
      <c r="V133" s="11">
        <f>IF(M133=0,"",ROUND(U133/M133*100,1))</f>
        <v/>
      </c>
      <c r="W133" s="16">
        <f>U133*Assumptions!$B$4</f>
        <v/>
      </c>
      <c r="X133" s="11">
        <f>IF(M133=0,"",ROUND(W133/M133*100,1))</f>
        <v/>
      </c>
      <c r="Y133" t="inlineStr">
        <is>
          <t>GRUPO IMPLASVERDE</t>
        </is>
      </c>
      <c r="Z133" t="inlineStr">
        <is>
          <t>0800778-16.2023.8.20.5104</t>
        </is>
      </c>
      <c r="AA133" t="inlineStr">
        <is>
          <t>TJRN</t>
        </is>
      </c>
      <c r="AB133" t="inlineStr">
        <is>
          <t>recuperacaojudicial.squarespace.com</t>
        </is>
      </c>
      <c r="AC133" t="inlineStr">
        <is>
          <t>ANTONIO EUGENIO CARNEIRO PORTO FILHO</t>
        </is>
      </c>
      <c r="AD133" t="inlineStr">
        <is>
          <t>Sócio-Administrador</t>
        </is>
      </c>
      <c r="AE133" t="inlineStr">
        <is>
          <t>(85) 3226-2437</t>
        </is>
      </c>
      <c r="AF133" t="inlineStr"/>
      <c r="AG133" t="inlineStr"/>
      <c r="AH133" t="inlineStr">
        <is>
          <t>CE</t>
        </is>
      </c>
      <c r="AI133" t="inlineStr">
        <is>
          <t>FORTALEZA</t>
        </is>
      </c>
      <c r="AJ133" t="inlineStr">
        <is>
          <t>Comércio atacadista de resinas e elastômeros</t>
        </is>
      </c>
      <c r="AK133" t="inlineStr">
        <is>
          <t>DEMAIS</t>
        </is>
      </c>
      <c r="AL133" t="inlineStr">
        <is>
          <t>ATIVA</t>
        </is>
      </c>
      <c r="AM133" s="17" t="inlineStr">
        <is>
          <t>http://recuperacaojudicial.squarespace.com/s/LISTA-DE-CREDORES-CONSOLIDADA-ATE-04102024.pdf</t>
        </is>
      </c>
      <c r="AN133" s="18" t="inlineStr">
        <is>
          <t>p6 r15</t>
        </is>
      </c>
      <c r="AO133" s="18" t="inlineStr">
        <is>
          <t>p6: R$ 138.625,00</t>
        </is>
      </c>
      <c r="AP133" s="18" t="inlineStr">
        <is>
          <t>AJ_LIST</t>
        </is>
      </c>
      <c r="AQ133" s="18" t="inlineStr">
        <is>
          <t>2024-10-04</t>
        </is>
      </c>
      <c r="AR133" s="18" t="inlineStr">
        <is>
          <t>OK</t>
        </is>
      </c>
      <c r="AS133" s="18" t="inlineStr">
        <is>
          <t>ROWS:p6r15 VALUE_COL:Valor_Do_Crédito</t>
        </is>
      </c>
      <c r="AT133" s="18" t="inlineStr">
        <is>
          <t>7501ec99fc8e</t>
        </is>
      </c>
    </row>
    <row r="134">
      <c r="A134" s="9" t="n">
        <v>133</v>
      </c>
      <c r="B134" s="9" t="inlineStr">
        <is>
          <t>NEW</t>
        </is>
      </c>
      <c r="C134" s="9" t="inlineStr"/>
      <c r="D134" s="9" t="n">
        <v>0</v>
      </c>
      <c r="E134" s="9" t="inlineStr"/>
      <c r="F134" s="9" t="inlineStr"/>
      <c r="G134" s="9" t="inlineStr"/>
      <c r="H134" s="9" t="inlineStr"/>
      <c r="I134" t="inlineStr">
        <is>
          <t>R M PORTO CONSULTORIA E REPRESENTACOES LTDA</t>
        </is>
      </c>
      <c r="J134" t="inlineStr">
        <is>
          <t>RONALDO PORTO LTDA</t>
        </is>
      </c>
      <c r="K134" t="inlineStr">
        <is>
          <t>01618965</t>
        </is>
      </c>
      <c r="L134" t="inlineStr">
        <is>
          <t>01618965000105</t>
        </is>
      </c>
      <c r="M134" s="10" t="n">
        <v>138501.84</v>
      </c>
      <c r="N134" t="n">
        <v>1</v>
      </c>
      <c r="O134" s="11" t="inlineStr">
        <is>
          <t>C</t>
        </is>
      </c>
      <c r="P134" s="11" t="inlineStr"/>
      <c r="Q134" s="12" t="inlineStr"/>
      <c r="R134" s="11">
        <f>IF(Q134="","",ROUND((TODAY()-Q134)/365.25,1))</f>
        <v/>
      </c>
      <c r="S134" s="13">
        <f>IFERROR(VLOOKUP(O134,Assumptions!$A$7:$F$11,2,FALSE),0.25)</f>
        <v/>
      </c>
      <c r="T134" s="14">
        <f>IF(O134="A",MAX(1,IFERROR(VLOOKUP(O134,Assumptions!$A$7:$F$11,3,FALSE),3)+IFERROR(VLOOKUP(O134,Assumptions!$A$7:$F$11,4,FALSE),8)/2-MAX(0,IF(R134="",0,R134)-IFERROR(VLOOKUP(O134,Assumptions!$A$7:$F$11,5,FALSE),1.5))),IFERROR(VLOOKUP(O134,Assumptions!$A$7:$F$11,5,FALSE),2.5)+IFERROR(VLOOKUP(O134,Assumptions!$A$7:$F$11,3,FALSE),3)+IFERROR(VLOOKUP(O134,Assumptions!$A$7:$F$11,4,FALSE),8)/2)</f>
        <v/>
      </c>
      <c r="U134" s="15">
        <f>M134*S134/(1+Assumptions!$B$3)^T134</f>
        <v/>
      </c>
      <c r="V134" s="11">
        <f>IF(M134=0,"",ROUND(U134/M134*100,1))</f>
        <v/>
      </c>
      <c r="W134" s="16">
        <f>U134*Assumptions!$B$4</f>
        <v/>
      </c>
      <c r="X134" s="11">
        <f>IF(M134=0,"",ROUND(W134/M134*100,1))</f>
        <v/>
      </c>
      <c r="Y134" t="inlineStr">
        <is>
          <t>BLUTRAFOS BLUMENAU TRANSFORMADORES LTDA</t>
        </is>
      </c>
      <c r="Z134" t="inlineStr">
        <is>
          <t>0022845-08.2013.8.24.0008</t>
        </is>
      </c>
      <c r="AA134" t="inlineStr"/>
      <c r="AB134" t="inlineStr">
        <is>
          <t>administradorajudicialgs.com.br</t>
        </is>
      </c>
      <c r="AC134" t="inlineStr">
        <is>
          <t>MONICA ROSSALIA SILVA PORTO</t>
        </is>
      </c>
      <c r="AD134" t="inlineStr">
        <is>
          <t>Sócio-Administrador</t>
        </is>
      </c>
      <c r="AE134" t="inlineStr">
        <is>
          <t>(11) 4154-4470</t>
        </is>
      </c>
      <c r="AF134" t="inlineStr"/>
      <c r="AG134" t="inlineStr"/>
      <c r="AH134" t="inlineStr">
        <is>
          <t>SP</t>
        </is>
      </c>
      <c r="AI134" t="inlineStr">
        <is>
          <t>SANTANA DE PARNAIBA</t>
        </is>
      </c>
      <c r="AJ134" t="inlineStr">
        <is>
          <t>Outros representantes comerciais e agentes do comércio especializado em produtos não especificados anteriormente</t>
        </is>
      </c>
      <c r="AK134" t="inlineStr">
        <is>
          <t>EMPRESA DE PEQUENO PORTE</t>
        </is>
      </c>
      <c r="AL134" t="inlineStr">
        <is>
          <t>ATIVA</t>
        </is>
      </c>
      <c r="AM134" s="17" t="inlineStr">
        <is>
          <t>https://administradorajudicialgs.com.br/wp-content/uploads/2023/08/advogados-sgrott-doc-22-relacao-de-credores-do-administrador-judicial-classe-iii-05-02-14.pdf</t>
        </is>
      </c>
      <c r="AN134" s="18" t="inlineStr">
        <is>
          <t>p5 r20</t>
        </is>
      </c>
      <c r="AO134" s="18" t="inlineStr">
        <is>
          <t>p5: R$ 138.501,84</t>
        </is>
      </c>
      <c r="AP134" s="18" t="inlineStr">
        <is>
          <t>UNKNOWN</t>
        </is>
      </c>
      <c r="AQ134" s="18" t="inlineStr"/>
      <c r="AR134" s="18" t="inlineStr">
        <is>
          <t>OK</t>
        </is>
      </c>
      <c r="AS134" s="18" t="inlineStr">
        <is>
          <t>ROWS:p5r20</t>
        </is>
      </c>
      <c r="AT134" s="18" t="inlineStr">
        <is>
          <t>22ac347cfe4f</t>
        </is>
      </c>
    </row>
    <row r="135">
      <c r="A135" s="9" t="n">
        <v>134</v>
      </c>
      <c r="B135" s="9" t="inlineStr">
        <is>
          <t>NEW</t>
        </is>
      </c>
      <c r="C135" s="9" t="inlineStr"/>
      <c r="D135" s="9" t="n">
        <v>0</v>
      </c>
      <c r="E135" s="9" t="inlineStr"/>
      <c r="F135" s="9" t="inlineStr"/>
      <c r="G135" s="9" t="inlineStr"/>
      <c r="H135" s="9" t="inlineStr"/>
      <c r="I135" t="inlineStr">
        <is>
          <t>FIACAO ITABAIANA LTDA</t>
        </is>
      </c>
      <c r="J135" t="inlineStr">
        <is>
          <t>FIACAO ITABAIANA LTDA</t>
        </is>
      </c>
      <c r="K135" t="inlineStr">
        <is>
          <t>03403794</t>
        </is>
      </c>
      <c r="L135" t="inlineStr">
        <is>
          <t>03403794000122</t>
        </is>
      </c>
      <c r="M135" s="10" t="n">
        <v>137995.86</v>
      </c>
      <c r="N135" t="n">
        <v>1</v>
      </c>
      <c r="O135" s="11" t="inlineStr">
        <is>
          <t>C</t>
        </is>
      </c>
      <c r="P135" s="11" t="inlineStr"/>
      <c r="Q135" s="12" t="inlineStr"/>
      <c r="R135" s="11">
        <f>IF(Q135="","",ROUND((TODAY()-Q135)/365.25,1))</f>
        <v/>
      </c>
      <c r="S135" s="13">
        <f>IFERROR(VLOOKUP(O135,Assumptions!$A$7:$F$11,2,FALSE),0.25)</f>
        <v/>
      </c>
      <c r="T135" s="14">
        <f>IF(O135="A",MAX(1,IFERROR(VLOOKUP(O135,Assumptions!$A$7:$F$11,3,FALSE),3)+IFERROR(VLOOKUP(O135,Assumptions!$A$7:$F$11,4,FALSE),8)/2-MAX(0,IF(R135="",0,R135)-IFERROR(VLOOKUP(O135,Assumptions!$A$7:$F$11,5,FALSE),1.5))),IFERROR(VLOOKUP(O135,Assumptions!$A$7:$F$11,5,FALSE),2.5)+IFERROR(VLOOKUP(O135,Assumptions!$A$7:$F$11,3,FALSE),3)+IFERROR(VLOOKUP(O135,Assumptions!$A$7:$F$11,4,FALSE),8)/2)</f>
        <v/>
      </c>
      <c r="U135" s="15">
        <f>M135*S135/(1+Assumptions!$B$3)^T135</f>
        <v/>
      </c>
      <c r="V135" s="11">
        <f>IF(M135=0,"",ROUND(U135/M135*100,1))</f>
        <v/>
      </c>
      <c r="W135" s="16">
        <f>U135*Assumptions!$B$4</f>
        <v/>
      </c>
      <c r="X135" s="11">
        <f>IF(M135=0,"",ROUND(W135/M135*100,1))</f>
        <v/>
      </c>
      <c r="Y135" t="inlineStr">
        <is>
          <t>CONFECÇÕES ANDRIMALHAS LTDA</t>
        </is>
      </c>
      <c r="Z135" t="inlineStr">
        <is>
          <t>0302174-63.2015.8.24.0025</t>
        </is>
      </c>
      <c r="AA135" t="inlineStr"/>
      <c r="AB135" t="inlineStr">
        <is>
          <t>administradorajudicialgs.com.br</t>
        </is>
      </c>
      <c r="AC135" t="inlineStr">
        <is>
          <t>JOSE ALDO TEIXEIRA</t>
        </is>
      </c>
      <c r="AD135" t="inlineStr">
        <is>
          <t>Sócio-Administrador</t>
        </is>
      </c>
      <c r="AE135" t="inlineStr"/>
      <c r="AF135" t="inlineStr"/>
      <c r="AG135" t="inlineStr"/>
      <c r="AH135" t="inlineStr">
        <is>
          <t>SE</t>
        </is>
      </c>
      <c r="AI135" t="inlineStr">
        <is>
          <t>RIBEIROPOLIS</t>
        </is>
      </c>
      <c r="AJ135" t="inlineStr">
        <is>
          <t>Preparação e fiação de fibras de algodão</t>
        </is>
      </c>
      <c r="AK135" t="inlineStr">
        <is>
          <t>DEMAIS</t>
        </is>
      </c>
      <c r="AL135" t="inlineStr">
        <is>
          <t>ATIVA</t>
        </is>
      </c>
      <c r="AM135" s="17" t="inlineStr">
        <is>
          <t>https://administradorajudicialgs.com.br/wp-content/uploads/2023/08/doc-06-relacao-credores-do-administrador-judicial-10-02-2015.pdf</t>
        </is>
      </c>
      <c r="AN135" s="18" t="inlineStr">
        <is>
          <t>p2 r7</t>
        </is>
      </c>
      <c r="AO135" s="18" t="inlineStr">
        <is>
          <t>p2: R$ 137.995,86</t>
        </is>
      </c>
      <c r="AP135" s="18" t="inlineStr">
        <is>
          <t>AJ_LIST</t>
        </is>
      </c>
      <c r="AQ135" s="18" t="inlineStr"/>
      <c r="AR135" s="18" t="inlineStr">
        <is>
          <t>QUARANTINED</t>
        </is>
      </c>
      <c r="AS135" s="18" t="inlineStr">
        <is>
          <t>PARTIAL_DOC_CLASS_III_RECONCILED ROWS:p2r7</t>
        </is>
      </c>
      <c r="AT135" s="18" t="inlineStr">
        <is>
          <t>d403116b357d</t>
        </is>
      </c>
    </row>
    <row r="136">
      <c r="A136" s="9" t="n">
        <v>135</v>
      </c>
      <c r="B136" s="9" t="inlineStr">
        <is>
          <t>NEW</t>
        </is>
      </c>
      <c r="C136" s="9" t="inlineStr"/>
      <c r="D136" s="9" t="n">
        <v>0</v>
      </c>
      <c r="E136" s="9" t="inlineStr"/>
      <c r="F136" s="9" t="inlineStr"/>
      <c r="G136" s="9" t="inlineStr"/>
      <c r="H136" s="9" t="inlineStr"/>
      <c r="I136" t="inlineStr">
        <is>
          <t>TCL-TRANSPORTES E COMERCIO LTDA</t>
        </is>
      </c>
      <c r="J136" t="inlineStr">
        <is>
          <t>TCL Transportes e Comércio Ltda</t>
        </is>
      </c>
      <c r="K136" t="inlineStr">
        <is>
          <t>20764809</t>
        </is>
      </c>
      <c r="L136" t="inlineStr">
        <is>
          <t>20764809000105</t>
        </is>
      </c>
      <c r="M136" s="10" t="n">
        <v>136452.89</v>
      </c>
      <c r="N136" t="n">
        <v>1</v>
      </c>
      <c r="O136" s="11" t="inlineStr">
        <is>
          <t>B</t>
        </is>
      </c>
      <c r="P136" s="11" t="inlineStr"/>
      <c r="Q136" s="12" t="n">
        <v>45756</v>
      </c>
      <c r="R136" s="11">
        <f>IF(Q136="","",ROUND((TODAY()-Q136)/365.25,1))</f>
        <v/>
      </c>
      <c r="S136" s="13">
        <f>IFERROR(VLOOKUP(O136,Assumptions!$A$7:$F$11,2,FALSE),0.25)</f>
        <v/>
      </c>
      <c r="T136" s="14">
        <f>IF(O136="A",MAX(1,IFERROR(VLOOKUP(O136,Assumptions!$A$7:$F$11,3,FALSE),3)+IFERROR(VLOOKUP(O136,Assumptions!$A$7:$F$11,4,FALSE),8)/2-MAX(0,IF(R136="",0,R136)-IFERROR(VLOOKUP(O136,Assumptions!$A$7:$F$11,5,FALSE),1.5))),IFERROR(VLOOKUP(O136,Assumptions!$A$7:$F$11,5,FALSE),2.5)+IFERROR(VLOOKUP(O136,Assumptions!$A$7:$F$11,3,FALSE),3)+IFERROR(VLOOKUP(O136,Assumptions!$A$7:$F$11,4,FALSE),8)/2)</f>
        <v/>
      </c>
      <c r="U136" s="15">
        <f>M136*S136/(1+Assumptions!$B$3)^T136</f>
        <v/>
      </c>
      <c r="V136" s="11">
        <f>IF(M136=0,"",ROUND(U136/M136*100,1))</f>
        <v/>
      </c>
      <c r="W136" s="16">
        <f>U136*Assumptions!$B$4</f>
        <v/>
      </c>
      <c r="X136" s="11">
        <f>IF(M136=0,"",ROUND(W136/M136*100,1))</f>
        <v/>
      </c>
      <c r="Y136" t="inlineStr">
        <is>
          <t>GRUPO EGESA (EGESA ENG S.A, EGESUR PART E EMP S.A, MATRIX INFRA LTDA, BEMVIVER ENG AMBIENTAL E SERV LTDA, DKF CONST E EMP LTDA, EGEPEL LTDA, ETR ASSESSORIA EMP E PART LTDA, MVT ENG E SERV LTDA, PARQUES DO VALE LTDA, ELMO RIBEIRO E ANA RIBEIRO)</t>
        </is>
      </c>
      <c r="Z136" t="inlineStr">
        <is>
          <t>5088952-81.2025.8.13.0024</t>
        </is>
      </c>
      <c r="AA136" t="inlineStr">
        <is>
          <t>TJMG</t>
        </is>
      </c>
      <c r="AB136" t="inlineStr">
        <is>
          <t>scalzilliaj.com.br</t>
        </is>
      </c>
      <c r="AC136" t="inlineStr">
        <is>
          <t>BRUNO ROSA LANA</t>
        </is>
      </c>
      <c r="AD136" t="inlineStr">
        <is>
          <t>Sócio-Administrador</t>
        </is>
      </c>
      <c r="AE136" t="inlineStr">
        <is>
          <t>(31) 3505-5564</t>
        </is>
      </c>
      <c r="AF136" t="inlineStr">
        <is>
          <t>(31) 3505-5569</t>
        </is>
      </c>
      <c r="AG136" t="inlineStr"/>
      <c r="AH136" t="inlineStr">
        <is>
          <t>MG</t>
        </is>
      </c>
      <c r="AI136" t="inlineStr">
        <is>
          <t>CONTAGEM</t>
        </is>
      </c>
      <c r="AJ136" t="inlineStr">
        <is>
          <t>Extração e britamento de pedras e outros materiais para construção e beneficiamento associado</t>
        </is>
      </c>
      <c r="AK136" t="inlineStr">
        <is>
          <t>DEMAIS</t>
        </is>
      </c>
      <c r="AL136" t="inlineStr">
        <is>
          <t>ATIVA</t>
        </is>
      </c>
      <c r="AM136" s="17" t="inlineStr">
        <is>
          <t>https://scalzilliaj.com.br/sgc/download.php?file=files/processo_documento/processo_documento09514021082025_1_.pdf&amp;nome=04 - Relação de credores das Recuperandas</t>
        </is>
      </c>
      <c r="AN136" s="18" t="inlineStr">
        <is>
          <t>p74 r2</t>
        </is>
      </c>
      <c r="AO136" s="18" t="inlineStr">
        <is>
          <t>p74: R$ 136.452,89</t>
        </is>
      </c>
      <c r="AP136" s="18" t="inlineStr">
        <is>
          <t>DEBTOR_LIST</t>
        </is>
      </c>
      <c r="AQ136" s="18" t="inlineStr"/>
      <c r="AR136" s="18" t="inlineStr">
        <is>
          <t>OK</t>
        </is>
      </c>
      <c r="AS136" s="18" t="inlineStr">
        <is>
          <t>ROWS:p74r2 VALUE_COL:Valor_Atualizado CASE_NUMBER_CORRECTED CASE_FROM_PORTAL</t>
        </is>
      </c>
      <c r="AT136" s="18" t="inlineStr">
        <is>
          <t>24ed98480a57</t>
        </is>
      </c>
    </row>
    <row r="137">
      <c r="A137" s="9" t="n">
        <v>136</v>
      </c>
      <c r="B137" s="9" t="inlineStr">
        <is>
          <t>NEW</t>
        </is>
      </c>
      <c r="C137" s="9" t="inlineStr"/>
      <c r="D137" s="9" t="n">
        <v>0</v>
      </c>
      <c r="E137" s="9" t="inlineStr"/>
      <c r="F137" s="9" t="inlineStr"/>
      <c r="G137" s="9" t="inlineStr"/>
      <c r="H137" s="9" t="inlineStr"/>
      <c r="I137" t="inlineStr">
        <is>
          <t>LAHUMAN INDUSTRIA E COMERCIO DE PLASTICOS LIMITADA</t>
        </is>
      </c>
      <c r="J137" t="inlineStr">
        <is>
          <t>61863130000142</t>
        </is>
      </c>
      <c r="K137" t="inlineStr">
        <is>
          <t>61863130</t>
        </is>
      </c>
      <c r="L137" t="inlineStr">
        <is>
          <t>61863130000142</t>
        </is>
      </c>
      <c r="M137" s="10" t="n">
        <v>136142.37</v>
      </c>
      <c r="N137" t="n">
        <v>1</v>
      </c>
      <c r="O137" s="11" t="inlineStr">
        <is>
          <t>C</t>
        </is>
      </c>
      <c r="P137" s="11" t="inlineStr">
        <is>
          <t>ACTIVE</t>
        </is>
      </c>
      <c r="Q137" s="12" t="n">
        <v>45057</v>
      </c>
      <c r="R137" s="11">
        <f>IF(Q137="","",ROUND((TODAY()-Q137)/365.25,1))</f>
        <v/>
      </c>
      <c r="S137" s="13">
        <f>IFERROR(VLOOKUP(O137,Assumptions!$A$7:$F$11,2,FALSE),0.25)</f>
        <v/>
      </c>
      <c r="T137" s="14">
        <f>IF(O137="A",MAX(1,IFERROR(VLOOKUP(O137,Assumptions!$A$7:$F$11,3,FALSE),3)+IFERROR(VLOOKUP(O137,Assumptions!$A$7:$F$11,4,FALSE),8)/2-MAX(0,IF(R137="",0,R137)-IFERROR(VLOOKUP(O137,Assumptions!$A$7:$F$11,5,FALSE),1.5))),IFERROR(VLOOKUP(O137,Assumptions!$A$7:$F$11,5,FALSE),2.5)+IFERROR(VLOOKUP(O137,Assumptions!$A$7:$F$11,3,FALSE),3)+IFERROR(VLOOKUP(O137,Assumptions!$A$7:$F$11,4,FALSE),8)/2)</f>
        <v/>
      </c>
      <c r="U137" s="15">
        <f>M137*S137/(1+Assumptions!$B$3)^T137</f>
        <v/>
      </c>
      <c r="V137" s="11">
        <f>IF(M137=0,"",ROUND(U137/M137*100,1))</f>
        <v/>
      </c>
      <c r="W137" s="16">
        <f>U137*Assumptions!$B$4</f>
        <v/>
      </c>
      <c r="X137" s="11">
        <f>IF(M137=0,"",ROUND(W137/M137*100,1))</f>
        <v/>
      </c>
      <c r="Y137" t="inlineStr">
        <is>
          <t>TOP TEXTIL EMBALAGENS LTDA</t>
        </is>
      </c>
      <c r="Z137" t="inlineStr">
        <is>
          <t>5011460-87.2023.8.24.0020</t>
        </is>
      </c>
      <c r="AA137" t="inlineStr">
        <is>
          <t>TJSC</t>
        </is>
      </c>
      <c r="AB137" t="inlineStr">
        <is>
          <t>cataliseaj.com.br</t>
        </is>
      </c>
      <c r="AC137" t="inlineStr">
        <is>
          <t>EMERSON GARCIA</t>
        </is>
      </c>
      <c r="AD137" t="inlineStr">
        <is>
          <t>Administrador</t>
        </is>
      </c>
      <c r="AE137" t="inlineStr">
        <is>
          <t>(19) 3803-9090</t>
        </is>
      </c>
      <c r="AF137" t="inlineStr"/>
      <c r="AG137" t="inlineStr"/>
      <c r="AH137" t="inlineStr">
        <is>
          <t>SP</t>
        </is>
      </c>
      <c r="AI137" t="inlineStr">
        <is>
          <t>SUMARE</t>
        </is>
      </c>
      <c r="AJ137" t="inlineStr">
        <is>
          <t>Tecelagem de fios de fibras artificiais e sintéticas</t>
        </is>
      </c>
      <c r="AK137" t="inlineStr">
        <is>
          <t>DEMAIS</t>
        </is>
      </c>
      <c r="AL137" t="inlineStr">
        <is>
          <t>ATIVA</t>
        </is>
      </c>
      <c r="AM137" s="17" t="inlineStr">
        <is>
          <t>https://cataliseaj.com.br/sgc/download.php?file=files/processo_documento/processo_documento15092204102024_1_.pdf&amp;nome=02. RELAÇÃO DE CREDORES</t>
        </is>
      </c>
      <c r="AN137" s="18" t="inlineStr">
        <is>
          <t>p2 r55</t>
        </is>
      </c>
      <c r="AO137" s="18" t="inlineStr">
        <is>
          <t>p2: R$ 136.142,37</t>
        </is>
      </c>
      <c r="AP137" s="18" t="inlineStr">
        <is>
          <t>DEBTOR_LIST</t>
        </is>
      </c>
      <c r="AQ137" s="18" t="inlineStr"/>
      <c r="AR137" s="18" t="inlineStr">
        <is>
          <t>OK_NO_TOTALS</t>
        </is>
      </c>
      <c r="AS137" s="18" t="inlineStr">
        <is>
          <t>ROWS:p2r55 UNRECONCILED_SOURCE</t>
        </is>
      </c>
      <c r="AT137" s="18" t="inlineStr">
        <is>
          <t>741aed48dd00</t>
        </is>
      </c>
    </row>
    <row r="138">
      <c r="A138" s="9" t="n">
        <v>137</v>
      </c>
      <c r="B138" s="9" t="inlineStr">
        <is>
          <t>NEW</t>
        </is>
      </c>
      <c r="C138" s="9" t="inlineStr"/>
      <c r="D138" s="9" t="n">
        <v>0</v>
      </c>
      <c r="E138" s="9" t="inlineStr"/>
      <c r="F138" s="9" t="inlineStr"/>
      <c r="G138" s="9" t="inlineStr"/>
      <c r="H138" s="9" t="inlineStr"/>
      <c r="I138" t="inlineStr">
        <is>
          <t>RAVATO DISTRIBUIDORA DE COMBUSTIVEIS LTDA</t>
        </is>
      </c>
      <c r="J138" t="inlineStr">
        <is>
          <t>RAVATO DISTRIBUIDORA DE COMBUSTIVEIS LTDA</t>
        </is>
      </c>
      <c r="K138" t="inlineStr">
        <is>
          <t>16978251</t>
        </is>
      </c>
      <c r="L138" t="inlineStr">
        <is>
          <t>16978251000185</t>
        </is>
      </c>
      <c r="M138" s="10" t="n">
        <v>135997.44</v>
      </c>
      <c r="N138" t="n">
        <v>1</v>
      </c>
      <c r="O138" s="11" t="inlineStr">
        <is>
          <t>C</t>
        </is>
      </c>
      <c r="P138" s="11" t="inlineStr">
        <is>
          <t>ACTIVE</t>
        </is>
      </c>
      <c r="Q138" s="12" t="n">
        <v>45264</v>
      </c>
      <c r="R138" s="11">
        <f>IF(Q138="","",ROUND((TODAY()-Q138)/365.25,1))</f>
        <v/>
      </c>
      <c r="S138" s="13">
        <f>IFERROR(VLOOKUP(O138,Assumptions!$A$7:$F$11,2,FALSE),0.25)</f>
        <v/>
      </c>
      <c r="T138" s="14">
        <f>IF(O138="A",MAX(1,IFERROR(VLOOKUP(O138,Assumptions!$A$7:$F$11,3,FALSE),3)+IFERROR(VLOOKUP(O138,Assumptions!$A$7:$F$11,4,FALSE),8)/2-MAX(0,IF(R138="",0,R138)-IFERROR(VLOOKUP(O138,Assumptions!$A$7:$F$11,5,FALSE),1.5))),IFERROR(VLOOKUP(O138,Assumptions!$A$7:$F$11,5,FALSE),2.5)+IFERROR(VLOOKUP(O138,Assumptions!$A$7:$F$11,3,FALSE),3)+IFERROR(VLOOKUP(O138,Assumptions!$A$7:$F$11,4,FALSE),8)/2)</f>
        <v/>
      </c>
      <c r="U138" s="15">
        <f>M138*S138/(1+Assumptions!$B$3)^T138</f>
        <v/>
      </c>
      <c r="V138" s="11">
        <f>IF(M138=0,"",ROUND(U138/M138*100,1))</f>
        <v/>
      </c>
      <c r="W138" s="16">
        <f>U138*Assumptions!$B$4</f>
        <v/>
      </c>
      <c r="X138" s="11">
        <f>IF(M138=0,"",ROUND(W138/M138*100,1))</f>
        <v/>
      </c>
      <c r="Y138" t="inlineStr">
        <is>
          <t>Alto Uruguai Indústria e Comércio de Óleos Ltda</t>
        </is>
      </c>
      <c r="Z138" t="inlineStr">
        <is>
          <t>5012743-51.2023.8.24.0019</t>
        </is>
      </c>
      <c r="AA138" t="inlineStr">
        <is>
          <t>TJSC</t>
        </is>
      </c>
      <c r="AB138" t="inlineStr">
        <is>
          <t>ajruiz.com.br</t>
        </is>
      </c>
      <c r="AC138" t="inlineStr">
        <is>
          <t>LUCIANO DEMICHELI</t>
        </is>
      </c>
      <c r="AD138" t="inlineStr">
        <is>
          <t>Administrador</t>
        </is>
      </c>
      <c r="AE138" t="inlineStr">
        <is>
          <t>(42) 3520-2100</t>
        </is>
      </c>
      <c r="AF138" t="inlineStr">
        <is>
          <t>(42) 3520-2110</t>
        </is>
      </c>
      <c r="AG138" t="inlineStr"/>
      <c r="AH138" t="inlineStr">
        <is>
          <t>PR</t>
        </is>
      </c>
      <c r="AI138" t="inlineStr">
        <is>
          <t>SAO MATEUS DO SUL</t>
        </is>
      </c>
      <c r="AJ138" t="inlineStr">
        <is>
          <t>Comércio atacadista de álcool carburante, biodiesel, gasolina e demais derivados de petróleo, exceto lubrificantes, não realizado por transportador re</t>
        </is>
      </c>
      <c r="AK138" t="inlineStr">
        <is>
          <t>DEMAIS</t>
        </is>
      </c>
      <c r="AL138" t="inlineStr">
        <is>
          <t>ATIVA</t>
        </is>
      </c>
      <c r="AM138" s="17" t="inlineStr">
        <is>
          <t>https://ajruiz.com.br/sites/default/files/public/arquivos-processos/2026-06/alto_uruguai_qgc_junho.2026.pdf</t>
        </is>
      </c>
      <c r="AN138" s="18" t="inlineStr">
        <is>
          <t>p1 r32</t>
        </is>
      </c>
      <c r="AO138" s="18" t="inlineStr">
        <is>
          <t>p1: R$ 135.997,44</t>
        </is>
      </c>
      <c r="AP138" s="18" t="inlineStr">
        <is>
          <t>UNKNOWN</t>
        </is>
      </c>
      <c r="AQ138" s="18" t="inlineStr"/>
      <c r="AR138" s="18" t="inlineStr">
        <is>
          <t>OK</t>
        </is>
      </c>
      <c r="AS138" s="18" t="inlineStr">
        <is>
          <t>ROWS:p1r32 VALUE_COL:Valor_Do_Crédito</t>
        </is>
      </c>
      <c r="AT138" s="18" t="inlineStr">
        <is>
          <t>75336e98f447</t>
        </is>
      </c>
    </row>
    <row r="139">
      <c r="A139" s="9" t="n">
        <v>138</v>
      </c>
      <c r="B139" s="9" t="inlineStr">
        <is>
          <t>NEW</t>
        </is>
      </c>
      <c r="C139" s="9" t="inlineStr"/>
      <c r="D139" s="9" t="n">
        <v>0</v>
      </c>
      <c r="E139" s="9" t="inlineStr"/>
      <c r="F139" s="9" t="inlineStr"/>
      <c r="G139" s="9" t="inlineStr"/>
      <c r="H139" s="9" t="inlineStr"/>
      <c r="I139" t="inlineStr">
        <is>
          <t>AJL - AGRONEGOCIO JOSIDITH LTDA</t>
        </is>
      </c>
      <c r="J139" t="inlineStr">
        <is>
          <t>Granja Josidith</t>
        </is>
      </c>
      <c r="K139" t="inlineStr">
        <is>
          <t>19321410</t>
        </is>
      </c>
      <c r="L139" t="inlineStr">
        <is>
          <t>19321410000162</t>
        </is>
      </c>
      <c r="M139" s="10" t="n">
        <v>135893.63</v>
      </c>
      <c r="N139" t="n">
        <v>1</v>
      </c>
      <c r="O139" s="11" t="inlineStr">
        <is>
          <t>B</t>
        </is>
      </c>
      <c r="P139" s="11" t="inlineStr">
        <is>
          <t>ACTIVE</t>
        </is>
      </c>
      <c r="Q139" s="12" t="n">
        <v>46130</v>
      </c>
      <c r="R139" s="11">
        <f>IF(Q139="","",ROUND((TODAY()-Q139)/365.25,1))</f>
        <v/>
      </c>
      <c r="S139" s="13">
        <f>IFERROR(VLOOKUP(O139,Assumptions!$A$7:$F$11,2,FALSE),0.25)</f>
        <v/>
      </c>
      <c r="T139" s="14">
        <f>IF(O139="A",MAX(1,IFERROR(VLOOKUP(O139,Assumptions!$A$7:$F$11,3,FALSE),3)+IFERROR(VLOOKUP(O139,Assumptions!$A$7:$F$11,4,FALSE),8)/2-MAX(0,IF(R139="",0,R139)-IFERROR(VLOOKUP(O139,Assumptions!$A$7:$F$11,5,FALSE),1.5))),IFERROR(VLOOKUP(O139,Assumptions!$A$7:$F$11,5,FALSE),2.5)+IFERROR(VLOOKUP(O139,Assumptions!$A$7:$F$11,3,FALSE),3)+IFERROR(VLOOKUP(O139,Assumptions!$A$7:$F$11,4,FALSE),8)/2)</f>
        <v/>
      </c>
      <c r="U139" s="15">
        <f>M139*S139/(1+Assumptions!$B$3)^T139</f>
        <v/>
      </c>
      <c r="V139" s="11">
        <f>IF(M139=0,"",ROUND(U139/M139*100,1))</f>
        <v/>
      </c>
      <c r="W139" s="16">
        <f>U139*Assumptions!$B$4</f>
        <v/>
      </c>
      <c r="X139" s="11">
        <f>IF(M139=0,"",ROUND(W139/M139*100,1))</f>
        <v/>
      </c>
      <c r="Y139" t="inlineStr">
        <is>
          <t>GRUPO 3E</t>
        </is>
      </c>
      <c r="Z139" t="inlineStr">
        <is>
          <t>5341375-33.2026.8.09.0049</t>
        </is>
      </c>
      <c r="AA139" t="inlineStr">
        <is>
          <t>TJGO</t>
        </is>
      </c>
      <c r="AB139" t="inlineStr">
        <is>
          <t>stenius.com.br</t>
        </is>
      </c>
      <c r="AC139" t="inlineStr">
        <is>
          <t>JOSIAS PEREIRA DE AZEVEDO FILHO</t>
        </is>
      </c>
      <c r="AD139" t="inlineStr">
        <is>
          <t>Sócio-Administrador</t>
        </is>
      </c>
      <c r="AE139" t="inlineStr">
        <is>
          <t>(62) 3337-1133</t>
        </is>
      </c>
      <c r="AF139" t="inlineStr">
        <is>
          <t>(62) 3337-1147</t>
        </is>
      </c>
      <c r="AG139" t="inlineStr"/>
      <c r="AH139" t="inlineStr">
        <is>
          <t>GO</t>
        </is>
      </c>
      <c r="AI139" t="inlineStr">
        <is>
          <t>LEOPOLDO DE BULHOES</t>
        </is>
      </c>
      <c r="AJ139" t="inlineStr">
        <is>
          <t>Produção de ovos</t>
        </is>
      </c>
      <c r="AK139" t="inlineStr">
        <is>
          <t>DEMAIS</t>
        </is>
      </c>
      <c r="AL139" t="inlineStr">
        <is>
          <t>ATIVA</t>
        </is>
      </c>
      <c r="AM139" s="17" t="inlineStr">
        <is>
          <t>https://stenius.com.br/wp-content/uploads/2026/06/EDITAL-GRUPO-3E.pdf</t>
        </is>
      </c>
      <c r="AN139" s="18" t="inlineStr">
        <is>
          <t>p14 r16</t>
        </is>
      </c>
      <c r="AO139" s="18" t="inlineStr">
        <is>
          <t>p14: R$ 135.893,63</t>
        </is>
      </c>
      <c r="AP139" s="18" t="inlineStr">
        <is>
          <t>DEBTOR_LIST</t>
        </is>
      </c>
      <c r="AQ139" s="18" t="inlineStr">
        <is>
          <t>2026-06-22</t>
        </is>
      </c>
      <c r="AR139" s="18" t="inlineStr">
        <is>
          <t>OK_NO_TOTALS</t>
        </is>
      </c>
      <c r="AS139" s="18" t="inlineStr">
        <is>
          <t>ROWS:p14r16 UNRECONCILED_SOURCE</t>
        </is>
      </c>
      <c r="AT139" s="18" t="inlineStr">
        <is>
          <t>8e8832093a15</t>
        </is>
      </c>
    </row>
    <row r="140">
      <c r="A140" s="9" t="n">
        <v>139</v>
      </c>
      <c r="B140" s="9" t="inlineStr">
        <is>
          <t>NEW</t>
        </is>
      </c>
      <c r="C140" s="9" t="inlineStr"/>
      <c r="D140" s="9" t="n">
        <v>0</v>
      </c>
      <c r="E140" s="9" t="inlineStr"/>
      <c r="F140" s="9" t="inlineStr"/>
      <c r="G140" s="9" t="inlineStr"/>
      <c r="H140" s="9" t="inlineStr"/>
      <c r="I140" t="inlineStr">
        <is>
          <t>SIND EMP ENT CULT RECR ASSIS SOC ORIEN FORM PROF EST PE</t>
        </is>
      </c>
      <c r="J140" t="inlineStr">
        <is>
          <t>SENALBA PE, CPF/CNPJ Nº</t>
        </is>
      </c>
      <c r="K140" t="inlineStr">
        <is>
          <t>09056763</t>
        </is>
      </c>
      <c r="L140" t="inlineStr">
        <is>
          <t>09056763000129</t>
        </is>
      </c>
      <c r="M140" s="10" t="n">
        <v>135603.21</v>
      </c>
      <c r="N140" t="n">
        <v>1</v>
      </c>
      <c r="O140" s="11" t="inlineStr">
        <is>
          <t>C</t>
        </is>
      </c>
      <c r="P140" s="11" t="inlineStr">
        <is>
          <t>ACTIVE</t>
        </is>
      </c>
      <c r="Q140" s="12" t="n">
        <v>44966</v>
      </c>
      <c r="R140" s="11">
        <f>IF(Q140="","",ROUND((TODAY()-Q140)/365.25,1))</f>
        <v/>
      </c>
      <c r="S140" s="13">
        <f>IFERROR(VLOOKUP(O140,Assumptions!$A$7:$F$11,2,FALSE),0.25)</f>
        <v/>
      </c>
      <c r="T140" s="14">
        <f>IF(O140="A",MAX(1,IFERROR(VLOOKUP(O140,Assumptions!$A$7:$F$11,3,FALSE),3)+IFERROR(VLOOKUP(O140,Assumptions!$A$7:$F$11,4,FALSE),8)/2-MAX(0,IF(R140="",0,R140)-IFERROR(VLOOKUP(O140,Assumptions!$A$7:$F$11,5,FALSE),1.5))),IFERROR(VLOOKUP(O140,Assumptions!$A$7:$F$11,5,FALSE),2.5)+IFERROR(VLOOKUP(O140,Assumptions!$A$7:$F$11,3,FALSE),3)+IFERROR(VLOOKUP(O140,Assumptions!$A$7:$F$11,4,FALSE),8)/2)</f>
        <v/>
      </c>
      <c r="U140" s="15">
        <f>M140*S140/(1+Assumptions!$B$3)^T140</f>
        <v/>
      </c>
      <c r="V140" s="11">
        <f>IF(M140=0,"",ROUND(U140/M140*100,1))</f>
        <v/>
      </c>
      <c r="W140" s="16">
        <f>U140*Assumptions!$B$4</f>
        <v/>
      </c>
      <c r="X140" s="11">
        <f>IF(M140=0,"",ROUND(W140/M140*100,1))</f>
        <v/>
      </c>
      <c r="Y140" t="inlineStr">
        <is>
          <t>CLUBE NÁUTICO CAPIBARIBE</t>
        </is>
      </c>
      <c r="Z140" t="inlineStr">
        <is>
          <t>0011283-80.2023.8.17.2001</t>
        </is>
      </c>
      <c r="AA140" t="inlineStr">
        <is>
          <t>TJPE</t>
        </is>
      </c>
      <c r="AB140" t="inlineStr">
        <is>
          <t>lrflideres.com.br</t>
        </is>
      </c>
      <c r="AC140" t="inlineStr"/>
      <c r="AD140" t="inlineStr"/>
      <c r="AE140" t="inlineStr"/>
      <c r="AF140" t="inlineStr"/>
      <c r="AG140" t="inlineStr"/>
      <c r="AH140" t="inlineStr">
        <is>
          <t>PE</t>
        </is>
      </c>
      <c r="AI140" t="inlineStr">
        <is>
          <t>RECIFE</t>
        </is>
      </c>
      <c r="AJ140" t="inlineStr">
        <is>
          <t>Atividades de organizações sindicais</t>
        </is>
      </c>
      <c r="AK140" t="inlineStr">
        <is>
          <t>DEMAIS</t>
        </is>
      </c>
      <c r="AL140" t="inlineStr">
        <is>
          <t>ATIVA</t>
        </is>
      </c>
      <c r="AM140" s="17" t="inlineStr">
        <is>
          <t>https://lrflideres.com.br/wp-content/plugins/download-attachments/includes/download.php?id=5589</t>
        </is>
      </c>
      <c r="AN140" s="18" t="inlineStr">
        <is>
          <t>p12 r41</t>
        </is>
      </c>
      <c r="AO140" s="18" t="inlineStr">
        <is>
          <t>p12: R$ 135.603,21</t>
        </is>
      </c>
      <c r="AP140" s="18" t="inlineStr">
        <is>
          <t>AJ_LIST</t>
        </is>
      </c>
      <c r="AQ140" s="18" t="inlineStr">
        <is>
          <t>2023-11-27</t>
        </is>
      </c>
      <c r="AR140" s="18" t="inlineStr">
        <is>
          <t>QUARANTINED</t>
        </is>
      </c>
      <c r="AS140" s="18" t="inlineStr">
        <is>
          <t>PARTIAL_DOC_CLASS_III_RECONCILED ROWS:p12r41</t>
        </is>
      </c>
      <c r="AT140" s="18" t="inlineStr">
        <is>
          <t>677be5783c06</t>
        </is>
      </c>
    </row>
    <row r="141">
      <c r="A141" s="9" t="n">
        <v>140</v>
      </c>
      <c r="B141" s="9" t="inlineStr">
        <is>
          <t>NEW</t>
        </is>
      </c>
      <c r="C141" s="9" t="inlineStr"/>
      <c r="D141" s="9" t="n">
        <v>0</v>
      </c>
      <c r="E141" s="9" t="inlineStr"/>
      <c r="F141" s="9" t="inlineStr"/>
      <c r="G141" s="9" t="inlineStr"/>
      <c r="H141" s="9" t="inlineStr"/>
      <c r="I141" t="inlineStr">
        <is>
          <t>CIRURGICA SANTA CRUZ COM. DE PRODUTOS HOSPITALARES LTDA.</t>
        </is>
      </c>
      <c r="J141" t="inlineStr">
        <is>
          <t>CIRURGICA STA.CRUZ COM.PR.HOSP (</t>
        </is>
      </c>
      <c r="K141" t="inlineStr">
        <is>
          <t>94516671</t>
        </is>
      </c>
      <c r="L141" t="inlineStr">
        <is>
          <t>94516671000153</t>
        </is>
      </c>
      <c r="M141" s="10" t="n">
        <v>135582.17</v>
      </c>
      <c r="N141" t="n">
        <v>1</v>
      </c>
      <c r="O141" s="11" t="inlineStr">
        <is>
          <t>C</t>
        </is>
      </c>
      <c r="P141" s="11" t="inlineStr">
        <is>
          <t>ACTIVE</t>
        </is>
      </c>
      <c r="Q141" s="12" t="n">
        <v>44735</v>
      </c>
      <c r="R141" s="11">
        <f>IF(Q141="","",ROUND((TODAY()-Q141)/365.25,1))</f>
        <v/>
      </c>
      <c r="S141" s="13">
        <f>IFERROR(VLOOKUP(O141,Assumptions!$A$7:$F$11,2,FALSE),0.25)</f>
        <v/>
      </c>
      <c r="T141" s="14">
        <f>IF(O141="A",MAX(1,IFERROR(VLOOKUP(O141,Assumptions!$A$7:$F$11,3,FALSE),3)+IFERROR(VLOOKUP(O141,Assumptions!$A$7:$F$11,4,FALSE),8)/2-MAX(0,IF(R141="",0,R141)-IFERROR(VLOOKUP(O141,Assumptions!$A$7:$F$11,5,FALSE),1.5))),IFERROR(VLOOKUP(O141,Assumptions!$A$7:$F$11,5,FALSE),2.5)+IFERROR(VLOOKUP(O141,Assumptions!$A$7:$F$11,3,FALSE),3)+IFERROR(VLOOKUP(O141,Assumptions!$A$7:$F$11,4,FALSE),8)/2)</f>
        <v/>
      </c>
      <c r="U141" s="15">
        <f>M141*S141/(1+Assumptions!$B$3)^T141</f>
        <v/>
      </c>
      <c r="V141" s="11">
        <f>IF(M141=0,"",ROUND(U141/M141*100,1))</f>
        <v/>
      </c>
      <c r="W141" s="16">
        <f>U141*Assumptions!$B$4</f>
        <v/>
      </c>
      <c r="X141" s="11">
        <f>IF(M141=0,"",ROUND(W141/M141*100,1))</f>
        <v/>
      </c>
      <c r="Y141" t="inlineStr">
        <is>
          <t>ASSOCIAÇÃO DE CARIDADE SANTA CASA DO RIO GRANDE</t>
        </is>
      </c>
      <c r="Z141" t="inlineStr">
        <is>
          <t>5012306-16.2022.8.21.0023</t>
        </is>
      </c>
      <c r="AA141" t="inlineStr">
        <is>
          <t>TJRS</t>
        </is>
      </c>
      <c r="AB141" t="inlineStr">
        <is>
          <t>scalzilliaj.com.br</t>
        </is>
      </c>
      <c r="AC141" t="inlineStr">
        <is>
          <t>ADEMAR PAULO SCHUSTER</t>
        </is>
      </c>
      <c r="AD141" t="inlineStr">
        <is>
          <t>Sócio-Administrador</t>
        </is>
      </c>
      <c r="AE141" t="inlineStr">
        <is>
          <t>(51) 2107-9000</t>
        </is>
      </c>
      <c r="AF141" t="inlineStr"/>
      <c r="AG141" t="inlineStr"/>
      <c r="AH141" t="inlineStr">
        <is>
          <t>RS</t>
        </is>
      </c>
      <c r="AI141" t="inlineStr">
        <is>
          <t>SANTA CRUZ DO SUL</t>
        </is>
      </c>
      <c r="AJ141" t="inlineStr">
        <is>
          <t>Comércio atacadista de medicamentos e drogas de uso humano</t>
        </is>
      </c>
      <c r="AK141" t="inlineStr">
        <is>
          <t>DEMAIS</t>
        </is>
      </c>
      <c r="AL141" t="inlineStr">
        <is>
          <t>ATIVA</t>
        </is>
      </c>
      <c r="AM141" s="17" t="inlineStr">
        <is>
          <t>https://scalzilliaj.com.br/sgc/download.php?file=files/processo_documento/processo_documento09120721032023_1_.pdf&amp;nome=15 - Edital do art. 7º, §2º e 53 da Lei 11.101/2005 (segunda lista de credores e recebimento do plano))</t>
        </is>
      </c>
      <c r="AN141" s="18" t="inlineStr">
        <is>
          <t>p26 r30</t>
        </is>
      </c>
      <c r="AO141" s="18" t="inlineStr">
        <is>
          <t>p26: R$ 135.582,17</t>
        </is>
      </c>
      <c r="AP141" s="18" t="inlineStr">
        <is>
          <t>AJ_LIST</t>
        </is>
      </c>
      <c r="AQ141" s="18" t="inlineStr">
        <is>
          <t>2023-03-21</t>
        </is>
      </c>
      <c r="AR141" s="18" t="inlineStr">
        <is>
          <t>OK_NO_TOTALS</t>
        </is>
      </c>
      <c r="AS141" s="18" t="inlineStr">
        <is>
          <t>ROWS:p26r30 UNRECONCILED_SOURCE</t>
        </is>
      </c>
      <c r="AT141" s="18" t="inlineStr">
        <is>
          <t>ebfb999b457c</t>
        </is>
      </c>
    </row>
    <row r="142">
      <c r="A142" s="9" t="n">
        <v>141</v>
      </c>
      <c r="B142" s="9" t="inlineStr">
        <is>
          <t>NEW</t>
        </is>
      </c>
      <c r="C142" s="9" t="inlineStr"/>
      <c r="D142" s="9" t="n">
        <v>0</v>
      </c>
      <c r="E142" s="9" t="inlineStr"/>
      <c r="F142" s="9" t="inlineStr"/>
      <c r="G142" s="9" t="inlineStr"/>
      <c r="H142" s="9" t="inlineStr"/>
      <c r="I142" t="inlineStr">
        <is>
          <t>BRAVO PRODUTOS QUIMICOS E REPRESENTACOES LTDA</t>
        </is>
      </c>
      <c r="J142" t="inlineStr">
        <is>
          <t>BRAVO PRODUTOS QUIMICOS E REPRESENTACOES LTDA</t>
        </is>
      </c>
      <c r="K142" t="inlineStr">
        <is>
          <t>08188564</t>
        </is>
      </c>
      <c r="L142" t="inlineStr">
        <is>
          <t>08188564000101</t>
        </is>
      </c>
      <c r="M142" s="10" t="n">
        <v>135436.14</v>
      </c>
      <c r="N142" t="n">
        <v>1</v>
      </c>
      <c r="O142" s="11" t="inlineStr">
        <is>
          <t>B</t>
        </is>
      </c>
      <c r="P142" s="11" t="inlineStr">
        <is>
          <t>ACTIVE</t>
        </is>
      </c>
      <c r="Q142" s="12" t="n">
        <v>45425</v>
      </c>
      <c r="R142" s="11">
        <f>IF(Q142="","",ROUND((TODAY()-Q142)/365.25,1))</f>
        <v/>
      </c>
      <c r="S142" s="13">
        <f>IFERROR(VLOOKUP(O142,Assumptions!$A$7:$F$11,2,FALSE),0.25)</f>
        <v/>
      </c>
      <c r="T142" s="14">
        <f>IF(O142="A",MAX(1,IFERROR(VLOOKUP(O142,Assumptions!$A$7:$F$11,3,FALSE),3)+IFERROR(VLOOKUP(O142,Assumptions!$A$7:$F$11,4,FALSE),8)/2-MAX(0,IF(R142="",0,R142)-IFERROR(VLOOKUP(O142,Assumptions!$A$7:$F$11,5,FALSE),1.5))),IFERROR(VLOOKUP(O142,Assumptions!$A$7:$F$11,5,FALSE),2.5)+IFERROR(VLOOKUP(O142,Assumptions!$A$7:$F$11,3,FALSE),3)+IFERROR(VLOOKUP(O142,Assumptions!$A$7:$F$11,4,FALSE),8)/2)</f>
        <v/>
      </c>
      <c r="U142" s="15">
        <f>M142*S142/(1+Assumptions!$B$3)^T142</f>
        <v/>
      </c>
      <c r="V142" s="11">
        <f>IF(M142=0,"",ROUND(U142/M142*100,1))</f>
        <v/>
      </c>
      <c r="W142" s="16">
        <f>U142*Assumptions!$B$4</f>
        <v/>
      </c>
      <c r="X142" s="11">
        <f>IF(M142=0,"",ROUND(W142/M142*100,1))</f>
        <v/>
      </c>
      <c r="Y142" t="inlineStr">
        <is>
          <t>GRUPO DIVINA</t>
        </is>
      </c>
      <c r="Z142" t="inlineStr">
        <is>
          <t>0000721-61.2024.8.17.2620</t>
        </is>
      </c>
      <c r="AA142" t="inlineStr">
        <is>
          <t>TJPE</t>
        </is>
      </c>
      <c r="AB142" t="inlineStr">
        <is>
          <t>lrflideres.com.br</t>
        </is>
      </c>
      <c r="AC142" t="inlineStr">
        <is>
          <t>DAVI FRANCISCO MARQUES</t>
        </is>
      </c>
      <c r="AD142" t="inlineStr">
        <is>
          <t>Sócio-Administrador</t>
        </is>
      </c>
      <c r="AE142" t="inlineStr">
        <is>
          <t>(51) 3635-1080</t>
        </is>
      </c>
      <c r="AF142" t="inlineStr"/>
      <c r="AG142" t="inlineStr"/>
      <c r="AH142" t="inlineStr">
        <is>
          <t>RS</t>
        </is>
      </c>
      <c r="AI142" t="inlineStr">
        <is>
          <t>NOVO HAMBURGO</t>
        </is>
      </c>
      <c r="AJ142" t="inlineStr">
        <is>
          <t>Fabricação de outros produtos químicos não especificados anteriormente</t>
        </is>
      </c>
      <c r="AK142" t="inlineStr">
        <is>
          <t>EMPRESA DE PEQUENO PORTE</t>
        </is>
      </c>
      <c r="AL142" t="inlineStr">
        <is>
          <t>ATIVA</t>
        </is>
      </c>
      <c r="AM142" s="17" t="inlineStr">
        <is>
          <t>https://lrflideres.com.br/wp-content/plugins/download-attachments/includes/download.php?id=6252</t>
        </is>
      </c>
      <c r="AN142" s="18" t="inlineStr">
        <is>
          <t>p2 r23</t>
        </is>
      </c>
      <c r="AO142" s="18" t="inlineStr">
        <is>
          <t>p2: R$ 135.436,14</t>
        </is>
      </c>
      <c r="AP142" s="18" t="inlineStr">
        <is>
          <t>AJ_LIST</t>
        </is>
      </c>
      <c r="AQ142" s="18" t="inlineStr">
        <is>
          <t>2024-11-27</t>
        </is>
      </c>
      <c r="AR142" s="18" t="inlineStr">
        <is>
          <t>QUARANTINED</t>
        </is>
      </c>
      <c r="AS142" s="18" t="inlineStr">
        <is>
          <t>PARTIAL_DOC_CLASS_III_RECONCILED ROWS:p2r23</t>
        </is>
      </c>
      <c r="AT142" s="18" t="inlineStr">
        <is>
          <t>38f0c15b8a2d</t>
        </is>
      </c>
    </row>
    <row r="143">
      <c r="A143" s="9" t="n">
        <v>142</v>
      </c>
      <c r="B143" s="9" t="inlineStr">
        <is>
          <t>NEW</t>
        </is>
      </c>
      <c r="C143" s="9" t="inlineStr"/>
      <c r="D143" s="9" t="n">
        <v>0</v>
      </c>
      <c r="E143" s="9" t="inlineStr"/>
      <c r="F143" s="9" t="inlineStr"/>
      <c r="G143" s="9" t="inlineStr"/>
      <c r="H143" s="9" t="inlineStr"/>
      <c r="I143" t="inlineStr">
        <is>
          <t>POLIERG INDUSTRIA E COMERCIO LTDA</t>
        </is>
      </c>
      <c r="J143" t="inlineStr">
        <is>
          <t>Polierg Industria e Comercio Ltda</t>
        </is>
      </c>
      <c r="K143" t="inlineStr">
        <is>
          <t>45010717</t>
        </is>
      </c>
      <c r="L143" t="inlineStr">
        <is>
          <t>45010717000152</t>
        </is>
      </c>
      <c r="M143" s="10" t="n">
        <v>135293.9</v>
      </c>
      <c r="N143" t="n">
        <v>1</v>
      </c>
      <c r="O143" s="11" t="inlineStr">
        <is>
          <t>B</t>
        </is>
      </c>
      <c r="P143" s="11" t="inlineStr"/>
      <c r="Q143" s="12" t="n">
        <v>45756</v>
      </c>
      <c r="R143" s="11">
        <f>IF(Q143="","",ROUND((TODAY()-Q143)/365.25,1))</f>
        <v/>
      </c>
      <c r="S143" s="13">
        <f>IFERROR(VLOOKUP(O143,Assumptions!$A$7:$F$11,2,FALSE),0.25)</f>
        <v/>
      </c>
      <c r="T143" s="14">
        <f>IF(O143="A",MAX(1,IFERROR(VLOOKUP(O143,Assumptions!$A$7:$F$11,3,FALSE),3)+IFERROR(VLOOKUP(O143,Assumptions!$A$7:$F$11,4,FALSE),8)/2-MAX(0,IF(R143="",0,R143)-IFERROR(VLOOKUP(O143,Assumptions!$A$7:$F$11,5,FALSE),1.5))),IFERROR(VLOOKUP(O143,Assumptions!$A$7:$F$11,5,FALSE),2.5)+IFERROR(VLOOKUP(O143,Assumptions!$A$7:$F$11,3,FALSE),3)+IFERROR(VLOOKUP(O143,Assumptions!$A$7:$F$11,4,FALSE),8)/2)</f>
        <v/>
      </c>
      <c r="U143" s="15">
        <f>M143*S143/(1+Assumptions!$B$3)^T143</f>
        <v/>
      </c>
      <c r="V143" s="11">
        <f>IF(M143=0,"",ROUND(U143/M143*100,1))</f>
        <v/>
      </c>
      <c r="W143" s="16">
        <f>U143*Assumptions!$B$4</f>
        <v/>
      </c>
      <c r="X143" s="11">
        <f>IF(M143=0,"",ROUND(W143/M143*100,1))</f>
        <v/>
      </c>
      <c r="Y143" t="inlineStr">
        <is>
          <t>GRUPO EGESA (EGESA ENG S.A, EGESUR PART E EMP S.A, MATRIX INFRA LTDA, BEMVIVER ENG AMBIENTAL E SERV LTDA, DKF CONST E EMP LTDA, EGEPEL LTDA, ETR ASSESSORIA EMP E PART LTDA, MVT ENG E SERV LTDA, PARQUES DO VALE LTDA, ELMO RIBEIRO E ANA RIBEIRO)</t>
        </is>
      </c>
      <c r="Z143" t="inlineStr">
        <is>
          <t>5088952-81.2025.8.13.0024</t>
        </is>
      </c>
      <c r="AA143" t="inlineStr">
        <is>
          <t>TJMG</t>
        </is>
      </c>
      <c r="AB143" t="inlineStr">
        <is>
          <t>scalzilliaj.com.br</t>
        </is>
      </c>
      <c r="AC143" t="inlineStr">
        <is>
          <t>JAIR OGAWA</t>
        </is>
      </c>
      <c r="AD143" t="inlineStr">
        <is>
          <t>Sócio-Administrador</t>
        </is>
      </c>
      <c r="AE143" t="inlineStr">
        <is>
          <t>(11) 2219-7700</t>
        </is>
      </c>
      <c r="AF143" t="inlineStr">
        <is>
          <t>(11) 2219-7700</t>
        </is>
      </c>
      <c r="AG143" t="inlineStr"/>
      <c r="AH143" t="inlineStr">
        <is>
          <t>SP</t>
        </is>
      </c>
      <c r="AI143" t="inlineStr">
        <is>
          <t>SAO PAULO</t>
        </is>
      </c>
      <c r="AJ143" t="inlineStr">
        <is>
          <t>Fabricação de tubos e acessórios de material plástico para uso na construção</t>
        </is>
      </c>
      <c r="AK143" t="inlineStr">
        <is>
          <t>DEMAIS</t>
        </is>
      </c>
      <c r="AL143" t="inlineStr">
        <is>
          <t>ATIVA</t>
        </is>
      </c>
      <c r="AM143" s="17" t="inlineStr">
        <is>
          <t>https://scalzilliaj.com.br/sgc/download.php?file=files/processo_documento/processo_documento09514021082025_1_.pdf&amp;nome=04 - Relação de credores das Recuperandas</t>
        </is>
      </c>
      <c r="AN143" s="18" t="inlineStr">
        <is>
          <t>p71 r12</t>
        </is>
      </c>
      <c r="AO143" s="18" t="inlineStr">
        <is>
          <t>p71: R$ 135.293,90</t>
        </is>
      </c>
      <c r="AP143" s="18" t="inlineStr">
        <is>
          <t>DEBTOR_LIST</t>
        </is>
      </c>
      <c r="AQ143" s="18" t="inlineStr"/>
      <c r="AR143" s="18" t="inlineStr">
        <is>
          <t>OK</t>
        </is>
      </c>
      <c r="AS143" s="18" t="inlineStr">
        <is>
          <t>ROWS:p71r12 VALUE_COL:Valor_Atualizado CASE_NUMBER_CORRECTED CASE_FROM_PORTAL</t>
        </is>
      </c>
      <c r="AT143" s="18" t="inlineStr">
        <is>
          <t>24ed98480a57</t>
        </is>
      </c>
    </row>
    <row r="144">
      <c r="A144" s="9" t="n">
        <v>143</v>
      </c>
      <c r="B144" s="9" t="inlineStr">
        <is>
          <t>NEW</t>
        </is>
      </c>
      <c r="C144" s="9" t="inlineStr"/>
      <c r="D144" s="9" t="n">
        <v>0</v>
      </c>
      <c r="E144" s="9" t="inlineStr"/>
      <c r="F144" s="9" t="inlineStr"/>
      <c r="G144" s="9" t="inlineStr"/>
      <c r="H144" s="9" t="inlineStr"/>
      <c r="I144" t="inlineStr">
        <is>
          <t>SULPECAS COMERCIO E REPRESENTACOES LTDA</t>
        </is>
      </c>
      <c r="J144" t="inlineStr">
        <is>
          <t>SULPEÇAS COM E REPRES LTDA</t>
        </is>
      </c>
      <c r="K144" t="inlineStr">
        <is>
          <t>52068491</t>
        </is>
      </c>
      <c r="L144" t="inlineStr">
        <is>
          <t>52068491000106</t>
        </is>
      </c>
      <c r="M144" s="10" t="n">
        <v>135239.5</v>
      </c>
      <c r="N144" t="n">
        <v>1</v>
      </c>
      <c r="O144" s="11" t="inlineStr">
        <is>
          <t>C</t>
        </is>
      </c>
      <c r="P144" s="11" t="inlineStr">
        <is>
          <t>ACTIVE</t>
        </is>
      </c>
      <c r="Q144" s="12" t="n">
        <v>44798</v>
      </c>
      <c r="R144" s="11">
        <f>IF(Q144="","",ROUND((TODAY()-Q144)/365.25,1))</f>
        <v/>
      </c>
      <c r="S144" s="13">
        <f>IFERROR(VLOOKUP(O144,Assumptions!$A$7:$F$11,2,FALSE),0.25)</f>
        <v/>
      </c>
      <c r="T144" s="14">
        <f>IF(O144="A",MAX(1,IFERROR(VLOOKUP(O144,Assumptions!$A$7:$F$11,3,FALSE),3)+IFERROR(VLOOKUP(O144,Assumptions!$A$7:$F$11,4,FALSE),8)/2-MAX(0,IF(R144="",0,R144)-IFERROR(VLOOKUP(O144,Assumptions!$A$7:$F$11,5,FALSE),1.5))),IFERROR(VLOOKUP(O144,Assumptions!$A$7:$F$11,5,FALSE),2.5)+IFERROR(VLOOKUP(O144,Assumptions!$A$7:$F$11,3,FALSE),3)+IFERROR(VLOOKUP(O144,Assumptions!$A$7:$F$11,4,FALSE),8)/2)</f>
        <v/>
      </c>
      <c r="U144" s="15">
        <f>M144*S144/(1+Assumptions!$B$3)^T144</f>
        <v/>
      </c>
      <c r="V144" s="11">
        <f>IF(M144=0,"",ROUND(U144/M144*100,1))</f>
        <v/>
      </c>
      <c r="W144" s="16">
        <f>U144*Assumptions!$B$4</f>
        <v/>
      </c>
      <c r="X144" s="11">
        <f>IF(M144=0,"",ROUND(W144/M144*100,1))</f>
        <v/>
      </c>
      <c r="Y144" t="inlineStr">
        <is>
          <t>SECULAR COMÉRCIO CONSTRUÇÃO E REPRESENTAÇÃO LTDA - ME, EM RECUPERAÇÃO JUDICIAL</t>
        </is>
      </c>
      <c r="Z144" t="inlineStr">
        <is>
          <t>0804204-35.2022.8.15.0731</t>
        </is>
      </c>
      <c r="AA144" t="inlineStr">
        <is>
          <t>TJPB</t>
        </is>
      </c>
      <c r="AB144" t="inlineStr">
        <is>
          <t>lrflideres.com.br</t>
        </is>
      </c>
      <c r="AC144" t="inlineStr">
        <is>
          <t>MARCELO DE SOUZA GUERINI</t>
        </is>
      </c>
      <c r="AD144" t="inlineStr">
        <is>
          <t>Sócio-Administrador</t>
        </is>
      </c>
      <c r="AE144" t="inlineStr">
        <is>
          <t>(11) 3829-9900</t>
        </is>
      </c>
      <c r="AF144" t="inlineStr"/>
      <c r="AG144" t="inlineStr"/>
      <c r="AH144" t="inlineStr">
        <is>
          <t>SP</t>
        </is>
      </c>
      <c r="AI144" t="inlineStr">
        <is>
          <t>SAO PAULO</t>
        </is>
      </c>
      <c r="AJ144" t="inlineStr">
        <is>
          <t>Comércio atacadista de máquinas, equipamentos para terraplenagem, mineração e construção; partes e peças</t>
        </is>
      </c>
      <c r="AK144" t="inlineStr">
        <is>
          <t>DEMAIS</t>
        </is>
      </c>
      <c r="AL144" t="inlineStr">
        <is>
          <t>ATIVA</t>
        </is>
      </c>
      <c r="AM144" s="17" t="inlineStr">
        <is>
          <t>https://lrflideres.com.br/wp-content/uploads/2022/08/4.-EDITAL-2a-LISTA-DE-CREDORES.pdf</t>
        </is>
      </c>
      <c r="AN144" s="18" t="inlineStr">
        <is>
          <t>p2 r10</t>
        </is>
      </c>
      <c r="AO144" s="18" t="inlineStr">
        <is>
          <t>p2: R$ 135.239,50</t>
        </is>
      </c>
      <c r="AP144" s="18" t="inlineStr">
        <is>
          <t>AJ_LIST</t>
        </is>
      </c>
      <c r="AQ144" s="18" t="inlineStr">
        <is>
          <t>2023-12-04</t>
        </is>
      </c>
      <c r="AR144" s="18" t="inlineStr">
        <is>
          <t>OK</t>
        </is>
      </c>
      <c r="AS144" s="18" t="inlineStr">
        <is>
          <t>ROWS:p2r10</t>
        </is>
      </c>
      <c r="AT144" s="18" t="inlineStr">
        <is>
          <t>1355f93a13cd</t>
        </is>
      </c>
    </row>
    <row r="145">
      <c r="A145" s="9" t="n">
        <v>144</v>
      </c>
      <c r="B145" s="9" t="inlineStr">
        <is>
          <t>NEW</t>
        </is>
      </c>
      <c r="C145" s="9" t="inlineStr"/>
      <c r="D145" s="9" t="n">
        <v>0</v>
      </c>
      <c r="E145" s="9" t="inlineStr"/>
      <c r="F145" s="9" t="inlineStr"/>
      <c r="G145" s="9" t="inlineStr"/>
      <c r="H145" s="9" t="inlineStr"/>
      <c r="I145" t="inlineStr">
        <is>
          <t>LEIFIL MOVEIS LTDA</t>
        </is>
      </c>
      <c r="J145" t="inlineStr">
        <is>
          <t>05.690.271/0001-30</t>
        </is>
      </c>
      <c r="K145" t="inlineStr">
        <is>
          <t>05690271</t>
        </is>
      </c>
      <c r="L145" t="inlineStr">
        <is>
          <t>05690271000130</t>
        </is>
      </c>
      <c r="M145" s="10" t="n">
        <v>135177</v>
      </c>
      <c r="N145" t="n">
        <v>1</v>
      </c>
      <c r="O145" s="11" t="inlineStr">
        <is>
          <t>C</t>
        </is>
      </c>
      <c r="P145" s="11" t="inlineStr">
        <is>
          <t>ACTIVE</t>
        </is>
      </c>
      <c r="Q145" s="12" t="n">
        <v>43894</v>
      </c>
      <c r="R145" s="11">
        <f>IF(Q145="","",ROUND((TODAY()-Q145)/365.25,1))</f>
        <v/>
      </c>
      <c r="S145" s="13">
        <f>IFERROR(VLOOKUP(O145,Assumptions!$A$7:$F$11,2,FALSE),0.25)</f>
        <v/>
      </c>
      <c r="T145" s="14">
        <f>IF(O145="A",MAX(1,IFERROR(VLOOKUP(O145,Assumptions!$A$7:$F$11,3,FALSE),3)+IFERROR(VLOOKUP(O145,Assumptions!$A$7:$F$11,4,FALSE),8)/2-MAX(0,IF(R145="",0,R145)-IFERROR(VLOOKUP(O145,Assumptions!$A$7:$F$11,5,FALSE),1.5))),IFERROR(VLOOKUP(O145,Assumptions!$A$7:$F$11,5,FALSE),2.5)+IFERROR(VLOOKUP(O145,Assumptions!$A$7:$F$11,3,FALSE),3)+IFERROR(VLOOKUP(O145,Assumptions!$A$7:$F$11,4,FALSE),8)/2)</f>
        <v/>
      </c>
      <c r="U145" s="15">
        <f>M145*S145/(1+Assumptions!$B$3)^T145</f>
        <v/>
      </c>
      <c r="V145" s="11">
        <f>IF(M145=0,"",ROUND(U145/M145*100,1))</f>
        <v/>
      </c>
      <c r="W145" s="16">
        <f>U145*Assumptions!$B$4</f>
        <v/>
      </c>
      <c r="X145" s="11">
        <f>IF(M145=0,"",ROUND(W145/M145*100,1))</f>
        <v/>
      </c>
      <c r="Y145" t="inlineStr">
        <is>
          <t>CREDIMÓVEIS NOVOLAR LTDA.</t>
        </is>
      </c>
      <c r="Z145" t="inlineStr">
        <is>
          <t>0007565-40.2020.8.17.2370</t>
        </is>
      </c>
      <c r="AA145" t="inlineStr">
        <is>
          <t>TJPE</t>
        </is>
      </c>
      <c r="AB145" t="inlineStr">
        <is>
          <t>recuperacaojudicial.squarespace.com</t>
        </is>
      </c>
      <c r="AC145" t="inlineStr">
        <is>
          <t>FILIPE CONTIN GOMES LEITE</t>
        </is>
      </c>
      <c r="AD145" t="inlineStr">
        <is>
          <t>Sócio-Administrador</t>
        </is>
      </c>
      <c r="AE145" t="inlineStr"/>
      <c r="AF145" t="inlineStr"/>
      <c r="AG145" t="inlineStr"/>
      <c r="AH145" t="inlineStr">
        <is>
          <t>MG</t>
        </is>
      </c>
      <c r="AI145" t="inlineStr">
        <is>
          <t>RODEIRO</t>
        </is>
      </c>
      <c r="AJ145" t="inlineStr">
        <is>
          <t>Fabricação de móveis com predominância de madeira</t>
        </is>
      </c>
      <c r="AK145" t="inlineStr">
        <is>
          <t>DEMAIS</t>
        </is>
      </c>
      <c r="AL145" t="inlineStr">
        <is>
          <t>ATIVA</t>
        </is>
      </c>
      <c r="AM145" s="17" t="inlineStr">
        <is>
          <t>https://recuperacaojudicial.squarespace.com/s/RJ-Credimoveis-QGC-01082025.pdf</t>
        </is>
      </c>
      <c r="AN145" s="18" t="inlineStr">
        <is>
          <t>p16 r7</t>
        </is>
      </c>
      <c r="AO145" s="18" t="inlineStr">
        <is>
          <t>p16: R$ 135.177,00</t>
        </is>
      </c>
      <c r="AP145" s="18" t="inlineStr">
        <is>
          <t>QGC</t>
        </is>
      </c>
      <c r="AQ145" s="18" t="inlineStr">
        <is>
          <t>2026-01-28</t>
        </is>
      </c>
      <c r="AR145" s="18" t="inlineStr">
        <is>
          <t>OK</t>
        </is>
      </c>
      <c r="AS145" s="18" t="inlineStr">
        <is>
          <t>ROWS:p16r7</t>
        </is>
      </c>
      <c r="AT145" s="18" t="inlineStr">
        <is>
          <t>849d4fe5adce</t>
        </is>
      </c>
    </row>
    <row r="146">
      <c r="A146" s="9" t="n">
        <v>145</v>
      </c>
      <c r="B146" s="9" t="inlineStr">
        <is>
          <t>NEW</t>
        </is>
      </c>
      <c r="C146" s="9" t="inlineStr"/>
      <c r="D146" s="9" t="n">
        <v>0</v>
      </c>
      <c r="E146" s="9" t="inlineStr"/>
      <c r="F146" s="9" t="inlineStr"/>
      <c r="G146" s="9" t="inlineStr"/>
      <c r="H146" s="9" t="inlineStr"/>
      <c r="I146" t="inlineStr">
        <is>
          <t>SALUS COMERCIO DE PRODUTOS DE SAUDE E NUTRICAO ANIMAL S.A.</t>
        </is>
      </c>
      <c r="J146" t="inlineStr">
        <is>
          <t>Salus Comercio De Prod. Saude e Nutricao Aninal</t>
        </is>
      </c>
      <c r="K146" t="inlineStr">
        <is>
          <t>12459961</t>
        </is>
      </c>
      <c r="L146" t="inlineStr">
        <is>
          <t>12459961000148</t>
        </is>
      </c>
      <c r="M146" s="10" t="n">
        <v>135112.28</v>
      </c>
      <c r="N146" t="n">
        <v>1</v>
      </c>
      <c r="O146" s="11" t="inlineStr">
        <is>
          <t>B</t>
        </is>
      </c>
      <c r="P146" s="11" t="inlineStr">
        <is>
          <t>ACTIVE</t>
        </is>
      </c>
      <c r="Q146" s="12" t="n">
        <v>46130</v>
      </c>
      <c r="R146" s="11">
        <f>IF(Q146="","",ROUND((TODAY()-Q146)/365.25,1))</f>
        <v/>
      </c>
      <c r="S146" s="13">
        <f>IFERROR(VLOOKUP(O146,Assumptions!$A$7:$F$11,2,FALSE),0.25)</f>
        <v/>
      </c>
      <c r="T146" s="14">
        <f>IF(O146="A",MAX(1,IFERROR(VLOOKUP(O146,Assumptions!$A$7:$F$11,3,FALSE),3)+IFERROR(VLOOKUP(O146,Assumptions!$A$7:$F$11,4,FALSE),8)/2-MAX(0,IF(R146="",0,R146)-IFERROR(VLOOKUP(O146,Assumptions!$A$7:$F$11,5,FALSE),1.5))),IFERROR(VLOOKUP(O146,Assumptions!$A$7:$F$11,5,FALSE),2.5)+IFERROR(VLOOKUP(O146,Assumptions!$A$7:$F$11,3,FALSE),3)+IFERROR(VLOOKUP(O146,Assumptions!$A$7:$F$11,4,FALSE),8)/2)</f>
        <v/>
      </c>
      <c r="U146" s="15">
        <f>M146*S146/(1+Assumptions!$B$3)^T146</f>
        <v/>
      </c>
      <c r="V146" s="11">
        <f>IF(M146=0,"",ROUND(U146/M146*100,1))</f>
        <v/>
      </c>
      <c r="W146" s="16">
        <f>U146*Assumptions!$B$4</f>
        <v/>
      </c>
      <c r="X146" s="11">
        <f>IF(M146=0,"",ROUND(W146/M146*100,1))</f>
        <v/>
      </c>
      <c r="Y146" t="inlineStr">
        <is>
          <t>GRUPO 3E</t>
        </is>
      </c>
      <c r="Z146" t="inlineStr">
        <is>
          <t>5341375-33.2026.8.09.0049</t>
        </is>
      </c>
      <c r="AA146" t="inlineStr">
        <is>
          <t>TJGO</t>
        </is>
      </c>
      <c r="AB146" t="inlineStr">
        <is>
          <t>stenius.com.br</t>
        </is>
      </c>
      <c r="AC146" t="inlineStr">
        <is>
          <t>FABIO PIRES ZAVICKIS</t>
        </is>
      </c>
      <c r="AD146" t="inlineStr">
        <is>
          <t>Diretor</t>
        </is>
      </c>
      <c r="AE146" t="inlineStr">
        <is>
          <t>(19) 3867-7700</t>
        </is>
      </c>
      <c r="AF146" t="inlineStr"/>
      <c r="AG146" t="inlineStr"/>
      <c r="AH146" t="inlineStr">
        <is>
          <t>SP</t>
        </is>
      </c>
      <c r="AI146" t="inlineStr">
        <is>
          <t>SANTO ANTONIO DE POSSE</t>
        </is>
      </c>
      <c r="AJ146" t="inlineStr">
        <is>
          <t>Fabricação de alimentos para animais</t>
        </is>
      </c>
      <c r="AK146" t="inlineStr">
        <is>
          <t>DEMAIS</t>
        </is>
      </c>
      <c r="AL146" t="inlineStr">
        <is>
          <t>ATIVA</t>
        </is>
      </c>
      <c r="AM146" s="17" t="inlineStr">
        <is>
          <t>https://stenius.com.br/wp-content/uploads/2026/06/EDITAL-GRUPO-3E.pdf</t>
        </is>
      </c>
      <c r="AN146" s="18" t="inlineStr">
        <is>
          <t>p17 r48</t>
        </is>
      </c>
      <c r="AO146" s="18" t="inlineStr">
        <is>
          <t>p17: R$ 135.112,28</t>
        </is>
      </c>
      <c r="AP146" s="18" t="inlineStr">
        <is>
          <t>DEBTOR_LIST</t>
        </is>
      </c>
      <c r="AQ146" s="18" t="inlineStr">
        <is>
          <t>2026-06-22</t>
        </is>
      </c>
      <c r="AR146" s="18" t="inlineStr">
        <is>
          <t>OK_NO_TOTALS</t>
        </is>
      </c>
      <c r="AS146" s="18" t="inlineStr">
        <is>
          <t>ROWS:p17r48 UNRECONCILED_SOURCE</t>
        </is>
      </c>
      <c r="AT146" s="18" t="inlineStr">
        <is>
          <t>8e8832093a15</t>
        </is>
      </c>
    </row>
    <row r="147">
      <c r="A147" s="9" t="n">
        <v>146</v>
      </c>
      <c r="B147" s="9" t="inlineStr">
        <is>
          <t>NEW</t>
        </is>
      </c>
      <c r="C147" s="9" t="inlineStr"/>
      <c r="D147" s="9" t="n">
        <v>0</v>
      </c>
      <c r="E147" s="9" t="inlineStr"/>
      <c r="F147" s="9" t="inlineStr"/>
      <c r="G147" s="9" t="inlineStr"/>
      <c r="H147" s="9" t="inlineStr"/>
      <c r="I147" t="inlineStr">
        <is>
          <t>CM HOSPITALAR S.A.</t>
        </is>
      </c>
      <c r="J147" t="inlineStr">
        <is>
          <t>CM HOSPITALAR S.A</t>
        </is>
      </c>
      <c r="K147" t="inlineStr">
        <is>
          <t>12420164</t>
        </is>
      </c>
      <c r="L147" t="inlineStr">
        <is>
          <t>12420164000580</t>
        </is>
      </c>
      <c r="M147" s="10" t="n">
        <v>134096.9</v>
      </c>
      <c r="N147" t="n">
        <v>1</v>
      </c>
      <c r="O147" s="11" t="inlineStr">
        <is>
          <t>B</t>
        </is>
      </c>
      <c r="P147" s="11" t="inlineStr">
        <is>
          <t>ACTIVE</t>
        </is>
      </c>
      <c r="Q147" s="12" t="n">
        <v>46112</v>
      </c>
      <c r="R147" s="11">
        <f>IF(Q147="","",ROUND((TODAY()-Q147)/365.25,1))</f>
        <v/>
      </c>
      <c r="S147" s="13">
        <f>IFERROR(VLOOKUP(O147,Assumptions!$A$7:$F$11,2,FALSE),0.25)</f>
        <v/>
      </c>
      <c r="T147" s="14">
        <f>IF(O147="A",MAX(1,IFERROR(VLOOKUP(O147,Assumptions!$A$7:$F$11,3,FALSE),3)+IFERROR(VLOOKUP(O147,Assumptions!$A$7:$F$11,4,FALSE),8)/2-MAX(0,IF(R147="",0,R147)-IFERROR(VLOOKUP(O147,Assumptions!$A$7:$F$11,5,FALSE),1.5))),IFERROR(VLOOKUP(O147,Assumptions!$A$7:$F$11,5,FALSE),2.5)+IFERROR(VLOOKUP(O147,Assumptions!$A$7:$F$11,3,FALSE),3)+IFERROR(VLOOKUP(O147,Assumptions!$A$7:$F$11,4,FALSE),8)/2)</f>
        <v/>
      </c>
      <c r="U147" s="15">
        <f>M147*S147/(1+Assumptions!$B$3)^T147</f>
        <v/>
      </c>
      <c r="V147" s="11">
        <f>IF(M147=0,"",ROUND(U147/M147*100,1))</f>
        <v/>
      </c>
      <c r="W147" s="16">
        <f>U147*Assumptions!$B$4</f>
        <v/>
      </c>
      <c r="X147" s="11">
        <f>IF(M147=0,"",ROUND(W147/M147*100,1))</f>
        <v/>
      </c>
      <c r="Y147" t="inlineStr">
        <is>
          <t>GRUPO DIAGSON</t>
        </is>
      </c>
      <c r="Z147" t="inlineStr">
        <is>
          <t>0822279-56.2026.8.15.2001</t>
        </is>
      </c>
      <c r="AA147" t="inlineStr">
        <is>
          <t>TJPB</t>
        </is>
      </c>
      <c r="AB147" t="inlineStr">
        <is>
          <t>lrflideres.com.br</t>
        </is>
      </c>
      <c r="AC147" t="inlineStr">
        <is>
          <t>ANDRE CLARK JULIANO</t>
        </is>
      </c>
      <c r="AD147" t="inlineStr">
        <is>
          <t>Presidente</t>
        </is>
      </c>
      <c r="AE147" t="inlineStr">
        <is>
          <t>(47) 3321-8450</t>
        </is>
      </c>
      <c r="AF147" t="inlineStr">
        <is>
          <t>(16) 3995-9401</t>
        </is>
      </c>
      <c r="AG147" t="inlineStr"/>
      <c r="AH147" t="inlineStr">
        <is>
          <t>SP</t>
        </is>
      </c>
      <c r="AI147" t="inlineStr">
        <is>
          <t>RIBEIRAO PRETO</t>
        </is>
      </c>
      <c r="AJ147" t="inlineStr">
        <is>
          <t>Comércio atacadista de medicamentos e drogas de uso humano</t>
        </is>
      </c>
      <c r="AK147" t="inlineStr">
        <is>
          <t>DEMAIS</t>
        </is>
      </c>
      <c r="AL147" t="inlineStr">
        <is>
          <t>ATIVA</t>
        </is>
      </c>
      <c r="AM147" s="17" t="inlineStr">
        <is>
          <t>https://lrflideres.com.br/wp-content/plugins/download-attachments/includes/download.php?id=7418</t>
        </is>
      </c>
      <c r="AN147" s="18" t="inlineStr">
        <is>
          <t>p2 r47</t>
        </is>
      </c>
      <c r="AO147" s="18" t="inlineStr">
        <is>
          <t>p2: R$ 134.096,90</t>
        </is>
      </c>
      <c r="AP147" s="18" t="inlineStr">
        <is>
          <t>DEBTOR_LIST</t>
        </is>
      </c>
      <c r="AQ147" s="18" t="inlineStr">
        <is>
          <t>2026-07-28</t>
        </is>
      </c>
      <c r="AR147" s="18" t="inlineStr">
        <is>
          <t>QUARANTINED</t>
        </is>
      </c>
      <c r="AS147" s="18" t="inlineStr">
        <is>
          <t>PARTIAL_DOC_CLASS_III_RECONCILED ROWS:p2r47</t>
        </is>
      </c>
      <c r="AT147" s="18" t="inlineStr">
        <is>
          <t>088be5223af3</t>
        </is>
      </c>
    </row>
    <row r="148">
      <c r="A148" s="9" t="n">
        <v>147</v>
      </c>
      <c r="B148" s="9" t="inlineStr">
        <is>
          <t>NEW</t>
        </is>
      </c>
      <c r="C148" s="9" t="inlineStr"/>
      <c r="D148" s="9" t="n">
        <v>0</v>
      </c>
      <c r="E148" s="9" t="inlineStr"/>
      <c r="F148" s="9" t="inlineStr"/>
      <c r="G148" s="9" t="inlineStr"/>
      <c r="H148" s="9" t="inlineStr"/>
      <c r="I148" t="inlineStr">
        <is>
          <t>MAVICEL ADMINISTRADORA DE BENS PROPRIOS LTDA</t>
        </is>
      </c>
      <c r="J148" t="inlineStr">
        <is>
          <t>MAVICEL ADMINISTRADORA DE BENS PROPRIOS LTDA</t>
        </is>
      </c>
      <c r="K148" t="inlineStr">
        <is>
          <t>28168597</t>
        </is>
      </c>
      <c r="L148" t="inlineStr">
        <is>
          <t>28168597000105</t>
        </is>
      </c>
      <c r="M148" s="10" t="n">
        <v>134000</v>
      </c>
      <c r="N148" t="n">
        <v>1</v>
      </c>
      <c r="O148" s="11" t="inlineStr">
        <is>
          <t>D</t>
        </is>
      </c>
      <c r="P148" s="11" t="inlineStr"/>
      <c r="Q148" s="12" t="inlineStr"/>
      <c r="R148" s="11">
        <f>IF(Q148="","",ROUND((TODAY()-Q148)/365.25,1))</f>
        <v/>
      </c>
      <c r="S148" s="13">
        <f>IFERROR(VLOOKUP(O148,Assumptions!$A$7:$F$11,2,FALSE),0.25)</f>
        <v/>
      </c>
      <c r="T148" s="14">
        <f>IF(O148="A",MAX(1,IFERROR(VLOOKUP(O148,Assumptions!$A$7:$F$11,3,FALSE),3)+IFERROR(VLOOKUP(O148,Assumptions!$A$7:$F$11,4,FALSE),8)/2-MAX(0,IF(R148="",0,R148)-IFERROR(VLOOKUP(O148,Assumptions!$A$7:$F$11,5,FALSE),1.5))),IFERROR(VLOOKUP(O148,Assumptions!$A$7:$F$11,5,FALSE),2.5)+IFERROR(VLOOKUP(O148,Assumptions!$A$7:$F$11,3,FALSE),3)+IFERROR(VLOOKUP(O148,Assumptions!$A$7:$F$11,4,FALSE),8)/2)</f>
        <v/>
      </c>
      <c r="U148" s="15">
        <f>M148*S148/(1+Assumptions!$B$3)^T148</f>
        <v/>
      </c>
      <c r="V148" s="11">
        <f>IF(M148=0,"",ROUND(U148/M148*100,1))</f>
        <v/>
      </c>
      <c r="W148" s="16">
        <f>U148*Assumptions!$B$4</f>
        <v/>
      </c>
      <c r="X148" s="11">
        <f>IF(M148=0,"",ROUND(W148/M148*100,1))</f>
        <v/>
      </c>
      <c r="Y148" t="inlineStr">
        <is>
          <t>AGIMAX ESQUADRIAS METALICAS LTDA</t>
        </is>
      </c>
      <c r="Z148" t="inlineStr">
        <is>
          <t>5009529-81.2025.8.24.0019</t>
        </is>
      </c>
      <c r="AA148" t="inlineStr"/>
      <c r="AB148" t="inlineStr">
        <is>
          <t>scalzilliaj.com.br</t>
        </is>
      </c>
      <c r="AC148" t="inlineStr">
        <is>
          <t>MARLENE MARIA PALUDO GOEDERT</t>
        </is>
      </c>
      <c r="AD148" t="inlineStr">
        <is>
          <t>Sócio-Administrador</t>
        </is>
      </c>
      <c r="AE148" t="inlineStr">
        <is>
          <t>(49) 3442-1116</t>
        </is>
      </c>
      <c r="AF148" t="inlineStr"/>
      <c r="AG148" t="inlineStr"/>
      <c r="AH148" t="inlineStr">
        <is>
          <t>SC</t>
        </is>
      </c>
      <c r="AI148" t="inlineStr">
        <is>
          <t>CONCORDIA</t>
        </is>
      </c>
      <c r="AJ148" t="inlineStr">
        <is>
          <t>Aluguel de imóveis próprios</t>
        </is>
      </c>
      <c r="AK148" t="inlineStr">
        <is>
          <t>DEMAIS</t>
        </is>
      </c>
      <c r="AL148" t="inlineStr">
        <is>
          <t>ATIVA</t>
        </is>
      </c>
      <c r="AM148" s="17" t="inlineStr">
        <is>
          <t>https://scalzilliaj.com.br/sgc/download.php?file=files/processo_documento/processo_documento15180810062026_1_.pdf&amp;nome=10 - Relação de credores do art. 7º, §2º, da Lei 11.101/2005</t>
        </is>
      </c>
      <c r="AN148" s="18" t="inlineStr">
        <is>
          <t>p2 r11</t>
        </is>
      </c>
      <c r="AO148" s="18" t="inlineStr">
        <is>
          <t>p2: R$ 134.000,00</t>
        </is>
      </c>
      <c r="AP148" s="18" t="inlineStr">
        <is>
          <t>AJ_LIST</t>
        </is>
      </c>
      <c r="AQ148" s="18" t="inlineStr"/>
      <c r="AR148" s="18" t="inlineStr">
        <is>
          <t>OK_NO_TOTALS</t>
        </is>
      </c>
      <c r="AS148" s="18" t="inlineStr">
        <is>
          <t>ROWS:p2r11 UNRECONCILED_SOURCE</t>
        </is>
      </c>
      <c r="AT148" s="18" t="inlineStr">
        <is>
          <t>2e4641168857</t>
        </is>
      </c>
    </row>
    <row r="149">
      <c r="A149" s="9" t="n">
        <v>148</v>
      </c>
      <c r="B149" s="9" t="inlineStr">
        <is>
          <t>NEW</t>
        </is>
      </c>
      <c r="C149" s="9" t="inlineStr"/>
      <c r="D149" s="9" t="n">
        <v>0</v>
      </c>
      <c r="E149" s="9" t="inlineStr"/>
      <c r="F149" s="9" t="inlineStr"/>
      <c r="G149" s="9" t="inlineStr"/>
      <c r="H149" s="9" t="inlineStr"/>
      <c r="I149" t="inlineStr">
        <is>
          <t>ADLIM TERCEIRIZACAO DE MAO DE OBRA LTDA</t>
        </is>
      </c>
      <c r="J149" t="inlineStr">
        <is>
          <t>ADLIM TERCEIRIZACAO DE MAO DE OBRA LTDA – EPP, CPF/CNPJ/OAB nº</t>
        </is>
      </c>
      <c r="K149" t="inlineStr">
        <is>
          <t>41796508</t>
        </is>
      </c>
      <c r="L149" t="inlineStr">
        <is>
          <t>41796508000125</t>
        </is>
      </c>
      <c r="M149" s="10" t="n">
        <v>133478.03</v>
      </c>
      <c r="N149" t="n">
        <v>1</v>
      </c>
      <c r="O149" s="11" t="inlineStr">
        <is>
          <t>B</t>
        </is>
      </c>
      <c r="P149" s="11" t="inlineStr">
        <is>
          <t>ACTIVE</t>
        </is>
      </c>
      <c r="Q149" s="12" t="n">
        <v>45349</v>
      </c>
      <c r="R149" s="11">
        <f>IF(Q149="","",ROUND((TODAY()-Q149)/365.25,1))</f>
        <v/>
      </c>
      <c r="S149" s="13">
        <f>IFERROR(VLOOKUP(O149,Assumptions!$A$7:$F$11,2,FALSE),0.25)</f>
        <v/>
      </c>
      <c r="T149" s="14">
        <f>IF(O149="A",MAX(1,IFERROR(VLOOKUP(O149,Assumptions!$A$7:$F$11,3,FALSE),3)+IFERROR(VLOOKUP(O149,Assumptions!$A$7:$F$11,4,FALSE),8)/2-MAX(0,IF(R149="",0,R149)-IFERROR(VLOOKUP(O149,Assumptions!$A$7:$F$11,5,FALSE),1.5))),IFERROR(VLOOKUP(O149,Assumptions!$A$7:$F$11,5,FALSE),2.5)+IFERROR(VLOOKUP(O149,Assumptions!$A$7:$F$11,3,FALSE),3)+IFERROR(VLOOKUP(O149,Assumptions!$A$7:$F$11,4,FALSE),8)/2)</f>
        <v/>
      </c>
      <c r="U149" s="15">
        <f>M149*S149/(1+Assumptions!$B$3)^T149</f>
        <v/>
      </c>
      <c r="V149" s="11">
        <f>IF(M149=0,"",ROUND(U149/M149*100,1))</f>
        <v/>
      </c>
      <c r="W149" s="16">
        <f>U149*Assumptions!$B$4</f>
        <v/>
      </c>
      <c r="X149" s="11">
        <f>IF(M149=0,"",ROUND(W149/M149*100,1))</f>
        <v/>
      </c>
      <c r="Y149" t="inlineStr">
        <is>
          <t>GRUPO ADLIM</t>
        </is>
      </c>
      <c r="Z149" t="inlineStr">
        <is>
          <t>0019761-43.2024.8.17.2001</t>
        </is>
      </c>
      <c r="AA149" t="inlineStr">
        <is>
          <t>TJPE</t>
        </is>
      </c>
      <c r="AB149" t="inlineStr">
        <is>
          <t>lrflideres.com.br</t>
        </is>
      </c>
      <c r="AC149" t="inlineStr">
        <is>
          <t>JONAS ALVARENGA DA SILVA</t>
        </is>
      </c>
      <c r="AD149" t="inlineStr">
        <is>
          <t>Sócio-Administrador</t>
        </is>
      </c>
      <c r="AE149" t="inlineStr">
        <is>
          <t>(81) 3252-6115</t>
        </is>
      </c>
      <c r="AF149" t="inlineStr"/>
      <c r="AG149" t="inlineStr"/>
      <c r="AH149" t="inlineStr">
        <is>
          <t>PE</t>
        </is>
      </c>
      <c r="AI149" t="inlineStr">
        <is>
          <t>RECIFE</t>
        </is>
      </c>
      <c r="AJ149" t="inlineStr">
        <is>
          <t>Locação de mão-de-obra temporária</t>
        </is>
      </c>
      <c r="AK149" t="inlineStr">
        <is>
          <t>EMPRESA DE PEQUENO PORTE</t>
        </is>
      </c>
      <c r="AL149" t="inlineStr">
        <is>
          <t>ATIVA</t>
        </is>
      </c>
      <c r="AM149" s="17" t="inlineStr">
        <is>
          <t>https://lrflideres.com.br/wp-content/plugins/download-attachments/includes/download.php?id=6051</t>
        </is>
      </c>
      <c r="AN149" s="18" t="inlineStr">
        <is>
          <t>p67 r52</t>
        </is>
      </c>
      <c r="AO149" s="18" t="inlineStr">
        <is>
          <t>p67: R$ 133478,03</t>
        </is>
      </c>
      <c r="AP149" s="18" t="inlineStr">
        <is>
          <t>AJ_LIST</t>
        </is>
      </c>
      <c r="AQ149" s="18" t="inlineStr">
        <is>
          <t>2024-08-12</t>
        </is>
      </c>
      <c r="AR149" s="18" t="inlineStr">
        <is>
          <t>QUARANTINED</t>
        </is>
      </c>
      <c r="AS149" s="18" t="inlineStr">
        <is>
          <t>PARTIAL_DOC_CLASS_III_RECONCILED ROWS:p67r52</t>
        </is>
      </c>
      <c r="AT149" s="18" t="inlineStr">
        <is>
          <t>a32497797bac</t>
        </is>
      </c>
    </row>
    <row r="150">
      <c r="A150" s="9" t="n">
        <v>149</v>
      </c>
      <c r="B150" s="9" t="inlineStr">
        <is>
          <t>NEW</t>
        </is>
      </c>
      <c r="C150" s="9" t="inlineStr"/>
      <c r="D150" s="9" t="n">
        <v>0</v>
      </c>
      <c r="E150" s="9" t="inlineStr"/>
      <c r="F150" s="9" t="inlineStr"/>
      <c r="G150" s="9" t="inlineStr"/>
      <c r="H150" s="9" t="inlineStr"/>
      <c r="I150" t="inlineStr">
        <is>
          <t>INDUSTRIA DE MOVEIS TUBULARES LTDA</t>
        </is>
      </c>
      <c r="J150" t="inlineStr">
        <is>
          <t>05.307.607/0001-32</t>
        </is>
      </c>
      <c r="K150" t="inlineStr">
        <is>
          <t>05307607</t>
        </is>
      </c>
      <c r="L150" t="inlineStr">
        <is>
          <t>05307607000132</t>
        </is>
      </c>
      <c r="M150" s="10" t="n">
        <v>132833.98</v>
      </c>
      <c r="N150" t="n">
        <v>1</v>
      </c>
      <c r="O150" s="11" t="inlineStr">
        <is>
          <t>C</t>
        </is>
      </c>
      <c r="P150" s="11" t="inlineStr">
        <is>
          <t>ACTIVE</t>
        </is>
      </c>
      <c r="Q150" s="12" t="n">
        <v>43894</v>
      </c>
      <c r="R150" s="11">
        <f>IF(Q150="","",ROUND((TODAY()-Q150)/365.25,1))</f>
        <v/>
      </c>
      <c r="S150" s="13">
        <f>IFERROR(VLOOKUP(O150,Assumptions!$A$7:$F$11,2,FALSE),0.25)</f>
        <v/>
      </c>
      <c r="T150" s="14">
        <f>IF(O150="A",MAX(1,IFERROR(VLOOKUP(O150,Assumptions!$A$7:$F$11,3,FALSE),3)+IFERROR(VLOOKUP(O150,Assumptions!$A$7:$F$11,4,FALSE),8)/2-MAX(0,IF(R150="",0,R150)-IFERROR(VLOOKUP(O150,Assumptions!$A$7:$F$11,5,FALSE),1.5))),IFERROR(VLOOKUP(O150,Assumptions!$A$7:$F$11,5,FALSE),2.5)+IFERROR(VLOOKUP(O150,Assumptions!$A$7:$F$11,3,FALSE),3)+IFERROR(VLOOKUP(O150,Assumptions!$A$7:$F$11,4,FALSE),8)/2)</f>
        <v/>
      </c>
      <c r="U150" s="15">
        <f>M150*S150/(1+Assumptions!$B$3)^T150</f>
        <v/>
      </c>
      <c r="V150" s="11">
        <f>IF(M150=0,"",ROUND(U150/M150*100,1))</f>
        <v/>
      </c>
      <c r="W150" s="16">
        <f>U150*Assumptions!$B$4</f>
        <v/>
      </c>
      <c r="X150" s="11">
        <f>IF(M150=0,"",ROUND(W150/M150*100,1))</f>
        <v/>
      </c>
      <c r="Y150" t="inlineStr">
        <is>
          <t>CREDIMÓVEIS NOVOLAR LTDA.</t>
        </is>
      </c>
      <c r="Z150" t="inlineStr">
        <is>
          <t>0007565-40.2020.8.17.2370</t>
        </is>
      </c>
      <c r="AA150" t="inlineStr">
        <is>
          <t>TJPE</t>
        </is>
      </c>
      <c r="AB150" t="inlineStr">
        <is>
          <t>recuperacaojudicial.squarespace.com</t>
        </is>
      </c>
      <c r="AC150" t="inlineStr">
        <is>
          <t>JOSEILSON TAVARES DA SILVA</t>
        </is>
      </c>
      <c r="AD150" t="inlineStr">
        <is>
          <t>Sócio-Administrador</t>
        </is>
      </c>
      <c r="AE150" t="inlineStr">
        <is>
          <t>(79) 3411-1053</t>
        </is>
      </c>
      <c r="AF150" t="inlineStr"/>
      <c r="AG150" t="inlineStr"/>
      <c r="AH150" t="inlineStr">
        <is>
          <t>SE</t>
        </is>
      </c>
      <c r="AI150" t="inlineStr">
        <is>
          <t>NOSSA SENHORA DA GLORIA</t>
        </is>
      </c>
      <c r="AJ150" t="inlineStr">
        <is>
          <t>Fabricação de móveis com predominância de metal</t>
        </is>
      </c>
      <c r="AK150" t="inlineStr">
        <is>
          <t>DEMAIS</t>
        </is>
      </c>
      <c r="AL150" t="inlineStr">
        <is>
          <t>ATIVA</t>
        </is>
      </c>
      <c r="AM150" s="17" t="inlineStr">
        <is>
          <t>https://recuperacaojudicial.squarespace.com/s/RJ-Credimoveis-QGC-01082025.pdf</t>
        </is>
      </c>
      <c r="AN150" s="18" t="inlineStr">
        <is>
          <t>p15 r58</t>
        </is>
      </c>
      <c r="AO150" s="18" t="inlineStr">
        <is>
          <t>p15: R$ 132.833,98</t>
        </is>
      </c>
      <c r="AP150" s="18" t="inlineStr">
        <is>
          <t>QGC</t>
        </is>
      </c>
      <c r="AQ150" s="18" t="inlineStr">
        <is>
          <t>2026-01-28</t>
        </is>
      </c>
      <c r="AR150" s="18" t="inlineStr">
        <is>
          <t>OK</t>
        </is>
      </c>
      <c r="AS150" s="18" t="inlineStr">
        <is>
          <t>ROWS:p15r58</t>
        </is>
      </c>
      <c r="AT150" s="18" t="inlineStr">
        <is>
          <t>849d4fe5adce</t>
        </is>
      </c>
    </row>
    <row r="151">
      <c r="A151" s="9" t="n">
        <v>150</v>
      </c>
      <c r="B151" s="9" t="inlineStr">
        <is>
          <t>NEW</t>
        </is>
      </c>
      <c r="C151" s="9" t="inlineStr"/>
      <c r="D151" s="9" t="n">
        <v>0</v>
      </c>
      <c r="E151" s="9" t="inlineStr"/>
      <c r="F151" s="9" t="inlineStr"/>
      <c r="G151" s="9" t="inlineStr"/>
      <c r="H151" s="9" t="inlineStr"/>
      <c r="I151" t="inlineStr">
        <is>
          <t>ADLIPPERT DO BRASIL INDUSTRIA E COMERCIO DE PRODUTOS QUIMICOS LTDA</t>
        </is>
      </c>
      <c r="J151" t="inlineStr">
        <is>
          <t>ADLIPPERT DO BRASIL INDUSTRIA E COMERCIO DE PRODUTOS Q</t>
        </is>
      </c>
      <c r="K151" t="inlineStr">
        <is>
          <t>07735144</t>
        </is>
      </c>
      <c r="L151" t="inlineStr">
        <is>
          <t>07735144000135</t>
        </is>
      </c>
      <c r="M151" s="10" t="n">
        <v>132718.03</v>
      </c>
      <c r="N151" t="n">
        <v>1</v>
      </c>
      <c r="O151" s="11" t="inlineStr">
        <is>
          <t>B</t>
        </is>
      </c>
      <c r="P151" s="11" t="inlineStr">
        <is>
          <t>ACTIVE</t>
        </is>
      </c>
      <c r="Q151" s="12" t="n">
        <v>45425</v>
      </c>
      <c r="R151" s="11">
        <f>IF(Q151="","",ROUND((TODAY()-Q151)/365.25,1))</f>
        <v/>
      </c>
      <c r="S151" s="13">
        <f>IFERROR(VLOOKUP(O151,Assumptions!$A$7:$F$11,2,FALSE),0.25)</f>
        <v/>
      </c>
      <c r="T151" s="14">
        <f>IF(O151="A",MAX(1,IFERROR(VLOOKUP(O151,Assumptions!$A$7:$F$11,3,FALSE),3)+IFERROR(VLOOKUP(O151,Assumptions!$A$7:$F$11,4,FALSE),8)/2-MAX(0,IF(R151="",0,R151)-IFERROR(VLOOKUP(O151,Assumptions!$A$7:$F$11,5,FALSE),1.5))),IFERROR(VLOOKUP(O151,Assumptions!$A$7:$F$11,5,FALSE),2.5)+IFERROR(VLOOKUP(O151,Assumptions!$A$7:$F$11,3,FALSE),3)+IFERROR(VLOOKUP(O151,Assumptions!$A$7:$F$11,4,FALSE),8)/2)</f>
        <v/>
      </c>
      <c r="U151" s="15">
        <f>M151*S151/(1+Assumptions!$B$3)^T151</f>
        <v/>
      </c>
      <c r="V151" s="11">
        <f>IF(M151=0,"",ROUND(U151/M151*100,1))</f>
        <v/>
      </c>
      <c r="W151" s="16">
        <f>U151*Assumptions!$B$4</f>
        <v/>
      </c>
      <c r="X151" s="11">
        <f>IF(M151=0,"",ROUND(W151/M151*100,1))</f>
        <v/>
      </c>
      <c r="Y151" t="inlineStr">
        <is>
          <t>GRUPO DIVINA</t>
        </is>
      </c>
      <c r="Z151" t="inlineStr">
        <is>
          <t>0000721-61.2024.8.17.2620</t>
        </is>
      </c>
      <c r="AA151" t="inlineStr">
        <is>
          <t>TJPE</t>
        </is>
      </c>
      <c r="AB151" t="inlineStr">
        <is>
          <t>lrflideres.com.br</t>
        </is>
      </c>
      <c r="AC151" t="inlineStr">
        <is>
          <t>JOAQUIM ALEXANDRE LIPPERT</t>
        </is>
      </c>
      <c r="AD151" t="inlineStr">
        <is>
          <t>Sócio-Administrador</t>
        </is>
      </c>
      <c r="AE151" t="inlineStr">
        <is>
          <t>(51) 3592-6656</t>
        </is>
      </c>
      <c r="AF151" t="inlineStr"/>
      <c r="AG151" t="inlineStr"/>
      <c r="AH151" t="inlineStr">
        <is>
          <t>RS</t>
        </is>
      </c>
      <c r="AI151" t="inlineStr">
        <is>
          <t>BOM RETIRO DO SUL</t>
        </is>
      </c>
      <c r="AJ151" t="inlineStr">
        <is>
          <t>Fabricação de sabões e detergentes sintéticos</t>
        </is>
      </c>
      <c r="AK151" t="inlineStr">
        <is>
          <t>DEMAIS</t>
        </is>
      </c>
      <c r="AL151" t="inlineStr">
        <is>
          <t>ATIVA</t>
        </is>
      </c>
      <c r="AM151" s="17" t="inlineStr">
        <is>
          <t>https://lrflideres.com.br/wp-content/plugins/download-attachments/includes/download.php?id=6252</t>
        </is>
      </c>
      <c r="AN151" s="18" t="inlineStr">
        <is>
          <t>p2 r4</t>
        </is>
      </c>
      <c r="AO151" s="18" t="inlineStr">
        <is>
          <t>p2: R$ 132.718,03</t>
        </is>
      </c>
      <c r="AP151" s="18" t="inlineStr">
        <is>
          <t>AJ_LIST</t>
        </is>
      </c>
      <c r="AQ151" s="18" t="inlineStr">
        <is>
          <t>2024-11-27</t>
        </is>
      </c>
      <c r="AR151" s="18" t="inlineStr">
        <is>
          <t>QUARANTINED</t>
        </is>
      </c>
      <c r="AS151" s="18" t="inlineStr">
        <is>
          <t>PARTIAL_DOC_CLASS_III_RECONCILED ROWS:p2r4</t>
        </is>
      </c>
      <c r="AT151" s="18" t="inlineStr">
        <is>
          <t>38f0c15b8a2d</t>
        </is>
      </c>
    </row>
    <row r="152">
      <c r="A152" s="9" t="n">
        <v>151</v>
      </c>
      <c r="B152" s="9" t="inlineStr">
        <is>
          <t>NEW</t>
        </is>
      </c>
      <c r="C152" s="9" t="inlineStr"/>
      <c r="D152" s="9" t="n">
        <v>0</v>
      </c>
      <c r="E152" s="9" t="inlineStr"/>
      <c r="F152" s="9" t="inlineStr"/>
      <c r="G152" s="9" t="inlineStr"/>
      <c r="H152" s="9" t="inlineStr"/>
      <c r="I152" t="inlineStr">
        <is>
          <t>TECNOGRES REVESTIMENTOS CERAMICOS LTDA EM RECUPERACAO JUDICIAL</t>
        </is>
      </c>
      <c r="J152" t="inlineStr">
        <is>
          <t>TECNOGRES REVESTIMENTOS CERAMICOS LTDA</t>
        </is>
      </c>
      <c r="K152" t="inlineStr">
        <is>
          <t>04390556</t>
        </is>
      </c>
      <c r="L152" t="inlineStr">
        <is>
          <t>04390556000192</t>
        </is>
      </c>
      <c r="M152" s="10" t="n">
        <v>132626.41</v>
      </c>
      <c r="N152" t="n">
        <v>1</v>
      </c>
      <c r="O152" s="11" t="inlineStr">
        <is>
          <t>B</t>
        </is>
      </c>
      <c r="P152" s="11" t="inlineStr"/>
      <c r="Q152" s="12" t="n">
        <v>45785</v>
      </c>
      <c r="R152" s="11">
        <f>IF(Q152="","",ROUND((TODAY()-Q152)/365.25,1))</f>
        <v/>
      </c>
      <c r="S152" s="13">
        <f>IFERROR(VLOOKUP(O152,Assumptions!$A$7:$F$11,2,FALSE),0.25)</f>
        <v/>
      </c>
      <c r="T152" s="14">
        <f>IF(O152="A",MAX(1,IFERROR(VLOOKUP(O152,Assumptions!$A$7:$F$11,3,FALSE),3)+IFERROR(VLOOKUP(O152,Assumptions!$A$7:$F$11,4,FALSE),8)/2-MAX(0,IF(R152="",0,R152)-IFERROR(VLOOKUP(O152,Assumptions!$A$7:$F$11,5,FALSE),1.5))),IFERROR(VLOOKUP(O152,Assumptions!$A$7:$F$11,5,FALSE),2.5)+IFERROR(VLOOKUP(O152,Assumptions!$A$7:$F$11,3,FALSE),3)+IFERROR(VLOOKUP(O152,Assumptions!$A$7:$F$11,4,FALSE),8)/2)</f>
        <v/>
      </c>
      <c r="U152" s="15">
        <f>M152*S152/(1+Assumptions!$B$3)^T152</f>
        <v/>
      </c>
      <c r="V152" s="11">
        <f>IF(M152=0,"",ROUND(U152/M152*100,1))</f>
        <v/>
      </c>
      <c r="W152" s="16">
        <f>U152*Assumptions!$B$4</f>
        <v/>
      </c>
      <c r="X152" s="11">
        <f>IF(M152=0,"",ROUND(W152/M152*100,1))</f>
        <v/>
      </c>
      <c r="Y152" t="inlineStr">
        <is>
          <t>Grupo Pisebem</t>
        </is>
      </c>
      <c r="Z152" t="inlineStr">
        <is>
          <t>0700707-87.2025.8.02.0043</t>
        </is>
      </c>
      <c r="AA152" t="inlineStr">
        <is>
          <t>TJAL</t>
        </is>
      </c>
      <c r="AB152" t="inlineStr">
        <is>
          <t>recuperacaojudicial.squarespace.com</t>
        </is>
      </c>
      <c r="AC152" t="inlineStr">
        <is>
          <t>FILOMENA CRISTINA FRAGNANI</t>
        </is>
      </c>
      <c r="AD152" t="inlineStr">
        <is>
          <t>Administrador</t>
        </is>
      </c>
      <c r="AE152" t="inlineStr">
        <is>
          <t>(71) 2104-9300</t>
        </is>
      </c>
      <c r="AF152" t="inlineStr"/>
      <c r="AG152" t="inlineStr"/>
      <c r="AH152" t="inlineStr">
        <is>
          <t>BA</t>
        </is>
      </c>
      <c r="AI152" t="inlineStr">
        <is>
          <t>DIAS D'AVILA</t>
        </is>
      </c>
      <c r="AJ152" t="inlineStr">
        <is>
          <t>Fabricação de azulejos e pisos</t>
        </is>
      </c>
      <c r="AK152" t="inlineStr">
        <is>
          <t>DEMAIS</t>
        </is>
      </c>
      <c r="AL152" t="inlineStr">
        <is>
          <t>ATIVA</t>
        </is>
      </c>
      <c r="AM152" s="17" t="inlineStr">
        <is>
          <t>https://recuperacaojudicial.squarespace.com/s/EDITAL-COM-A-2-LISTA-DE-CREDORES-E-INFORMANDO-A-APRESENTACO-DO-PRJ_1532.pdf</t>
        </is>
      </c>
      <c r="AN152" s="18" t="inlineStr">
        <is>
          <t>p2 r18</t>
        </is>
      </c>
      <c r="AO152" s="18" t="inlineStr">
        <is>
          <t>p2: R$ 132.626,41</t>
        </is>
      </c>
      <c r="AP152" s="18" t="inlineStr">
        <is>
          <t>AJ_LIST</t>
        </is>
      </c>
      <c r="AQ152" s="18" t="inlineStr"/>
      <c r="AR152" s="18" t="inlineStr">
        <is>
          <t>OK_NO_TOTALS</t>
        </is>
      </c>
      <c r="AS152" s="18" t="inlineStr">
        <is>
          <t>ROWS:p2r18 UNRECONCILED_SOURCE CASE_NUMBER_CORRECTED</t>
        </is>
      </c>
      <c r="AT152" s="18" t="inlineStr">
        <is>
          <t>d7c426fbd475</t>
        </is>
      </c>
    </row>
    <row r="153">
      <c r="A153" s="9" t="n">
        <v>152</v>
      </c>
      <c r="B153" s="9" t="inlineStr">
        <is>
          <t>NEW</t>
        </is>
      </c>
      <c r="C153" s="9" t="inlineStr"/>
      <c r="D153" s="9" t="n">
        <v>0</v>
      </c>
      <c r="E153" s="9" t="inlineStr"/>
      <c r="F153" s="9" t="inlineStr"/>
      <c r="G153" s="9" t="inlineStr"/>
      <c r="H153" s="9" t="inlineStr"/>
      <c r="I153" t="inlineStr">
        <is>
          <t>SERVENG CIVILSAN S A EMPRESAS ASSOCIADAS DE ENGENHARIA</t>
        </is>
      </c>
      <c r="J153" t="inlineStr">
        <is>
          <t>Serveng Civisan S/A Empresas Associadas de Engenharia</t>
        </is>
      </c>
      <c r="K153" t="inlineStr">
        <is>
          <t>48540421</t>
        </is>
      </c>
      <c r="L153" t="inlineStr">
        <is>
          <t>48540421004200</t>
        </is>
      </c>
      <c r="M153" s="10" t="n">
        <v>132616.46</v>
      </c>
      <c r="N153" t="n">
        <v>1</v>
      </c>
      <c r="O153" s="11" t="inlineStr">
        <is>
          <t>B</t>
        </is>
      </c>
      <c r="P153" s="11" t="inlineStr"/>
      <c r="Q153" s="12" t="n">
        <v>45756</v>
      </c>
      <c r="R153" s="11">
        <f>IF(Q153="","",ROUND((TODAY()-Q153)/365.25,1))</f>
        <v/>
      </c>
      <c r="S153" s="13">
        <f>IFERROR(VLOOKUP(O153,Assumptions!$A$7:$F$11,2,FALSE),0.25)</f>
        <v/>
      </c>
      <c r="T153" s="14">
        <f>IF(O153="A",MAX(1,IFERROR(VLOOKUP(O153,Assumptions!$A$7:$F$11,3,FALSE),3)+IFERROR(VLOOKUP(O153,Assumptions!$A$7:$F$11,4,FALSE),8)/2-MAX(0,IF(R153="",0,R153)-IFERROR(VLOOKUP(O153,Assumptions!$A$7:$F$11,5,FALSE),1.5))),IFERROR(VLOOKUP(O153,Assumptions!$A$7:$F$11,5,FALSE),2.5)+IFERROR(VLOOKUP(O153,Assumptions!$A$7:$F$11,3,FALSE),3)+IFERROR(VLOOKUP(O153,Assumptions!$A$7:$F$11,4,FALSE),8)/2)</f>
        <v/>
      </c>
      <c r="U153" s="15">
        <f>M153*S153/(1+Assumptions!$B$3)^T153</f>
        <v/>
      </c>
      <c r="V153" s="11">
        <f>IF(M153=0,"",ROUND(U153/M153*100,1))</f>
        <v/>
      </c>
      <c r="W153" s="16">
        <f>U153*Assumptions!$B$4</f>
        <v/>
      </c>
      <c r="X153" s="11">
        <f>IF(M153=0,"",ROUND(W153/M153*100,1))</f>
        <v/>
      </c>
      <c r="Y153" t="inlineStr">
        <is>
          <t>GRUPO EGESA (EGESA ENG S.A, EGESUR PART E EMP S.A, MATRIX INFRA LTDA, BEMVIVER ENG AMBIENTAL E SERV LTDA, DKF CONST E EMP LTDA, EGEPEL LTDA, ETR ASSESSORIA EMP E PART LTDA, MVT ENG E SERV LTDA, PARQUES DO VALE LTDA, ELMO RIBEIRO E ANA RIBEIRO)</t>
        </is>
      </c>
      <c r="Z153" t="inlineStr">
        <is>
          <t>5088952-81.2025.8.13.0024</t>
        </is>
      </c>
      <c r="AA153" t="inlineStr">
        <is>
          <t>TJMG</t>
        </is>
      </c>
      <c r="AB153" t="inlineStr">
        <is>
          <t>scalzilliaj.com.br</t>
        </is>
      </c>
      <c r="AC153" t="inlineStr">
        <is>
          <t>MATHEUS LOPES RIBEIRO PENIDO</t>
        </is>
      </c>
      <c r="AD153" t="inlineStr">
        <is>
          <t>Presidente</t>
        </is>
      </c>
      <c r="AE153" t="inlineStr">
        <is>
          <t>(11) 2142-3000</t>
        </is>
      </c>
      <c r="AF153" t="inlineStr"/>
      <c r="AG153" t="inlineStr"/>
      <c r="AH153" t="inlineStr">
        <is>
          <t>SP</t>
        </is>
      </c>
      <c r="AI153" t="inlineStr">
        <is>
          <t>SAO PAULO</t>
        </is>
      </c>
      <c r="AJ153" t="inlineStr">
        <is>
          <t>Construção de rodovias e ferrovias</t>
        </is>
      </c>
      <c r="AK153" t="inlineStr">
        <is>
          <t>DEMAIS</t>
        </is>
      </c>
      <c r="AL153" t="inlineStr">
        <is>
          <t>ATIVA</t>
        </is>
      </c>
      <c r="AM153" s="17" t="inlineStr">
        <is>
          <t>https://scalzilliaj.com.br/sgc/download.php?file=files/processo_documento/processo_documento09514021082025_1_.pdf&amp;nome=04 - Relação de credores das Recuperandas</t>
        </is>
      </c>
      <c r="AN153" s="18" t="inlineStr">
        <is>
          <t>p73 r6</t>
        </is>
      </c>
      <c r="AO153" s="18" t="inlineStr">
        <is>
          <t>p73: R$ 132.616,46</t>
        </is>
      </c>
      <c r="AP153" s="18" t="inlineStr">
        <is>
          <t>DEBTOR_LIST</t>
        </is>
      </c>
      <c r="AQ153" s="18" t="inlineStr"/>
      <c r="AR153" s="18" t="inlineStr">
        <is>
          <t>OK</t>
        </is>
      </c>
      <c r="AS153" s="18" t="inlineStr">
        <is>
          <t>ROWS:p73r6 VALUE_COL:Valor_Atualizado CASE_NUMBER_CORRECTED CASE_FROM_PORTAL</t>
        </is>
      </c>
      <c r="AT153" s="18" t="inlineStr">
        <is>
          <t>24ed98480a57</t>
        </is>
      </c>
    </row>
    <row r="154">
      <c r="A154" s="9" t="n">
        <v>153</v>
      </c>
      <c r="B154" s="9" t="inlineStr">
        <is>
          <t>NEW</t>
        </is>
      </c>
      <c r="C154" s="9" t="inlineStr"/>
      <c r="D154" s="9" t="n">
        <v>0</v>
      </c>
      <c r="E154" s="9" t="inlineStr"/>
      <c r="F154" s="9" t="inlineStr"/>
      <c r="G154" s="9" t="inlineStr"/>
      <c r="H154" s="9" t="inlineStr"/>
      <c r="I154" t="inlineStr">
        <is>
          <t>FRIOCENTER PESCADOS INDUSTRIA E COMERCIO, IMPORTACAO E EXPORTACAO LTDA - EM RECUPERACAO JUDICIAL</t>
        </is>
      </c>
      <c r="J154" t="inlineStr">
        <is>
          <t>Friocenter Pescados</t>
        </is>
      </c>
      <c r="K154" t="inlineStr">
        <is>
          <t>08829450</t>
        </is>
      </c>
      <c r="L154" t="inlineStr">
        <is>
          <t>08829450000101</t>
        </is>
      </c>
      <c r="M154" s="10" t="n">
        <v>132610.24</v>
      </c>
      <c r="N154" t="n">
        <v>1</v>
      </c>
      <c r="O154" s="11" t="inlineStr">
        <is>
          <t>B</t>
        </is>
      </c>
      <c r="P154" s="11" t="inlineStr">
        <is>
          <t>ACTIVE</t>
        </is>
      </c>
      <c r="Q154" s="12" t="n">
        <v>46130</v>
      </c>
      <c r="R154" s="11">
        <f>IF(Q154="","",ROUND((TODAY()-Q154)/365.25,1))</f>
        <v/>
      </c>
      <c r="S154" s="13">
        <f>IFERROR(VLOOKUP(O154,Assumptions!$A$7:$F$11,2,FALSE),0.25)</f>
        <v/>
      </c>
      <c r="T154" s="14">
        <f>IF(O154="A",MAX(1,IFERROR(VLOOKUP(O154,Assumptions!$A$7:$F$11,3,FALSE),3)+IFERROR(VLOOKUP(O154,Assumptions!$A$7:$F$11,4,FALSE),8)/2-MAX(0,IF(R154="",0,R154)-IFERROR(VLOOKUP(O154,Assumptions!$A$7:$F$11,5,FALSE),1.5))),IFERROR(VLOOKUP(O154,Assumptions!$A$7:$F$11,5,FALSE),2.5)+IFERROR(VLOOKUP(O154,Assumptions!$A$7:$F$11,3,FALSE),3)+IFERROR(VLOOKUP(O154,Assumptions!$A$7:$F$11,4,FALSE),8)/2)</f>
        <v/>
      </c>
      <c r="U154" s="15">
        <f>M154*S154/(1+Assumptions!$B$3)^T154</f>
        <v/>
      </c>
      <c r="V154" s="11">
        <f>IF(M154=0,"",ROUND(U154/M154*100,1))</f>
        <v/>
      </c>
      <c r="W154" s="16">
        <f>U154*Assumptions!$B$4</f>
        <v/>
      </c>
      <c r="X154" s="11">
        <f>IF(M154=0,"",ROUND(W154/M154*100,1))</f>
        <v/>
      </c>
      <c r="Y154" t="inlineStr">
        <is>
          <t>GRUPO 3E</t>
        </is>
      </c>
      <c r="Z154" t="inlineStr">
        <is>
          <t>5341375-33.2026.8.09.0049</t>
        </is>
      </c>
      <c r="AA154" t="inlineStr">
        <is>
          <t>TJGO</t>
        </is>
      </c>
      <c r="AB154" t="inlineStr">
        <is>
          <t>stenius.com.br</t>
        </is>
      </c>
      <c r="AC154" t="inlineStr">
        <is>
          <t>ALESSANDRA PIMENTEL DE SOUSA FRANCISCO</t>
        </is>
      </c>
      <c r="AD154" t="inlineStr">
        <is>
          <t>Sócio-Administrador</t>
        </is>
      </c>
      <c r="AE154" t="inlineStr">
        <is>
          <t>(62) 3236-3300</t>
        </is>
      </c>
      <c r="AF154" t="inlineStr"/>
      <c r="AG154" t="inlineStr"/>
      <c r="AH154" t="inlineStr">
        <is>
          <t>GO</t>
        </is>
      </c>
      <c r="AI154" t="inlineStr">
        <is>
          <t>APARECIDA DE GOIANIA</t>
        </is>
      </c>
      <c r="AJ154" t="inlineStr">
        <is>
          <t>Fabricação de conservas de peixes, crustáceos e moluscos</t>
        </is>
      </c>
      <c r="AK154" t="inlineStr">
        <is>
          <t>DEMAIS</t>
        </is>
      </c>
      <c r="AL154" t="inlineStr">
        <is>
          <t>ATIVA</t>
        </is>
      </c>
      <c r="AM154" s="17" t="inlineStr">
        <is>
          <t>https://stenius.com.br/wp-content/uploads/2026/06/EDITAL-GRUPO-3E.pdf</t>
        </is>
      </c>
      <c r="AN154" s="18" t="inlineStr">
        <is>
          <t>p13 r57</t>
        </is>
      </c>
      <c r="AO154" s="18" t="inlineStr">
        <is>
          <t>p13: R$ 132.610,24</t>
        </is>
      </c>
      <c r="AP154" s="18" t="inlineStr">
        <is>
          <t>DEBTOR_LIST</t>
        </is>
      </c>
      <c r="AQ154" s="18" t="inlineStr">
        <is>
          <t>2026-06-22</t>
        </is>
      </c>
      <c r="AR154" s="18" t="inlineStr">
        <is>
          <t>OK_NO_TOTALS</t>
        </is>
      </c>
      <c r="AS154" s="18" t="inlineStr">
        <is>
          <t>ROWS:p13r57 UNRECONCILED_SOURCE</t>
        </is>
      </c>
      <c r="AT154" s="18" t="inlineStr">
        <is>
          <t>8e8832093a15</t>
        </is>
      </c>
    </row>
    <row r="155">
      <c r="A155" s="9" t="n">
        <v>154</v>
      </c>
      <c r="B155" s="9" t="inlineStr">
        <is>
          <t>NEW</t>
        </is>
      </c>
      <c r="C155" s="9" t="inlineStr"/>
      <c r="D155" s="9" t="n">
        <v>0</v>
      </c>
      <c r="E155" s="9" t="inlineStr"/>
      <c r="F155" s="9" t="inlineStr"/>
      <c r="G155" s="9" t="inlineStr"/>
      <c r="H155" s="9" t="inlineStr"/>
      <c r="I155" t="inlineStr">
        <is>
          <t>COMERCIAL FERRONORTE LTDA</t>
        </is>
      </c>
      <c r="J155" t="inlineStr">
        <is>
          <t>AV. CAMPOS SALES, 666, CENTRO - 64000-300, TERESINA - PI</t>
        </is>
      </c>
      <c r="K155" t="inlineStr">
        <is>
          <t>10320422</t>
        </is>
      </c>
      <c r="L155" t="inlineStr">
        <is>
          <t>10320422000106</t>
        </is>
      </c>
      <c r="M155" s="10" t="n">
        <v>131998.14</v>
      </c>
      <c r="N155" t="n">
        <v>1</v>
      </c>
      <c r="O155" s="11" t="inlineStr">
        <is>
          <t>C</t>
        </is>
      </c>
      <c r="P155" s="11" t="inlineStr"/>
      <c r="Q155" s="12" t="inlineStr"/>
      <c r="R155" s="11">
        <f>IF(Q155="","",ROUND((TODAY()-Q155)/365.25,1))</f>
        <v/>
      </c>
      <c r="S155" s="13">
        <f>IFERROR(VLOOKUP(O155,Assumptions!$A$7:$F$11,2,FALSE),0.25)</f>
        <v/>
      </c>
      <c r="T155" s="14">
        <f>IF(O155="A",MAX(1,IFERROR(VLOOKUP(O155,Assumptions!$A$7:$F$11,3,FALSE),3)+IFERROR(VLOOKUP(O155,Assumptions!$A$7:$F$11,4,FALSE),8)/2-MAX(0,IF(R155="",0,R155)-IFERROR(VLOOKUP(O155,Assumptions!$A$7:$F$11,5,FALSE),1.5))),IFERROR(VLOOKUP(O155,Assumptions!$A$7:$F$11,5,FALSE),2.5)+IFERROR(VLOOKUP(O155,Assumptions!$A$7:$F$11,3,FALSE),3)+IFERROR(VLOOKUP(O155,Assumptions!$A$7:$F$11,4,FALSE),8)/2)</f>
        <v/>
      </c>
      <c r="U155" s="15">
        <f>M155*S155/(1+Assumptions!$B$3)^T155</f>
        <v/>
      </c>
      <c r="V155" s="11">
        <f>IF(M155=0,"",ROUND(U155/M155*100,1))</f>
        <v/>
      </c>
      <c r="W155" s="16">
        <f>U155*Assumptions!$B$4</f>
        <v/>
      </c>
      <c r="X155" s="11">
        <f>IF(M155=0,"",ROUND(W155/M155*100,1))</f>
        <v/>
      </c>
      <c r="Y155" t="inlineStr">
        <is>
          <t>Roque Materiais para Construção</t>
        </is>
      </c>
      <c r="Z155" t="inlineStr">
        <is>
          <t>0802426-35.2019.8.10.0000</t>
        </is>
      </c>
      <c r="AA155" t="inlineStr"/>
      <c r="AB155" t="inlineStr">
        <is>
          <t>realbrasil.com.br</t>
        </is>
      </c>
      <c r="AC155" t="inlineStr">
        <is>
          <t>ANTONIO JOSE DO NASCIMENTO</t>
        </is>
      </c>
      <c r="AD155" t="inlineStr">
        <is>
          <t>Sócio-Administrador</t>
        </is>
      </c>
      <c r="AE155" t="inlineStr">
        <is>
          <t>(86) 3215-1869</t>
        </is>
      </c>
      <c r="AF155" t="inlineStr">
        <is>
          <t>(86) 3215-1898</t>
        </is>
      </c>
      <c r="AG155" t="inlineStr"/>
      <c r="AH155" t="inlineStr">
        <is>
          <t>PI</t>
        </is>
      </c>
      <c r="AI155" t="inlineStr">
        <is>
          <t>TERESINA</t>
        </is>
      </c>
      <c r="AJ155" t="inlineStr">
        <is>
          <t>Comércio varejista de ferragens e ferramentas</t>
        </is>
      </c>
      <c r="AK155" t="inlineStr">
        <is>
          <t>DEMAIS</t>
        </is>
      </c>
      <c r="AL155" t="inlineStr">
        <is>
          <t>ATIVA</t>
        </is>
      </c>
      <c r="AM155" s="17" t="inlineStr">
        <is>
          <t>https://realbrasil.com.br/wp-content/uploads/2018/06/2_LISTA-DE-CREDORES-DA-RECUPERANDA_ROQUE.pdf</t>
        </is>
      </c>
      <c r="AN155" s="18" t="inlineStr">
        <is>
          <t>p2 r10</t>
        </is>
      </c>
      <c r="AO155" s="18" t="inlineStr">
        <is>
          <t>p2: R$ 131.998,14</t>
        </is>
      </c>
      <c r="AP155" s="18" t="inlineStr">
        <is>
          <t>UNKNOWN</t>
        </is>
      </c>
      <c r="AQ155" s="18" t="inlineStr"/>
      <c r="AR155" s="18" t="inlineStr">
        <is>
          <t>OK</t>
        </is>
      </c>
      <c r="AS155" s="18" t="inlineStr">
        <is>
          <t>ROWS:p2r10 VALUE_COL:Saldo_Total</t>
        </is>
      </c>
      <c r="AT155" s="18" t="inlineStr">
        <is>
          <t>d85bdfbfbdc8</t>
        </is>
      </c>
    </row>
    <row r="156">
      <c r="A156" s="9" t="n">
        <v>155</v>
      </c>
      <c r="B156" s="9" t="inlineStr">
        <is>
          <t>NEW</t>
        </is>
      </c>
      <c r="C156" s="9" t="inlineStr"/>
      <c r="D156" s="9" t="n">
        <v>0</v>
      </c>
      <c r="E156" s="9" t="inlineStr"/>
      <c r="F156" s="9" t="inlineStr"/>
      <c r="G156" s="9" t="inlineStr"/>
      <c r="H156" s="9" t="inlineStr"/>
      <c r="I156" t="inlineStr">
        <is>
          <t>M CASSAB COMERCIO E INDUSTRIA LTDA</t>
        </is>
      </c>
      <c r="J156" t="inlineStr">
        <is>
          <t>M CASSAB COMERCIO E INDUSTRIA LTDA</t>
        </is>
      </c>
      <c r="K156" t="inlineStr">
        <is>
          <t>49698723</t>
        </is>
      </c>
      <c r="L156" t="inlineStr">
        <is>
          <t>49698723000103</t>
        </is>
      </c>
      <c r="M156" s="10" t="n">
        <v>131926.28</v>
      </c>
      <c r="N156" t="n">
        <v>1</v>
      </c>
      <c r="O156" s="11" t="inlineStr">
        <is>
          <t>U</t>
        </is>
      </c>
      <c r="P156" s="11" t="inlineStr"/>
      <c r="Q156" s="12" t="inlineStr"/>
      <c r="R156" s="11">
        <f>IF(Q156="","",ROUND((TODAY()-Q156)/365.25,1))</f>
        <v/>
      </c>
      <c r="S156" s="13">
        <f>IFERROR(VLOOKUP(O156,Assumptions!$A$7:$F$11,2,FALSE),0.25)</f>
        <v/>
      </c>
      <c r="T156" s="14">
        <f>IF(O156="A",MAX(1,IFERROR(VLOOKUP(O156,Assumptions!$A$7:$F$11,3,FALSE),3)+IFERROR(VLOOKUP(O156,Assumptions!$A$7:$F$11,4,FALSE),8)/2-MAX(0,IF(R156="",0,R156)-IFERROR(VLOOKUP(O156,Assumptions!$A$7:$F$11,5,FALSE),1.5))),IFERROR(VLOOKUP(O156,Assumptions!$A$7:$F$11,5,FALSE),2.5)+IFERROR(VLOOKUP(O156,Assumptions!$A$7:$F$11,3,FALSE),3)+IFERROR(VLOOKUP(O156,Assumptions!$A$7:$F$11,4,FALSE),8)/2)</f>
        <v/>
      </c>
      <c r="U156" s="15">
        <f>M156*S156/(1+Assumptions!$B$3)^T156</f>
        <v/>
      </c>
      <c r="V156" s="11">
        <f>IF(M156=0,"",ROUND(U156/M156*100,1))</f>
        <v/>
      </c>
      <c r="W156" s="16">
        <f>U156*Assumptions!$B$4</f>
        <v/>
      </c>
      <c r="X156" s="11">
        <f>IF(M156=0,"",ROUND(W156/M156*100,1))</f>
        <v/>
      </c>
      <c r="Y156" t="inlineStr"/>
      <c r="Z156" t="inlineStr">
        <is>
          <t>(not found in document)</t>
        </is>
      </c>
      <c r="AA156" t="inlineStr"/>
      <c r="AB156" t="inlineStr">
        <is>
          <t>bernardobicalho.com.br</t>
        </is>
      </c>
      <c r="AC156" t="inlineStr">
        <is>
          <t>MARIO SERGIO CUTAIT</t>
        </is>
      </c>
      <c r="AD156" t="inlineStr">
        <is>
          <t>Administrador</t>
        </is>
      </c>
      <c r="AE156" t="inlineStr">
        <is>
          <t>(11) 2162-7700</t>
        </is>
      </c>
      <c r="AF156" t="inlineStr">
        <is>
          <t>(11) 2162-7751</t>
        </is>
      </c>
      <c r="AG156" t="inlineStr"/>
      <c r="AH156" t="inlineStr">
        <is>
          <t>SP</t>
        </is>
      </c>
      <c r="AI156" t="inlineStr">
        <is>
          <t>SAO PAULO</t>
        </is>
      </c>
      <c r="AJ156" t="inlineStr">
        <is>
          <t>Comércio atacadista especializado em outros produtos intermediários não especificados anteriormente</t>
        </is>
      </c>
      <c r="AK156" t="inlineStr">
        <is>
          <t>DEMAIS</t>
        </is>
      </c>
      <c r="AL156" t="inlineStr">
        <is>
          <t>ATIVA</t>
        </is>
      </c>
      <c r="AM156" s="17" t="inlineStr">
        <is>
          <t>http://bernardobicalho.com.br/login/app/documents/Rela%C3%A7%C3%A3o%20de%20Credores/6.%20RVC-%20Nutricium%20-%20simplificada.pdf</t>
        </is>
      </c>
      <c r="AN156" s="18" t="inlineStr">
        <is>
          <t>p3 r23</t>
        </is>
      </c>
      <c r="AO156" s="18" t="inlineStr">
        <is>
          <t>p3: R$ 131.926,28</t>
        </is>
      </c>
      <c r="AP156" s="18" t="inlineStr">
        <is>
          <t>AJ_LIST</t>
        </is>
      </c>
      <c r="AQ156" s="18" t="inlineStr"/>
      <c r="AR156" s="18" t="inlineStr">
        <is>
          <t>OK</t>
        </is>
      </c>
      <c r="AS156" s="18" t="inlineStr">
        <is>
          <t>CASE_NUMBER_MISSING ROWS:p3r23</t>
        </is>
      </c>
      <c r="AT156" s="18" t="inlineStr">
        <is>
          <t>6a92d74da333</t>
        </is>
      </c>
    </row>
    <row r="157">
      <c r="A157" s="9" t="n">
        <v>156</v>
      </c>
      <c r="B157" s="9" t="inlineStr">
        <is>
          <t>NEW</t>
        </is>
      </c>
      <c r="C157" s="9" t="inlineStr"/>
      <c r="D157" s="9" t="n">
        <v>0</v>
      </c>
      <c r="E157" s="9" t="inlineStr"/>
      <c r="F157" s="9" t="inlineStr"/>
      <c r="G157" s="9" t="inlineStr"/>
      <c r="H157" s="9" t="inlineStr"/>
      <c r="I157" t="inlineStr">
        <is>
          <t>VIDEPLAST INDUSTRIA DE EMBALAGENS LTDA</t>
        </is>
      </c>
      <c r="J157" t="inlineStr">
        <is>
          <t>Videplast Industria De Embalagens Ltda</t>
        </is>
      </c>
      <c r="K157" t="inlineStr">
        <is>
          <t>79687588</t>
        </is>
      </c>
      <c r="L157" t="inlineStr">
        <is>
          <t>79687588000153, 79687588000587</t>
        </is>
      </c>
      <c r="M157" s="10" t="n">
        <v>131892.77</v>
      </c>
      <c r="N157" t="n">
        <v>2</v>
      </c>
      <c r="O157" s="11" t="inlineStr">
        <is>
          <t>B</t>
        </is>
      </c>
      <c r="P157" s="11" t="inlineStr">
        <is>
          <t>ACTIVE</t>
        </is>
      </c>
      <c r="Q157" s="12" t="n">
        <v>46130</v>
      </c>
      <c r="R157" s="11">
        <f>IF(Q157="","",ROUND((TODAY()-Q157)/365.25,1))</f>
        <v/>
      </c>
      <c r="S157" s="13">
        <f>IFERROR(VLOOKUP(O157,Assumptions!$A$7:$F$11,2,FALSE),0.25)</f>
        <v/>
      </c>
      <c r="T157" s="14">
        <f>IF(O157="A",MAX(1,IFERROR(VLOOKUP(O157,Assumptions!$A$7:$F$11,3,FALSE),3)+IFERROR(VLOOKUP(O157,Assumptions!$A$7:$F$11,4,FALSE),8)/2-MAX(0,IF(R157="",0,R157)-IFERROR(VLOOKUP(O157,Assumptions!$A$7:$F$11,5,FALSE),1.5))),IFERROR(VLOOKUP(O157,Assumptions!$A$7:$F$11,5,FALSE),2.5)+IFERROR(VLOOKUP(O157,Assumptions!$A$7:$F$11,3,FALSE),3)+IFERROR(VLOOKUP(O157,Assumptions!$A$7:$F$11,4,FALSE),8)/2)</f>
        <v/>
      </c>
      <c r="U157" s="15">
        <f>M157*S157/(1+Assumptions!$B$3)^T157</f>
        <v/>
      </c>
      <c r="V157" s="11">
        <f>IF(M157=0,"",ROUND(U157/M157*100,1))</f>
        <v/>
      </c>
      <c r="W157" s="16">
        <f>U157*Assumptions!$B$4</f>
        <v/>
      </c>
      <c r="X157" s="11">
        <f>IF(M157=0,"",ROUND(W157/M157*100,1))</f>
        <v/>
      </c>
      <c r="Y157" t="inlineStr">
        <is>
          <t>GRUPO 3E</t>
        </is>
      </c>
      <c r="Z157" t="inlineStr">
        <is>
          <t>5341375-33.2026.8.09.0049</t>
        </is>
      </c>
      <c r="AA157" t="inlineStr">
        <is>
          <t>TJGO</t>
        </is>
      </c>
      <c r="AB157" t="inlineStr">
        <is>
          <t>stenius.com.br</t>
        </is>
      </c>
      <c r="AC157" t="inlineStr">
        <is>
          <t>BRUNA DE NARDI</t>
        </is>
      </c>
      <c r="AD157" t="inlineStr">
        <is>
          <t>Administrador</t>
        </is>
      </c>
      <c r="AE157" t="inlineStr">
        <is>
          <t>(49) 3566-9600</t>
        </is>
      </c>
      <c r="AF157" t="inlineStr"/>
      <c r="AG157" t="inlineStr"/>
      <c r="AH157" t="inlineStr">
        <is>
          <t>SC</t>
        </is>
      </c>
      <c r="AI157" t="inlineStr">
        <is>
          <t>VIDEIRA</t>
        </is>
      </c>
      <c r="AJ157" t="inlineStr">
        <is>
          <t>Fabricação de embalagens de material plástico</t>
        </is>
      </c>
      <c r="AK157" t="inlineStr">
        <is>
          <t>DEMAIS</t>
        </is>
      </c>
      <c r="AL157" t="inlineStr">
        <is>
          <t>ATIVA</t>
        </is>
      </c>
      <c r="AM157" s="17" t="inlineStr">
        <is>
          <t>https://stenius.com.br/wp-content/uploads/2026/06/EDITAL-GRUPO-3E.pdf</t>
        </is>
      </c>
      <c r="AN157" s="18" t="inlineStr">
        <is>
          <t>p18 r66; p18 r67</t>
        </is>
      </c>
      <c r="AO157" s="18" t="inlineStr">
        <is>
          <t>p18: R$ 5.090,14; p18: R$ 126.802,63</t>
        </is>
      </c>
      <c r="AP157" s="18" t="inlineStr">
        <is>
          <t>DEBTOR_LIST</t>
        </is>
      </c>
      <c r="AQ157" s="18" t="inlineStr">
        <is>
          <t>2026-06-22</t>
        </is>
      </c>
      <c r="AR157" s="18" t="inlineStr">
        <is>
          <t>OK_NO_TOTALS</t>
        </is>
      </c>
      <c r="AS157" s="18" t="inlineStr">
        <is>
          <t>ROWS:p18r66,p18r67 UNRECONCILED_SOURCE</t>
        </is>
      </c>
      <c r="AT157" s="18" t="inlineStr">
        <is>
          <t>8e8832093a15</t>
        </is>
      </c>
    </row>
    <row r="158">
      <c r="A158" s="9" t="n">
        <v>157</v>
      </c>
      <c r="B158" s="9" t="inlineStr">
        <is>
          <t>NEW</t>
        </is>
      </c>
      <c r="C158" s="9" t="inlineStr"/>
      <c r="D158" s="9" t="n">
        <v>0</v>
      </c>
      <c r="E158" s="9" t="inlineStr"/>
      <c r="F158" s="9" t="inlineStr"/>
      <c r="G158" s="9" t="inlineStr"/>
      <c r="H158" s="9" t="inlineStr"/>
      <c r="I158" t="inlineStr">
        <is>
          <t>COMPANHIA DE ALIMENTOS DO NORDESTE CIALNE</t>
        </is>
      </c>
      <c r="J158" t="inlineStr">
        <is>
          <t>COMPANHIA DE ALIMENTOSDO NORDESTE CIALNE</t>
        </is>
      </c>
      <c r="K158" t="inlineStr">
        <is>
          <t>07220874</t>
        </is>
      </c>
      <c r="L158" t="inlineStr">
        <is>
          <t>07220874000101</t>
        </is>
      </c>
      <c r="M158" s="10" t="n">
        <v>131836.89</v>
      </c>
      <c r="N158" t="n">
        <v>1</v>
      </c>
      <c r="O158" s="11" t="inlineStr">
        <is>
          <t>C</t>
        </is>
      </c>
      <c r="P158" s="11" t="inlineStr"/>
      <c r="Q158" s="12" t="inlineStr"/>
      <c r="R158" s="11">
        <f>IF(Q158="","",ROUND((TODAY()-Q158)/365.25,1))</f>
        <v/>
      </c>
      <c r="S158" s="13">
        <f>IFERROR(VLOOKUP(O158,Assumptions!$A$7:$F$11,2,FALSE),0.25)</f>
        <v/>
      </c>
      <c r="T158" s="14">
        <f>IF(O158="A",MAX(1,IFERROR(VLOOKUP(O158,Assumptions!$A$7:$F$11,3,FALSE),3)+IFERROR(VLOOKUP(O158,Assumptions!$A$7:$F$11,4,FALSE),8)/2-MAX(0,IF(R158="",0,R158)-IFERROR(VLOOKUP(O158,Assumptions!$A$7:$F$11,5,FALSE),1.5))),IFERROR(VLOOKUP(O158,Assumptions!$A$7:$F$11,5,FALSE),2.5)+IFERROR(VLOOKUP(O158,Assumptions!$A$7:$F$11,3,FALSE),3)+IFERROR(VLOOKUP(O158,Assumptions!$A$7:$F$11,4,FALSE),8)/2)</f>
        <v/>
      </c>
      <c r="U158" s="15">
        <f>M158*S158/(1+Assumptions!$B$3)^T158</f>
        <v/>
      </c>
      <c r="V158" s="11">
        <f>IF(M158=0,"",ROUND(U158/M158*100,1))</f>
        <v/>
      </c>
      <c r="W158" s="16">
        <f>U158*Assumptions!$B$4</f>
        <v/>
      </c>
      <c r="X158" s="11">
        <f>IF(M158=0,"",ROUND(W158/M158*100,1))</f>
        <v/>
      </c>
      <c r="Y158" t="inlineStr">
        <is>
          <t>AGROPECUÁRIA SERROTE REDONDO</t>
        </is>
      </c>
      <c r="Z158" t="inlineStr">
        <is>
          <t>0000206-69.2013.8.17.1340</t>
        </is>
      </c>
      <c r="AA158" t="inlineStr"/>
      <c r="AB158" t="inlineStr">
        <is>
          <t>lrflideres.com.br</t>
        </is>
      </c>
      <c r="AC158" t="inlineStr">
        <is>
          <t>IVAN ANTONIO PERUZZO</t>
        </is>
      </c>
      <c r="AD158" t="inlineStr">
        <is>
          <t>Presidente</t>
        </is>
      </c>
      <c r="AE158" t="inlineStr">
        <is>
          <t>(85) 3477-2700</t>
        </is>
      </c>
      <c r="AF158" t="inlineStr"/>
      <c r="AG158" t="inlineStr"/>
      <c r="AH158" t="inlineStr">
        <is>
          <t>CE</t>
        </is>
      </c>
      <c r="AI158" t="inlineStr">
        <is>
          <t>FORTALEZA</t>
        </is>
      </c>
      <c r="AJ158" t="inlineStr">
        <is>
          <t>Produção de pintos de um dia</t>
        </is>
      </c>
      <c r="AK158" t="inlineStr">
        <is>
          <t>DEMAIS</t>
        </is>
      </c>
      <c r="AL158" t="inlineStr">
        <is>
          <t>ATIVA</t>
        </is>
      </c>
      <c r="AM158" s="17" t="inlineStr">
        <is>
          <t>https://lrflideres.com.br/wp-content/plugins/download-attachments/includes/download.php?id=5001</t>
        </is>
      </c>
      <c r="AN158" s="18" t="inlineStr">
        <is>
          <t>p1 r27</t>
        </is>
      </c>
      <c r="AO158" s="18" t="inlineStr">
        <is>
          <t>p1: R$ 131.836,89</t>
        </is>
      </c>
      <c r="AP158" s="18" t="inlineStr">
        <is>
          <t>UNKNOWN</t>
        </is>
      </c>
      <c r="AQ158" s="18" t="inlineStr"/>
      <c r="AR158" s="18" t="inlineStr">
        <is>
          <t>OK</t>
        </is>
      </c>
      <c r="AS158" s="18" t="inlineStr">
        <is>
          <t>ALT_VALUE:131.836,89 ROWS:p1r27 VALUE_COL:Valor_Atualizado</t>
        </is>
      </c>
      <c r="AT158" s="18" t="inlineStr">
        <is>
          <t>7c0ce2830d0d</t>
        </is>
      </c>
    </row>
    <row r="159">
      <c r="A159" s="9" t="n">
        <v>158</v>
      </c>
      <c r="B159" s="9" t="inlineStr">
        <is>
          <t>NEW</t>
        </is>
      </c>
      <c r="C159" s="9" t="inlineStr"/>
      <c r="D159" s="9" t="n">
        <v>0</v>
      </c>
      <c r="E159" s="9" t="inlineStr"/>
      <c r="F159" s="9" t="inlineStr"/>
      <c r="G159" s="9" t="inlineStr"/>
      <c r="H159" s="9" t="inlineStr"/>
      <c r="I159" t="inlineStr">
        <is>
          <t>STOCK MED S/A EM RECUPERACAO JUDICIAL</t>
        </is>
      </c>
      <c r="J159" t="inlineStr">
        <is>
          <t>STOCK MED PRODUTOS MEDICO HOSP (</t>
        </is>
      </c>
      <c r="K159" t="inlineStr">
        <is>
          <t>06106005</t>
        </is>
      </c>
      <c r="L159" t="inlineStr">
        <is>
          <t>06106005000180</t>
        </is>
      </c>
      <c r="M159" s="10" t="n">
        <v>130228.38</v>
      </c>
      <c r="N159" t="n">
        <v>1</v>
      </c>
      <c r="O159" s="11" t="inlineStr">
        <is>
          <t>C</t>
        </is>
      </c>
      <c r="P159" s="11" t="inlineStr">
        <is>
          <t>ACTIVE</t>
        </is>
      </c>
      <c r="Q159" s="12" t="n">
        <v>44735</v>
      </c>
      <c r="R159" s="11">
        <f>IF(Q159="","",ROUND((TODAY()-Q159)/365.25,1))</f>
        <v/>
      </c>
      <c r="S159" s="13">
        <f>IFERROR(VLOOKUP(O159,Assumptions!$A$7:$F$11,2,FALSE),0.25)</f>
        <v/>
      </c>
      <c r="T159" s="14">
        <f>IF(O159="A",MAX(1,IFERROR(VLOOKUP(O159,Assumptions!$A$7:$F$11,3,FALSE),3)+IFERROR(VLOOKUP(O159,Assumptions!$A$7:$F$11,4,FALSE),8)/2-MAX(0,IF(R159="",0,R159)-IFERROR(VLOOKUP(O159,Assumptions!$A$7:$F$11,5,FALSE),1.5))),IFERROR(VLOOKUP(O159,Assumptions!$A$7:$F$11,5,FALSE),2.5)+IFERROR(VLOOKUP(O159,Assumptions!$A$7:$F$11,3,FALSE),3)+IFERROR(VLOOKUP(O159,Assumptions!$A$7:$F$11,4,FALSE),8)/2)</f>
        <v/>
      </c>
      <c r="U159" s="15">
        <f>M159*S159/(1+Assumptions!$B$3)^T159</f>
        <v/>
      </c>
      <c r="V159" s="11">
        <f>IF(M159=0,"",ROUND(U159/M159*100,1))</f>
        <v/>
      </c>
      <c r="W159" s="16">
        <f>U159*Assumptions!$B$4</f>
        <v/>
      </c>
      <c r="X159" s="11">
        <f>IF(M159=0,"",ROUND(W159/M159*100,1))</f>
        <v/>
      </c>
      <c r="Y159" t="inlineStr">
        <is>
          <t>ASSOCIAÇÃO DE CARIDADE SANTA CASA DO RIO GRANDE</t>
        </is>
      </c>
      <c r="Z159" t="inlineStr">
        <is>
          <t>5012306-16.2022.8.21.0023</t>
        </is>
      </c>
      <c r="AA159" t="inlineStr">
        <is>
          <t>TJRS</t>
        </is>
      </c>
      <c r="AB159" t="inlineStr">
        <is>
          <t>scalzilliaj.com.br</t>
        </is>
      </c>
      <c r="AC159" t="inlineStr">
        <is>
          <t>FERNANDO HENRIQUE MOSSMANN</t>
        </is>
      </c>
      <c r="AD159" t="inlineStr">
        <is>
          <t>Diretor</t>
        </is>
      </c>
      <c r="AE159" t="inlineStr">
        <is>
          <t>(51) 3715-1296</t>
        </is>
      </c>
      <c r="AF159" t="inlineStr">
        <is>
          <t>(51) 2109-7000</t>
        </is>
      </c>
      <c r="AG159" t="inlineStr"/>
      <c r="AH159" t="inlineStr">
        <is>
          <t>RS</t>
        </is>
      </c>
      <c r="AI159" t="inlineStr">
        <is>
          <t>SANTA CRUZ DO SUL</t>
        </is>
      </c>
      <c r="AJ159" t="inlineStr">
        <is>
          <t>Comércio atacadista de medicamentos e drogas de uso humano</t>
        </is>
      </c>
      <c r="AK159" t="inlineStr">
        <is>
          <t>DEMAIS</t>
        </is>
      </c>
      <c r="AL159" t="inlineStr">
        <is>
          <t>ATIVA</t>
        </is>
      </c>
      <c r="AM159" s="17" t="inlineStr">
        <is>
          <t>https://scalzilliaj.com.br/sgc/download.php?file=files/processo_documento/processo_documento09120721032023_1_.pdf&amp;nome=15 - Edital do art. 7º, §2º e 53 da Lei 11.101/2005 (segunda lista de credores e recebimento do plano))</t>
        </is>
      </c>
      <c r="AN159" s="18" t="inlineStr">
        <is>
          <t>p30 r4</t>
        </is>
      </c>
      <c r="AO159" s="18" t="inlineStr">
        <is>
          <t>p30: R$ 130.228,38</t>
        </is>
      </c>
      <c r="AP159" s="18" t="inlineStr">
        <is>
          <t>AJ_LIST</t>
        </is>
      </c>
      <c r="AQ159" s="18" t="inlineStr">
        <is>
          <t>2023-03-21</t>
        </is>
      </c>
      <c r="AR159" s="18" t="inlineStr">
        <is>
          <t>OK_NO_TOTALS</t>
        </is>
      </c>
      <c r="AS159" s="18" t="inlineStr">
        <is>
          <t>ROWS:p30r4 UNRECONCILED_SOURCE</t>
        </is>
      </c>
      <c r="AT159" s="18" t="inlineStr">
        <is>
          <t>ebfb999b457c</t>
        </is>
      </c>
    </row>
    <row r="160">
      <c r="A160" s="9" t="n">
        <v>159</v>
      </c>
      <c r="B160" s="9" t="inlineStr">
        <is>
          <t>NEW</t>
        </is>
      </c>
      <c r="C160" s="9" t="inlineStr"/>
      <c r="D160" s="9" t="n">
        <v>0</v>
      </c>
      <c r="E160" s="9" t="inlineStr"/>
      <c r="F160" s="9" t="inlineStr"/>
      <c r="G160" s="9" t="inlineStr"/>
      <c r="H160" s="9" t="inlineStr"/>
      <c r="I160" t="inlineStr">
        <is>
          <t>TRIMAK ENGENHARIA E COMERCIO S/A</t>
        </is>
      </c>
      <c r="J160" t="inlineStr">
        <is>
          <t>Trimak Engenharia e Comércio Ltda</t>
        </is>
      </c>
      <c r="K160" t="inlineStr">
        <is>
          <t>42281485</t>
        </is>
      </c>
      <c r="L160" t="inlineStr">
        <is>
          <t>42281485000189</t>
        </is>
      </c>
      <c r="M160" s="10" t="n">
        <v>129440.79</v>
      </c>
      <c r="N160" t="n">
        <v>1</v>
      </c>
      <c r="O160" s="11" t="inlineStr">
        <is>
          <t>B</t>
        </is>
      </c>
      <c r="P160" s="11" t="inlineStr"/>
      <c r="Q160" s="12" t="n">
        <v>45756</v>
      </c>
      <c r="R160" s="11">
        <f>IF(Q160="","",ROUND((TODAY()-Q160)/365.25,1))</f>
        <v/>
      </c>
      <c r="S160" s="13">
        <f>IFERROR(VLOOKUP(O160,Assumptions!$A$7:$F$11,2,FALSE),0.25)</f>
        <v/>
      </c>
      <c r="T160" s="14">
        <f>IF(O160="A",MAX(1,IFERROR(VLOOKUP(O160,Assumptions!$A$7:$F$11,3,FALSE),3)+IFERROR(VLOOKUP(O160,Assumptions!$A$7:$F$11,4,FALSE),8)/2-MAX(0,IF(R160="",0,R160)-IFERROR(VLOOKUP(O160,Assumptions!$A$7:$F$11,5,FALSE),1.5))),IFERROR(VLOOKUP(O160,Assumptions!$A$7:$F$11,5,FALSE),2.5)+IFERROR(VLOOKUP(O160,Assumptions!$A$7:$F$11,3,FALSE),3)+IFERROR(VLOOKUP(O160,Assumptions!$A$7:$F$11,4,FALSE),8)/2)</f>
        <v/>
      </c>
      <c r="U160" s="15">
        <f>M160*S160/(1+Assumptions!$B$3)^T160</f>
        <v/>
      </c>
      <c r="V160" s="11">
        <f>IF(M160=0,"",ROUND(U160/M160*100,1))</f>
        <v/>
      </c>
      <c r="W160" s="16">
        <f>U160*Assumptions!$B$4</f>
        <v/>
      </c>
      <c r="X160" s="11">
        <f>IF(M160=0,"",ROUND(W160/M160*100,1))</f>
        <v/>
      </c>
      <c r="Y160" t="inlineStr">
        <is>
          <t>GRUPO EGESA (EGESA ENG S.A, EGESUR PART E EMP S.A, MATRIX INFRA LTDA, BEMVIVER ENG AMBIENTAL E SERV LTDA, DKF CONST E EMP LTDA, EGEPEL LTDA, ETR ASSESSORIA EMP E PART LTDA, MVT ENG E SERV LTDA, PARQUES DO VALE LTDA, ELMO RIBEIRO E ANA RIBEIRO)</t>
        </is>
      </c>
      <c r="Z160" t="inlineStr">
        <is>
          <t>5088952-81.2025.8.13.0024</t>
        </is>
      </c>
      <c r="AA160" t="inlineStr">
        <is>
          <t>TJMG</t>
        </is>
      </c>
      <c r="AB160" t="inlineStr">
        <is>
          <t>scalzilliaj.com.br</t>
        </is>
      </c>
      <c r="AC160" t="inlineStr">
        <is>
          <t>EMILY AZEVEDO DARWICH</t>
        </is>
      </c>
      <c r="AD160" t="inlineStr">
        <is>
          <t>Diretor</t>
        </is>
      </c>
      <c r="AE160" t="inlineStr"/>
      <c r="AF160" t="inlineStr"/>
      <c r="AG160" t="inlineStr"/>
      <c r="AH160" t="inlineStr">
        <is>
          <t>RJ</t>
        </is>
      </c>
      <c r="AI160" t="inlineStr">
        <is>
          <t>RIO DE JANEIRO</t>
        </is>
      </c>
      <c r="AJ160" t="inlineStr">
        <is>
          <t>Comércio atacadista de outras máquinas e equipamentos não especificados anteriormente; partes e peças</t>
        </is>
      </c>
      <c r="AK160" t="inlineStr">
        <is>
          <t>DEMAIS</t>
        </is>
      </c>
      <c r="AL160" t="inlineStr">
        <is>
          <t>ATIVA</t>
        </is>
      </c>
      <c r="AM160" s="17" t="inlineStr">
        <is>
          <t>https://scalzilliaj.com.br/sgc/download.php?file=files/processo_documento/processo_documento09514021082025_1_.pdf&amp;nome=04 - Relação de credores das Recuperandas</t>
        </is>
      </c>
      <c r="AN160" s="18" t="inlineStr">
        <is>
          <t>p75 r5</t>
        </is>
      </c>
      <c r="AO160" s="18" t="inlineStr">
        <is>
          <t>p75: R$ 129.440,79</t>
        </is>
      </c>
      <c r="AP160" s="18" t="inlineStr">
        <is>
          <t>DEBTOR_LIST</t>
        </is>
      </c>
      <c r="AQ160" s="18" t="inlineStr"/>
      <c r="AR160" s="18" t="inlineStr">
        <is>
          <t>OK</t>
        </is>
      </c>
      <c r="AS160" s="18" t="inlineStr">
        <is>
          <t>ROWS:p75r5 VALUE_COL:Valor_Atualizado CASE_NUMBER_CORRECTED CASE_FROM_PORTAL</t>
        </is>
      </c>
      <c r="AT160" s="18" t="inlineStr">
        <is>
          <t>24ed98480a57</t>
        </is>
      </c>
    </row>
    <row r="161">
      <c r="A161" s="9" t="n">
        <v>160</v>
      </c>
      <c r="B161" s="9" t="inlineStr">
        <is>
          <t>NEW</t>
        </is>
      </c>
      <c r="C161" s="9" t="inlineStr"/>
      <c r="D161" s="9" t="n">
        <v>0</v>
      </c>
      <c r="E161" s="9" t="inlineStr"/>
      <c r="F161" s="9" t="inlineStr"/>
      <c r="G161" s="9" t="inlineStr"/>
      <c r="H161" s="9" t="inlineStr"/>
      <c r="I161" t="inlineStr">
        <is>
          <t>TELASUL INDUSTRIA DE MOVEIS S.A.</t>
        </is>
      </c>
      <c r="J161" t="inlineStr">
        <is>
          <t>87.846.796/0001-86</t>
        </is>
      </c>
      <c r="K161" t="inlineStr">
        <is>
          <t>87846796</t>
        </is>
      </c>
      <c r="L161" t="inlineStr">
        <is>
          <t>87846796000186</t>
        </is>
      </c>
      <c r="M161" s="10" t="n">
        <v>128855</v>
      </c>
      <c r="N161" t="n">
        <v>1</v>
      </c>
      <c r="O161" s="11" t="inlineStr">
        <is>
          <t>C</t>
        </is>
      </c>
      <c r="P161" s="11" t="inlineStr">
        <is>
          <t>ACTIVE</t>
        </is>
      </c>
      <c r="Q161" s="12" t="n">
        <v>43894</v>
      </c>
      <c r="R161" s="11">
        <f>IF(Q161="","",ROUND((TODAY()-Q161)/365.25,1))</f>
        <v/>
      </c>
      <c r="S161" s="13">
        <f>IFERROR(VLOOKUP(O161,Assumptions!$A$7:$F$11,2,FALSE),0.25)</f>
        <v/>
      </c>
      <c r="T161" s="14">
        <f>IF(O161="A",MAX(1,IFERROR(VLOOKUP(O161,Assumptions!$A$7:$F$11,3,FALSE),3)+IFERROR(VLOOKUP(O161,Assumptions!$A$7:$F$11,4,FALSE),8)/2-MAX(0,IF(R161="",0,R161)-IFERROR(VLOOKUP(O161,Assumptions!$A$7:$F$11,5,FALSE),1.5))),IFERROR(VLOOKUP(O161,Assumptions!$A$7:$F$11,5,FALSE),2.5)+IFERROR(VLOOKUP(O161,Assumptions!$A$7:$F$11,3,FALSE),3)+IFERROR(VLOOKUP(O161,Assumptions!$A$7:$F$11,4,FALSE),8)/2)</f>
        <v/>
      </c>
      <c r="U161" s="15">
        <f>M161*S161/(1+Assumptions!$B$3)^T161</f>
        <v/>
      </c>
      <c r="V161" s="11">
        <f>IF(M161=0,"",ROUND(U161/M161*100,1))</f>
        <v/>
      </c>
      <c r="W161" s="16">
        <f>U161*Assumptions!$B$4</f>
        <v/>
      </c>
      <c r="X161" s="11">
        <f>IF(M161=0,"",ROUND(W161/M161*100,1))</f>
        <v/>
      </c>
      <c r="Y161" t="inlineStr">
        <is>
          <t>CREDIMÓVEIS NOVOLAR LTDA.</t>
        </is>
      </c>
      <c r="Z161" t="inlineStr">
        <is>
          <t>0007565-40.2020.8.17.2370</t>
        </is>
      </c>
      <c r="AA161" t="inlineStr">
        <is>
          <t>TJPE</t>
        </is>
      </c>
      <c r="AB161" t="inlineStr">
        <is>
          <t>recuperacaojudicial.squarespace.com</t>
        </is>
      </c>
      <c r="AC161" t="inlineStr">
        <is>
          <t>MARCELO ARIOTTI</t>
        </is>
      </c>
      <c r="AD161" t="inlineStr">
        <is>
          <t>Presidente</t>
        </is>
      </c>
      <c r="AE161" t="inlineStr">
        <is>
          <t>(54) 3463-9444</t>
        </is>
      </c>
      <c r="AF161" t="inlineStr"/>
      <c r="AG161" t="inlineStr"/>
      <c r="AH161" t="inlineStr">
        <is>
          <t>RS</t>
        </is>
      </c>
      <c r="AI161" t="inlineStr">
        <is>
          <t>GARIBALDI</t>
        </is>
      </c>
      <c r="AJ161" t="inlineStr">
        <is>
          <t>Fabricação de móveis com predominância de metal</t>
        </is>
      </c>
      <c r="AK161" t="inlineStr">
        <is>
          <t>DEMAIS</t>
        </is>
      </c>
      <c r="AL161" t="inlineStr">
        <is>
          <t>ATIVA</t>
        </is>
      </c>
      <c r="AM161" s="17" t="inlineStr">
        <is>
          <t>https://recuperacaojudicial.squarespace.com/s/RJ-Credimoveis-QGC-01082025.pdf</t>
        </is>
      </c>
      <c r="AN161" s="18" t="inlineStr">
        <is>
          <t>p17 r3</t>
        </is>
      </c>
      <c r="AO161" s="18" t="inlineStr">
        <is>
          <t>p17: R$ 128.855,00</t>
        </is>
      </c>
      <c r="AP161" s="18" t="inlineStr">
        <is>
          <t>QGC</t>
        </is>
      </c>
      <c r="AQ161" s="18" t="inlineStr">
        <is>
          <t>2026-01-28</t>
        </is>
      </c>
      <c r="AR161" s="18" t="inlineStr">
        <is>
          <t>OK</t>
        </is>
      </c>
      <c r="AS161" s="18" t="inlineStr">
        <is>
          <t>ROWS:p17r3</t>
        </is>
      </c>
      <c r="AT161" s="18" t="inlineStr">
        <is>
          <t>849d4fe5adce</t>
        </is>
      </c>
    </row>
    <row r="162">
      <c r="A162" s="9" t="n">
        <v>161</v>
      </c>
      <c r="B162" s="9" t="inlineStr">
        <is>
          <t>NEW</t>
        </is>
      </c>
      <c r="C162" s="9" t="inlineStr"/>
      <c r="D162" s="9" t="n">
        <v>0</v>
      </c>
      <c r="E162" s="9" t="inlineStr"/>
      <c r="F162" s="9" t="inlineStr"/>
      <c r="G162" s="9" t="inlineStr"/>
      <c r="H162" s="9" t="inlineStr"/>
      <c r="I162" t="inlineStr">
        <is>
          <t>IZZO INSTRUMENTOS MUSICAIS LTDA</t>
        </is>
      </c>
      <c r="J162" t="inlineStr">
        <is>
          <t>Avenida Antonio Henrique Laran, nº 142, Final da Rua, Vila Menck, CEP nº 06.268-112, Osasco/SP</t>
        </is>
      </c>
      <c r="K162" t="inlineStr">
        <is>
          <t>61328191</t>
        </is>
      </c>
      <c r="L162" t="inlineStr">
        <is>
          <t>61328191000100</t>
        </is>
      </c>
      <c r="M162" s="10" t="n">
        <v>128218.05</v>
      </c>
      <c r="N162" t="n">
        <v>1</v>
      </c>
      <c r="O162" s="11" t="inlineStr">
        <is>
          <t>B</t>
        </is>
      </c>
      <c r="P162" s="11" t="inlineStr">
        <is>
          <t>ACTIVE</t>
        </is>
      </c>
      <c r="Q162" s="12" t="n">
        <v>45644</v>
      </c>
      <c r="R162" s="11">
        <f>IF(Q162="","",ROUND((TODAY()-Q162)/365.25,1))</f>
        <v/>
      </c>
      <c r="S162" s="13">
        <f>IFERROR(VLOOKUP(O162,Assumptions!$A$7:$F$11,2,FALSE),0.25)</f>
        <v/>
      </c>
      <c r="T162" s="14">
        <f>IF(O162="A",MAX(1,IFERROR(VLOOKUP(O162,Assumptions!$A$7:$F$11,3,FALSE),3)+IFERROR(VLOOKUP(O162,Assumptions!$A$7:$F$11,4,FALSE),8)/2-MAX(0,IF(R162="",0,R162)-IFERROR(VLOOKUP(O162,Assumptions!$A$7:$F$11,5,FALSE),1.5))),IFERROR(VLOOKUP(O162,Assumptions!$A$7:$F$11,5,FALSE),2.5)+IFERROR(VLOOKUP(O162,Assumptions!$A$7:$F$11,3,FALSE),3)+IFERROR(VLOOKUP(O162,Assumptions!$A$7:$F$11,4,FALSE),8)/2)</f>
        <v/>
      </c>
      <c r="U162" s="15">
        <f>M162*S162/(1+Assumptions!$B$3)^T162</f>
        <v/>
      </c>
      <c r="V162" s="11">
        <f>IF(M162=0,"",ROUND(U162/M162*100,1))</f>
        <v/>
      </c>
      <c r="W162" s="16">
        <f>U162*Assumptions!$B$4</f>
        <v/>
      </c>
      <c r="X162" s="11">
        <f>IF(M162=0,"",ROUND(W162/M162*100,1))</f>
        <v/>
      </c>
      <c r="Y162" t="inlineStr">
        <is>
          <t>GRUPO RIVER MUSIC</t>
        </is>
      </c>
      <c r="Z162" t="inlineStr">
        <is>
          <t>1001174-80.2024.8.26.0359</t>
        </is>
      </c>
      <c r="AA162" t="inlineStr">
        <is>
          <t>TJSP</t>
        </is>
      </c>
      <c r="AB162" t="inlineStr">
        <is>
          <t>ativosajce.com.br</t>
        </is>
      </c>
      <c r="AC162" t="inlineStr">
        <is>
          <t>FATIMA APARECIDA CESSO STORINO</t>
        </is>
      </c>
      <c r="AD162" t="inlineStr">
        <is>
          <t>Administrador</t>
        </is>
      </c>
      <c r="AE162" t="inlineStr">
        <is>
          <t>(11) 3797-0100</t>
        </is>
      </c>
      <c r="AF162" t="inlineStr"/>
      <c r="AG162" t="inlineStr"/>
      <c r="AH162" t="inlineStr">
        <is>
          <t>SP</t>
        </is>
      </c>
      <c r="AI162" t="inlineStr">
        <is>
          <t>OSASCO</t>
        </is>
      </c>
      <c r="AJ162" t="inlineStr">
        <is>
          <t>Fabricação de instrumentos musicais, peças e acessórios</t>
        </is>
      </c>
      <c r="AK162" t="inlineStr">
        <is>
          <t>DEMAIS</t>
        </is>
      </c>
      <c r="AL162" t="inlineStr">
        <is>
          <t>ATIVA</t>
        </is>
      </c>
      <c r="AM162" s="17" t="inlineStr">
        <is>
          <t>https://ativosajce.com.br/admin/download.php?file=files/processo_documento/processo_documento18543908052025_1_.pdf&amp;nome=Relação de Credores - art. 52, §1º da Lei 11.101/05 - 27/01/2025</t>
        </is>
      </c>
      <c r="AN162" s="18" t="inlineStr">
        <is>
          <t>p3 r7</t>
        </is>
      </c>
      <c r="AO162" s="18" t="inlineStr">
        <is>
          <t>p3: R$ 128.218,05</t>
        </is>
      </c>
      <c r="AP162" s="18" t="inlineStr">
        <is>
          <t>UNKNOWN</t>
        </is>
      </c>
      <c r="AQ162" s="18" t="inlineStr"/>
      <c r="AR162" s="18" t="inlineStr">
        <is>
          <t>OK_NO_TOTALS</t>
        </is>
      </c>
      <c r="AS162" s="18" t="inlineStr">
        <is>
          <t>ROWS:p3r7 UNRECONCILED_SOURCE VALUE_COL:Valor_Do_Créidto</t>
        </is>
      </c>
      <c r="AT162" s="18" t="inlineStr">
        <is>
          <t>442539f948e0</t>
        </is>
      </c>
    </row>
    <row r="163">
      <c r="A163" s="9" t="n">
        <v>162</v>
      </c>
      <c r="B163" s="9" t="inlineStr">
        <is>
          <t>NEW</t>
        </is>
      </c>
      <c r="C163" s="9" t="inlineStr"/>
      <c r="D163" s="9" t="n">
        <v>0</v>
      </c>
      <c r="E163" s="9" t="inlineStr"/>
      <c r="F163" s="9" t="inlineStr"/>
      <c r="G163" s="9" t="inlineStr"/>
      <c r="H163" s="9" t="inlineStr"/>
      <c r="I163" t="inlineStr">
        <is>
          <t>MIXTEL DISTRIBUIDORA LTDA FALIDO</t>
        </is>
      </c>
      <c r="J163" t="inlineStr">
        <is>
          <t>07.941.752/0009-53</t>
        </is>
      </c>
      <c r="K163" t="inlineStr">
        <is>
          <t>07941752</t>
        </is>
      </c>
      <c r="L163" t="inlineStr">
        <is>
          <t>07941752000953</t>
        </is>
      </c>
      <c r="M163" s="10" t="n">
        <v>128153</v>
      </c>
      <c r="N163" t="n">
        <v>1</v>
      </c>
      <c r="O163" s="11" t="inlineStr">
        <is>
          <t>C</t>
        </is>
      </c>
      <c r="P163" s="11" t="inlineStr">
        <is>
          <t>ACTIVE</t>
        </is>
      </c>
      <c r="Q163" s="12" t="n">
        <v>43894</v>
      </c>
      <c r="R163" s="11">
        <f>IF(Q163="","",ROUND((TODAY()-Q163)/365.25,1))</f>
        <v/>
      </c>
      <c r="S163" s="13">
        <f>IFERROR(VLOOKUP(O163,Assumptions!$A$7:$F$11,2,FALSE),0.25)</f>
        <v/>
      </c>
      <c r="T163" s="14">
        <f>IF(O163="A",MAX(1,IFERROR(VLOOKUP(O163,Assumptions!$A$7:$F$11,3,FALSE),3)+IFERROR(VLOOKUP(O163,Assumptions!$A$7:$F$11,4,FALSE),8)/2-MAX(0,IF(R163="",0,R163)-IFERROR(VLOOKUP(O163,Assumptions!$A$7:$F$11,5,FALSE),1.5))),IFERROR(VLOOKUP(O163,Assumptions!$A$7:$F$11,5,FALSE),2.5)+IFERROR(VLOOKUP(O163,Assumptions!$A$7:$F$11,3,FALSE),3)+IFERROR(VLOOKUP(O163,Assumptions!$A$7:$F$11,4,FALSE),8)/2)</f>
        <v/>
      </c>
      <c r="U163" s="15">
        <f>M163*S163/(1+Assumptions!$B$3)^T163</f>
        <v/>
      </c>
      <c r="V163" s="11">
        <f>IF(M163=0,"",ROUND(U163/M163*100,1))</f>
        <v/>
      </c>
      <c r="W163" s="16">
        <f>U163*Assumptions!$B$4</f>
        <v/>
      </c>
      <c r="X163" s="11">
        <f>IF(M163=0,"",ROUND(W163/M163*100,1))</f>
        <v/>
      </c>
      <c r="Y163" t="inlineStr">
        <is>
          <t>CREDIMÓVEIS NOVOLAR LTDA.</t>
        </is>
      </c>
      <c r="Z163" t="inlineStr">
        <is>
          <t>0007565-40.2020.8.17.2370</t>
        </is>
      </c>
      <c r="AA163" t="inlineStr">
        <is>
          <t>TJPE</t>
        </is>
      </c>
      <c r="AB163" t="inlineStr">
        <is>
          <t>recuperacaojudicial.squarespace.com</t>
        </is>
      </c>
      <c r="AC163" t="inlineStr">
        <is>
          <t>HENRIQUE ANNIBELLI VELLOZO ANDREAZZA</t>
        </is>
      </c>
      <c r="AD163" t="inlineStr">
        <is>
          <t>Sócio-Administrador</t>
        </is>
      </c>
      <c r="AE163" t="inlineStr">
        <is>
          <t>(41) 3099-1900</t>
        </is>
      </c>
      <c r="AF163" t="inlineStr"/>
      <c r="AG163" t="inlineStr"/>
      <c r="AH163" t="inlineStr">
        <is>
          <t>PR</t>
        </is>
      </c>
      <c r="AI163" t="inlineStr">
        <is>
          <t>CURITIBA</t>
        </is>
      </c>
      <c r="AJ163" t="inlineStr">
        <is>
          <t>Comércio atacadista de componentes eletrônicos e equipamentos de telefonia e comunicação</t>
        </is>
      </c>
      <c r="AK163" t="inlineStr">
        <is>
          <t>DEMAIS</t>
        </is>
      </c>
      <c r="AL163" t="inlineStr">
        <is>
          <t>ATIVA</t>
        </is>
      </c>
      <c r="AM163" s="17" t="inlineStr">
        <is>
          <t>https://recuperacaojudicial.squarespace.com/s/RJ-Credimoveis-QGC-01082025.pdf</t>
        </is>
      </c>
      <c r="AN163" s="18" t="inlineStr">
        <is>
          <t>p16 r19</t>
        </is>
      </c>
      <c r="AO163" s="18" t="inlineStr">
        <is>
          <t>p16: R$ 128.153,00</t>
        </is>
      </c>
      <c r="AP163" s="18" t="inlineStr">
        <is>
          <t>QGC</t>
        </is>
      </c>
      <c r="AQ163" s="18" t="inlineStr">
        <is>
          <t>2026-01-28</t>
        </is>
      </c>
      <c r="AR163" s="18" t="inlineStr">
        <is>
          <t>OK</t>
        </is>
      </c>
      <c r="AS163" s="18" t="inlineStr">
        <is>
          <t>ROWS:p16r19</t>
        </is>
      </c>
      <c r="AT163" s="18" t="inlineStr">
        <is>
          <t>849d4fe5adce</t>
        </is>
      </c>
    </row>
    <row r="164">
      <c r="A164" s="9" t="n">
        <v>163</v>
      </c>
      <c r="B164" s="9" t="inlineStr">
        <is>
          <t>NEW</t>
        </is>
      </c>
      <c r="C164" s="9" t="inlineStr"/>
      <c r="D164" s="9" t="n">
        <v>0</v>
      </c>
      <c r="E164" s="9" t="inlineStr"/>
      <c r="F164" s="9" t="inlineStr"/>
      <c r="G164" s="9" t="inlineStr"/>
      <c r="H164" s="9" t="inlineStr"/>
      <c r="I164" t="inlineStr">
        <is>
          <t>ANELO SURGICAL COMERCIO DE PRODUTOS HOSPITALARES LTDA</t>
        </is>
      </c>
      <c r="J164" t="inlineStr">
        <is>
          <t>ANELO SURGICAL COMERCIO DE PRODUTOS HOSPITALARES LTDA (</t>
        </is>
      </c>
      <c r="K164" t="inlineStr">
        <is>
          <t>10824074</t>
        </is>
      </c>
      <c r="L164" t="inlineStr">
        <is>
          <t>10824074000104</t>
        </is>
      </c>
      <c r="M164" s="10" t="n">
        <v>128089.12</v>
      </c>
      <c r="N164" t="n">
        <v>1</v>
      </c>
      <c r="O164" s="11" t="inlineStr">
        <is>
          <t>C</t>
        </is>
      </c>
      <c r="P164" s="11" t="inlineStr">
        <is>
          <t>ACTIVE</t>
        </is>
      </c>
      <c r="Q164" s="12" t="n">
        <v>44735</v>
      </c>
      <c r="R164" s="11">
        <f>IF(Q164="","",ROUND((TODAY()-Q164)/365.25,1))</f>
        <v/>
      </c>
      <c r="S164" s="13">
        <f>IFERROR(VLOOKUP(O164,Assumptions!$A$7:$F$11,2,FALSE),0.25)</f>
        <v/>
      </c>
      <c r="T164" s="14">
        <f>IF(O164="A",MAX(1,IFERROR(VLOOKUP(O164,Assumptions!$A$7:$F$11,3,FALSE),3)+IFERROR(VLOOKUP(O164,Assumptions!$A$7:$F$11,4,FALSE),8)/2-MAX(0,IF(R164="",0,R164)-IFERROR(VLOOKUP(O164,Assumptions!$A$7:$F$11,5,FALSE),1.5))),IFERROR(VLOOKUP(O164,Assumptions!$A$7:$F$11,5,FALSE),2.5)+IFERROR(VLOOKUP(O164,Assumptions!$A$7:$F$11,3,FALSE),3)+IFERROR(VLOOKUP(O164,Assumptions!$A$7:$F$11,4,FALSE),8)/2)</f>
        <v/>
      </c>
      <c r="U164" s="15">
        <f>M164*S164/(1+Assumptions!$B$3)^T164</f>
        <v/>
      </c>
      <c r="V164" s="11">
        <f>IF(M164=0,"",ROUND(U164/M164*100,1))</f>
        <v/>
      </c>
      <c r="W164" s="16">
        <f>U164*Assumptions!$B$4</f>
        <v/>
      </c>
      <c r="X164" s="11">
        <f>IF(M164=0,"",ROUND(W164/M164*100,1))</f>
        <v/>
      </c>
      <c r="Y164" t="inlineStr">
        <is>
          <t>ASSOCIAÇÃO DE CARIDADE SANTA CASA DO RIO GRANDE</t>
        </is>
      </c>
      <c r="Z164" t="inlineStr">
        <is>
          <t>5012306-16.2022.8.21.0023</t>
        </is>
      </c>
      <c r="AA164" t="inlineStr">
        <is>
          <t>TJRS</t>
        </is>
      </c>
      <c r="AB164" t="inlineStr">
        <is>
          <t>scalzilliaj.com.br</t>
        </is>
      </c>
      <c r="AC164" t="inlineStr">
        <is>
          <t>ARTUR AMARAL VON BOROWSKI</t>
        </is>
      </c>
      <c r="AD164" t="inlineStr">
        <is>
          <t>Sócio-Administrador</t>
        </is>
      </c>
      <c r="AE164" t="inlineStr">
        <is>
          <t>(51) 3019-9200</t>
        </is>
      </c>
      <c r="AF164" t="inlineStr">
        <is>
          <t>(51) 3024-8448</t>
        </is>
      </c>
      <c r="AG164" t="inlineStr"/>
      <c r="AH164" t="inlineStr">
        <is>
          <t>RS</t>
        </is>
      </c>
      <c r="AI164" t="inlineStr">
        <is>
          <t>PORTO ALEGRE</t>
        </is>
      </c>
      <c r="AJ164" t="inlineStr">
        <is>
          <t>Comércio varejista de artigos médicos e ortopédicos</t>
        </is>
      </c>
      <c r="AK164" t="inlineStr">
        <is>
          <t>DEMAIS</t>
        </is>
      </c>
      <c r="AL164" t="inlineStr">
        <is>
          <t>ATIVA</t>
        </is>
      </c>
      <c r="AM164" s="17" t="inlineStr">
        <is>
          <t>https://scalzilliaj.com.br/sgc/download.php?file=files/processo_documento/processo_documento09120721032023_1_.pdf&amp;nome=15 - Edital do art. 7º, §2º e 53 da Lei 11.101/2005 (segunda lista de credores e recebimento do plano))</t>
        </is>
      </c>
      <c r="AN164" s="18" t="inlineStr">
        <is>
          <t>p25 r53</t>
        </is>
      </c>
      <c r="AO164" s="18" t="inlineStr">
        <is>
          <t>p25: R$ 128.089,12</t>
        </is>
      </c>
      <c r="AP164" s="18" t="inlineStr">
        <is>
          <t>AJ_LIST</t>
        </is>
      </c>
      <c r="AQ164" s="18" t="inlineStr">
        <is>
          <t>2023-03-21</t>
        </is>
      </c>
      <c r="AR164" s="18" t="inlineStr">
        <is>
          <t>OK_NO_TOTALS</t>
        </is>
      </c>
      <c r="AS164" s="18" t="inlineStr">
        <is>
          <t>ROWS:p25r53 UNRECONCILED_SOURCE</t>
        </is>
      </c>
      <c r="AT164" s="18" t="inlineStr">
        <is>
          <t>ebfb999b457c</t>
        </is>
      </c>
    </row>
    <row r="165">
      <c r="A165" s="9" t="n">
        <v>164</v>
      </c>
      <c r="B165" s="9" t="inlineStr">
        <is>
          <t>NEW</t>
        </is>
      </c>
      <c r="C165" s="9" t="inlineStr"/>
      <c r="D165" s="9" t="n">
        <v>0</v>
      </c>
      <c r="E165" s="9" t="inlineStr"/>
      <c r="F165" s="9" t="inlineStr"/>
      <c r="G165" s="9" t="inlineStr"/>
      <c r="H165" s="9" t="inlineStr"/>
      <c r="I165" t="inlineStr">
        <is>
          <t>CROMEX S/A</t>
        </is>
      </c>
      <c r="J165" t="inlineStr">
        <is>
          <t>CROMEX S.A</t>
        </is>
      </c>
      <c r="K165" t="inlineStr">
        <is>
          <t>02271463</t>
        </is>
      </c>
      <c r="L165" t="inlineStr">
        <is>
          <t>02271463000202</t>
        </is>
      </c>
      <c r="M165" s="10" t="n">
        <v>127868.29</v>
      </c>
      <c r="N165" t="n">
        <v>1</v>
      </c>
      <c r="O165" s="11" t="inlineStr">
        <is>
          <t>C</t>
        </is>
      </c>
      <c r="P165" s="11" t="inlineStr">
        <is>
          <t>ACTIVE</t>
        </is>
      </c>
      <c r="Q165" s="12" t="n">
        <v>45154</v>
      </c>
      <c r="R165" s="11">
        <f>IF(Q165="","",ROUND((TODAY()-Q165)/365.25,1))</f>
        <v/>
      </c>
      <c r="S165" s="13">
        <f>IFERROR(VLOOKUP(O165,Assumptions!$A$7:$F$11,2,FALSE),0.25)</f>
        <v/>
      </c>
      <c r="T165" s="14">
        <f>IF(O165="A",MAX(1,IFERROR(VLOOKUP(O165,Assumptions!$A$7:$F$11,3,FALSE),3)+IFERROR(VLOOKUP(O165,Assumptions!$A$7:$F$11,4,FALSE),8)/2-MAX(0,IF(R165="",0,R165)-IFERROR(VLOOKUP(O165,Assumptions!$A$7:$F$11,5,FALSE),1.5))),IFERROR(VLOOKUP(O165,Assumptions!$A$7:$F$11,5,FALSE),2.5)+IFERROR(VLOOKUP(O165,Assumptions!$A$7:$F$11,3,FALSE),3)+IFERROR(VLOOKUP(O165,Assumptions!$A$7:$F$11,4,FALSE),8)/2)</f>
        <v/>
      </c>
      <c r="U165" s="15">
        <f>M165*S165/(1+Assumptions!$B$3)^T165</f>
        <v/>
      </c>
      <c r="V165" s="11">
        <f>IF(M165=0,"",ROUND(U165/M165*100,1))</f>
        <v/>
      </c>
      <c r="W165" s="16">
        <f>U165*Assumptions!$B$4</f>
        <v/>
      </c>
      <c r="X165" s="11">
        <f>IF(M165=0,"",ROUND(W165/M165*100,1))</f>
        <v/>
      </c>
      <c r="Y165" t="inlineStr">
        <is>
          <t>AZEPLAST INDÚSTRIA E COMÉRCIO LTDA</t>
        </is>
      </c>
      <c r="Z165" t="inlineStr">
        <is>
          <t>5008793-34.2023.8.24.0019</t>
        </is>
      </c>
      <c r="AA165" t="inlineStr">
        <is>
          <t>TJSC</t>
        </is>
      </c>
      <c r="AB165" t="inlineStr">
        <is>
          <t>ajruiz.com.br</t>
        </is>
      </c>
      <c r="AC165" t="inlineStr">
        <is>
          <t>SERGIO WAJSBROT</t>
        </is>
      </c>
      <c r="AD165" t="inlineStr">
        <is>
          <t>Presidente</t>
        </is>
      </c>
      <c r="AE165" t="inlineStr">
        <is>
          <t>(11) 2131-5408</t>
        </is>
      </c>
      <c r="AF165" t="inlineStr"/>
      <c r="AG165" t="inlineStr"/>
      <c r="AH165" t="inlineStr">
        <is>
          <t>SP</t>
        </is>
      </c>
      <c r="AI165" t="inlineStr">
        <is>
          <t>SAO PAULO</t>
        </is>
      </c>
      <c r="AJ165" t="inlineStr">
        <is>
          <t>Fabricação de artefatos de material plástico para usos industriais</t>
        </is>
      </c>
      <c r="AK165" t="inlineStr">
        <is>
          <t>DEMAIS</t>
        </is>
      </c>
      <c r="AL165" t="inlineStr">
        <is>
          <t>ATIVA</t>
        </is>
      </c>
      <c r="AM165" s="17" t="inlineStr">
        <is>
          <t>https://ajruiz.com.br/sites/default/files/public/arquivos-processos/2026-08/qgc_azeplast_julho_2026.pdf</t>
        </is>
      </c>
      <c r="AN165" s="18" t="inlineStr">
        <is>
          <t>p1 r22</t>
        </is>
      </c>
      <c r="AO165" s="18" t="inlineStr">
        <is>
          <t>p1: R$ 127.868,29</t>
        </is>
      </c>
      <c r="AP165" s="18" t="inlineStr">
        <is>
          <t>QGC</t>
        </is>
      </c>
      <c r="AQ165" s="18" t="inlineStr"/>
      <c r="AR165" s="18" t="inlineStr">
        <is>
          <t>QUARANTINED</t>
        </is>
      </c>
      <c r="AS165" s="18" t="inlineStr">
        <is>
          <t>PARTIAL_DOC_CLASS_III_RECONCILED ROWS:p1r22</t>
        </is>
      </c>
      <c r="AT165" s="18" t="inlineStr">
        <is>
          <t>229081edb0ea</t>
        </is>
      </c>
    </row>
    <row r="166">
      <c r="A166" s="9" t="n">
        <v>165</v>
      </c>
      <c r="B166" s="9" t="inlineStr">
        <is>
          <t>NEW</t>
        </is>
      </c>
      <c r="C166" s="9" t="inlineStr"/>
      <c r="D166" s="9" t="n">
        <v>0</v>
      </c>
      <c r="E166" s="9" t="inlineStr"/>
      <c r="F166" s="9" t="inlineStr"/>
      <c r="G166" s="9" t="inlineStr"/>
      <c r="H166" s="9" t="inlineStr"/>
      <c r="I166" t="inlineStr">
        <is>
          <t>MARTINS CONFECCAO E COMERCIO DE ARTIGOS DO VESTUARIO E ACESSORIOS LTDA</t>
        </is>
      </c>
      <c r="J166" t="inlineStr">
        <is>
          <t>MARTINS INDUSTRIA TEXTIL, CNPJ</t>
        </is>
      </c>
      <c r="K166" t="inlineStr">
        <is>
          <t>82165010</t>
        </is>
      </c>
      <c r="L166" t="inlineStr">
        <is>
          <t>82165010000141</t>
        </is>
      </c>
      <c r="M166" s="10" t="n">
        <v>127861.62</v>
      </c>
      <c r="N166" t="n">
        <v>1</v>
      </c>
      <c r="O166" s="11" t="inlineStr">
        <is>
          <t>C</t>
        </is>
      </c>
      <c r="P166" s="11" t="inlineStr"/>
      <c r="Q166" s="12" t="inlineStr"/>
      <c r="R166" s="11">
        <f>IF(Q166="","",ROUND((TODAY()-Q166)/365.25,1))</f>
        <v/>
      </c>
      <c r="S166" s="13">
        <f>IFERROR(VLOOKUP(O166,Assumptions!$A$7:$F$11,2,FALSE),0.25)</f>
        <v/>
      </c>
      <c r="T166" s="14">
        <f>IF(O166="A",MAX(1,IFERROR(VLOOKUP(O166,Assumptions!$A$7:$F$11,3,FALSE),3)+IFERROR(VLOOKUP(O166,Assumptions!$A$7:$F$11,4,FALSE),8)/2-MAX(0,IF(R166="",0,R166)-IFERROR(VLOOKUP(O166,Assumptions!$A$7:$F$11,5,FALSE),1.5))),IFERROR(VLOOKUP(O166,Assumptions!$A$7:$F$11,5,FALSE),2.5)+IFERROR(VLOOKUP(O166,Assumptions!$A$7:$F$11,3,FALSE),3)+IFERROR(VLOOKUP(O166,Assumptions!$A$7:$F$11,4,FALSE),8)/2)</f>
        <v/>
      </c>
      <c r="U166" s="15">
        <f>M166*S166/(1+Assumptions!$B$3)^T166</f>
        <v/>
      </c>
      <c r="V166" s="11">
        <f>IF(M166=0,"",ROUND(U166/M166*100,1))</f>
        <v/>
      </c>
      <c r="W166" s="16">
        <f>U166*Assumptions!$B$4</f>
        <v/>
      </c>
      <c r="X166" s="11">
        <f>IF(M166=0,"",ROUND(W166/M166*100,1))</f>
        <v/>
      </c>
      <c r="Y166" t="inlineStr">
        <is>
          <t>DICARLO Móveis e Acessórios para Casa e Lojas Ltda</t>
        </is>
      </c>
      <c r="Z166" t="inlineStr">
        <is>
          <t>0301015-33.2016.8.24.0031</t>
        </is>
      </c>
      <c r="AA166" t="inlineStr"/>
      <c r="AB166" t="inlineStr">
        <is>
          <t>administradorajudicialgs.com.br</t>
        </is>
      </c>
      <c r="AC166" t="inlineStr">
        <is>
          <t>ILMA FEUSER MARTINS</t>
        </is>
      </c>
      <c r="AD166" t="inlineStr">
        <is>
          <t>Sócio-Administrador</t>
        </is>
      </c>
      <c r="AE166" t="inlineStr">
        <is>
          <t>(47) 2123-2500</t>
        </is>
      </c>
      <c r="AF166" t="inlineStr"/>
      <c r="AG166" t="inlineStr"/>
      <c r="AH166" t="inlineStr">
        <is>
          <t>SC</t>
        </is>
      </c>
      <c r="AI166" t="inlineStr">
        <is>
          <t>INDAIAL</t>
        </is>
      </c>
      <c r="AJ166" t="inlineStr">
        <is>
          <t>Tecelagem de fios de algodão</t>
        </is>
      </c>
      <c r="AK166" t="inlineStr">
        <is>
          <t>DEMAIS</t>
        </is>
      </c>
      <c r="AL166" t="inlineStr">
        <is>
          <t>ATIVA</t>
        </is>
      </c>
      <c r="AM166" s="17" t="inlineStr">
        <is>
          <t>https://administradorajudicialgs.com.br/wp-content/uploads/2023/08/edital-quadro-geral-de-credores.pdf</t>
        </is>
      </c>
      <c r="AN166" s="18" t="inlineStr">
        <is>
          <t>p3 r12</t>
        </is>
      </c>
      <c r="AO166" s="18" t="inlineStr">
        <is>
          <t>p3: R$ 127.861,62</t>
        </is>
      </c>
      <c r="AP166" s="18" t="inlineStr">
        <is>
          <t>QGC</t>
        </is>
      </c>
      <c r="AQ166" s="18" t="inlineStr">
        <is>
          <t>2024-07-05</t>
        </is>
      </c>
      <c r="AR166" s="18" t="inlineStr">
        <is>
          <t>OK_NO_TOTALS</t>
        </is>
      </c>
      <c r="AS166" s="18" t="inlineStr">
        <is>
          <t>ROWS:p3r12 UNRECONCILED_SOURCE</t>
        </is>
      </c>
      <c r="AT166" s="18" t="inlineStr">
        <is>
          <t>98f99945499b</t>
        </is>
      </c>
    </row>
    <row r="167">
      <c r="A167" s="9" t="n">
        <v>166</v>
      </c>
      <c r="B167" s="9" t="inlineStr">
        <is>
          <t>NEW</t>
        </is>
      </c>
      <c r="C167" s="9" t="inlineStr"/>
      <c r="D167" s="9" t="n">
        <v>0</v>
      </c>
      <c r="E167" s="9" t="inlineStr"/>
      <c r="F167" s="9" t="inlineStr"/>
      <c r="G167" s="9" t="inlineStr"/>
      <c r="H167" s="9" t="inlineStr"/>
      <c r="I167" t="inlineStr">
        <is>
          <t>CIMOL - COMERCIO E INDUSTRIA DE MOVEIS LTDA</t>
        </is>
      </c>
      <c r="J167" t="inlineStr">
        <is>
          <t>36.398.527/0001-63</t>
        </is>
      </c>
      <c r="K167" t="inlineStr">
        <is>
          <t>36398527</t>
        </is>
      </c>
      <c r="L167" t="inlineStr">
        <is>
          <t>36398527000163</t>
        </is>
      </c>
      <c r="M167" s="10" t="n">
        <v>127529.2</v>
      </c>
      <c r="N167" t="n">
        <v>1</v>
      </c>
      <c r="O167" s="11" t="inlineStr">
        <is>
          <t>C</t>
        </is>
      </c>
      <c r="P167" s="11" t="inlineStr">
        <is>
          <t>ACTIVE</t>
        </is>
      </c>
      <c r="Q167" s="12" t="n">
        <v>43894</v>
      </c>
      <c r="R167" s="11">
        <f>IF(Q167="","",ROUND((TODAY()-Q167)/365.25,1))</f>
        <v/>
      </c>
      <c r="S167" s="13">
        <f>IFERROR(VLOOKUP(O167,Assumptions!$A$7:$F$11,2,FALSE),0.25)</f>
        <v/>
      </c>
      <c r="T167" s="14">
        <f>IF(O167="A",MAX(1,IFERROR(VLOOKUP(O167,Assumptions!$A$7:$F$11,3,FALSE),3)+IFERROR(VLOOKUP(O167,Assumptions!$A$7:$F$11,4,FALSE),8)/2-MAX(0,IF(R167="",0,R167)-IFERROR(VLOOKUP(O167,Assumptions!$A$7:$F$11,5,FALSE),1.5))),IFERROR(VLOOKUP(O167,Assumptions!$A$7:$F$11,5,FALSE),2.5)+IFERROR(VLOOKUP(O167,Assumptions!$A$7:$F$11,3,FALSE),3)+IFERROR(VLOOKUP(O167,Assumptions!$A$7:$F$11,4,FALSE),8)/2)</f>
        <v/>
      </c>
      <c r="U167" s="15">
        <f>M167*S167/(1+Assumptions!$B$3)^T167</f>
        <v/>
      </c>
      <c r="V167" s="11">
        <f>IF(M167=0,"",ROUND(U167/M167*100,1))</f>
        <v/>
      </c>
      <c r="W167" s="16">
        <f>U167*Assumptions!$B$4</f>
        <v/>
      </c>
      <c r="X167" s="11">
        <f>IF(M167=0,"",ROUND(W167/M167*100,1))</f>
        <v/>
      </c>
      <c r="Y167" t="inlineStr">
        <is>
          <t>CREDIMÓVEIS NOVOLAR LTDA.</t>
        </is>
      </c>
      <c r="Z167" t="inlineStr">
        <is>
          <t>0007565-40.2020.8.17.2370</t>
        </is>
      </c>
      <c r="AA167" t="inlineStr">
        <is>
          <t>TJPE</t>
        </is>
      </c>
      <c r="AB167" t="inlineStr">
        <is>
          <t>recuperacaojudicial.squarespace.com</t>
        </is>
      </c>
      <c r="AC167" t="inlineStr">
        <is>
          <t>ANAIR MARIA DO ROSARIO GUIDINI MASSUCATTI</t>
        </is>
      </c>
      <c r="AD167" t="inlineStr">
        <is>
          <t>Sócio-Administrador</t>
        </is>
      </c>
      <c r="AE167" t="inlineStr">
        <is>
          <t>(27) 3372-6161</t>
        </is>
      </c>
      <c r="AF167" t="inlineStr"/>
      <c r="AG167" t="inlineStr"/>
      <c r="AH167" t="inlineStr">
        <is>
          <t>ES</t>
        </is>
      </c>
      <c r="AI167" t="inlineStr">
        <is>
          <t>LINHARES</t>
        </is>
      </c>
      <c r="AJ167" t="inlineStr">
        <is>
          <t>Fabricação de móveis com predominância de madeira</t>
        </is>
      </c>
      <c r="AK167" t="inlineStr">
        <is>
          <t>DEMAIS</t>
        </is>
      </c>
      <c r="AL167" t="inlineStr">
        <is>
          <t>ATIVA</t>
        </is>
      </c>
      <c r="AM167" s="17" t="inlineStr">
        <is>
          <t>https://recuperacaojudicial.squarespace.com/s/RJ-Credimoveis-QGC-01082025.pdf</t>
        </is>
      </c>
      <c r="AN167" s="18" t="inlineStr">
        <is>
          <t>p15 r32</t>
        </is>
      </c>
      <c r="AO167" s="18" t="inlineStr">
        <is>
          <t>p15: R$ 127.529,20</t>
        </is>
      </c>
      <c r="AP167" s="18" t="inlineStr">
        <is>
          <t>QGC</t>
        </is>
      </c>
      <c r="AQ167" s="18" t="inlineStr">
        <is>
          <t>2026-01-28</t>
        </is>
      </c>
      <c r="AR167" s="18" t="inlineStr">
        <is>
          <t>OK</t>
        </is>
      </c>
      <c r="AS167" s="18" t="inlineStr">
        <is>
          <t>ROWS:p15r32</t>
        </is>
      </c>
      <c r="AT167" s="18" t="inlineStr">
        <is>
          <t>849d4fe5adce</t>
        </is>
      </c>
    </row>
    <row r="168">
      <c r="A168" s="9" t="n">
        <v>167</v>
      </c>
      <c r="B168" s="9" t="inlineStr">
        <is>
          <t>NEW</t>
        </is>
      </c>
      <c r="C168" s="9" t="inlineStr"/>
      <c r="D168" s="9" t="n">
        <v>0</v>
      </c>
      <c r="E168" s="9" t="inlineStr"/>
      <c r="F168" s="9" t="inlineStr"/>
      <c r="G168" s="9" t="inlineStr"/>
      <c r="H168" s="9" t="inlineStr"/>
      <c r="I168" t="inlineStr">
        <is>
          <t>BORTOLLOTI INDUSTRIA E COMERCIO DE MOVEIS LTDA</t>
        </is>
      </c>
      <c r="J168" t="inlineStr">
        <is>
          <t>03.971.957/0001-73</t>
        </is>
      </c>
      <c r="K168" t="inlineStr">
        <is>
          <t>03971957</t>
        </is>
      </c>
      <c r="L168" t="inlineStr">
        <is>
          <t>03971957000173</t>
        </is>
      </c>
      <c r="M168" s="10" t="n">
        <v>126630.26</v>
      </c>
      <c r="N168" t="n">
        <v>1</v>
      </c>
      <c r="O168" s="11" t="inlineStr">
        <is>
          <t>C</t>
        </is>
      </c>
      <c r="P168" s="11" t="inlineStr">
        <is>
          <t>ACTIVE</t>
        </is>
      </c>
      <c r="Q168" s="12" t="n">
        <v>43894</v>
      </c>
      <c r="R168" s="11">
        <f>IF(Q168="","",ROUND((TODAY()-Q168)/365.25,1))</f>
        <v/>
      </c>
      <c r="S168" s="13">
        <f>IFERROR(VLOOKUP(O168,Assumptions!$A$7:$F$11,2,FALSE),0.25)</f>
        <v/>
      </c>
      <c r="T168" s="14">
        <f>IF(O168="A",MAX(1,IFERROR(VLOOKUP(O168,Assumptions!$A$7:$F$11,3,FALSE),3)+IFERROR(VLOOKUP(O168,Assumptions!$A$7:$F$11,4,FALSE),8)/2-MAX(0,IF(R168="",0,R168)-IFERROR(VLOOKUP(O168,Assumptions!$A$7:$F$11,5,FALSE),1.5))),IFERROR(VLOOKUP(O168,Assumptions!$A$7:$F$11,5,FALSE),2.5)+IFERROR(VLOOKUP(O168,Assumptions!$A$7:$F$11,3,FALSE),3)+IFERROR(VLOOKUP(O168,Assumptions!$A$7:$F$11,4,FALSE),8)/2)</f>
        <v/>
      </c>
      <c r="U168" s="15">
        <f>M168*S168/(1+Assumptions!$B$3)^T168</f>
        <v/>
      </c>
      <c r="V168" s="11">
        <f>IF(M168=0,"",ROUND(U168/M168*100,1))</f>
        <v/>
      </c>
      <c r="W168" s="16">
        <f>U168*Assumptions!$B$4</f>
        <v/>
      </c>
      <c r="X168" s="11">
        <f>IF(M168=0,"",ROUND(W168/M168*100,1))</f>
        <v/>
      </c>
      <c r="Y168" t="inlineStr">
        <is>
          <t>CREDIMÓVEIS NOVOLAR LTDA.</t>
        </is>
      </c>
      <c r="Z168" t="inlineStr">
        <is>
          <t>0007565-40.2020.8.17.2370</t>
        </is>
      </c>
      <c r="AA168" t="inlineStr">
        <is>
          <t>TJPE</t>
        </is>
      </c>
      <c r="AB168" t="inlineStr">
        <is>
          <t>recuperacaojudicial.squarespace.com</t>
        </is>
      </c>
      <c r="AC168" t="inlineStr">
        <is>
          <t>LAERCIO VALMIR BORTOLLOTI</t>
        </is>
      </c>
      <c r="AD168" t="inlineStr">
        <is>
          <t>Sócio-Administrador</t>
        </is>
      </c>
      <c r="AE168" t="inlineStr">
        <is>
          <t>(43) 3274-9900</t>
        </is>
      </c>
      <c r="AF168" t="inlineStr"/>
      <c r="AG168" t="inlineStr"/>
      <c r="AH168" t="inlineStr">
        <is>
          <t>PR</t>
        </is>
      </c>
      <c r="AI168" t="inlineStr">
        <is>
          <t>ARAPONGAS</t>
        </is>
      </c>
      <c r="AJ168" t="inlineStr">
        <is>
          <t>Fabricação de móveis com predominância de madeira</t>
        </is>
      </c>
      <c r="AK168" t="inlineStr">
        <is>
          <t>DEMAIS</t>
        </is>
      </c>
      <c r="AL168" t="inlineStr">
        <is>
          <t>ATIVA</t>
        </is>
      </c>
      <c r="AM168" s="17" t="inlineStr">
        <is>
          <t>https://recuperacaojudicial.squarespace.com/s/RJ-Credimoveis-QGC-01082025.pdf</t>
        </is>
      </c>
      <c r="AN168" s="18" t="inlineStr">
        <is>
          <t>p15 r20</t>
        </is>
      </c>
      <c r="AO168" s="18" t="inlineStr">
        <is>
          <t>p15: R$ 126.630,26</t>
        </is>
      </c>
      <c r="AP168" s="18" t="inlineStr">
        <is>
          <t>QGC</t>
        </is>
      </c>
      <c r="AQ168" s="18" t="inlineStr">
        <is>
          <t>2026-01-28</t>
        </is>
      </c>
      <c r="AR168" s="18" t="inlineStr">
        <is>
          <t>OK</t>
        </is>
      </c>
      <c r="AS168" s="18" t="inlineStr">
        <is>
          <t>ROWS:p15r20</t>
        </is>
      </c>
      <c r="AT168" s="18" t="inlineStr">
        <is>
          <t>849d4fe5adce</t>
        </is>
      </c>
    </row>
    <row r="169">
      <c r="A169" s="9" t="n">
        <v>168</v>
      </c>
      <c r="B169" s="9" t="inlineStr">
        <is>
          <t>NEW</t>
        </is>
      </c>
      <c r="C169" s="9" t="inlineStr"/>
      <c r="D169" s="9" t="n">
        <v>0</v>
      </c>
      <c r="E169" s="9" t="inlineStr"/>
      <c r="F169" s="9" t="inlineStr"/>
      <c r="G169" s="9" t="inlineStr"/>
      <c r="H169" s="9" t="inlineStr"/>
      <c r="I169" t="inlineStr">
        <is>
          <t>SOCIEDADE ALFA LTDA</t>
        </is>
      </c>
      <c r="J169" t="inlineStr">
        <is>
          <t>SOCIEDADE ALFA LTDA, CPF/CNPJ/OAB nº</t>
        </is>
      </c>
      <c r="K169" t="inlineStr">
        <is>
          <t>60499977</t>
        </is>
      </c>
      <c r="L169" t="inlineStr">
        <is>
          <t>60499977000127</t>
        </is>
      </c>
      <c r="M169" s="10" t="n">
        <v>126081.26</v>
      </c>
      <c r="N169" t="n">
        <v>1</v>
      </c>
      <c r="O169" s="11" t="inlineStr">
        <is>
          <t>B</t>
        </is>
      </c>
      <c r="P169" s="11" t="inlineStr">
        <is>
          <t>ACTIVE</t>
        </is>
      </c>
      <c r="Q169" s="12" t="n">
        <v>45349</v>
      </c>
      <c r="R169" s="11">
        <f>IF(Q169="","",ROUND((TODAY()-Q169)/365.25,1))</f>
        <v/>
      </c>
      <c r="S169" s="13">
        <f>IFERROR(VLOOKUP(O169,Assumptions!$A$7:$F$11,2,FALSE),0.25)</f>
        <v/>
      </c>
      <c r="T169" s="14">
        <f>IF(O169="A",MAX(1,IFERROR(VLOOKUP(O169,Assumptions!$A$7:$F$11,3,FALSE),3)+IFERROR(VLOOKUP(O169,Assumptions!$A$7:$F$11,4,FALSE),8)/2-MAX(0,IF(R169="",0,R169)-IFERROR(VLOOKUP(O169,Assumptions!$A$7:$F$11,5,FALSE),1.5))),IFERROR(VLOOKUP(O169,Assumptions!$A$7:$F$11,5,FALSE),2.5)+IFERROR(VLOOKUP(O169,Assumptions!$A$7:$F$11,3,FALSE),3)+IFERROR(VLOOKUP(O169,Assumptions!$A$7:$F$11,4,FALSE),8)/2)</f>
        <v/>
      </c>
      <c r="U169" s="15">
        <f>M169*S169/(1+Assumptions!$B$3)^T169</f>
        <v/>
      </c>
      <c r="V169" s="11">
        <f>IF(M169=0,"",ROUND(U169/M169*100,1))</f>
        <v/>
      </c>
      <c r="W169" s="16">
        <f>U169*Assumptions!$B$4</f>
        <v/>
      </c>
      <c r="X169" s="11">
        <f>IF(M169=0,"",ROUND(W169/M169*100,1))</f>
        <v/>
      </c>
      <c r="Y169" t="inlineStr">
        <is>
          <t>GRUPO ADLIM</t>
        </is>
      </c>
      <c r="Z169" t="inlineStr">
        <is>
          <t>0019761-43.2024.8.17.2001</t>
        </is>
      </c>
      <c r="AA169" t="inlineStr">
        <is>
          <t>TJPE</t>
        </is>
      </c>
      <c r="AB169" t="inlineStr">
        <is>
          <t>lrflideres.com.br</t>
        </is>
      </c>
      <c r="AC169" t="inlineStr">
        <is>
          <t>DANIEL LUIZ SCHUMAKER FERRAZ</t>
        </is>
      </c>
      <c r="AD169" t="inlineStr">
        <is>
          <t>Administrador</t>
        </is>
      </c>
      <c r="AE169" t="inlineStr">
        <is>
          <t>(11) 3320-8550</t>
        </is>
      </c>
      <c r="AF169" t="inlineStr"/>
      <c r="AG169" t="inlineStr"/>
      <c r="AH169" t="inlineStr">
        <is>
          <t>SP</t>
        </is>
      </c>
      <c r="AI169" t="inlineStr">
        <is>
          <t>SAO PAULO</t>
        </is>
      </c>
      <c r="AJ169" t="inlineStr">
        <is>
          <t>Comércio atacadista de outras máquinas e equipamentos não especificados anteriormente; partes e peças</t>
        </is>
      </c>
      <c r="AK169" t="inlineStr">
        <is>
          <t>DEMAIS</t>
        </is>
      </c>
      <c r="AL169" t="inlineStr">
        <is>
          <t>ATIVA</t>
        </is>
      </c>
      <c r="AM169" s="17" t="inlineStr">
        <is>
          <t>https://lrflideres.com.br/wp-content/plugins/download-attachments/includes/download.php?id=6051</t>
        </is>
      </c>
      <c r="AN169" s="18" t="inlineStr">
        <is>
          <t>p67 r43</t>
        </is>
      </c>
      <c r="AO169" s="18" t="inlineStr">
        <is>
          <t>p67: R$ 126081,26</t>
        </is>
      </c>
      <c r="AP169" s="18" t="inlineStr">
        <is>
          <t>AJ_LIST</t>
        </is>
      </c>
      <c r="AQ169" s="18" t="inlineStr">
        <is>
          <t>2024-08-12</t>
        </is>
      </c>
      <c r="AR169" s="18" t="inlineStr">
        <is>
          <t>QUARANTINED</t>
        </is>
      </c>
      <c r="AS169" s="18" t="inlineStr">
        <is>
          <t>PARTIAL_DOC_CLASS_III_RECONCILED ROWS:p67r43</t>
        </is>
      </c>
      <c r="AT169" s="18" t="inlineStr">
        <is>
          <t>a32497797bac</t>
        </is>
      </c>
    </row>
    <row r="170">
      <c r="A170" s="9" t="n">
        <v>169</v>
      </c>
      <c r="B170" s="9" t="inlineStr">
        <is>
          <t>NEW</t>
        </is>
      </c>
      <c r="C170" s="9" t="inlineStr"/>
      <c r="D170" s="9" t="n">
        <v>0</v>
      </c>
      <c r="E170" s="9" t="inlineStr"/>
      <c r="F170" s="9" t="inlineStr"/>
      <c r="G170" s="9" t="inlineStr"/>
      <c r="H170" s="9" t="inlineStr"/>
      <c r="I170" t="inlineStr">
        <is>
          <t>NOVA PIRAMIDAL THERMOPLASTICS LTDA</t>
        </is>
      </c>
      <c r="J170" t="inlineStr">
        <is>
          <t>NOVA PIRAMIDAL THERMOPLASTICS S.A.</t>
        </is>
      </c>
      <c r="K170" t="inlineStr">
        <is>
          <t>09220921</t>
        </is>
      </c>
      <c r="L170" t="inlineStr">
        <is>
          <t>09220921000568</t>
        </is>
      </c>
      <c r="M170" s="10" t="n">
        <v>125974.26</v>
      </c>
      <c r="N170" t="n">
        <v>1</v>
      </c>
      <c r="O170" s="11" t="inlineStr">
        <is>
          <t>C</t>
        </is>
      </c>
      <c r="P170" s="11" t="inlineStr">
        <is>
          <t>ACTIVE</t>
        </is>
      </c>
      <c r="Q170" s="12" t="n">
        <v>45154</v>
      </c>
      <c r="R170" s="11">
        <f>IF(Q170="","",ROUND((TODAY()-Q170)/365.25,1))</f>
        <v/>
      </c>
      <c r="S170" s="13">
        <f>IFERROR(VLOOKUP(O170,Assumptions!$A$7:$F$11,2,FALSE),0.25)</f>
        <v/>
      </c>
      <c r="T170" s="14">
        <f>IF(O170="A",MAX(1,IFERROR(VLOOKUP(O170,Assumptions!$A$7:$F$11,3,FALSE),3)+IFERROR(VLOOKUP(O170,Assumptions!$A$7:$F$11,4,FALSE),8)/2-MAX(0,IF(R170="",0,R170)-IFERROR(VLOOKUP(O170,Assumptions!$A$7:$F$11,5,FALSE),1.5))),IFERROR(VLOOKUP(O170,Assumptions!$A$7:$F$11,5,FALSE),2.5)+IFERROR(VLOOKUP(O170,Assumptions!$A$7:$F$11,3,FALSE),3)+IFERROR(VLOOKUP(O170,Assumptions!$A$7:$F$11,4,FALSE),8)/2)</f>
        <v/>
      </c>
      <c r="U170" s="15">
        <f>M170*S170/(1+Assumptions!$B$3)^T170</f>
        <v/>
      </c>
      <c r="V170" s="11">
        <f>IF(M170=0,"",ROUND(U170/M170*100,1))</f>
        <v/>
      </c>
      <c r="W170" s="16">
        <f>U170*Assumptions!$B$4</f>
        <v/>
      </c>
      <c r="X170" s="11">
        <f>IF(M170=0,"",ROUND(W170/M170*100,1))</f>
        <v/>
      </c>
      <c r="Y170" t="inlineStr">
        <is>
          <t>AZEPLAST INDÚSTRIA E COMÉRCIO LTDA</t>
        </is>
      </c>
      <c r="Z170" t="inlineStr">
        <is>
          <t>5008793-34.2023.8.24.0019</t>
        </is>
      </c>
      <c r="AA170" t="inlineStr">
        <is>
          <t>TJSC</t>
        </is>
      </c>
      <c r="AB170" t="inlineStr">
        <is>
          <t>ajruiz.com.br</t>
        </is>
      </c>
      <c r="AC170" t="inlineStr">
        <is>
          <t>AMAURI DOS SANTOS</t>
        </is>
      </c>
      <c r="AD170" t="inlineStr">
        <is>
          <t>Sócio-Administrador</t>
        </is>
      </c>
      <c r="AE170" t="inlineStr">
        <is>
          <t>(11) 3225-2400</t>
        </is>
      </c>
      <c r="AF170" t="inlineStr"/>
      <c r="AG170" t="inlineStr"/>
      <c r="AH170" t="inlineStr">
        <is>
          <t>SP</t>
        </is>
      </c>
      <c r="AI170" t="inlineStr">
        <is>
          <t>SAO PAULO</t>
        </is>
      </c>
      <c r="AJ170" t="inlineStr">
        <is>
          <t>Comércio atacadista de resinas e elastômeros</t>
        </is>
      </c>
      <c r="AK170" t="inlineStr">
        <is>
          <t>DEMAIS</t>
        </is>
      </c>
      <c r="AL170" t="inlineStr">
        <is>
          <t>ATIVA</t>
        </is>
      </c>
      <c r="AM170" s="17" t="inlineStr">
        <is>
          <t>https://ajruiz.com.br/sites/default/files/public/arquivos-processos/2026-08/qgc_azeplast_julho_2026.pdf</t>
        </is>
      </c>
      <c r="AN170" s="18" t="inlineStr">
        <is>
          <t>p2 r2</t>
        </is>
      </c>
      <c r="AO170" s="18" t="inlineStr">
        <is>
          <t>p2: R$ 125.974,26</t>
        </is>
      </c>
      <c r="AP170" s="18" t="inlineStr">
        <is>
          <t>QGC</t>
        </is>
      </c>
      <c r="AQ170" s="18" t="inlineStr"/>
      <c r="AR170" s="18" t="inlineStr">
        <is>
          <t>QUARANTINED</t>
        </is>
      </c>
      <c r="AS170" s="18" t="inlineStr">
        <is>
          <t>PARTIAL_DOC_CLASS_III_RECONCILED ROWS:p2r2</t>
        </is>
      </c>
      <c r="AT170" s="18" t="inlineStr">
        <is>
          <t>229081edb0ea</t>
        </is>
      </c>
    </row>
    <row r="171">
      <c r="A171" s="9" t="n">
        <v>170</v>
      </c>
      <c r="B171" s="9" t="inlineStr">
        <is>
          <t>NEW</t>
        </is>
      </c>
      <c r="C171" s="9" t="inlineStr"/>
      <c r="D171" s="9" t="n">
        <v>0</v>
      </c>
      <c r="E171" s="9" t="inlineStr"/>
      <c r="F171" s="9" t="inlineStr"/>
      <c r="G171" s="9" t="inlineStr"/>
      <c r="H171" s="9" t="inlineStr"/>
      <c r="I171" t="inlineStr">
        <is>
          <t>COMERCIAL DE ALIMENTOS NO. 10 LTDA.</t>
        </is>
      </c>
      <c r="J171" t="inlineStr">
        <is>
          <t>Comercial De Alimentos No. 10 Ltda</t>
        </is>
      </c>
      <c r="K171" t="inlineStr">
        <is>
          <t>12417429</t>
        </is>
      </c>
      <c r="L171" t="inlineStr">
        <is>
          <t>12417429000168</t>
        </is>
      </c>
      <c r="M171" s="10" t="n">
        <v>125479.2</v>
      </c>
      <c r="N171" t="n">
        <v>1</v>
      </c>
      <c r="O171" s="11" t="inlineStr">
        <is>
          <t>C</t>
        </is>
      </c>
      <c r="P171" s="11" t="inlineStr">
        <is>
          <t>ACTIVE</t>
        </is>
      </c>
      <c r="Q171" s="12" t="n">
        <v>44987</v>
      </c>
      <c r="R171" s="11">
        <f>IF(Q171="","",ROUND((TODAY()-Q171)/365.25,1))</f>
        <v/>
      </c>
      <c r="S171" s="13">
        <f>IFERROR(VLOOKUP(O171,Assumptions!$A$7:$F$11,2,FALSE),0.25)</f>
        <v/>
      </c>
      <c r="T171" s="14">
        <f>IF(O171="A",MAX(1,IFERROR(VLOOKUP(O171,Assumptions!$A$7:$F$11,3,FALSE),3)+IFERROR(VLOOKUP(O171,Assumptions!$A$7:$F$11,4,FALSE),8)/2-MAX(0,IF(R171="",0,R171)-IFERROR(VLOOKUP(O171,Assumptions!$A$7:$F$11,5,FALSE),1.5))),IFERROR(VLOOKUP(O171,Assumptions!$A$7:$F$11,5,FALSE),2.5)+IFERROR(VLOOKUP(O171,Assumptions!$A$7:$F$11,3,FALSE),3)+IFERROR(VLOOKUP(O171,Assumptions!$A$7:$F$11,4,FALSE),8)/2)</f>
        <v/>
      </c>
      <c r="U171" s="15">
        <f>M171*S171/(1+Assumptions!$B$3)^T171</f>
        <v/>
      </c>
      <c r="V171" s="11">
        <f>IF(M171=0,"",ROUND(U171/M171*100,1))</f>
        <v/>
      </c>
      <c r="W171" s="16">
        <f>U171*Assumptions!$B$4</f>
        <v/>
      </c>
      <c r="X171" s="11">
        <f>IF(M171=0,"",ROUND(W171/M171*100,1))</f>
        <v/>
      </c>
      <c r="Y171" t="inlineStr">
        <is>
          <t>GRUPO DP4</t>
        </is>
      </c>
      <c r="Z171" t="inlineStr">
        <is>
          <t>0005010-98.2023.8.16.0001</t>
        </is>
      </c>
      <c r="AA171" t="inlineStr">
        <is>
          <t>TJPR</t>
        </is>
      </c>
      <c r="AB171" t="inlineStr">
        <is>
          <t>marquesadmjudicial.com.br</t>
        </is>
      </c>
      <c r="AC171" t="inlineStr">
        <is>
          <t>CLOVIS FRETTA</t>
        </is>
      </c>
      <c r="AD171" t="inlineStr">
        <is>
          <t>Sócio-Administrador</t>
        </is>
      </c>
      <c r="AE171" t="inlineStr">
        <is>
          <t>(41) 3657-4565</t>
        </is>
      </c>
      <c r="AF171" t="inlineStr"/>
      <c r="AG171" t="inlineStr"/>
      <c r="AH171" t="inlineStr">
        <is>
          <t>PR</t>
        </is>
      </c>
      <c r="AI171" t="inlineStr">
        <is>
          <t>ALMIRANTE TAMANDARE</t>
        </is>
      </c>
      <c r="AJ171" t="inlineStr">
        <is>
          <t>Comércio atacadista de produtos alimentícios em geral</t>
        </is>
      </c>
      <c r="AK171" t="inlineStr">
        <is>
          <t>DEMAIS</t>
        </is>
      </c>
      <c r="AL171" t="inlineStr">
        <is>
          <t>ATIVA</t>
        </is>
      </c>
      <c r="AM171" s="17" t="inlineStr">
        <is>
          <t>https://marquesadmjudicial.com.br/sgc/download.php?file=files/processo_documento/processo_documento15293208032024_1_.pdf&amp;nome=Relação Nominal de Credores da AJ-Sintética</t>
        </is>
      </c>
      <c r="AN171" s="18" t="inlineStr">
        <is>
          <t>p23 r9</t>
        </is>
      </c>
      <c r="AO171" s="18" t="inlineStr">
        <is>
          <t>p23: R$ 125.479,20</t>
        </is>
      </c>
      <c r="AP171" s="18" t="inlineStr">
        <is>
          <t>AJ_LIST</t>
        </is>
      </c>
      <c r="AQ171" s="18" t="inlineStr">
        <is>
          <t>2023-03-02</t>
        </is>
      </c>
      <c r="AR171" s="18" t="inlineStr">
        <is>
          <t>QUARANTINED</t>
        </is>
      </c>
      <c r="AS171" s="18" t="inlineStr">
        <is>
          <t>PARTIAL_DOC_CLASS_III_RECONCILED ROWS:p23r9</t>
        </is>
      </c>
      <c r="AT171" s="18" t="inlineStr">
        <is>
          <t>b465a5d11eec</t>
        </is>
      </c>
    </row>
    <row r="172">
      <c r="A172" s="9" t="n">
        <v>171</v>
      </c>
      <c r="B172" s="9" t="inlineStr">
        <is>
          <t>NEW</t>
        </is>
      </c>
      <c r="C172" s="9" t="inlineStr"/>
      <c r="D172" s="9" t="n">
        <v>0</v>
      </c>
      <c r="E172" s="9" t="inlineStr"/>
      <c r="F172" s="9" t="inlineStr"/>
      <c r="G172" s="9" t="inlineStr"/>
      <c r="H172" s="9" t="inlineStr"/>
      <c r="I172" t="inlineStr">
        <is>
          <t>DELTA NAVEGACAO E SERVICOS LTDA.</t>
        </is>
      </c>
      <c r="J172" t="inlineStr">
        <is>
          <t>Delta Navegação e Serviços LTDA</t>
        </is>
      </c>
      <c r="K172" t="inlineStr">
        <is>
          <t>08767736</t>
        </is>
      </c>
      <c r="L172" t="inlineStr">
        <is>
          <t>08767736000100</t>
        </is>
      </c>
      <c r="M172" s="10" t="n">
        <v>125000</v>
      </c>
      <c r="N172" t="n">
        <v>1</v>
      </c>
      <c r="O172" s="11" t="inlineStr">
        <is>
          <t>B</t>
        </is>
      </c>
      <c r="P172" s="11" t="inlineStr"/>
      <c r="Q172" s="12" t="n">
        <v>45756</v>
      </c>
      <c r="R172" s="11">
        <f>IF(Q172="","",ROUND((TODAY()-Q172)/365.25,1))</f>
        <v/>
      </c>
      <c r="S172" s="13">
        <f>IFERROR(VLOOKUP(O172,Assumptions!$A$7:$F$11,2,FALSE),0.25)</f>
        <v/>
      </c>
      <c r="T172" s="14">
        <f>IF(O172="A",MAX(1,IFERROR(VLOOKUP(O172,Assumptions!$A$7:$F$11,3,FALSE),3)+IFERROR(VLOOKUP(O172,Assumptions!$A$7:$F$11,4,FALSE),8)/2-MAX(0,IF(R172="",0,R172)-IFERROR(VLOOKUP(O172,Assumptions!$A$7:$F$11,5,FALSE),1.5))),IFERROR(VLOOKUP(O172,Assumptions!$A$7:$F$11,5,FALSE),2.5)+IFERROR(VLOOKUP(O172,Assumptions!$A$7:$F$11,3,FALSE),3)+IFERROR(VLOOKUP(O172,Assumptions!$A$7:$F$11,4,FALSE),8)/2)</f>
        <v/>
      </c>
      <c r="U172" s="15">
        <f>M172*S172/(1+Assumptions!$B$3)^T172</f>
        <v/>
      </c>
      <c r="V172" s="11">
        <f>IF(M172=0,"",ROUND(U172/M172*100,1))</f>
        <v/>
      </c>
      <c r="W172" s="16">
        <f>U172*Assumptions!$B$4</f>
        <v/>
      </c>
      <c r="X172" s="11">
        <f>IF(M172=0,"",ROUND(W172/M172*100,1))</f>
        <v/>
      </c>
      <c r="Y172" t="inlineStr">
        <is>
          <t>GRUPO EGESA (EGESA ENG S.A, EGESUR PART E EMP S.A, MATRIX INFRA LTDA, BEMVIVER ENG AMBIENTAL E SERV LTDA, DKF CONST E EMP LTDA, EGEPEL LTDA, ETR ASSESSORIA EMP E PART LTDA, MVT ENG E SERV LTDA, PARQUES DO VALE LTDA, ELMO RIBEIRO E ANA RIBEIRO)</t>
        </is>
      </c>
      <c r="Z172" t="inlineStr">
        <is>
          <t>5088952-81.2025.8.13.0024</t>
        </is>
      </c>
      <c r="AA172" t="inlineStr">
        <is>
          <t>TJMG</t>
        </is>
      </c>
      <c r="AB172" t="inlineStr">
        <is>
          <t>scalzilliaj.com.br</t>
        </is>
      </c>
      <c r="AC172" t="inlineStr">
        <is>
          <t>FABIO FERNANDEZ DA CRUZ</t>
        </is>
      </c>
      <c r="AD172" t="inlineStr">
        <is>
          <t>Sócio-Administrador</t>
        </is>
      </c>
      <c r="AE172" t="inlineStr">
        <is>
          <t>(18) 3281-1036</t>
        </is>
      </c>
      <c r="AF172" t="inlineStr"/>
      <c r="AG172" t="inlineStr"/>
      <c r="AH172" t="inlineStr">
        <is>
          <t>SP</t>
        </is>
      </c>
      <c r="AI172" t="inlineStr">
        <is>
          <t>PRESIDENTE EPITACIO</t>
        </is>
      </c>
      <c r="AJ172" t="inlineStr">
        <is>
          <t>Locação de embarcações sem tripulação, exceto para fins recreativos</t>
        </is>
      </c>
      <c r="AK172" t="inlineStr">
        <is>
          <t>DEMAIS</t>
        </is>
      </c>
      <c r="AL172" t="inlineStr">
        <is>
          <t>ATIVA</t>
        </is>
      </c>
      <c r="AM172" s="17" t="inlineStr">
        <is>
          <t>https://scalzilliaj.com.br/sgc/download.php?file=files/processo_documento/processo_documento09514021082025_1_.pdf&amp;nome=04 - Relação de credores das Recuperandas</t>
        </is>
      </c>
      <c r="AN172" s="18" t="inlineStr">
        <is>
          <t>p65 r3</t>
        </is>
      </c>
      <c r="AO172" s="18" t="inlineStr">
        <is>
          <t>p65: R$ 125.000,00</t>
        </is>
      </c>
      <c r="AP172" s="18" t="inlineStr">
        <is>
          <t>DEBTOR_LIST</t>
        </is>
      </c>
      <c r="AQ172" s="18" t="inlineStr"/>
      <c r="AR172" s="18" t="inlineStr">
        <is>
          <t>OK</t>
        </is>
      </c>
      <c r="AS172" s="18" t="inlineStr">
        <is>
          <t>ROWS:p65r3 VALUE_COL:Valor_Atualizado CASE_NUMBER_CORRECTED CASE_FROM_PORTAL</t>
        </is>
      </c>
      <c r="AT172" s="18" t="inlineStr">
        <is>
          <t>24ed98480a57</t>
        </is>
      </c>
    </row>
    <row r="173">
      <c r="A173" s="9" t="n">
        <v>172</v>
      </c>
      <c r="B173" s="9" t="inlineStr">
        <is>
          <t>NEW</t>
        </is>
      </c>
      <c r="C173" s="9" t="inlineStr"/>
      <c r="D173" s="9" t="n">
        <v>0</v>
      </c>
      <c r="E173" s="9" t="inlineStr"/>
      <c r="F173" s="9" t="inlineStr"/>
      <c r="G173" s="9" t="inlineStr"/>
      <c r="H173" s="9" t="inlineStr"/>
      <c r="I173" t="inlineStr">
        <is>
          <t>ACOS LONGOS DO NORDESTE LTDA</t>
        </is>
      </c>
      <c r="J173" t="inlineStr">
        <is>
          <t>RODOVIA CE 040 KM NR., 004, COACU - 61760-000, EUSEBIO - CE</t>
        </is>
      </c>
      <c r="K173" t="inlineStr">
        <is>
          <t>01397886</t>
        </is>
      </c>
      <c r="L173" t="inlineStr">
        <is>
          <t>01397886000111</t>
        </is>
      </c>
      <c r="M173" s="10" t="n">
        <v>124940</v>
      </c>
      <c r="N173" t="n">
        <v>1</v>
      </c>
      <c r="O173" s="11" t="inlineStr">
        <is>
          <t>C</t>
        </is>
      </c>
      <c r="P173" s="11" t="inlineStr"/>
      <c r="Q173" s="12" t="inlineStr"/>
      <c r="R173" s="11">
        <f>IF(Q173="","",ROUND((TODAY()-Q173)/365.25,1))</f>
        <v/>
      </c>
      <c r="S173" s="13">
        <f>IFERROR(VLOOKUP(O173,Assumptions!$A$7:$F$11,2,FALSE),0.25)</f>
        <v/>
      </c>
      <c r="T173" s="14">
        <f>IF(O173="A",MAX(1,IFERROR(VLOOKUP(O173,Assumptions!$A$7:$F$11,3,FALSE),3)+IFERROR(VLOOKUP(O173,Assumptions!$A$7:$F$11,4,FALSE),8)/2-MAX(0,IF(R173="",0,R173)-IFERROR(VLOOKUP(O173,Assumptions!$A$7:$F$11,5,FALSE),1.5))),IFERROR(VLOOKUP(O173,Assumptions!$A$7:$F$11,5,FALSE),2.5)+IFERROR(VLOOKUP(O173,Assumptions!$A$7:$F$11,3,FALSE),3)+IFERROR(VLOOKUP(O173,Assumptions!$A$7:$F$11,4,FALSE),8)/2)</f>
        <v/>
      </c>
      <c r="U173" s="15">
        <f>M173*S173/(1+Assumptions!$B$3)^T173</f>
        <v/>
      </c>
      <c r="V173" s="11">
        <f>IF(M173=0,"",ROUND(U173/M173*100,1))</f>
        <v/>
      </c>
      <c r="W173" s="16">
        <f>U173*Assumptions!$B$4</f>
        <v/>
      </c>
      <c r="X173" s="11">
        <f>IF(M173=0,"",ROUND(W173/M173*100,1))</f>
        <v/>
      </c>
      <c r="Y173" t="inlineStr">
        <is>
          <t>Roque Materiais para Construção</t>
        </is>
      </c>
      <c r="Z173" t="inlineStr">
        <is>
          <t>0802426-35.2019.8.10.0000</t>
        </is>
      </c>
      <c r="AA173" t="inlineStr"/>
      <c r="AB173" t="inlineStr">
        <is>
          <t>realbrasil.com.br</t>
        </is>
      </c>
      <c r="AC173" t="inlineStr">
        <is>
          <t>JOSE DE PAULO FERREIRA</t>
        </is>
      </c>
      <c r="AD173" t="inlineStr">
        <is>
          <t>Administrador</t>
        </is>
      </c>
      <c r="AE173" t="inlineStr">
        <is>
          <t>(85) 3117-3000</t>
        </is>
      </c>
      <c r="AF173" t="inlineStr"/>
      <c r="AG173" t="inlineStr"/>
      <c r="AH173" t="inlineStr">
        <is>
          <t>CE</t>
        </is>
      </c>
      <c r="AI173" t="inlineStr">
        <is>
          <t>EUSEBIO</t>
        </is>
      </c>
      <c r="AJ173" t="inlineStr">
        <is>
          <t>Fabricação de outros produtos de metal não especificados anteriormente</t>
        </is>
      </c>
      <c r="AK173" t="inlineStr">
        <is>
          <t>DEMAIS</t>
        </is>
      </c>
      <c r="AL173" t="inlineStr">
        <is>
          <t>ATIVA</t>
        </is>
      </c>
      <c r="AM173" s="17" t="inlineStr">
        <is>
          <t>https://realbrasil.com.br/wp-content/uploads/2018/06/2_LISTA-DE-CREDORES-DA-RECUPERANDA_ROQUE.pdf</t>
        </is>
      </c>
      <c r="AN173" s="18" t="inlineStr">
        <is>
          <t>p2 r11</t>
        </is>
      </c>
      <c r="AO173" s="18" t="inlineStr">
        <is>
          <t>p2: R$ 124.940,00</t>
        </is>
      </c>
      <c r="AP173" s="18" t="inlineStr">
        <is>
          <t>UNKNOWN</t>
        </is>
      </c>
      <c r="AQ173" s="18" t="inlineStr"/>
      <c r="AR173" s="18" t="inlineStr">
        <is>
          <t>OK</t>
        </is>
      </c>
      <c r="AS173" s="18" t="inlineStr">
        <is>
          <t>ROWS:p2r11 VALUE_COL:Saldo_Total</t>
        </is>
      </c>
      <c r="AT173" s="18" t="inlineStr">
        <is>
          <t>d85bdfbfbdc8</t>
        </is>
      </c>
    </row>
    <row r="174">
      <c r="A174" s="9" t="n">
        <v>173</v>
      </c>
      <c r="B174" s="9" t="inlineStr">
        <is>
          <t>NEW</t>
        </is>
      </c>
      <c r="C174" s="9" t="inlineStr"/>
      <c r="D174" s="9" t="n">
        <v>0</v>
      </c>
      <c r="E174" s="9" t="inlineStr"/>
      <c r="F174" s="9" t="inlineStr"/>
      <c r="G174" s="9" t="inlineStr"/>
      <c r="H174" s="9" t="inlineStr"/>
      <c r="I174" t="inlineStr">
        <is>
          <t>ACZ INOX COMERCIAL LTDA</t>
        </is>
      </c>
      <c r="J174" t="inlineStr">
        <is>
          <t>ACZ INOX COMERCIAL LTDA - FILIAL (</t>
        </is>
      </c>
      <c r="K174" t="inlineStr">
        <is>
          <t>69184778</t>
        </is>
      </c>
      <c r="L174" t="inlineStr">
        <is>
          <t>69184778000366</t>
        </is>
      </c>
      <c r="M174" s="10" t="n">
        <v>123319.58</v>
      </c>
      <c r="N174" t="n">
        <v>1</v>
      </c>
      <c r="O174" s="11" t="inlineStr">
        <is>
          <t>C</t>
        </is>
      </c>
      <c r="P174" s="11" t="inlineStr">
        <is>
          <t>ACTIVE</t>
        </is>
      </c>
      <c r="Q174" s="12" t="n">
        <v>44354</v>
      </c>
      <c r="R174" s="11">
        <f>IF(Q174="","",ROUND((TODAY()-Q174)/365.25,1))</f>
        <v/>
      </c>
      <c r="S174" s="13">
        <f>IFERROR(VLOOKUP(O174,Assumptions!$A$7:$F$11,2,FALSE),0.25)</f>
        <v/>
      </c>
      <c r="T174" s="14">
        <f>IF(O174="A",MAX(1,IFERROR(VLOOKUP(O174,Assumptions!$A$7:$F$11,3,FALSE),3)+IFERROR(VLOOKUP(O174,Assumptions!$A$7:$F$11,4,FALSE),8)/2-MAX(0,IF(R174="",0,R174)-IFERROR(VLOOKUP(O174,Assumptions!$A$7:$F$11,5,FALSE),1.5))),IFERROR(VLOOKUP(O174,Assumptions!$A$7:$F$11,5,FALSE),2.5)+IFERROR(VLOOKUP(O174,Assumptions!$A$7:$F$11,3,FALSE),3)+IFERROR(VLOOKUP(O174,Assumptions!$A$7:$F$11,4,FALSE),8)/2)</f>
        <v/>
      </c>
      <c r="U174" s="15">
        <f>M174*S174/(1+Assumptions!$B$3)^T174</f>
        <v/>
      </c>
      <c r="V174" s="11">
        <f>IF(M174=0,"",ROUND(U174/M174*100,1))</f>
        <v/>
      </c>
      <c r="W174" s="16">
        <f>U174*Assumptions!$B$4</f>
        <v/>
      </c>
      <c r="X174" s="11">
        <f>IF(M174=0,"",ROUND(W174/M174*100,1))</f>
        <v/>
      </c>
      <c r="Y174" t="inlineStr">
        <is>
          <t>VECTOR INDÚSTRIA DE PRODUTOS METALÚRGICOS LTDA.</t>
        </is>
      </c>
      <c r="Z174" t="inlineStr">
        <is>
          <t>5014104-85.2021.8.21.0010</t>
        </is>
      </c>
      <c r="AA174" t="inlineStr">
        <is>
          <t>TJRS</t>
        </is>
      </c>
      <c r="AB174" t="inlineStr">
        <is>
          <t>scalzilliaj.com.br</t>
        </is>
      </c>
      <c r="AC174" t="inlineStr">
        <is>
          <t>BARBARA MARTINEZ CORTON LENZA</t>
        </is>
      </c>
      <c r="AD174" t="inlineStr">
        <is>
          <t>Sócio-Administrador</t>
        </is>
      </c>
      <c r="AE174" t="inlineStr">
        <is>
          <t>(11) 4061-1661</t>
        </is>
      </c>
      <c r="AF174" t="inlineStr"/>
      <c r="AG174" t="inlineStr"/>
      <c r="AH174" t="inlineStr">
        <is>
          <t>SP</t>
        </is>
      </c>
      <c r="AI174" t="inlineStr">
        <is>
          <t>DIADEMA</t>
        </is>
      </c>
      <c r="AJ174" t="inlineStr">
        <is>
          <t>Comércio atacadista de produtos siderúrgicos e metalúrgicos, exceto para construção</t>
        </is>
      </c>
      <c r="AK174" t="inlineStr">
        <is>
          <t>DEMAIS</t>
        </is>
      </c>
      <c r="AL174" t="inlineStr">
        <is>
          <t>ATIVA</t>
        </is>
      </c>
      <c r="AM174" s="17" t="inlineStr">
        <is>
          <t>https://scalzilliaj.com.br/sgc/download.php?file=files/processo_documento/processo_documento15513401112022_1_.pdf&amp;nome=15 - Edital do art. 7º, §2º (segunda lista de credores) e do art. 53 da Lei 11.101/2005 (recebimento do plano)</t>
        </is>
      </c>
      <c r="AN174" s="18" t="inlineStr">
        <is>
          <t>p5 r20</t>
        </is>
      </c>
      <c r="AO174" s="18" t="inlineStr">
        <is>
          <t>p5: R$ 123.319,58</t>
        </is>
      </c>
      <c r="AP174" s="18" t="inlineStr">
        <is>
          <t>AJ_LIST</t>
        </is>
      </c>
      <c r="AQ174" s="18" t="inlineStr">
        <is>
          <t>2022-11-01</t>
        </is>
      </c>
      <c r="AR174" s="18" t="inlineStr">
        <is>
          <t>OK_NO_TOTALS</t>
        </is>
      </c>
      <c r="AS174" s="18" t="inlineStr">
        <is>
          <t>ROWS:p5r20 UNRECONCILED_SOURCE</t>
        </is>
      </c>
      <c r="AT174" s="18" t="inlineStr">
        <is>
          <t>84c586360a66</t>
        </is>
      </c>
    </row>
    <row r="175">
      <c r="A175" s="9" t="n">
        <v>174</v>
      </c>
      <c r="B175" s="9" t="inlineStr">
        <is>
          <t>NEW</t>
        </is>
      </c>
      <c r="C175" s="9" t="inlineStr"/>
      <c r="D175" s="9" t="n">
        <v>0</v>
      </c>
      <c r="E175" s="9" t="inlineStr"/>
      <c r="F175" s="9" t="inlineStr"/>
      <c r="G175" s="9" t="inlineStr"/>
      <c r="H175" s="9" t="inlineStr"/>
      <c r="I175" t="inlineStr">
        <is>
          <t>ALTO DA BARRA DE SAO MIGUEL EMPREENDIMENTO IMOBILIARIO SPE LTDA</t>
        </is>
      </c>
      <c r="J175" t="inlineStr">
        <is>
          <t>ALTO DA BARRA DE SAO MIGUEL EMPREENDIMENTOS IMOBILIARIOS SPE LTDA</t>
        </is>
      </c>
      <c r="K175" t="inlineStr">
        <is>
          <t>08285103</t>
        </is>
      </c>
      <c r="L175" t="inlineStr">
        <is>
          <t>08285103000157</t>
        </is>
      </c>
      <c r="M175" s="10" t="n">
        <v>121313.2</v>
      </c>
      <c r="N175" t="n">
        <v>1</v>
      </c>
      <c r="O175" s="11" t="inlineStr">
        <is>
          <t>C</t>
        </is>
      </c>
      <c r="P175" s="11" t="inlineStr"/>
      <c r="Q175" s="12" t="inlineStr"/>
      <c r="R175" s="11">
        <f>IF(Q175="","",ROUND((TODAY()-Q175)/365.25,1))</f>
        <v/>
      </c>
      <c r="S175" s="13">
        <f>IFERROR(VLOOKUP(O175,Assumptions!$A$7:$F$11,2,FALSE),0.25)</f>
        <v/>
      </c>
      <c r="T175" s="14">
        <f>IF(O175="A",MAX(1,IFERROR(VLOOKUP(O175,Assumptions!$A$7:$F$11,3,FALSE),3)+IFERROR(VLOOKUP(O175,Assumptions!$A$7:$F$11,4,FALSE),8)/2-MAX(0,IF(R175="",0,R175)-IFERROR(VLOOKUP(O175,Assumptions!$A$7:$F$11,5,FALSE),1.5))),IFERROR(VLOOKUP(O175,Assumptions!$A$7:$F$11,5,FALSE),2.5)+IFERROR(VLOOKUP(O175,Assumptions!$A$7:$F$11,3,FALSE),3)+IFERROR(VLOOKUP(O175,Assumptions!$A$7:$F$11,4,FALSE),8)/2)</f>
        <v/>
      </c>
      <c r="U175" s="15">
        <f>M175*S175/(1+Assumptions!$B$3)^T175</f>
        <v/>
      </c>
      <c r="V175" s="11">
        <f>IF(M175=0,"",ROUND(U175/M175*100,1))</f>
        <v/>
      </c>
      <c r="W175" s="16">
        <f>U175*Assumptions!$B$4</f>
        <v/>
      </c>
      <c r="X175" s="11">
        <f>IF(M175=0,"",ROUND(W175/M175*100,1))</f>
        <v/>
      </c>
      <c r="Y175" t="inlineStr">
        <is>
          <t>GRUPO ARNON DE MELLO</t>
        </is>
      </c>
      <c r="Z175" t="inlineStr">
        <is>
          <t>0700256-03.2019.8.02.0066</t>
        </is>
      </c>
      <c r="AA175" t="inlineStr"/>
      <c r="AB175" t="inlineStr">
        <is>
          <t>recuperacaojudicial.squarespace.com</t>
        </is>
      </c>
      <c r="AC175" t="inlineStr">
        <is>
          <t>CARLOS ALBERTO DA SILVA RAMOS</t>
        </is>
      </c>
      <c r="AD175" t="inlineStr">
        <is>
          <t>Administrador</t>
        </is>
      </c>
      <c r="AE175" t="inlineStr">
        <is>
          <t>(82) 3023-9700</t>
        </is>
      </c>
      <c r="AF175" t="inlineStr"/>
      <c r="AG175" t="inlineStr"/>
      <c r="AH175" t="inlineStr">
        <is>
          <t>AL</t>
        </is>
      </c>
      <c r="AI175" t="inlineStr">
        <is>
          <t>MACEIO</t>
        </is>
      </c>
      <c r="AJ175" t="inlineStr">
        <is>
          <t>Construção de edifícios</t>
        </is>
      </c>
      <c r="AK175" t="inlineStr">
        <is>
          <t>DEMAIS</t>
        </is>
      </c>
      <c r="AL175" t="inlineStr">
        <is>
          <t>ATIVA</t>
        </is>
      </c>
      <c r="AM175" s="17" t="inlineStr">
        <is>
          <t>https://recuperacaojudicial.squarespace.com/s/RJ-Grupo-Arnon-de-Melo-Lista-de-Credores-Consolidada-abril-2022.pdf</t>
        </is>
      </c>
      <c r="AN175" s="18" t="inlineStr">
        <is>
          <t>p7 r6</t>
        </is>
      </c>
      <c r="AO175" s="18" t="inlineStr">
        <is>
          <t>p7: R$ 121.313,20</t>
        </is>
      </c>
      <c r="AP175" s="18" t="inlineStr">
        <is>
          <t>AJ_LIST</t>
        </is>
      </c>
      <c r="AQ175" s="18" t="inlineStr"/>
      <c r="AR175" s="18" t="inlineStr">
        <is>
          <t>OK_NO_TOTALS</t>
        </is>
      </c>
      <c r="AS175" s="18" t="inlineStr">
        <is>
          <t>ROWS:p7r6 UNRECONCILED_SOURCE</t>
        </is>
      </c>
      <c r="AT175" s="18" t="inlineStr">
        <is>
          <t>60fd9c017d90</t>
        </is>
      </c>
    </row>
    <row r="176">
      <c r="A176" s="9" t="n">
        <v>175</v>
      </c>
      <c r="B176" s="9" t="inlineStr">
        <is>
          <t>NEW</t>
        </is>
      </c>
      <c r="C176" s="9" t="inlineStr"/>
      <c r="D176" s="9" t="n">
        <v>0</v>
      </c>
      <c r="E176" s="9" t="inlineStr"/>
      <c r="F176" s="9" t="inlineStr"/>
      <c r="G176" s="9" t="inlineStr"/>
      <c r="H176" s="9" t="inlineStr"/>
      <c r="I176" t="inlineStr">
        <is>
          <t>IRMAOS GARCIA HORTIFRUTIGRANJEIROS</t>
        </is>
      </c>
      <c r="J176" t="inlineStr">
        <is>
          <t>Irmaos Garcia Hortfrutigranj Ltda-Epp</t>
        </is>
      </c>
      <c r="K176" t="inlineStr">
        <is>
          <t>10681801</t>
        </is>
      </c>
      <c r="L176" t="inlineStr">
        <is>
          <t>10681801000113</t>
        </is>
      </c>
      <c r="M176" s="10" t="n">
        <v>121150</v>
      </c>
      <c r="N176" t="n">
        <v>1</v>
      </c>
      <c r="O176" s="11" t="inlineStr">
        <is>
          <t>B</t>
        </is>
      </c>
      <c r="P176" s="11" t="inlineStr">
        <is>
          <t>ACTIVE</t>
        </is>
      </c>
      <c r="Q176" s="12" t="n">
        <v>46130</v>
      </c>
      <c r="R176" s="11">
        <f>IF(Q176="","",ROUND((TODAY()-Q176)/365.25,1))</f>
        <v/>
      </c>
      <c r="S176" s="13">
        <f>IFERROR(VLOOKUP(O176,Assumptions!$A$7:$F$11,2,FALSE),0.25)</f>
        <v/>
      </c>
      <c r="T176" s="14">
        <f>IF(O176="A",MAX(1,IFERROR(VLOOKUP(O176,Assumptions!$A$7:$F$11,3,FALSE),3)+IFERROR(VLOOKUP(O176,Assumptions!$A$7:$F$11,4,FALSE),8)/2-MAX(0,IF(R176="",0,R176)-IFERROR(VLOOKUP(O176,Assumptions!$A$7:$F$11,5,FALSE),1.5))),IFERROR(VLOOKUP(O176,Assumptions!$A$7:$F$11,5,FALSE),2.5)+IFERROR(VLOOKUP(O176,Assumptions!$A$7:$F$11,3,FALSE),3)+IFERROR(VLOOKUP(O176,Assumptions!$A$7:$F$11,4,FALSE),8)/2)</f>
        <v/>
      </c>
      <c r="U176" s="15">
        <f>M176*S176/(1+Assumptions!$B$3)^T176</f>
        <v/>
      </c>
      <c r="V176" s="11">
        <f>IF(M176=0,"",ROUND(U176/M176*100,1))</f>
        <v/>
      </c>
      <c r="W176" s="16">
        <f>U176*Assumptions!$B$4</f>
        <v/>
      </c>
      <c r="X176" s="11">
        <f>IF(M176=0,"",ROUND(W176/M176*100,1))</f>
        <v/>
      </c>
      <c r="Y176" t="inlineStr">
        <is>
          <t>GRUPO 3E</t>
        </is>
      </c>
      <c r="Z176" t="inlineStr">
        <is>
          <t>5341375-33.2026.8.09.0049</t>
        </is>
      </c>
      <c r="AA176" t="inlineStr">
        <is>
          <t>TJGO</t>
        </is>
      </c>
      <c r="AB176" t="inlineStr">
        <is>
          <t>stenius.com.br</t>
        </is>
      </c>
      <c r="AC176" t="inlineStr">
        <is>
          <t>ODILON FERREIRA GARCIA FILHO</t>
        </is>
      </c>
      <c r="AD176" t="inlineStr">
        <is>
          <t>Sócio-Administrador</t>
        </is>
      </c>
      <c r="AE176" t="inlineStr">
        <is>
          <t>(62) 3522-9105</t>
        </is>
      </c>
      <c r="AF176" t="inlineStr">
        <is>
          <t>(62) 9861-9580</t>
        </is>
      </c>
      <c r="AG176" t="inlineStr"/>
      <c r="AH176" t="inlineStr">
        <is>
          <t>GO</t>
        </is>
      </c>
      <c r="AI176" t="inlineStr">
        <is>
          <t>GOIANIA</t>
        </is>
      </c>
      <c r="AJ176" t="inlineStr">
        <is>
          <t>Comércio atacadista de frutas, verduras, raízes, tubérculos, hortaliças e legumes frescos</t>
        </is>
      </c>
      <c r="AK176" t="inlineStr">
        <is>
          <t>DEMAIS</t>
        </is>
      </c>
      <c r="AL176" t="inlineStr">
        <is>
          <t>ATIVA</t>
        </is>
      </c>
      <c r="AM176" s="17" t="inlineStr">
        <is>
          <t>https://stenius.com.br/wp-content/uploads/2026/06/EDITAL-GRUPO-3E.pdf</t>
        </is>
      </c>
      <c r="AN176" s="18" t="inlineStr">
        <is>
          <t>p14 r58</t>
        </is>
      </c>
      <c r="AO176" s="18" t="inlineStr">
        <is>
          <t>p14: R$ 121.150,00</t>
        </is>
      </c>
      <c r="AP176" s="18" t="inlineStr">
        <is>
          <t>DEBTOR_LIST</t>
        </is>
      </c>
      <c r="AQ176" s="18" t="inlineStr">
        <is>
          <t>2026-06-22</t>
        </is>
      </c>
      <c r="AR176" s="18" t="inlineStr">
        <is>
          <t>OK_NO_TOTALS</t>
        </is>
      </c>
      <c r="AS176" s="18" t="inlineStr">
        <is>
          <t>ROWS:p14r58 UNRECONCILED_SOURCE</t>
        </is>
      </c>
      <c r="AT176" s="18" t="inlineStr">
        <is>
          <t>8e8832093a15</t>
        </is>
      </c>
    </row>
    <row r="177">
      <c r="A177" s="9" t="n">
        <v>176</v>
      </c>
      <c r="B177" s="9" t="inlineStr">
        <is>
          <t>NEW</t>
        </is>
      </c>
      <c r="C177" s="9" t="inlineStr"/>
      <c r="D177" s="9" t="n">
        <v>0</v>
      </c>
      <c r="E177" s="9" t="inlineStr"/>
      <c r="F177" s="9" t="inlineStr"/>
      <c r="G177" s="9" t="inlineStr"/>
      <c r="H177" s="9" t="inlineStr"/>
      <c r="I177" t="inlineStr">
        <is>
          <t>SERVI SAN VIGILANCIA E TRANSPORTE DE VALORES LTDA - EM RECUPERACAO JUDICIAL</t>
        </is>
      </c>
      <c r="J177" t="inlineStr">
        <is>
          <t>Servi - San Vigilância e Transporte de Valores Ltda</t>
        </is>
      </c>
      <c r="K177" t="inlineStr">
        <is>
          <t>12066015</t>
        </is>
      </c>
      <c r="L177" t="inlineStr">
        <is>
          <t>12066015001375</t>
        </is>
      </c>
      <c r="M177" s="10" t="n">
        <v>121047.64</v>
      </c>
      <c r="N177" t="n">
        <v>1</v>
      </c>
      <c r="O177" s="11" t="inlineStr">
        <is>
          <t>B</t>
        </is>
      </c>
      <c r="P177" s="11" t="inlineStr"/>
      <c r="Q177" s="12" t="n">
        <v>45756</v>
      </c>
      <c r="R177" s="11">
        <f>IF(Q177="","",ROUND((TODAY()-Q177)/365.25,1))</f>
        <v/>
      </c>
      <c r="S177" s="13">
        <f>IFERROR(VLOOKUP(O177,Assumptions!$A$7:$F$11,2,FALSE),0.25)</f>
        <v/>
      </c>
      <c r="T177" s="14">
        <f>IF(O177="A",MAX(1,IFERROR(VLOOKUP(O177,Assumptions!$A$7:$F$11,3,FALSE),3)+IFERROR(VLOOKUP(O177,Assumptions!$A$7:$F$11,4,FALSE),8)/2-MAX(0,IF(R177="",0,R177)-IFERROR(VLOOKUP(O177,Assumptions!$A$7:$F$11,5,FALSE),1.5))),IFERROR(VLOOKUP(O177,Assumptions!$A$7:$F$11,5,FALSE),2.5)+IFERROR(VLOOKUP(O177,Assumptions!$A$7:$F$11,3,FALSE),3)+IFERROR(VLOOKUP(O177,Assumptions!$A$7:$F$11,4,FALSE),8)/2)</f>
        <v/>
      </c>
      <c r="U177" s="15">
        <f>M177*S177/(1+Assumptions!$B$3)^T177</f>
        <v/>
      </c>
      <c r="V177" s="11">
        <f>IF(M177=0,"",ROUND(U177/M177*100,1))</f>
        <v/>
      </c>
      <c r="W177" s="16">
        <f>U177*Assumptions!$B$4</f>
        <v/>
      </c>
      <c r="X177" s="11">
        <f>IF(M177=0,"",ROUND(W177/M177*100,1))</f>
        <v/>
      </c>
      <c r="Y177" t="inlineStr">
        <is>
          <t>GRUPO EGESA (EGESA ENG S.A, EGESUR PART E EMP S.A, MATRIX INFRA LTDA, BEMVIVER ENG AMBIENTAL E SERV LTDA, DKF CONST E EMP LTDA, EGEPEL LTDA, ETR ASSESSORIA EMP E PART LTDA, MVT ENG E SERV LTDA, PARQUES DO VALE LTDA, ELMO RIBEIRO E ANA RIBEIRO)</t>
        </is>
      </c>
      <c r="Z177" t="inlineStr">
        <is>
          <t>5088952-81.2025.8.13.0024</t>
        </is>
      </c>
      <c r="AA177" t="inlineStr">
        <is>
          <t>TJMG</t>
        </is>
      </c>
      <c r="AB177" t="inlineStr">
        <is>
          <t>scalzilliaj.com.br</t>
        </is>
      </c>
      <c r="AC177" t="inlineStr">
        <is>
          <t>LUCIA MARIA DE MELO FORTES</t>
        </is>
      </c>
      <c r="AD177" t="inlineStr">
        <is>
          <t>Administrador</t>
        </is>
      </c>
      <c r="AE177" t="inlineStr">
        <is>
          <t>(86) 2107-1418</t>
        </is>
      </c>
      <c r="AF177" t="inlineStr"/>
      <c r="AG177" t="inlineStr"/>
      <c r="AH177" t="inlineStr">
        <is>
          <t>PI</t>
        </is>
      </c>
      <c r="AI177" t="inlineStr">
        <is>
          <t>TERESINA</t>
        </is>
      </c>
      <c r="AJ177" t="inlineStr">
        <is>
          <t>Atividades de vigilância e segurança privada</t>
        </is>
      </c>
      <c r="AK177" t="inlineStr">
        <is>
          <t>DEMAIS</t>
        </is>
      </c>
      <c r="AL177" t="inlineStr">
        <is>
          <t>ATIVA</t>
        </is>
      </c>
      <c r="AM177" s="17" t="inlineStr">
        <is>
          <t>https://scalzilliaj.com.br/sgc/download.php?file=files/processo_documento/processo_documento09514021082025_1_.pdf&amp;nome=04 - Relação de credores das Recuperandas</t>
        </is>
      </c>
      <c r="AN177" s="18" t="inlineStr">
        <is>
          <t>p73 r7</t>
        </is>
      </c>
      <c r="AO177" s="18" t="inlineStr">
        <is>
          <t>p73: R$ 121.047,64</t>
        </is>
      </c>
      <c r="AP177" s="18" t="inlineStr">
        <is>
          <t>DEBTOR_LIST</t>
        </is>
      </c>
      <c r="AQ177" s="18" t="inlineStr"/>
      <c r="AR177" s="18" t="inlineStr">
        <is>
          <t>OK</t>
        </is>
      </c>
      <c r="AS177" s="18" t="inlineStr">
        <is>
          <t>ROWS:p73r7 VALUE_COL:Valor_Atualizado CASE_NUMBER_CORRECTED CASE_FROM_PORTAL</t>
        </is>
      </c>
      <c r="AT177" s="18" t="inlineStr">
        <is>
          <t>24ed98480a57</t>
        </is>
      </c>
    </row>
    <row r="178">
      <c r="A178" s="9" t="n">
        <v>177</v>
      </c>
      <c r="B178" s="9" t="inlineStr">
        <is>
          <t>NEW</t>
        </is>
      </c>
      <c r="C178" s="9" t="inlineStr"/>
      <c r="D178" s="9" t="n">
        <v>0</v>
      </c>
      <c r="E178" s="9" t="inlineStr"/>
      <c r="F178" s="9" t="inlineStr"/>
      <c r="G178" s="9" t="inlineStr"/>
      <c r="H178" s="9" t="inlineStr"/>
      <c r="I178" t="inlineStr">
        <is>
          <t>PETROSTAR COMBUSTIVEIS LTDA</t>
        </is>
      </c>
      <c r="J178" t="inlineStr">
        <is>
          <t>PETROSTAR COMBUSTIVEIS LTDA</t>
        </is>
      </c>
      <c r="K178" t="inlineStr">
        <is>
          <t>29736901</t>
        </is>
      </c>
      <c r="L178" t="inlineStr">
        <is>
          <t>29736901000128</t>
        </is>
      </c>
      <c r="M178" s="10" t="n">
        <v>120950</v>
      </c>
      <c r="N178" t="n">
        <v>1</v>
      </c>
      <c r="O178" s="11" t="inlineStr">
        <is>
          <t>C</t>
        </is>
      </c>
      <c r="P178" s="11" t="inlineStr">
        <is>
          <t>ACTIVE</t>
        </is>
      </c>
      <c r="Q178" s="12" t="n">
        <v>44798</v>
      </c>
      <c r="R178" s="11">
        <f>IF(Q178="","",ROUND((TODAY()-Q178)/365.25,1))</f>
        <v/>
      </c>
      <c r="S178" s="13">
        <f>IFERROR(VLOOKUP(O178,Assumptions!$A$7:$F$11,2,FALSE),0.25)</f>
        <v/>
      </c>
      <c r="T178" s="14">
        <f>IF(O178="A",MAX(1,IFERROR(VLOOKUP(O178,Assumptions!$A$7:$F$11,3,FALSE),3)+IFERROR(VLOOKUP(O178,Assumptions!$A$7:$F$11,4,FALSE),8)/2-MAX(0,IF(R178="",0,R178)-IFERROR(VLOOKUP(O178,Assumptions!$A$7:$F$11,5,FALSE),1.5))),IFERROR(VLOOKUP(O178,Assumptions!$A$7:$F$11,5,FALSE),2.5)+IFERROR(VLOOKUP(O178,Assumptions!$A$7:$F$11,3,FALSE),3)+IFERROR(VLOOKUP(O178,Assumptions!$A$7:$F$11,4,FALSE),8)/2)</f>
        <v/>
      </c>
      <c r="U178" s="15">
        <f>M178*S178/(1+Assumptions!$B$3)^T178</f>
        <v/>
      </c>
      <c r="V178" s="11">
        <f>IF(M178=0,"",ROUND(U178/M178*100,1))</f>
        <v/>
      </c>
      <c r="W178" s="16">
        <f>U178*Assumptions!$B$4</f>
        <v/>
      </c>
      <c r="X178" s="11">
        <f>IF(M178=0,"",ROUND(W178/M178*100,1))</f>
        <v/>
      </c>
      <c r="Y178" t="inlineStr">
        <is>
          <t>SECULAR COMÉRCIO CONSTRUÇÃO E REPRESENTAÇÃO LTDA - ME, EM RECUPERAÇÃO JUDICIAL</t>
        </is>
      </c>
      <c r="Z178" t="inlineStr">
        <is>
          <t>0804204-35.2022.8.15.0731</t>
        </is>
      </c>
      <c r="AA178" t="inlineStr">
        <is>
          <t>TJPB</t>
        </is>
      </c>
      <c r="AB178" t="inlineStr">
        <is>
          <t>lrflideres.com.br</t>
        </is>
      </c>
      <c r="AC178" t="inlineStr">
        <is>
          <t>CRISTIANO LINS NOGUEIRA DE ARAUJO</t>
        </is>
      </c>
      <c r="AD178" t="inlineStr">
        <is>
          <t>Sócio-Administrador</t>
        </is>
      </c>
      <c r="AE178" t="inlineStr">
        <is>
          <t>(81) 9197-4902</t>
        </is>
      </c>
      <c r="AF178" t="inlineStr"/>
      <c r="AG178" t="inlineStr"/>
      <c r="AH178" t="inlineStr">
        <is>
          <t>PE</t>
        </is>
      </c>
      <c r="AI178" t="inlineStr">
        <is>
          <t>CABO DE SANTO AGOSTINHO</t>
        </is>
      </c>
      <c r="AJ178" t="inlineStr">
        <is>
          <t>Comércio atacadista de combustíveis realizado por transportador retalhista (T.R.R.)</t>
        </is>
      </c>
      <c r="AK178" t="inlineStr">
        <is>
          <t>DEMAIS</t>
        </is>
      </c>
      <c r="AL178" t="inlineStr">
        <is>
          <t>ATIVA</t>
        </is>
      </c>
      <c r="AM178" s="17" t="inlineStr">
        <is>
          <t>https://lrflideres.com.br/wp-content/uploads/2022/08/4.-EDITAL-2a-LISTA-DE-CREDORES.pdf</t>
        </is>
      </c>
      <c r="AN178" s="18" t="inlineStr">
        <is>
          <t>p1 r24</t>
        </is>
      </c>
      <c r="AO178" s="18" t="inlineStr">
        <is>
          <t>p1: R$ 120.950,00</t>
        </is>
      </c>
      <c r="AP178" s="18" t="inlineStr">
        <is>
          <t>AJ_LIST</t>
        </is>
      </c>
      <c r="AQ178" s="18" t="inlineStr">
        <is>
          <t>2023-12-04</t>
        </is>
      </c>
      <c r="AR178" s="18" t="inlineStr">
        <is>
          <t>OK</t>
        </is>
      </c>
      <c r="AS178" s="18" t="inlineStr">
        <is>
          <t>ROWS:p1r24</t>
        </is>
      </c>
      <c r="AT178" s="18" t="inlineStr">
        <is>
          <t>1355f93a13cd</t>
        </is>
      </c>
    </row>
    <row r="179">
      <c r="A179" s="9" t="n">
        <v>178</v>
      </c>
      <c r="B179" s="9" t="inlineStr">
        <is>
          <t>NEW</t>
        </is>
      </c>
      <c r="C179" s="9" t="inlineStr"/>
      <c r="D179" s="9" t="n">
        <v>0</v>
      </c>
      <c r="E179" s="9" t="inlineStr"/>
      <c r="F179" s="9" t="inlineStr"/>
      <c r="G179" s="9" t="inlineStr"/>
      <c r="H179" s="9" t="inlineStr"/>
      <c r="I179" t="inlineStr">
        <is>
          <t>COELHO PROCESSAMENTOS DE DADOS LTDA</t>
        </is>
      </c>
      <c r="J179" t="inlineStr">
        <is>
          <t>Coelho Processamento</t>
        </is>
      </c>
      <c r="K179" t="inlineStr">
        <is>
          <t>14774074</t>
        </is>
      </c>
      <c r="L179" t="inlineStr">
        <is>
          <t>14774074000190</t>
        </is>
      </c>
      <c r="M179" s="10" t="n">
        <v>120000</v>
      </c>
      <c r="N179" t="n">
        <v>1</v>
      </c>
      <c r="O179" s="11" t="inlineStr">
        <is>
          <t>B</t>
        </is>
      </c>
      <c r="P179" s="11" t="inlineStr">
        <is>
          <t>ACTIVE</t>
        </is>
      </c>
      <c r="Q179" s="12" t="n">
        <v>46130</v>
      </c>
      <c r="R179" s="11">
        <f>IF(Q179="","",ROUND((TODAY()-Q179)/365.25,1))</f>
        <v/>
      </c>
      <c r="S179" s="13">
        <f>IFERROR(VLOOKUP(O179,Assumptions!$A$7:$F$11,2,FALSE),0.25)</f>
        <v/>
      </c>
      <c r="T179" s="14">
        <f>IF(O179="A",MAX(1,IFERROR(VLOOKUP(O179,Assumptions!$A$7:$F$11,3,FALSE),3)+IFERROR(VLOOKUP(O179,Assumptions!$A$7:$F$11,4,FALSE),8)/2-MAX(0,IF(R179="",0,R179)-IFERROR(VLOOKUP(O179,Assumptions!$A$7:$F$11,5,FALSE),1.5))),IFERROR(VLOOKUP(O179,Assumptions!$A$7:$F$11,5,FALSE),2.5)+IFERROR(VLOOKUP(O179,Assumptions!$A$7:$F$11,3,FALSE),3)+IFERROR(VLOOKUP(O179,Assumptions!$A$7:$F$11,4,FALSE),8)/2)</f>
        <v/>
      </c>
      <c r="U179" s="15">
        <f>M179*S179/(1+Assumptions!$B$3)^T179</f>
        <v/>
      </c>
      <c r="V179" s="11">
        <f>IF(M179=0,"",ROUND(U179/M179*100,1))</f>
        <v/>
      </c>
      <c r="W179" s="16">
        <f>U179*Assumptions!$B$4</f>
        <v/>
      </c>
      <c r="X179" s="11">
        <f>IF(M179=0,"",ROUND(W179/M179*100,1))</f>
        <v/>
      </c>
      <c r="Y179" t="inlineStr">
        <is>
          <t>GRUPO 3E</t>
        </is>
      </c>
      <c r="Z179" t="inlineStr">
        <is>
          <t>5341375-33.2026.8.09.0049</t>
        </is>
      </c>
      <c r="AA179" t="inlineStr">
        <is>
          <t>TJGO</t>
        </is>
      </c>
      <c r="AB179" t="inlineStr">
        <is>
          <t>stenius.com.br</t>
        </is>
      </c>
      <c r="AC179" t="inlineStr">
        <is>
          <t>FERNANDO VIANDELLI LOPES</t>
        </is>
      </c>
      <c r="AD179" t="inlineStr">
        <is>
          <t>Sócio-Administrador</t>
        </is>
      </c>
      <c r="AE179" t="inlineStr">
        <is>
          <t>(62) 3389-9200</t>
        </is>
      </c>
      <c r="AF179" t="inlineStr">
        <is>
          <t>(62) 8115-0283</t>
        </is>
      </c>
      <c r="AG179" t="inlineStr"/>
      <c r="AH179" t="inlineStr">
        <is>
          <t>GO</t>
        </is>
      </c>
      <c r="AI179" t="inlineStr">
        <is>
          <t>GOIANESIA</t>
        </is>
      </c>
      <c r="AJ179" t="inlineStr">
        <is>
          <t>Transporte rodoviário de carga, exceto produtos perigosos e mudanças, municipal.</t>
        </is>
      </c>
      <c r="AK179" t="inlineStr">
        <is>
          <t>MICRO EMPRESA</t>
        </is>
      </c>
      <c r="AL179" t="inlineStr">
        <is>
          <t>ATIVA</t>
        </is>
      </c>
      <c r="AM179" s="17" t="inlineStr">
        <is>
          <t>https://stenius.com.br/wp-content/uploads/2026/06/EDITAL-GRUPO-3E.pdf</t>
        </is>
      </c>
      <c r="AN179" s="18" t="inlineStr">
        <is>
          <t>p11 r69</t>
        </is>
      </c>
      <c r="AO179" s="18" t="inlineStr">
        <is>
          <t>p11: R$ 120.000,00</t>
        </is>
      </c>
      <c r="AP179" s="18" t="inlineStr">
        <is>
          <t>DEBTOR_LIST</t>
        </is>
      </c>
      <c r="AQ179" s="18" t="inlineStr">
        <is>
          <t>2026-06-22</t>
        </is>
      </c>
      <c r="AR179" s="18" t="inlineStr">
        <is>
          <t>OK_NO_TOTALS</t>
        </is>
      </c>
      <c r="AS179" s="18" t="inlineStr">
        <is>
          <t>ROWS:p11r69 UNRECONCILED_SOURCE</t>
        </is>
      </c>
      <c r="AT179" s="18" t="inlineStr">
        <is>
          <t>8e8832093a15</t>
        </is>
      </c>
    </row>
    <row r="180">
      <c r="A180" s="9" t="n">
        <v>179</v>
      </c>
      <c r="B180" s="9" t="inlineStr">
        <is>
          <t>NEW</t>
        </is>
      </c>
      <c r="C180" s="9" t="inlineStr"/>
      <c r="D180" s="9" t="n">
        <v>0</v>
      </c>
      <c r="E180" s="9" t="inlineStr"/>
      <c r="F180" s="9" t="inlineStr"/>
      <c r="G180" s="9" t="inlineStr"/>
      <c r="H180" s="9" t="inlineStr"/>
      <c r="I180" t="inlineStr">
        <is>
          <t>MASTERSENSE INGREDIENTES ALIMENTICIOS LTDA</t>
        </is>
      </c>
      <c r="J180" t="inlineStr">
        <is>
          <t>MASTERSENSE INGREDIENTES ALIMENTICIOS LTDA</t>
        </is>
      </c>
      <c r="K180" t="inlineStr">
        <is>
          <t>03161388</t>
        </is>
      </c>
      <c r="L180" t="inlineStr">
        <is>
          <t>03161388000109</t>
        </is>
      </c>
      <c r="M180" s="10" t="n">
        <v>119306.11</v>
      </c>
      <c r="N180" t="n">
        <v>1</v>
      </c>
      <c r="O180" s="11" t="inlineStr">
        <is>
          <t>U</t>
        </is>
      </c>
      <c r="P180" s="11" t="inlineStr"/>
      <c r="Q180" s="12" t="inlineStr"/>
      <c r="R180" s="11">
        <f>IF(Q180="","",ROUND((TODAY()-Q180)/365.25,1))</f>
        <v/>
      </c>
      <c r="S180" s="13">
        <f>IFERROR(VLOOKUP(O180,Assumptions!$A$7:$F$11,2,FALSE),0.25)</f>
        <v/>
      </c>
      <c r="T180" s="14">
        <f>IF(O180="A",MAX(1,IFERROR(VLOOKUP(O180,Assumptions!$A$7:$F$11,3,FALSE),3)+IFERROR(VLOOKUP(O180,Assumptions!$A$7:$F$11,4,FALSE),8)/2-MAX(0,IF(R180="",0,R180)-IFERROR(VLOOKUP(O180,Assumptions!$A$7:$F$11,5,FALSE),1.5))),IFERROR(VLOOKUP(O180,Assumptions!$A$7:$F$11,5,FALSE),2.5)+IFERROR(VLOOKUP(O180,Assumptions!$A$7:$F$11,3,FALSE),3)+IFERROR(VLOOKUP(O180,Assumptions!$A$7:$F$11,4,FALSE),8)/2)</f>
        <v/>
      </c>
      <c r="U180" s="15">
        <f>M180*S180/(1+Assumptions!$B$3)^T180</f>
        <v/>
      </c>
      <c r="V180" s="11">
        <f>IF(M180=0,"",ROUND(U180/M180*100,1))</f>
        <v/>
      </c>
      <c r="W180" s="16">
        <f>U180*Assumptions!$B$4</f>
        <v/>
      </c>
      <c r="X180" s="11">
        <f>IF(M180=0,"",ROUND(W180/M180*100,1))</f>
        <v/>
      </c>
      <c r="Y180" t="inlineStr"/>
      <c r="Z180" t="inlineStr">
        <is>
          <t>(not found in document)</t>
        </is>
      </c>
      <c r="AA180" t="inlineStr"/>
      <c r="AB180" t="inlineStr">
        <is>
          <t>bernardobicalho.com.br</t>
        </is>
      </c>
      <c r="AC180" t="inlineStr">
        <is>
          <t>GUSTAVO ASSIS RODRIGUES</t>
        </is>
      </c>
      <c r="AD180" t="inlineStr">
        <is>
          <t>Sócio-Administrador</t>
        </is>
      </c>
      <c r="AE180" t="inlineStr">
        <is>
          <t>(11) 3109-3108</t>
        </is>
      </c>
      <c r="AF180" t="inlineStr"/>
      <c r="AG180" t="inlineStr"/>
      <c r="AH180" t="inlineStr">
        <is>
          <t>SP</t>
        </is>
      </c>
      <c r="AI180" t="inlineStr">
        <is>
          <t>JUNDIAI</t>
        </is>
      </c>
      <c r="AJ180" t="inlineStr">
        <is>
          <t>Comércio atacadista de produtos alimentícios em geral</t>
        </is>
      </c>
      <c r="AK180" t="inlineStr">
        <is>
          <t>DEMAIS</t>
        </is>
      </c>
      <c r="AL180" t="inlineStr">
        <is>
          <t>ATIVA</t>
        </is>
      </c>
      <c r="AM180" s="17" t="inlineStr">
        <is>
          <t>http://bernardobicalho.com.br/login/app/documents/Rela%C3%A7%C3%A3o%20de%20Credores/6.%20RVC-%20Nutricium%20-%20simplificada.pdf</t>
        </is>
      </c>
      <c r="AN180" s="18" t="inlineStr">
        <is>
          <t>p3 r25</t>
        </is>
      </c>
      <c r="AO180" s="18" t="inlineStr">
        <is>
          <t>p3: R$ 119.306,11</t>
        </is>
      </c>
      <c r="AP180" s="18" t="inlineStr">
        <is>
          <t>AJ_LIST</t>
        </is>
      </c>
      <c r="AQ180" s="18" t="inlineStr"/>
      <c r="AR180" s="18" t="inlineStr">
        <is>
          <t>OK</t>
        </is>
      </c>
      <c r="AS180" s="18" t="inlineStr">
        <is>
          <t>CASE_NUMBER_MISSING ROWS:p3r25</t>
        </is>
      </c>
      <c r="AT180" s="18" t="inlineStr">
        <is>
          <t>6a92d74da333</t>
        </is>
      </c>
    </row>
    <row r="181">
      <c r="A181" s="9" t="n">
        <v>180</v>
      </c>
      <c r="B181" s="9" t="inlineStr">
        <is>
          <t>NEW</t>
        </is>
      </c>
      <c r="C181" s="9" t="inlineStr"/>
      <c r="D181" s="9" t="n">
        <v>0</v>
      </c>
      <c r="E181" s="9" t="inlineStr"/>
      <c r="F181" s="9" t="inlineStr"/>
      <c r="G181" s="9" t="inlineStr"/>
      <c r="H181" s="9" t="inlineStr"/>
      <c r="I181" t="inlineStr">
        <is>
          <t>ALLEGORIA COMERCIAL LTDA</t>
        </is>
      </c>
      <c r="J181" t="inlineStr">
        <is>
          <t>ALLEGORIA COMERCIAL LTDA</t>
        </is>
      </c>
      <c r="K181" t="inlineStr">
        <is>
          <t>05703610</t>
        </is>
      </c>
      <c r="L181" t="inlineStr">
        <is>
          <t>05703610000256</t>
        </is>
      </c>
      <c r="M181" s="10" t="n">
        <v>118974.8</v>
      </c>
      <c r="N181" t="n">
        <v>3</v>
      </c>
      <c r="O181" s="11" t="inlineStr">
        <is>
          <t>C</t>
        </is>
      </c>
      <c r="P181" s="11" t="inlineStr">
        <is>
          <t>ACTIVE</t>
        </is>
      </c>
      <c r="Q181" s="12" t="n">
        <v>44571</v>
      </c>
      <c r="R181" s="11">
        <f>IF(Q181="","",ROUND((TODAY()-Q181)/365.25,1))</f>
        <v/>
      </c>
      <c r="S181" s="13">
        <f>IFERROR(VLOOKUP(O181,Assumptions!$A$7:$F$11,2,FALSE),0.25)</f>
        <v/>
      </c>
      <c r="T181" s="14">
        <f>IF(O181="A",MAX(1,IFERROR(VLOOKUP(O181,Assumptions!$A$7:$F$11,3,FALSE),3)+IFERROR(VLOOKUP(O181,Assumptions!$A$7:$F$11,4,FALSE),8)/2-MAX(0,IF(R181="",0,R181)-IFERROR(VLOOKUP(O181,Assumptions!$A$7:$F$11,5,FALSE),1.5))),IFERROR(VLOOKUP(O181,Assumptions!$A$7:$F$11,5,FALSE),2.5)+IFERROR(VLOOKUP(O181,Assumptions!$A$7:$F$11,3,FALSE),3)+IFERROR(VLOOKUP(O181,Assumptions!$A$7:$F$11,4,FALSE),8)/2)</f>
        <v/>
      </c>
      <c r="U181" s="15">
        <f>M181*S181/(1+Assumptions!$B$3)^T181</f>
        <v/>
      </c>
      <c r="V181" s="11">
        <f>IF(M181=0,"",ROUND(U181/M181*100,1))</f>
        <v/>
      </c>
      <c r="W181" s="16">
        <f>U181*Assumptions!$B$4</f>
        <v/>
      </c>
      <c r="X181" s="11">
        <f>IF(M181=0,"",ROUND(W181/M181*100,1))</f>
        <v/>
      </c>
      <c r="Y181" t="inlineStr">
        <is>
          <t>GRUPO CATTAN</t>
        </is>
      </c>
      <c r="Z181" t="inlineStr">
        <is>
          <t>0002484-82.2022.8.17.2001</t>
        </is>
      </c>
      <c r="AA181" t="inlineStr">
        <is>
          <t>TJPE</t>
        </is>
      </c>
      <c r="AB181" t="inlineStr">
        <is>
          <t>lrflideres.com.br</t>
        </is>
      </c>
      <c r="AC181" t="inlineStr">
        <is>
          <t>VIVIAN BARBINI MELO</t>
        </is>
      </c>
      <c r="AD181" t="inlineStr">
        <is>
          <t>Sócio-Administrador</t>
        </is>
      </c>
      <c r="AE181" t="inlineStr">
        <is>
          <t>(31) 3889-8020</t>
        </is>
      </c>
      <c r="AF181" t="inlineStr"/>
      <c r="AG181" t="inlineStr"/>
      <c r="AH181" t="inlineStr">
        <is>
          <t>MG</t>
        </is>
      </c>
      <c r="AI181" t="inlineStr">
        <is>
          <t>BELO HORIZONTE</t>
        </is>
      </c>
      <c r="AJ181" t="inlineStr">
        <is>
          <t>Comércio atacadista de tecidos</t>
        </is>
      </c>
      <c r="AK181" t="inlineStr">
        <is>
          <t>DEMAIS</t>
        </is>
      </c>
      <c r="AL181" t="inlineStr">
        <is>
          <t>ATIVA</t>
        </is>
      </c>
      <c r="AM181" s="17" t="inlineStr">
        <is>
          <t>https://lrflideres.com.br/wp-content/plugins/download-attachments/includes/download.php?id=4023</t>
        </is>
      </c>
      <c r="AN181" s="18" t="inlineStr">
        <is>
          <t>p4 r51; p7 r71; p9 r54</t>
        </is>
      </c>
      <c r="AO181" s="18" t="inlineStr">
        <is>
          <t>p4: R$ 85.917,20; p7: R$ 23.138,40; p9: R$ 9.919,20</t>
        </is>
      </c>
      <c r="AP181" s="18" t="inlineStr">
        <is>
          <t>DEBTOR_LIST</t>
        </is>
      </c>
      <c r="AQ181" s="18" t="inlineStr"/>
      <c r="AR181" s="18" t="inlineStr">
        <is>
          <t>QUARANTINED</t>
        </is>
      </c>
      <c r="AS181" s="18" t="inlineStr">
        <is>
          <t>PARTIAL_DOC_CLASS_III_RECONCILED ROWS:p4r51,p7r71,p9r54</t>
        </is>
      </c>
      <c r="AT181" s="18" t="inlineStr">
        <is>
          <t>f3b6182e3aa2</t>
        </is>
      </c>
    </row>
    <row r="182">
      <c r="A182" s="9" t="n">
        <v>181</v>
      </c>
      <c r="B182" s="9" t="inlineStr">
        <is>
          <t>NEW</t>
        </is>
      </c>
      <c r="C182" s="9" t="inlineStr"/>
      <c r="D182" s="9" t="n">
        <v>0</v>
      </c>
      <c r="E182" s="9" t="inlineStr"/>
      <c r="F182" s="9" t="inlineStr"/>
      <c r="G182" s="9" t="inlineStr"/>
      <c r="H182" s="9" t="inlineStr"/>
      <c r="I182" t="inlineStr">
        <is>
          <t>COMPANHIA BRASILEIRA DE ALUMINIO</t>
        </is>
      </c>
      <c r="J182" t="inlineStr">
        <is>
          <t>COMPANHIA BRASILEIRA DE ALUMINIO</t>
        </is>
      </c>
      <c r="K182" t="inlineStr">
        <is>
          <t>61409892</t>
        </is>
      </c>
      <c r="L182" t="inlineStr">
        <is>
          <t>61409892005566</t>
        </is>
      </c>
      <c r="M182" s="10" t="n">
        <v>118862.77</v>
      </c>
      <c r="N182" t="n">
        <v>1</v>
      </c>
      <c r="O182" s="11" t="inlineStr">
        <is>
          <t>C</t>
        </is>
      </c>
      <c r="P182" s="11" t="inlineStr"/>
      <c r="Q182" s="12" t="inlineStr"/>
      <c r="R182" s="11">
        <f>IF(Q182="","",ROUND((TODAY()-Q182)/365.25,1))</f>
        <v/>
      </c>
      <c r="S182" s="13">
        <f>IFERROR(VLOOKUP(O182,Assumptions!$A$7:$F$11,2,FALSE),0.25)</f>
        <v/>
      </c>
      <c r="T182" s="14">
        <f>IF(O182="A",MAX(1,IFERROR(VLOOKUP(O182,Assumptions!$A$7:$F$11,3,FALSE),3)+IFERROR(VLOOKUP(O182,Assumptions!$A$7:$F$11,4,FALSE),8)/2-MAX(0,IF(R182="",0,R182)-IFERROR(VLOOKUP(O182,Assumptions!$A$7:$F$11,5,FALSE),1.5))),IFERROR(VLOOKUP(O182,Assumptions!$A$7:$F$11,5,FALSE),2.5)+IFERROR(VLOOKUP(O182,Assumptions!$A$7:$F$11,3,FALSE),3)+IFERROR(VLOOKUP(O182,Assumptions!$A$7:$F$11,4,FALSE),8)/2)</f>
        <v/>
      </c>
      <c r="U182" s="15">
        <f>M182*S182/(1+Assumptions!$B$3)^T182</f>
        <v/>
      </c>
      <c r="V182" s="11">
        <f>IF(M182=0,"",ROUND(U182/M182*100,1))</f>
        <v/>
      </c>
      <c r="W182" s="16">
        <f>U182*Assumptions!$B$4</f>
        <v/>
      </c>
      <c r="X182" s="11">
        <f>IF(M182=0,"",ROUND(W182/M182*100,1))</f>
        <v/>
      </c>
      <c r="Y182" t="inlineStr">
        <is>
          <t>BLUTRAFOS BLUMENAU TRANSFORMADORES LTDA</t>
        </is>
      </c>
      <c r="Z182" t="inlineStr">
        <is>
          <t>0022845-08.2013.8.24.0008</t>
        </is>
      </c>
      <c r="AA182" t="inlineStr"/>
      <c r="AB182" t="inlineStr">
        <is>
          <t>administradorajudicialgs.com.br</t>
        </is>
      </c>
      <c r="AC182" t="inlineStr">
        <is>
          <t>LUCIANO FRANCISCO ALVES</t>
        </is>
      </c>
      <c r="AD182" t="inlineStr">
        <is>
          <t>Presidente</t>
        </is>
      </c>
      <c r="AE182" t="inlineStr">
        <is>
          <t>(41) 3388-5204</t>
        </is>
      </c>
      <c r="AF182" t="inlineStr">
        <is>
          <t>(41) 3388-5365</t>
        </is>
      </c>
      <c r="AG182" t="inlineStr"/>
      <c r="AH182" t="inlineStr">
        <is>
          <t>SP</t>
        </is>
      </c>
      <c r="AI182" t="inlineStr">
        <is>
          <t>SAO PAULO</t>
        </is>
      </c>
      <c r="AJ182" t="inlineStr">
        <is>
          <t>Produção de alumínio e suas ligas em formas primárias</t>
        </is>
      </c>
      <c r="AK182" t="inlineStr">
        <is>
          <t>DEMAIS</t>
        </is>
      </c>
      <c r="AL182" t="inlineStr">
        <is>
          <t>ATIVA</t>
        </is>
      </c>
      <c r="AM182" s="17" t="inlineStr">
        <is>
          <t>https://administradorajudicialgs.com.br/wp-content/uploads/2023/08/advogados-sgrott-doc-22-relacao-de-credores-do-administrador-judicial-classe-iii-05-02-14.pdf</t>
        </is>
      </c>
      <c r="AN182" s="18" t="inlineStr">
        <is>
          <t>p2 r7</t>
        </is>
      </c>
      <c r="AO182" s="18" t="inlineStr">
        <is>
          <t>p2: R$ 118.862,77</t>
        </is>
      </c>
      <c r="AP182" s="18" t="inlineStr">
        <is>
          <t>UNKNOWN</t>
        </is>
      </c>
      <c r="AQ182" s="18" t="inlineStr"/>
      <c r="AR182" s="18" t="inlineStr">
        <is>
          <t>OK</t>
        </is>
      </c>
      <c r="AS182" s="18" t="inlineStr">
        <is>
          <t>ROWS:p2r7</t>
        </is>
      </c>
      <c r="AT182" s="18" t="inlineStr">
        <is>
          <t>22ac347cfe4f</t>
        </is>
      </c>
    </row>
    <row r="183">
      <c r="A183" s="9" t="n">
        <v>182</v>
      </c>
      <c r="B183" s="9" t="inlineStr">
        <is>
          <t>NEW</t>
        </is>
      </c>
      <c r="C183" s="9" t="inlineStr"/>
      <c r="D183" s="9" t="n">
        <v>0</v>
      </c>
      <c r="E183" s="9" t="inlineStr"/>
      <c r="F183" s="9" t="inlineStr"/>
      <c r="G183" s="9" t="inlineStr"/>
      <c r="H183" s="9" t="inlineStr"/>
      <c r="I183" t="inlineStr">
        <is>
          <t>VC DISTRIBUIDORA DE MATERIAIS DE CONSTRUCAO LTDA</t>
        </is>
      </c>
      <c r="J183" t="inlineStr">
        <is>
          <t>VC DISTRIBUIDORA DE MATERIAIS DE CONSTRUCAO LTDA</t>
        </is>
      </c>
      <c r="K183" t="inlineStr">
        <is>
          <t>46281898</t>
        </is>
      </c>
      <c r="L183" t="inlineStr">
        <is>
          <t>46281898000114</t>
        </is>
      </c>
      <c r="M183" s="10" t="n">
        <v>118259.09</v>
      </c>
      <c r="N183" t="n">
        <v>1</v>
      </c>
      <c r="O183" s="11" t="inlineStr">
        <is>
          <t>B</t>
        </is>
      </c>
      <c r="P183" s="11" t="inlineStr"/>
      <c r="Q183" s="12" t="n">
        <v>45785</v>
      </c>
      <c r="R183" s="11">
        <f>IF(Q183="","",ROUND((TODAY()-Q183)/365.25,1))</f>
        <v/>
      </c>
      <c r="S183" s="13">
        <f>IFERROR(VLOOKUP(O183,Assumptions!$A$7:$F$11,2,FALSE),0.25)</f>
        <v/>
      </c>
      <c r="T183" s="14">
        <f>IF(O183="A",MAX(1,IFERROR(VLOOKUP(O183,Assumptions!$A$7:$F$11,3,FALSE),3)+IFERROR(VLOOKUP(O183,Assumptions!$A$7:$F$11,4,FALSE),8)/2-MAX(0,IF(R183="",0,R183)-IFERROR(VLOOKUP(O183,Assumptions!$A$7:$F$11,5,FALSE),1.5))),IFERROR(VLOOKUP(O183,Assumptions!$A$7:$F$11,5,FALSE),2.5)+IFERROR(VLOOKUP(O183,Assumptions!$A$7:$F$11,3,FALSE),3)+IFERROR(VLOOKUP(O183,Assumptions!$A$7:$F$11,4,FALSE),8)/2)</f>
        <v/>
      </c>
      <c r="U183" s="15">
        <f>M183*S183/(1+Assumptions!$B$3)^T183</f>
        <v/>
      </c>
      <c r="V183" s="11">
        <f>IF(M183=0,"",ROUND(U183/M183*100,1))</f>
        <v/>
      </c>
      <c r="W183" s="16">
        <f>U183*Assumptions!$B$4</f>
        <v/>
      </c>
      <c r="X183" s="11">
        <f>IF(M183=0,"",ROUND(W183/M183*100,1))</f>
        <v/>
      </c>
      <c r="Y183" t="inlineStr">
        <is>
          <t>Grupo Pisebem</t>
        </is>
      </c>
      <c r="Z183" t="inlineStr">
        <is>
          <t>0700707-87.2025.8.02.0043</t>
        </is>
      </c>
      <c r="AA183" t="inlineStr">
        <is>
          <t>TJAL</t>
        </is>
      </c>
      <c r="AB183" t="inlineStr">
        <is>
          <t>recuperacaojudicial.squarespace.com</t>
        </is>
      </c>
      <c r="AC183" t="inlineStr">
        <is>
          <t>EDUARDO BETTIN VIEIRA CARDOSO</t>
        </is>
      </c>
      <c r="AD183" t="inlineStr">
        <is>
          <t>Sócio-Administrador</t>
        </is>
      </c>
      <c r="AE183" t="inlineStr">
        <is>
          <t>(71) 9133-3008</t>
        </is>
      </c>
      <c r="AF183" t="inlineStr"/>
      <c r="AG183" t="inlineStr"/>
      <c r="AH183" t="inlineStr">
        <is>
          <t>SP</t>
        </is>
      </c>
      <c r="AI183" t="inlineStr">
        <is>
          <t>CORDEIROPOLIS</t>
        </is>
      </c>
      <c r="AJ183" t="inlineStr">
        <is>
          <t>Comércio atacadista de materiais de construção em geral</t>
        </is>
      </c>
      <c r="AK183" t="inlineStr">
        <is>
          <t>MICRO EMPRESA</t>
        </is>
      </c>
      <c r="AL183" t="inlineStr">
        <is>
          <t>ATIVA</t>
        </is>
      </c>
      <c r="AM183" s="17" t="inlineStr">
        <is>
          <t>https://recuperacaojudicial.squarespace.com/s/EDITAL-COM-A-2-LISTA-DE-CREDORES-E-INFORMANDO-A-APRESENTACO-DO-PRJ_1532.pdf</t>
        </is>
      </c>
      <c r="AN183" s="18" t="inlineStr">
        <is>
          <t>p2 r20</t>
        </is>
      </c>
      <c r="AO183" s="18" t="inlineStr">
        <is>
          <t>p2: R$ 118.259,09</t>
        </is>
      </c>
      <c r="AP183" s="18" t="inlineStr">
        <is>
          <t>AJ_LIST</t>
        </is>
      </c>
      <c r="AQ183" s="18" t="inlineStr"/>
      <c r="AR183" s="18" t="inlineStr">
        <is>
          <t>OK_NO_TOTALS</t>
        </is>
      </c>
      <c r="AS183" s="18" t="inlineStr">
        <is>
          <t>ROWS:p2r20 UNRECONCILED_SOURCE CASE_NUMBER_CORRECTED</t>
        </is>
      </c>
      <c r="AT183" s="18" t="inlineStr">
        <is>
          <t>d7c426fbd475</t>
        </is>
      </c>
    </row>
    <row r="184">
      <c r="A184" s="9" t="n">
        <v>183</v>
      </c>
      <c r="B184" s="9" t="inlineStr">
        <is>
          <t>NEW</t>
        </is>
      </c>
      <c r="C184" s="9" t="inlineStr"/>
      <c r="D184" s="9" t="n">
        <v>0</v>
      </c>
      <c r="E184" s="9" t="inlineStr"/>
      <c r="F184" s="9" t="inlineStr"/>
      <c r="G184" s="9" t="inlineStr"/>
      <c r="H184" s="9" t="inlineStr"/>
      <c r="I184" t="inlineStr">
        <is>
          <t>RODOPECAS LIMITADA</t>
        </is>
      </c>
      <c r="J184" t="inlineStr">
        <is>
          <t>AV DOUTOR LUIZ MENDES ALMEIDA, 2.300 - SOROCABA-SP - CEP 18051-290</t>
        </is>
      </c>
      <c r="K184" t="inlineStr">
        <is>
          <t>47964168</t>
        </is>
      </c>
      <c r="L184" t="inlineStr">
        <is>
          <t>47964168000423, 47964168000504</t>
        </is>
      </c>
      <c r="M184" s="10" t="n">
        <v>118121.11</v>
      </c>
      <c r="N184" t="n">
        <v>2</v>
      </c>
      <c r="O184" s="11" t="inlineStr">
        <is>
          <t>U</t>
        </is>
      </c>
      <c r="P184" s="11" t="inlineStr"/>
      <c r="Q184" s="12" t="inlineStr"/>
      <c r="R184" s="11">
        <f>IF(Q184="","",ROUND((TODAY()-Q184)/365.25,1))</f>
        <v/>
      </c>
      <c r="S184" s="13">
        <f>IFERROR(VLOOKUP(O184,Assumptions!$A$7:$F$11,2,FALSE),0.25)</f>
        <v/>
      </c>
      <c r="T184" s="14">
        <f>IF(O184="A",MAX(1,IFERROR(VLOOKUP(O184,Assumptions!$A$7:$F$11,3,FALSE),3)+IFERROR(VLOOKUP(O184,Assumptions!$A$7:$F$11,4,FALSE),8)/2-MAX(0,IF(R184="",0,R184)-IFERROR(VLOOKUP(O184,Assumptions!$A$7:$F$11,5,FALSE),1.5))),IFERROR(VLOOKUP(O184,Assumptions!$A$7:$F$11,5,FALSE),2.5)+IFERROR(VLOOKUP(O184,Assumptions!$A$7:$F$11,3,FALSE),3)+IFERROR(VLOOKUP(O184,Assumptions!$A$7:$F$11,4,FALSE),8)/2)</f>
        <v/>
      </c>
      <c r="U184" s="15">
        <f>M184*S184/(1+Assumptions!$B$3)^T184</f>
        <v/>
      </c>
      <c r="V184" s="11">
        <f>IF(M184=0,"",ROUND(U184/M184*100,1))</f>
        <v/>
      </c>
      <c r="W184" s="16">
        <f>U184*Assumptions!$B$4</f>
        <v/>
      </c>
      <c r="X184" s="11">
        <f>IF(M184=0,"",ROUND(W184/M184*100,1))</f>
        <v/>
      </c>
      <c r="Y184" t="inlineStr">
        <is>
          <t>Base</t>
        </is>
      </c>
      <c r="Z184" t="inlineStr">
        <is>
          <t>(not found in document)</t>
        </is>
      </c>
      <c r="AA184" t="inlineStr"/>
      <c r="AB184" t="inlineStr">
        <is>
          <t>ajruiz.com.br</t>
        </is>
      </c>
      <c r="AC184" t="inlineStr">
        <is>
          <t>MARCO ANTONIO CEZAR CARLOS</t>
        </is>
      </c>
      <c r="AD184" t="inlineStr">
        <is>
          <t>Sócio-Administrador</t>
        </is>
      </c>
      <c r="AE184" t="inlineStr">
        <is>
          <t>(11) 2633-7777</t>
        </is>
      </c>
      <c r="AF184" t="inlineStr"/>
      <c r="AG184" t="inlineStr"/>
      <c r="AH184" t="inlineStr">
        <is>
          <t>SP</t>
        </is>
      </c>
      <c r="AI184" t="inlineStr">
        <is>
          <t>SAO PAULO</t>
        </is>
      </c>
      <c r="AJ184" t="inlineStr">
        <is>
          <t>Comércio a varejo de peças e acessórios novos para veículos automotores</t>
        </is>
      </c>
      <c r="AK184" t="inlineStr">
        <is>
          <t>DEMAIS</t>
        </is>
      </c>
      <c r="AL184" t="inlineStr">
        <is>
          <t>ATIVA</t>
        </is>
      </c>
      <c r="AM184" s="17" t="inlineStr">
        <is>
          <t>https://ajruiz.com.br/sites/default/files/public/arquivos-processos/2023-11/4_relacao_de_credores_analitica_art._51_iii_da_lre.pdf</t>
        </is>
      </c>
      <c r="AN184" s="18" t="inlineStr">
        <is>
          <t>p3 r53; p3 r54</t>
        </is>
      </c>
      <c r="AO184" s="18" t="inlineStr">
        <is>
          <t>p3: R$ 80.818,16; p3: R$ 37.302,95</t>
        </is>
      </c>
      <c r="AP184" s="18" t="inlineStr">
        <is>
          <t>UNKNOWN</t>
        </is>
      </c>
      <c r="AQ184" s="18" t="inlineStr"/>
      <c r="AR184" s="18" t="inlineStr">
        <is>
          <t>OK</t>
        </is>
      </c>
      <c r="AS184" s="18" t="inlineStr">
        <is>
          <t>ROWS:p3r53,p3r54 CASE_NUMBER_CORRECTED</t>
        </is>
      </c>
      <c r="AT184" s="18" t="inlineStr">
        <is>
          <t>2407a56c3502</t>
        </is>
      </c>
    </row>
    <row r="185">
      <c r="A185" s="9" t="n">
        <v>184</v>
      </c>
      <c r="B185" s="9" t="inlineStr">
        <is>
          <t>NEW</t>
        </is>
      </c>
      <c r="C185" s="9" t="inlineStr"/>
      <c r="D185" s="9" t="n">
        <v>0</v>
      </c>
      <c r="E185" s="9" t="inlineStr"/>
      <c r="F185" s="9" t="inlineStr"/>
      <c r="G185" s="9" t="inlineStr"/>
      <c r="H185" s="9" t="inlineStr"/>
      <c r="I185" t="inlineStr">
        <is>
          <t>ARTE NATIVA PRODUTOS NATURAIS LTDA</t>
        </is>
      </c>
      <c r="J185" t="inlineStr">
        <is>
          <t>Arte Nativa Produtos Naturais LTDA</t>
        </is>
      </c>
      <c r="K185" t="inlineStr">
        <is>
          <t>00677858</t>
        </is>
      </c>
      <c r="L185" t="inlineStr">
        <is>
          <t>00677858000195</t>
        </is>
      </c>
      <c r="M185" s="10" t="n">
        <v>117763.73</v>
      </c>
      <c r="N185" t="n">
        <v>1</v>
      </c>
      <c r="O185" s="11" t="inlineStr">
        <is>
          <t>C</t>
        </is>
      </c>
      <c r="P185" s="11" t="inlineStr">
        <is>
          <t>ACTIVE</t>
        </is>
      </c>
      <c r="Q185" s="12" t="n">
        <v>44987</v>
      </c>
      <c r="R185" s="11">
        <f>IF(Q185="","",ROUND((TODAY()-Q185)/365.25,1))</f>
        <v/>
      </c>
      <c r="S185" s="13">
        <f>IFERROR(VLOOKUP(O185,Assumptions!$A$7:$F$11,2,FALSE),0.25)</f>
        <v/>
      </c>
      <c r="T185" s="14">
        <f>IF(O185="A",MAX(1,IFERROR(VLOOKUP(O185,Assumptions!$A$7:$F$11,3,FALSE),3)+IFERROR(VLOOKUP(O185,Assumptions!$A$7:$F$11,4,FALSE),8)/2-MAX(0,IF(R185="",0,R185)-IFERROR(VLOOKUP(O185,Assumptions!$A$7:$F$11,5,FALSE),1.5))),IFERROR(VLOOKUP(O185,Assumptions!$A$7:$F$11,5,FALSE),2.5)+IFERROR(VLOOKUP(O185,Assumptions!$A$7:$F$11,3,FALSE),3)+IFERROR(VLOOKUP(O185,Assumptions!$A$7:$F$11,4,FALSE),8)/2)</f>
        <v/>
      </c>
      <c r="U185" s="15">
        <f>M185*S185/(1+Assumptions!$B$3)^T185</f>
        <v/>
      </c>
      <c r="V185" s="11">
        <f>IF(M185=0,"",ROUND(U185/M185*100,1))</f>
        <v/>
      </c>
      <c r="W185" s="16">
        <f>U185*Assumptions!$B$4</f>
        <v/>
      </c>
      <c r="X185" s="11">
        <f>IF(M185=0,"",ROUND(W185/M185*100,1))</f>
        <v/>
      </c>
      <c r="Y185" t="inlineStr">
        <is>
          <t>GRUPO DP4</t>
        </is>
      </c>
      <c r="Z185" t="inlineStr">
        <is>
          <t>0005010-98.2023.8.16.0001</t>
        </is>
      </c>
      <c r="AA185" t="inlineStr">
        <is>
          <t>TJPR</t>
        </is>
      </c>
      <c r="AB185" t="inlineStr">
        <is>
          <t>marquesadmjudicial.com.br</t>
        </is>
      </c>
      <c r="AC185" t="inlineStr">
        <is>
          <t>ELVES ANTUNES MEIRELES</t>
        </is>
      </c>
      <c r="AD185" t="inlineStr">
        <is>
          <t>Sócio-Administrador</t>
        </is>
      </c>
      <c r="AE185" t="inlineStr">
        <is>
          <t>(31) 3191-5426</t>
        </is>
      </c>
      <c r="AF185" t="inlineStr"/>
      <c r="AG185" t="inlineStr"/>
      <c r="AH185" t="inlineStr">
        <is>
          <t>MG</t>
        </is>
      </c>
      <c r="AI185" t="inlineStr">
        <is>
          <t>SAO JOSE DA LAPA</t>
        </is>
      </c>
      <c r="AJ185" t="inlineStr">
        <is>
          <t>Fabricação de alimentos dietéticos e complementos alimentares</t>
        </is>
      </c>
      <c r="AK185" t="inlineStr">
        <is>
          <t>DEMAIS</t>
        </is>
      </c>
      <c r="AL185" t="inlineStr">
        <is>
          <t>ATIVA</t>
        </is>
      </c>
      <c r="AM185" s="17" t="inlineStr">
        <is>
          <t>https://marquesadmjudicial.com.br/sgc/download.php?file=files/processo_documento/processo_documento15293208032024_1_.pdf&amp;nome=Relação Nominal de Credores da AJ-Sintética</t>
        </is>
      </c>
      <c r="AN185" s="18" t="inlineStr">
        <is>
          <t>p19 r12</t>
        </is>
      </c>
      <c r="AO185" s="18" t="inlineStr">
        <is>
          <t>p19: R$ 117.763,73</t>
        </is>
      </c>
      <c r="AP185" s="18" t="inlineStr">
        <is>
          <t>AJ_LIST</t>
        </is>
      </c>
      <c r="AQ185" s="18" t="inlineStr">
        <is>
          <t>2023-03-02</t>
        </is>
      </c>
      <c r="AR185" s="18" t="inlineStr">
        <is>
          <t>QUARANTINED</t>
        </is>
      </c>
      <c r="AS185" s="18" t="inlineStr">
        <is>
          <t>PARTIAL_DOC_CLASS_III_RECONCILED ROWS:p19r12</t>
        </is>
      </c>
      <c r="AT185" s="18" t="inlineStr">
        <is>
          <t>b465a5d11eec</t>
        </is>
      </c>
    </row>
    <row r="186">
      <c r="A186" s="9" t="n">
        <v>185</v>
      </c>
      <c r="B186" s="9" t="inlineStr">
        <is>
          <t>NEW</t>
        </is>
      </c>
      <c r="C186" s="9" t="inlineStr"/>
      <c r="D186" s="9" t="n">
        <v>0</v>
      </c>
      <c r="E186" s="9" t="inlineStr"/>
      <c r="F186" s="9" t="inlineStr"/>
      <c r="G186" s="9" t="inlineStr"/>
      <c r="H186" s="9" t="inlineStr"/>
      <c r="I186" t="inlineStr">
        <is>
          <t>OLEONEX INDUSTRIA E COMERCIO LTDA</t>
        </is>
      </c>
      <c r="J186" t="inlineStr">
        <is>
          <t>Oleonex Industria E Comercio Ltda</t>
        </is>
      </c>
      <c r="K186" t="inlineStr">
        <is>
          <t>30693851</t>
        </is>
      </c>
      <c r="L186" t="inlineStr">
        <is>
          <t>30693851000128</t>
        </is>
      </c>
      <c r="M186" s="10" t="n">
        <v>117694.5</v>
      </c>
      <c r="N186" t="n">
        <v>1</v>
      </c>
      <c r="O186" s="11" t="inlineStr">
        <is>
          <t>C</t>
        </is>
      </c>
      <c r="P186" s="11" t="inlineStr">
        <is>
          <t>ACTIVE</t>
        </is>
      </c>
      <c r="Q186" s="12" t="n">
        <v>45275</v>
      </c>
      <c r="R186" s="11">
        <f>IF(Q186="","",ROUND((TODAY()-Q186)/365.25,1))</f>
        <v/>
      </c>
      <c r="S186" s="13">
        <f>IFERROR(VLOOKUP(O186,Assumptions!$A$7:$F$11,2,FALSE),0.25)</f>
        <v/>
      </c>
      <c r="T186" s="14">
        <f>IF(O186="A",MAX(1,IFERROR(VLOOKUP(O186,Assumptions!$A$7:$F$11,3,FALSE),3)+IFERROR(VLOOKUP(O186,Assumptions!$A$7:$F$11,4,FALSE),8)/2-MAX(0,IF(R186="",0,R186)-IFERROR(VLOOKUP(O186,Assumptions!$A$7:$F$11,5,FALSE),1.5))),IFERROR(VLOOKUP(O186,Assumptions!$A$7:$F$11,5,FALSE),2.5)+IFERROR(VLOOKUP(O186,Assumptions!$A$7:$F$11,3,FALSE),3)+IFERROR(VLOOKUP(O186,Assumptions!$A$7:$F$11,4,FALSE),8)/2)</f>
        <v/>
      </c>
      <c r="U186" s="15">
        <f>M186*S186/(1+Assumptions!$B$3)^T186</f>
        <v/>
      </c>
      <c r="V186" s="11">
        <f>IF(M186=0,"",ROUND(U186/M186*100,1))</f>
        <v/>
      </c>
      <c r="W186" s="16">
        <f>U186*Assumptions!$B$4</f>
        <v/>
      </c>
      <c r="X186" s="11">
        <f>IF(M186=0,"",ROUND(W186/M186*100,1))</f>
        <v/>
      </c>
      <c r="Y186" t="inlineStr">
        <is>
          <t>Grupo Agromeal</t>
        </is>
      </c>
      <c r="Z186" t="inlineStr">
        <is>
          <t>0003971-03.2023.8.16.0119</t>
        </is>
      </c>
      <c r="AA186" t="inlineStr">
        <is>
          <t>TJPR</t>
        </is>
      </c>
      <c r="AB186" t="inlineStr">
        <is>
          <t>marquesadmjudicial.com.br</t>
        </is>
      </c>
      <c r="AC186" t="inlineStr">
        <is>
          <t>DELCIO SILAS ROCHA RIBAS</t>
        </is>
      </c>
      <c r="AD186" t="inlineStr">
        <is>
          <t>Sócio-Administrador</t>
        </is>
      </c>
      <c r="AE186" t="inlineStr">
        <is>
          <t>(44) 9931-8388</t>
        </is>
      </c>
      <c r="AF186" t="inlineStr">
        <is>
          <t>(42) 3027-3607</t>
        </is>
      </c>
      <c r="AG186" t="inlineStr"/>
      <c r="AH186" t="inlineStr">
        <is>
          <t>PR</t>
        </is>
      </c>
      <c r="AI186" t="inlineStr">
        <is>
          <t>ASTORGA</t>
        </is>
      </c>
      <c r="AJ186" t="inlineStr">
        <is>
          <t>Fabricação de óleos vegetais em bruto, exceto óleo de milho</t>
        </is>
      </c>
      <c r="AK186" t="inlineStr">
        <is>
          <t>DEMAIS</t>
        </is>
      </c>
      <c r="AL186" t="inlineStr">
        <is>
          <t>ATIVA</t>
        </is>
      </c>
      <c r="AM186" s="17" t="inlineStr">
        <is>
          <t>https://marquesadmjudicial.com.br/sgc/download.php?file=files/processo_documento/processo_documento17040729052024_1_.pdf&amp;nome=Relação Nominal de Credores AJ-Sintética</t>
        </is>
      </c>
      <c r="AN186" s="18" t="inlineStr">
        <is>
          <t>p12 r10</t>
        </is>
      </c>
      <c r="AO186" s="18" t="inlineStr">
        <is>
          <t>p12: R$ 117.694,50</t>
        </is>
      </c>
      <c r="AP186" s="18" t="inlineStr">
        <is>
          <t>AJ_LIST</t>
        </is>
      </c>
      <c r="AQ186" s="18" t="inlineStr">
        <is>
          <t>2024-05-27</t>
        </is>
      </c>
      <c r="AR186" s="18" t="inlineStr">
        <is>
          <t>QUARANTINED</t>
        </is>
      </c>
      <c r="AS186" s="18" t="inlineStr">
        <is>
          <t>PARTIAL_DOC_CLASS_III_RECONCILED ROWS:p12r10</t>
        </is>
      </c>
      <c r="AT186" s="18" t="inlineStr">
        <is>
          <t>1209dafe77b7</t>
        </is>
      </c>
    </row>
    <row r="187">
      <c r="A187" s="9" t="n">
        <v>186</v>
      </c>
      <c r="B187" s="9" t="inlineStr">
        <is>
          <t>NEW</t>
        </is>
      </c>
      <c r="C187" s="9" t="inlineStr"/>
      <c r="D187" s="9" t="n">
        <v>0</v>
      </c>
      <c r="E187" s="9" t="inlineStr"/>
      <c r="F187" s="9" t="inlineStr"/>
      <c r="G187" s="9" t="inlineStr"/>
      <c r="H187" s="9" t="inlineStr"/>
      <c r="I187" t="inlineStr">
        <is>
          <t>BRF S.A.</t>
        </is>
      </c>
      <c r="J187" t="inlineStr">
        <is>
          <t>BRF S.A</t>
        </is>
      </c>
      <c r="K187" t="inlineStr">
        <is>
          <t>01838723</t>
        </is>
      </c>
      <c r="L187" t="inlineStr">
        <is>
          <t>01838723016201</t>
        </is>
      </c>
      <c r="M187" s="10" t="n">
        <v>117665</v>
      </c>
      <c r="N187" t="n">
        <v>1</v>
      </c>
      <c r="O187" s="11" t="inlineStr">
        <is>
          <t>C</t>
        </is>
      </c>
      <c r="P187" s="11" t="inlineStr"/>
      <c r="Q187" s="12" t="inlineStr"/>
      <c r="R187" s="11">
        <f>IF(Q187="","",ROUND((TODAY()-Q187)/365.25,1))</f>
        <v/>
      </c>
      <c r="S187" s="13">
        <f>IFERROR(VLOOKUP(O187,Assumptions!$A$7:$F$11,2,FALSE),0.25)</f>
        <v/>
      </c>
      <c r="T187" s="14">
        <f>IF(O187="A",MAX(1,IFERROR(VLOOKUP(O187,Assumptions!$A$7:$F$11,3,FALSE),3)+IFERROR(VLOOKUP(O187,Assumptions!$A$7:$F$11,4,FALSE),8)/2-MAX(0,IF(R187="",0,R187)-IFERROR(VLOOKUP(O187,Assumptions!$A$7:$F$11,5,FALSE),1.5))),IFERROR(VLOOKUP(O187,Assumptions!$A$7:$F$11,5,FALSE),2.5)+IFERROR(VLOOKUP(O187,Assumptions!$A$7:$F$11,3,FALSE),3)+IFERROR(VLOOKUP(O187,Assumptions!$A$7:$F$11,4,FALSE),8)/2)</f>
        <v/>
      </c>
      <c r="U187" s="15">
        <f>M187*S187/(1+Assumptions!$B$3)^T187</f>
        <v/>
      </c>
      <c r="V187" s="11">
        <f>IF(M187=0,"",ROUND(U187/M187*100,1))</f>
        <v/>
      </c>
      <c r="W187" s="16">
        <f>U187*Assumptions!$B$4</f>
        <v/>
      </c>
      <c r="X187" s="11">
        <f>IF(M187=0,"",ROUND(W187/M187*100,1))</f>
        <v/>
      </c>
      <c r="Y187" t="inlineStr">
        <is>
          <t>GRUPO ARNON DE MELLO</t>
        </is>
      </c>
      <c r="Z187" t="inlineStr">
        <is>
          <t>0700256-03.2019.8.02.0066</t>
        </is>
      </c>
      <c r="AA187" t="inlineStr"/>
      <c r="AB187" t="inlineStr">
        <is>
          <t>recuperacaojudicial.squarespace.com</t>
        </is>
      </c>
      <c r="AC187" t="inlineStr">
        <is>
          <t>MIGUEL DE SOUZA GULARTE</t>
        </is>
      </c>
      <c r="AD187" t="inlineStr">
        <is>
          <t>Presidente</t>
        </is>
      </c>
      <c r="AE187" t="inlineStr">
        <is>
          <t>(47) 3249-4100</t>
        </is>
      </c>
      <c r="AF187" t="inlineStr"/>
      <c r="AG187" t="inlineStr"/>
      <c r="AH187" t="inlineStr">
        <is>
          <t>SC</t>
        </is>
      </c>
      <c r="AI187" t="inlineStr">
        <is>
          <t>ITAJAI</t>
        </is>
      </c>
      <c r="AJ187" t="inlineStr">
        <is>
          <t>Abate de aves</t>
        </is>
      </c>
      <c r="AK187" t="inlineStr">
        <is>
          <t>DEMAIS</t>
        </is>
      </c>
      <c r="AL187" t="inlineStr">
        <is>
          <t>ATIVA</t>
        </is>
      </c>
      <c r="AM187" s="17" t="inlineStr">
        <is>
          <t>https://recuperacaojudicial.squarespace.com/s/RJ-Grupo-Arnon-de-Melo-Lista-de-Credores-Consolidada-abril-2022.pdf</t>
        </is>
      </c>
      <c r="AN187" s="18" t="inlineStr">
        <is>
          <t>p7 r27</t>
        </is>
      </c>
      <c r="AO187" s="18" t="inlineStr">
        <is>
          <t>p7: R$ 117.665,00</t>
        </is>
      </c>
      <c r="AP187" s="18" t="inlineStr">
        <is>
          <t>AJ_LIST</t>
        </is>
      </c>
      <c r="AQ187" s="18" t="inlineStr"/>
      <c r="AR187" s="18" t="inlineStr">
        <is>
          <t>OK_NO_TOTALS</t>
        </is>
      </c>
      <c r="AS187" s="18" t="inlineStr">
        <is>
          <t>ROWS:p7r27 UNRECONCILED_SOURCE</t>
        </is>
      </c>
      <c r="AT187" s="18" t="inlineStr">
        <is>
          <t>60fd9c017d90</t>
        </is>
      </c>
    </row>
    <row r="188">
      <c r="A188" s="9" t="n">
        <v>187</v>
      </c>
      <c r="B188" s="9" t="inlineStr">
        <is>
          <t>NEW</t>
        </is>
      </c>
      <c r="C188" s="9" t="inlineStr"/>
      <c r="D188" s="9" t="n">
        <v>0</v>
      </c>
      <c r="E188" s="9" t="inlineStr"/>
      <c r="F188" s="9" t="inlineStr"/>
      <c r="G188" s="9" t="inlineStr"/>
      <c r="H188" s="9" t="inlineStr"/>
      <c r="I188" t="inlineStr">
        <is>
          <t>JBS S/A</t>
        </is>
      </c>
      <c r="J188" t="inlineStr">
        <is>
          <t>Jbs</t>
        </is>
      </c>
      <c r="K188" t="inlineStr">
        <is>
          <t>02916265</t>
        </is>
      </c>
      <c r="L188" t="inlineStr">
        <is>
          <t>02916265000593</t>
        </is>
      </c>
      <c r="M188" s="10" t="n">
        <v>117451.13</v>
      </c>
      <c r="N188" t="n">
        <v>1</v>
      </c>
      <c r="O188" s="11" t="inlineStr">
        <is>
          <t>B</t>
        </is>
      </c>
      <c r="P188" s="11" t="inlineStr">
        <is>
          <t>ACTIVE</t>
        </is>
      </c>
      <c r="Q188" s="12" t="n">
        <v>46130</v>
      </c>
      <c r="R188" s="11">
        <f>IF(Q188="","",ROUND((TODAY()-Q188)/365.25,1))</f>
        <v/>
      </c>
      <c r="S188" s="13">
        <f>IFERROR(VLOOKUP(O188,Assumptions!$A$7:$F$11,2,FALSE),0.25)</f>
        <v/>
      </c>
      <c r="T188" s="14">
        <f>IF(O188="A",MAX(1,IFERROR(VLOOKUP(O188,Assumptions!$A$7:$F$11,3,FALSE),3)+IFERROR(VLOOKUP(O188,Assumptions!$A$7:$F$11,4,FALSE),8)/2-MAX(0,IF(R188="",0,R188)-IFERROR(VLOOKUP(O188,Assumptions!$A$7:$F$11,5,FALSE),1.5))),IFERROR(VLOOKUP(O188,Assumptions!$A$7:$F$11,5,FALSE),2.5)+IFERROR(VLOOKUP(O188,Assumptions!$A$7:$F$11,3,FALSE),3)+IFERROR(VLOOKUP(O188,Assumptions!$A$7:$F$11,4,FALSE),8)/2)</f>
        <v/>
      </c>
      <c r="U188" s="15">
        <f>M188*S188/(1+Assumptions!$B$3)^T188</f>
        <v/>
      </c>
      <c r="V188" s="11">
        <f>IF(M188=0,"",ROUND(U188/M188*100,1))</f>
        <v/>
      </c>
      <c r="W188" s="16">
        <f>U188*Assumptions!$B$4</f>
        <v/>
      </c>
      <c r="X188" s="11">
        <f>IF(M188=0,"",ROUND(W188/M188*100,1))</f>
        <v/>
      </c>
      <c r="Y188" t="inlineStr">
        <is>
          <t>GRUPO 3E</t>
        </is>
      </c>
      <c r="Z188" t="inlineStr">
        <is>
          <t>5341375-33.2026.8.09.0049</t>
        </is>
      </c>
      <c r="AA188" t="inlineStr">
        <is>
          <t>TJGO</t>
        </is>
      </c>
      <c r="AB188" t="inlineStr">
        <is>
          <t>stenius.com.br</t>
        </is>
      </c>
      <c r="AC188" t="inlineStr">
        <is>
          <t>GILBERTO TOMAZONI</t>
        </is>
      </c>
      <c r="AD188" t="inlineStr">
        <is>
          <t>Presidente</t>
        </is>
      </c>
      <c r="AE188" t="inlineStr">
        <is>
          <t>(11) 3144-4000</t>
        </is>
      </c>
      <c r="AF188" t="inlineStr"/>
      <c r="AG188" t="inlineStr"/>
      <c r="AH188" t="inlineStr">
        <is>
          <t>SP</t>
        </is>
      </c>
      <c r="AI188" t="inlineStr">
        <is>
          <t>SAO PAULO</t>
        </is>
      </c>
      <c r="AJ188" t="inlineStr">
        <is>
          <t>Frigorífico - abate de bovinos</t>
        </is>
      </c>
      <c r="AK188" t="inlineStr">
        <is>
          <t>DEMAIS</t>
        </is>
      </c>
      <c r="AL188" t="inlineStr">
        <is>
          <t>ATIVA</t>
        </is>
      </c>
      <c r="AM188" s="17" t="inlineStr">
        <is>
          <t>https://stenius.com.br/wp-content/uploads/2026/06/EDITAL-GRUPO-3E.pdf</t>
        </is>
      </c>
      <c r="AN188" s="18" t="inlineStr">
        <is>
          <t>p14 r68</t>
        </is>
      </c>
      <c r="AO188" s="18" t="inlineStr">
        <is>
          <t>p14: R$ 117.451,13</t>
        </is>
      </c>
      <c r="AP188" s="18" t="inlineStr">
        <is>
          <t>DEBTOR_LIST</t>
        </is>
      </c>
      <c r="AQ188" s="18" t="inlineStr">
        <is>
          <t>2026-06-22</t>
        </is>
      </c>
      <c r="AR188" s="18" t="inlineStr">
        <is>
          <t>OK_NO_TOTALS</t>
        </is>
      </c>
      <c r="AS188" s="18" t="inlineStr">
        <is>
          <t>ROWS:p14r68 UNRECONCILED_SOURCE</t>
        </is>
      </c>
      <c r="AT188" s="18" t="inlineStr">
        <is>
          <t>8e8832093a15</t>
        </is>
      </c>
    </row>
    <row r="189">
      <c r="A189" s="9" t="n">
        <v>188</v>
      </c>
      <c r="B189" s="9" t="inlineStr">
        <is>
          <t>NEW</t>
        </is>
      </c>
      <c r="C189" s="9" t="inlineStr"/>
      <c r="D189" s="9" t="n">
        <v>0</v>
      </c>
      <c r="E189" s="9" t="inlineStr"/>
      <c r="F189" s="9" t="inlineStr"/>
      <c r="G189" s="9" t="inlineStr"/>
      <c r="H189" s="9" t="inlineStr"/>
      <c r="I189" t="inlineStr">
        <is>
          <t>LOXAM DO BRASIL SA</t>
        </is>
      </c>
      <c r="J189" t="inlineStr">
        <is>
          <t>RUA ELVÍRIO MÁRIO MANCINI 282- LOTE 01 E 02 266 CENTRO 79602021</t>
        </is>
      </c>
      <c r="K189" t="inlineStr">
        <is>
          <t>57764763</t>
        </is>
      </c>
      <c r="L189" t="inlineStr">
        <is>
          <t>57764763000126, 57764763001602</t>
        </is>
      </c>
      <c r="M189" s="10" t="n">
        <v>117347</v>
      </c>
      <c r="N189" t="n">
        <v>2</v>
      </c>
      <c r="O189" s="11" t="inlineStr">
        <is>
          <t>B</t>
        </is>
      </c>
      <c r="P189" s="11" t="inlineStr">
        <is>
          <t>ACTIVE</t>
        </is>
      </c>
      <c r="Q189" s="12" t="n">
        <v>45964</v>
      </c>
      <c r="R189" s="11">
        <f>IF(Q189="","",ROUND((TODAY()-Q189)/365.25,1))</f>
        <v/>
      </c>
      <c r="S189" s="13">
        <f>IFERROR(VLOOKUP(O189,Assumptions!$A$7:$F$11,2,FALSE),0.25)</f>
        <v/>
      </c>
      <c r="T189" s="14">
        <f>IF(O189="A",MAX(1,IFERROR(VLOOKUP(O189,Assumptions!$A$7:$F$11,3,FALSE),3)+IFERROR(VLOOKUP(O189,Assumptions!$A$7:$F$11,4,FALSE),8)/2-MAX(0,IF(R189="",0,R189)-IFERROR(VLOOKUP(O189,Assumptions!$A$7:$F$11,5,FALSE),1.5))),IFERROR(VLOOKUP(O189,Assumptions!$A$7:$F$11,5,FALSE),2.5)+IFERROR(VLOOKUP(O189,Assumptions!$A$7:$F$11,3,FALSE),3)+IFERROR(VLOOKUP(O189,Assumptions!$A$7:$F$11,4,FALSE),8)/2)</f>
        <v/>
      </c>
      <c r="U189" s="15">
        <f>M189*S189/(1+Assumptions!$B$3)^T189</f>
        <v/>
      </c>
      <c r="V189" s="11">
        <f>IF(M189=0,"",ROUND(U189/M189*100,1))</f>
        <v/>
      </c>
      <c r="W189" s="16">
        <f>U189*Assumptions!$B$4</f>
        <v/>
      </c>
      <c r="X189" s="11">
        <f>IF(M189=0,"",ROUND(W189/M189*100,1))</f>
        <v/>
      </c>
      <c r="Y189" t="inlineStr">
        <is>
          <t>CENTURY CONSTRUÇÕES COMÉRCIO E SERVIÇOS LTDA.</t>
        </is>
      </c>
      <c r="Z189" t="inlineStr">
        <is>
          <t>4054599-35.2025.8.26.0100</t>
        </is>
      </c>
      <c r="AA189" t="inlineStr">
        <is>
          <t>TJSP</t>
        </is>
      </c>
      <c r="AB189" t="inlineStr">
        <is>
          <t>ativosajce.com.br</t>
        </is>
      </c>
      <c r="AC189" t="inlineStr">
        <is>
          <t>GUILHERME FABER BOOG</t>
        </is>
      </c>
      <c r="AD189" t="inlineStr">
        <is>
          <t>Presidente</t>
        </is>
      </c>
      <c r="AE189" t="inlineStr">
        <is>
          <t>(12) 3932-7799</t>
        </is>
      </c>
      <c r="AF189" t="inlineStr">
        <is>
          <t>(12) 9134-5082</t>
        </is>
      </c>
      <c r="AG189" t="inlineStr"/>
      <c r="AH189" t="inlineStr">
        <is>
          <t>SP</t>
        </is>
      </c>
      <c r="AI189" t="inlineStr">
        <is>
          <t>SAO JOSE DOS CAMPOS</t>
        </is>
      </c>
      <c r="AJ189" t="inlineStr">
        <is>
          <t>Aluguel de máquinas e equipamentos para construção sem operador, exceto andaimes</t>
        </is>
      </c>
      <c r="AK189" t="inlineStr">
        <is>
          <t>DEMAIS</t>
        </is>
      </c>
      <c r="AL189" t="inlineStr">
        <is>
          <t>ATIVA</t>
        </is>
      </c>
      <c r="AM189" s="17" t="inlineStr">
        <is>
          <t>https://ativosajce.com.br/admin/download.php?file=files/processo_documento/processo_documento16022716122025_1_.pdf&amp;nome=Relação de credores - art. 52, §1º da Lei 11.101/05 - 15/12/2025</t>
        </is>
      </c>
      <c r="AN189" s="18" t="inlineStr">
        <is>
          <t>p2 r72; p2 r73</t>
        </is>
      </c>
      <c r="AO189" s="18" t="inlineStr">
        <is>
          <t>p2: R$ 106.771,40; p2: R$ 10.575,60</t>
        </is>
      </c>
      <c r="AP189" s="18" t="inlineStr">
        <is>
          <t>UNKNOWN</t>
        </is>
      </c>
      <c r="AQ189" s="18" t="inlineStr"/>
      <c r="AR189" s="18" t="inlineStr">
        <is>
          <t>OK_NO_TOTALS</t>
        </is>
      </c>
      <c r="AS189" s="18" t="inlineStr">
        <is>
          <t>ROWS:p2r72,p2r73 UNRECONCILED_SOURCE VALUE_COL:Valor</t>
        </is>
      </c>
      <c r="AT189" s="18" t="inlineStr">
        <is>
          <t>2fe04bf4466d</t>
        </is>
      </c>
    </row>
    <row r="190">
      <c r="A190" s="9" t="n">
        <v>189</v>
      </c>
      <c r="B190" s="9" t="inlineStr">
        <is>
          <t>NEW</t>
        </is>
      </c>
      <c r="C190" s="9" t="inlineStr"/>
      <c r="D190" s="9" t="n">
        <v>0</v>
      </c>
      <c r="E190" s="9" t="inlineStr"/>
      <c r="F190" s="9" t="inlineStr"/>
      <c r="G190" s="9" t="inlineStr"/>
      <c r="H190" s="9" t="inlineStr"/>
      <c r="I190" t="inlineStr">
        <is>
          <t>CALHAFORTE LTDA</t>
        </is>
      </c>
      <c r="J190" t="inlineStr">
        <is>
          <t>AVENIDA HENRY FORD 1217 PARQUE DA MOOCA 3109000</t>
        </is>
      </c>
      <c r="K190" t="inlineStr">
        <is>
          <t>01999744</t>
        </is>
      </c>
      <c r="L190" t="inlineStr">
        <is>
          <t>01999744000124</t>
        </is>
      </c>
      <c r="M190" s="10" t="n">
        <v>116057.45</v>
      </c>
      <c r="N190" t="n">
        <v>1</v>
      </c>
      <c r="O190" s="11" t="inlineStr">
        <is>
          <t>B</t>
        </is>
      </c>
      <c r="P190" s="11" t="inlineStr">
        <is>
          <t>ACTIVE</t>
        </is>
      </c>
      <c r="Q190" s="12" t="n">
        <v>45964</v>
      </c>
      <c r="R190" s="11">
        <f>IF(Q190="","",ROUND((TODAY()-Q190)/365.25,1))</f>
        <v/>
      </c>
      <c r="S190" s="13">
        <f>IFERROR(VLOOKUP(O190,Assumptions!$A$7:$F$11,2,FALSE),0.25)</f>
        <v/>
      </c>
      <c r="T190" s="14">
        <f>IF(O190="A",MAX(1,IFERROR(VLOOKUP(O190,Assumptions!$A$7:$F$11,3,FALSE),3)+IFERROR(VLOOKUP(O190,Assumptions!$A$7:$F$11,4,FALSE),8)/2-MAX(0,IF(R190="",0,R190)-IFERROR(VLOOKUP(O190,Assumptions!$A$7:$F$11,5,FALSE),1.5))),IFERROR(VLOOKUP(O190,Assumptions!$A$7:$F$11,5,FALSE),2.5)+IFERROR(VLOOKUP(O190,Assumptions!$A$7:$F$11,3,FALSE),3)+IFERROR(VLOOKUP(O190,Assumptions!$A$7:$F$11,4,FALSE),8)/2)</f>
        <v/>
      </c>
      <c r="U190" s="15">
        <f>M190*S190/(1+Assumptions!$B$3)^T190</f>
        <v/>
      </c>
      <c r="V190" s="11">
        <f>IF(M190=0,"",ROUND(U190/M190*100,1))</f>
        <v/>
      </c>
      <c r="W190" s="16">
        <f>U190*Assumptions!$B$4</f>
        <v/>
      </c>
      <c r="X190" s="11">
        <f>IF(M190=0,"",ROUND(W190/M190*100,1))</f>
        <v/>
      </c>
      <c r="Y190" t="inlineStr">
        <is>
          <t>CENTURY CONSTRUÇÕES COMÉRCIO E SERVIÇOS LTDA.</t>
        </is>
      </c>
      <c r="Z190" t="inlineStr">
        <is>
          <t>4054599-35.2025.8.26.0100</t>
        </is>
      </c>
      <c r="AA190" t="inlineStr">
        <is>
          <t>TJSP</t>
        </is>
      </c>
      <c r="AB190" t="inlineStr">
        <is>
          <t>ativosajce.com.br</t>
        </is>
      </c>
      <c r="AC190" t="inlineStr">
        <is>
          <t>BRUNO COVELLI BENELLI</t>
        </is>
      </c>
      <c r="AD190" t="inlineStr">
        <is>
          <t>Sócio-Administrador</t>
        </is>
      </c>
      <c r="AE190" t="inlineStr">
        <is>
          <t>(11) 2915-8834</t>
        </is>
      </c>
      <c r="AF190" t="inlineStr"/>
      <c r="AG190" t="inlineStr"/>
      <c r="AH190" t="inlineStr">
        <is>
          <t>SP</t>
        </is>
      </c>
      <c r="AI190" t="inlineStr">
        <is>
          <t>SAO PAULO</t>
        </is>
      </c>
      <c r="AJ190" t="inlineStr">
        <is>
          <t>Fabricação de artigos de metal para uso doméstico e pessoal</t>
        </is>
      </c>
      <c r="AK190" t="inlineStr">
        <is>
          <t>DEMAIS</t>
        </is>
      </c>
      <c r="AL190" t="inlineStr">
        <is>
          <t>ATIVA</t>
        </is>
      </c>
      <c r="AM190" s="17" t="inlineStr">
        <is>
          <t>https://ativosajce.com.br/admin/download.php?file=files/processo_documento/processo_documento16022716122025_1_.pdf&amp;nome=Relação de credores - art. 52, §1º da Lei 11.101/05 - 15/12/2025</t>
        </is>
      </c>
      <c r="AN190" s="18" t="inlineStr">
        <is>
          <t>p2 r46</t>
        </is>
      </c>
      <c r="AO190" s="18" t="inlineStr">
        <is>
          <t>p2: R$ 116.057,45</t>
        </is>
      </c>
      <c r="AP190" s="18" t="inlineStr">
        <is>
          <t>UNKNOWN</t>
        </is>
      </c>
      <c r="AQ190" s="18" t="inlineStr"/>
      <c r="AR190" s="18" t="inlineStr">
        <is>
          <t>OK_NO_TOTALS</t>
        </is>
      </c>
      <c r="AS190" s="18" t="inlineStr">
        <is>
          <t>ROWS:p2r46 UNRECONCILED_SOURCE VALUE_COL:Valor</t>
        </is>
      </c>
      <c r="AT190" s="18" t="inlineStr">
        <is>
          <t>2fe04bf4466d</t>
        </is>
      </c>
    </row>
    <row r="191">
      <c r="A191" s="9" t="n">
        <v>190</v>
      </c>
      <c r="B191" s="9" t="inlineStr">
        <is>
          <t>NEW</t>
        </is>
      </c>
      <c r="C191" s="9" t="inlineStr"/>
      <c r="D191" s="9" t="n">
        <v>0</v>
      </c>
      <c r="E191" s="9" t="inlineStr"/>
      <c r="F191" s="9" t="inlineStr"/>
      <c r="G191" s="9" t="inlineStr"/>
      <c r="H191" s="9" t="inlineStr"/>
      <c r="I191" t="inlineStr">
        <is>
          <t>P. F. TRANSPORTES E COMERCIO LTDA.</t>
        </is>
      </c>
      <c r="J191" t="inlineStr">
        <is>
          <t>P. F. Comercio De Diesel LTDA</t>
        </is>
      </c>
      <c r="K191" t="inlineStr">
        <is>
          <t>79073813</t>
        </is>
      </c>
      <c r="L191" t="inlineStr">
        <is>
          <t>79073813000161</t>
        </is>
      </c>
      <c r="M191" s="10" t="n">
        <v>115585.27</v>
      </c>
      <c r="N191" t="n">
        <v>1</v>
      </c>
      <c r="O191" s="11" t="inlineStr">
        <is>
          <t>B</t>
        </is>
      </c>
      <c r="P191" s="11" t="inlineStr">
        <is>
          <t>ACTIVE</t>
        </is>
      </c>
      <c r="Q191" s="12" t="n">
        <v>45460</v>
      </c>
      <c r="R191" s="11">
        <f>IF(Q191="","",ROUND((TODAY()-Q191)/365.25,1))</f>
        <v/>
      </c>
      <c r="S191" s="13">
        <f>IFERROR(VLOOKUP(O191,Assumptions!$A$7:$F$11,2,FALSE),0.25)</f>
        <v/>
      </c>
      <c r="T191" s="14">
        <f>IF(O191="A",MAX(1,IFERROR(VLOOKUP(O191,Assumptions!$A$7:$F$11,3,FALSE),3)+IFERROR(VLOOKUP(O191,Assumptions!$A$7:$F$11,4,FALSE),8)/2-MAX(0,IF(R191="",0,R191)-IFERROR(VLOOKUP(O191,Assumptions!$A$7:$F$11,5,FALSE),1.5))),IFERROR(VLOOKUP(O191,Assumptions!$A$7:$F$11,5,FALSE),2.5)+IFERROR(VLOOKUP(O191,Assumptions!$A$7:$F$11,3,FALSE),3)+IFERROR(VLOOKUP(O191,Assumptions!$A$7:$F$11,4,FALSE),8)/2)</f>
        <v/>
      </c>
      <c r="U191" s="15">
        <f>M191*S191/(1+Assumptions!$B$3)^T191</f>
        <v/>
      </c>
      <c r="V191" s="11">
        <f>IF(M191=0,"",ROUND(U191/M191*100,1))</f>
        <v/>
      </c>
      <c r="W191" s="16">
        <f>U191*Assumptions!$B$4</f>
        <v/>
      </c>
      <c r="X191" s="11">
        <f>IF(M191=0,"",ROUND(W191/M191*100,1))</f>
        <v/>
      </c>
      <c r="Y191" t="inlineStr">
        <is>
          <t>GRUPO D&amp;D</t>
        </is>
      </c>
      <c r="Z191" t="inlineStr">
        <is>
          <t>0001943-40.2024.8.16.0115</t>
        </is>
      </c>
      <c r="AA191" t="inlineStr">
        <is>
          <t>TJPR</t>
        </is>
      </c>
      <c r="AB191" t="inlineStr">
        <is>
          <t>marquesadmjudicial.com.br</t>
        </is>
      </c>
      <c r="AC191" t="inlineStr">
        <is>
          <t>JOSE VALDECIR CORREA PUGAS</t>
        </is>
      </c>
      <c r="AD191" t="inlineStr">
        <is>
          <t>Sócio-Administrador</t>
        </is>
      </c>
      <c r="AE191" t="inlineStr">
        <is>
          <t>(44) 3266-2828</t>
        </is>
      </c>
      <c r="AF191" t="inlineStr">
        <is>
          <t>(44) 9912-5447</t>
        </is>
      </c>
      <c r="AG191" t="inlineStr"/>
      <c r="AH191" t="inlineStr">
        <is>
          <t>PR</t>
        </is>
      </c>
      <c r="AI191" t="inlineStr">
        <is>
          <t>MARINGA</t>
        </is>
      </c>
      <c r="AJ191" t="inlineStr">
        <is>
          <t>Transporte rodoviário de carga, exceto produtos perigosos e mudanças, intermunicipal, interestadual e internacional</t>
        </is>
      </c>
      <c r="AK191" t="inlineStr">
        <is>
          <t>DEMAIS</t>
        </is>
      </c>
      <c r="AL191" t="inlineStr">
        <is>
          <t>ATIVA</t>
        </is>
      </c>
      <c r="AM191" s="17" t="inlineStr">
        <is>
          <t>https://marquesadmjudicial.com.br/sgc/download.php?file=files/processo_documento/processo_documento20014127022025_1_.pdf&amp;nome=Relação Nominal de Credores</t>
        </is>
      </c>
      <c r="AN191" s="18" t="inlineStr">
        <is>
          <t>p5 r10</t>
        </is>
      </c>
      <c r="AO191" s="18" t="inlineStr">
        <is>
          <t>p5: R$ 115.585,27</t>
        </is>
      </c>
      <c r="AP191" s="18" t="inlineStr">
        <is>
          <t>AJ_LIST</t>
        </is>
      </c>
      <c r="AQ191" s="18" t="inlineStr">
        <is>
          <t>2024-11-08</t>
        </is>
      </c>
      <c r="AR191" s="18" t="inlineStr">
        <is>
          <t>QUARANTINED</t>
        </is>
      </c>
      <c r="AS191" s="18" t="inlineStr">
        <is>
          <t>PARTIAL_DOC_CLASS_III_RECONCILED ROWS:p5r10</t>
        </is>
      </c>
      <c r="AT191" s="18" t="inlineStr">
        <is>
          <t>dfc3207dcd0f</t>
        </is>
      </c>
    </row>
    <row r="192">
      <c r="A192" s="9" t="n">
        <v>191</v>
      </c>
      <c r="B192" s="9" t="inlineStr">
        <is>
          <t>NEW</t>
        </is>
      </c>
      <c r="C192" s="9" t="inlineStr"/>
      <c r="D192" s="9" t="n">
        <v>0</v>
      </c>
      <c r="E192" s="9" t="inlineStr"/>
      <c r="F192" s="9" t="inlineStr"/>
      <c r="G192" s="9" t="inlineStr"/>
      <c r="H192" s="9" t="inlineStr"/>
      <c r="I192" t="inlineStr">
        <is>
          <t>PROTEC PRODUTOS AGRICOLAS LTDA</t>
        </is>
      </c>
      <c r="J192" t="inlineStr">
        <is>
          <t>Protec Produtos Agricolas Ltd</t>
        </is>
      </c>
      <c r="K192" t="inlineStr">
        <is>
          <t>01849036</t>
        </is>
      </c>
      <c r="L192" t="inlineStr">
        <is>
          <t>01849036001936</t>
        </is>
      </c>
      <c r="M192" s="10" t="n">
        <v>115035</v>
      </c>
      <c r="N192" t="n">
        <v>1</v>
      </c>
      <c r="O192" s="11" t="inlineStr">
        <is>
          <t>B</t>
        </is>
      </c>
      <c r="P192" s="11" t="inlineStr">
        <is>
          <t>ACTIVE</t>
        </is>
      </c>
      <c r="Q192" s="12" t="n">
        <v>46130</v>
      </c>
      <c r="R192" s="11">
        <f>IF(Q192="","",ROUND((TODAY()-Q192)/365.25,1))</f>
        <v/>
      </c>
      <c r="S192" s="13">
        <f>IFERROR(VLOOKUP(O192,Assumptions!$A$7:$F$11,2,FALSE),0.25)</f>
        <v/>
      </c>
      <c r="T192" s="14">
        <f>IF(O192="A",MAX(1,IFERROR(VLOOKUP(O192,Assumptions!$A$7:$F$11,3,FALSE),3)+IFERROR(VLOOKUP(O192,Assumptions!$A$7:$F$11,4,FALSE),8)/2-MAX(0,IF(R192="",0,R192)-IFERROR(VLOOKUP(O192,Assumptions!$A$7:$F$11,5,FALSE),1.5))),IFERROR(VLOOKUP(O192,Assumptions!$A$7:$F$11,5,FALSE),2.5)+IFERROR(VLOOKUP(O192,Assumptions!$A$7:$F$11,3,FALSE),3)+IFERROR(VLOOKUP(O192,Assumptions!$A$7:$F$11,4,FALSE),8)/2)</f>
        <v/>
      </c>
      <c r="U192" s="15">
        <f>M192*S192/(1+Assumptions!$B$3)^T192</f>
        <v/>
      </c>
      <c r="V192" s="11">
        <f>IF(M192=0,"",ROUND(U192/M192*100,1))</f>
        <v/>
      </c>
      <c r="W192" s="16">
        <f>U192*Assumptions!$B$4</f>
        <v/>
      </c>
      <c r="X192" s="11">
        <f>IF(M192=0,"",ROUND(W192/M192*100,1))</f>
        <v/>
      </c>
      <c r="Y192" t="inlineStr">
        <is>
          <t>GRUPO 3E</t>
        </is>
      </c>
      <c r="Z192" t="inlineStr">
        <is>
          <t>5341375-33.2026.8.09.0049</t>
        </is>
      </c>
      <c r="AA192" t="inlineStr">
        <is>
          <t>TJGO</t>
        </is>
      </c>
      <c r="AB192" t="inlineStr">
        <is>
          <t>stenius.com.br</t>
        </is>
      </c>
      <c r="AC192" t="inlineStr">
        <is>
          <t>LUIZ FERNANDO MENDICINO</t>
        </is>
      </c>
      <c r="AD192" t="inlineStr">
        <is>
          <t>Sócio-Administrador</t>
        </is>
      </c>
      <c r="AE192" t="inlineStr">
        <is>
          <t>(34) 3256-7400</t>
        </is>
      </c>
      <c r="AF192" t="inlineStr"/>
      <c r="AG192" t="inlineStr"/>
      <c r="AH192" t="inlineStr">
        <is>
          <t>MG</t>
        </is>
      </c>
      <c r="AI192" t="inlineStr">
        <is>
          <t>UBERLANDIA</t>
        </is>
      </c>
      <c r="AJ192" t="inlineStr">
        <is>
          <t>Comércio atacadista de defensivos agrícolas, adubos, fertilizantes e corretivos do solo</t>
        </is>
      </c>
      <c r="AK192" t="inlineStr">
        <is>
          <t>DEMAIS</t>
        </is>
      </c>
      <c r="AL192" t="inlineStr">
        <is>
          <t>ATIVA</t>
        </is>
      </c>
      <c r="AM192" s="17" t="inlineStr">
        <is>
          <t>https://stenius.com.br/wp-content/uploads/2026/06/EDITAL-GRUPO-3E.pdf</t>
        </is>
      </c>
      <c r="AN192" s="18" t="inlineStr">
        <is>
          <t>p16 r77</t>
        </is>
      </c>
      <c r="AO192" s="18" t="inlineStr">
        <is>
          <t>p16: R$ 115.035,00</t>
        </is>
      </c>
      <c r="AP192" s="18" t="inlineStr">
        <is>
          <t>DEBTOR_LIST</t>
        </is>
      </c>
      <c r="AQ192" s="18" t="inlineStr">
        <is>
          <t>2026-06-22</t>
        </is>
      </c>
      <c r="AR192" s="18" t="inlineStr">
        <is>
          <t>OK_NO_TOTALS</t>
        </is>
      </c>
      <c r="AS192" s="18" t="inlineStr">
        <is>
          <t>ROWS:p16r77 UNRECONCILED_SOURCE</t>
        </is>
      </c>
      <c r="AT192" s="18" t="inlineStr">
        <is>
          <t>8e8832093a15</t>
        </is>
      </c>
    </row>
    <row r="193">
      <c r="A193" s="9" t="n">
        <v>192</v>
      </c>
      <c r="B193" s="9" t="inlineStr">
        <is>
          <t>NEW</t>
        </is>
      </c>
      <c r="C193" s="9" t="inlineStr"/>
      <c r="D193" s="9" t="n">
        <v>0</v>
      </c>
      <c r="E193" s="9" t="inlineStr"/>
      <c r="F193" s="9" t="inlineStr"/>
      <c r="G193" s="9" t="inlineStr"/>
      <c r="H193" s="9" t="inlineStr"/>
      <c r="I193" t="inlineStr">
        <is>
          <t>GREENPHARMA QUIMICA E FARMACEUTICA EM RECUPERACAO JUDICIAL LTDA</t>
        </is>
      </c>
      <c r="J193" t="inlineStr">
        <is>
          <t>Greenpharma Quimica E Farmaceutica Em Recuperacao Judicial Ltda</t>
        </is>
      </c>
      <c r="K193" t="inlineStr">
        <is>
          <t>33408105</t>
        </is>
      </c>
      <c r="L193" t="inlineStr">
        <is>
          <t>33408105000133</t>
        </is>
      </c>
      <c r="M193" s="10" t="n">
        <v>114875.51</v>
      </c>
      <c r="N193" t="n">
        <v>1</v>
      </c>
      <c r="O193" s="11" t="inlineStr">
        <is>
          <t>C</t>
        </is>
      </c>
      <c r="P193" s="11" t="inlineStr">
        <is>
          <t>ACTIVE</t>
        </is>
      </c>
      <c r="Q193" s="12" t="n">
        <v>44987</v>
      </c>
      <c r="R193" s="11">
        <f>IF(Q193="","",ROUND((TODAY()-Q193)/365.25,1))</f>
        <v/>
      </c>
      <c r="S193" s="13">
        <f>IFERROR(VLOOKUP(O193,Assumptions!$A$7:$F$11,2,FALSE),0.25)</f>
        <v/>
      </c>
      <c r="T193" s="14">
        <f>IF(O193="A",MAX(1,IFERROR(VLOOKUP(O193,Assumptions!$A$7:$F$11,3,FALSE),3)+IFERROR(VLOOKUP(O193,Assumptions!$A$7:$F$11,4,FALSE),8)/2-MAX(0,IF(R193="",0,R193)-IFERROR(VLOOKUP(O193,Assumptions!$A$7:$F$11,5,FALSE),1.5))),IFERROR(VLOOKUP(O193,Assumptions!$A$7:$F$11,5,FALSE),2.5)+IFERROR(VLOOKUP(O193,Assumptions!$A$7:$F$11,3,FALSE),3)+IFERROR(VLOOKUP(O193,Assumptions!$A$7:$F$11,4,FALSE),8)/2)</f>
        <v/>
      </c>
      <c r="U193" s="15">
        <f>M193*S193/(1+Assumptions!$B$3)^T193</f>
        <v/>
      </c>
      <c r="V193" s="11">
        <f>IF(M193=0,"",ROUND(U193/M193*100,1))</f>
        <v/>
      </c>
      <c r="W193" s="16">
        <f>U193*Assumptions!$B$4</f>
        <v/>
      </c>
      <c r="X193" s="11">
        <f>IF(M193=0,"",ROUND(W193/M193*100,1))</f>
        <v/>
      </c>
      <c r="Y193" t="inlineStr">
        <is>
          <t>GRUPO DP4</t>
        </is>
      </c>
      <c r="Z193" t="inlineStr">
        <is>
          <t>0005010-98.2023.8.16.0001</t>
        </is>
      </c>
      <c r="AA193" t="inlineStr">
        <is>
          <t>TJPR</t>
        </is>
      </c>
      <c r="AB193" t="inlineStr">
        <is>
          <t>marquesadmjudicial.com.br</t>
        </is>
      </c>
      <c r="AC193" t="inlineStr">
        <is>
          <t>EDUARDO GONCALVES</t>
        </is>
      </c>
      <c r="AD193" t="inlineStr">
        <is>
          <t>Sócio-Administrador</t>
        </is>
      </c>
      <c r="AE193" t="inlineStr">
        <is>
          <t>(62) 3310-6400</t>
        </is>
      </c>
      <c r="AF193" t="inlineStr">
        <is>
          <t>(62) 3310-6404</t>
        </is>
      </c>
      <c r="AG193" t="inlineStr"/>
      <c r="AH193" t="inlineStr">
        <is>
          <t>GO</t>
        </is>
      </c>
      <c r="AI193" t="inlineStr">
        <is>
          <t>ANAPOLIS</t>
        </is>
      </c>
      <c r="AJ193" t="inlineStr">
        <is>
          <t>Fabricação de medicamentos alopáticos para uso humano</t>
        </is>
      </c>
      <c r="AK193" t="inlineStr">
        <is>
          <t>DEMAIS</t>
        </is>
      </c>
      <c r="AL193" t="inlineStr">
        <is>
          <t>ATIVA</t>
        </is>
      </c>
      <c r="AM193" s="17" t="inlineStr">
        <is>
          <t>https://marquesadmjudicial.com.br/sgc/download.php?file=files/processo_documento/processo_documento15293208032024_1_.pdf&amp;nome=Relação Nominal de Credores da AJ-Sintética</t>
        </is>
      </c>
      <c r="AN193" s="18" t="inlineStr">
        <is>
          <t>p26 r7</t>
        </is>
      </c>
      <c r="AO193" s="18" t="inlineStr">
        <is>
          <t>p26: R$ 114.875,51</t>
        </is>
      </c>
      <c r="AP193" s="18" t="inlineStr">
        <is>
          <t>AJ_LIST</t>
        </is>
      </c>
      <c r="AQ193" s="18" t="inlineStr">
        <is>
          <t>2023-03-02</t>
        </is>
      </c>
      <c r="AR193" s="18" t="inlineStr">
        <is>
          <t>QUARANTINED</t>
        </is>
      </c>
      <c r="AS193" s="18" t="inlineStr">
        <is>
          <t>PARTIAL_DOC_CLASS_III_RECONCILED ROWS:p26r7</t>
        </is>
      </c>
      <c r="AT193" s="18" t="inlineStr">
        <is>
          <t>b465a5d11eec</t>
        </is>
      </c>
    </row>
    <row r="194">
      <c r="A194" s="9" t="n">
        <v>193</v>
      </c>
      <c r="B194" s="9" t="inlineStr">
        <is>
          <t>NEW</t>
        </is>
      </c>
      <c r="C194" s="9" t="inlineStr"/>
      <c r="D194" s="9" t="n">
        <v>0</v>
      </c>
      <c r="E194" s="9" t="inlineStr"/>
      <c r="F194" s="9" t="inlineStr"/>
      <c r="G194" s="9" t="inlineStr"/>
      <c r="H194" s="9" t="inlineStr"/>
      <c r="I194" t="inlineStr">
        <is>
          <t>SPRINGER CARRIER LTDA</t>
        </is>
      </c>
      <c r="J194" t="inlineStr">
        <is>
          <t>Campo São Cristovão, 290, São Cirstovão, Rio de Janeiro/RJ - CEP 20921440</t>
        </is>
      </c>
      <c r="K194" t="inlineStr">
        <is>
          <t>10948651</t>
        </is>
      </c>
      <c r="L194" t="inlineStr">
        <is>
          <t>10948651000161, 10948651003691</t>
        </is>
      </c>
      <c r="M194" s="10" t="n">
        <v>114115.19</v>
      </c>
      <c r="N194" t="n">
        <v>2</v>
      </c>
      <c r="O194" s="11" t="inlineStr">
        <is>
          <t>C</t>
        </is>
      </c>
      <c r="P194" s="11" t="inlineStr"/>
      <c r="Q194" s="12" t="inlineStr"/>
      <c r="R194" s="11">
        <f>IF(Q194="","",ROUND((TODAY()-Q194)/365.25,1))</f>
        <v/>
      </c>
      <c r="S194" s="13">
        <f>IFERROR(VLOOKUP(O194,Assumptions!$A$7:$F$11,2,FALSE),0.25)</f>
        <v/>
      </c>
      <c r="T194" s="14">
        <f>IF(O194="A",MAX(1,IFERROR(VLOOKUP(O194,Assumptions!$A$7:$F$11,3,FALSE),3)+IFERROR(VLOOKUP(O194,Assumptions!$A$7:$F$11,4,FALSE),8)/2-MAX(0,IF(R194="",0,R194)-IFERROR(VLOOKUP(O194,Assumptions!$A$7:$F$11,5,FALSE),1.5))),IFERROR(VLOOKUP(O194,Assumptions!$A$7:$F$11,5,FALSE),2.5)+IFERROR(VLOOKUP(O194,Assumptions!$A$7:$F$11,3,FALSE),3)+IFERROR(VLOOKUP(O194,Assumptions!$A$7:$F$11,4,FALSE),8)/2)</f>
        <v/>
      </c>
      <c r="U194" s="15">
        <f>M194*S194/(1+Assumptions!$B$3)^T194</f>
        <v/>
      </c>
      <c r="V194" s="11">
        <f>IF(M194=0,"",ROUND(U194/M194*100,1))</f>
        <v/>
      </c>
      <c r="W194" s="16">
        <f>U194*Assumptions!$B$4</f>
        <v/>
      </c>
      <c r="X194" s="11">
        <f>IF(M194=0,"",ROUND(W194/M194*100,1))</f>
        <v/>
      </c>
      <c r="Y194" t="inlineStr">
        <is>
          <t>REAL DISTRIBUIDORA ÚNICA RIO COMÉRCIO DE REFRIGERAÇÃO LTDA.</t>
        </is>
      </c>
      <c r="Z194" t="inlineStr">
        <is>
          <t>0873061-47.2023.8.19.0001</t>
        </is>
      </c>
      <c r="AA194" t="inlineStr"/>
      <c r="AB194" t="inlineStr">
        <is>
          <t>inova-aj.com.br</t>
        </is>
      </c>
      <c r="AC194" t="inlineStr">
        <is>
          <t>ADRIANO ZACCARI FORTUNA</t>
        </is>
      </c>
      <c r="AD194" t="inlineStr">
        <is>
          <t>Administrador</t>
        </is>
      </c>
      <c r="AE194" t="inlineStr">
        <is>
          <t>(51) 3477-9593</t>
        </is>
      </c>
      <c r="AF194" t="inlineStr">
        <is>
          <t>(51) 3477-9500</t>
        </is>
      </c>
      <c r="AG194" t="inlineStr"/>
      <c r="AH194" t="inlineStr">
        <is>
          <t>RS</t>
        </is>
      </c>
      <c r="AI194" t="inlineStr">
        <is>
          <t>CANOAS</t>
        </is>
      </c>
      <c r="AJ194" t="inlineStr">
        <is>
          <t>Fabricação de aparelhos e equipamentos de ar condicionado para uso não-industrial</t>
        </is>
      </c>
      <c r="AK194" t="inlineStr">
        <is>
          <t>DEMAIS</t>
        </is>
      </c>
      <c r="AL194" t="inlineStr">
        <is>
          <t>ATIVA</t>
        </is>
      </c>
      <c r="AM194" s="17" t="inlineStr">
        <is>
          <t>https://inova-aj.com.br/wp-content/uploads/2026/08/1a-Relacao-de-Credores-Real.pdf</t>
        </is>
      </c>
      <c r="AN194" s="18" t="inlineStr">
        <is>
          <t>p2 r4; p2 r5</t>
        </is>
      </c>
      <c r="AO194" s="18" t="inlineStr">
        <is>
          <t>p2: R$ 80.920,26; p2: R$ 33.194,93</t>
        </is>
      </c>
      <c r="AP194" s="18" t="inlineStr">
        <is>
          <t>AJ_LIST</t>
        </is>
      </c>
      <c r="AQ194" s="18" t="inlineStr">
        <is>
          <t>2023-06-05</t>
        </is>
      </c>
      <c r="AR194" s="18" t="inlineStr">
        <is>
          <t>OK</t>
        </is>
      </c>
      <c r="AS194" s="18" t="inlineStr">
        <is>
          <t>ALT_VALUE:R$24.136,30 ALT_VALUE:R$58.837,77 ROWS:p2r4,p2r5</t>
        </is>
      </c>
      <c r="AT194" s="18" t="inlineStr">
        <is>
          <t>8eb5d0d64353</t>
        </is>
      </c>
    </row>
    <row r="195">
      <c r="A195" s="9" t="n">
        <v>194</v>
      </c>
      <c r="B195" s="9" t="inlineStr">
        <is>
          <t>NEW</t>
        </is>
      </c>
      <c r="C195" s="9" t="inlineStr"/>
      <c r="D195" s="9" t="n">
        <v>0</v>
      </c>
      <c r="E195" s="9" t="inlineStr"/>
      <c r="F195" s="9" t="inlineStr"/>
      <c r="G195" s="9" t="inlineStr"/>
      <c r="H195" s="9" t="inlineStr"/>
      <c r="I195" t="inlineStr">
        <is>
          <t>CERAMICA CAPRI LTDA</t>
        </is>
      </c>
      <c r="J195" t="inlineStr">
        <is>
          <t>CERAMICA CAPI - RAVELLO LTDA</t>
        </is>
      </c>
      <c r="K195" t="inlineStr">
        <is>
          <t>39593526</t>
        </is>
      </c>
      <c r="L195" t="inlineStr">
        <is>
          <t>39593526000168</t>
        </is>
      </c>
      <c r="M195" s="10" t="n">
        <v>114025.48</v>
      </c>
      <c r="N195" t="n">
        <v>1</v>
      </c>
      <c r="O195" s="11" t="inlineStr">
        <is>
          <t>B</t>
        </is>
      </c>
      <c r="P195" s="11" t="inlineStr"/>
      <c r="Q195" s="12" t="n">
        <v>45785</v>
      </c>
      <c r="R195" s="11">
        <f>IF(Q195="","",ROUND((TODAY()-Q195)/365.25,1))</f>
        <v/>
      </c>
      <c r="S195" s="13">
        <f>IFERROR(VLOOKUP(O195,Assumptions!$A$7:$F$11,2,FALSE),0.25)</f>
        <v/>
      </c>
      <c r="T195" s="14">
        <f>IF(O195="A",MAX(1,IFERROR(VLOOKUP(O195,Assumptions!$A$7:$F$11,3,FALSE),3)+IFERROR(VLOOKUP(O195,Assumptions!$A$7:$F$11,4,FALSE),8)/2-MAX(0,IF(R195="",0,R195)-IFERROR(VLOOKUP(O195,Assumptions!$A$7:$F$11,5,FALSE),1.5))),IFERROR(VLOOKUP(O195,Assumptions!$A$7:$F$11,5,FALSE),2.5)+IFERROR(VLOOKUP(O195,Assumptions!$A$7:$F$11,3,FALSE),3)+IFERROR(VLOOKUP(O195,Assumptions!$A$7:$F$11,4,FALSE),8)/2)</f>
        <v/>
      </c>
      <c r="U195" s="15">
        <f>M195*S195/(1+Assumptions!$B$3)^T195</f>
        <v/>
      </c>
      <c r="V195" s="11">
        <f>IF(M195=0,"",ROUND(U195/M195*100,1))</f>
        <v/>
      </c>
      <c r="W195" s="16">
        <f>U195*Assumptions!$B$4</f>
        <v/>
      </c>
      <c r="X195" s="11">
        <f>IF(M195=0,"",ROUND(W195/M195*100,1))</f>
        <v/>
      </c>
      <c r="Y195" t="inlineStr">
        <is>
          <t>Grupo Pisebem</t>
        </is>
      </c>
      <c r="Z195" t="inlineStr">
        <is>
          <t>0700707-87.2025.8.02.0043</t>
        </is>
      </c>
      <c r="AA195" t="inlineStr">
        <is>
          <t>TJAL</t>
        </is>
      </c>
      <c r="AB195" t="inlineStr">
        <is>
          <t>recuperacaojudicial.squarespace.com</t>
        </is>
      </c>
      <c r="AC195" t="inlineStr">
        <is>
          <t>ANDRE LUIS CONCEICAO DE JESUS</t>
        </is>
      </c>
      <c r="AD195" t="inlineStr">
        <is>
          <t>Sócio-Administrador</t>
        </is>
      </c>
      <c r="AE195" t="inlineStr">
        <is>
          <t>(79) 3256-8258</t>
        </is>
      </c>
      <c r="AF195" t="inlineStr"/>
      <c r="AG195" t="inlineStr"/>
      <c r="AH195" t="inlineStr">
        <is>
          <t>SE</t>
        </is>
      </c>
      <c r="AI195" t="inlineStr">
        <is>
          <t>NOSSA SENHORA DO SOCORRO</t>
        </is>
      </c>
      <c r="AJ195" t="inlineStr">
        <is>
          <t>Fabricação de azulejos e pisos</t>
        </is>
      </c>
      <c r="AK195" t="inlineStr">
        <is>
          <t>DEMAIS</t>
        </is>
      </c>
      <c r="AL195" t="inlineStr">
        <is>
          <t>ATIVA</t>
        </is>
      </c>
      <c r="AM195" s="17" t="inlineStr">
        <is>
          <t>https://recuperacaojudicial.squarespace.com/s/EDITAL-COM-A-2-LISTA-DE-CREDORES-E-INFORMANDO-A-APRESENTACO-DO-PRJ_1532.pdf</t>
        </is>
      </c>
      <c r="AN195" s="18" t="inlineStr">
        <is>
          <t>p2 r5</t>
        </is>
      </c>
      <c r="AO195" s="18" t="inlineStr">
        <is>
          <t>p2: R$ 114.025,48</t>
        </is>
      </c>
      <c r="AP195" s="18" t="inlineStr">
        <is>
          <t>AJ_LIST</t>
        </is>
      </c>
      <c r="AQ195" s="18" t="inlineStr"/>
      <c r="AR195" s="18" t="inlineStr">
        <is>
          <t>OK_NO_TOTALS</t>
        </is>
      </c>
      <c r="AS195" s="18" t="inlineStr">
        <is>
          <t>ROWS:p2r5 UNRECONCILED_SOURCE CASE_NUMBER_CORRECTED</t>
        </is>
      </c>
      <c r="AT195" s="18" t="inlineStr">
        <is>
          <t>d7c426fbd475</t>
        </is>
      </c>
    </row>
    <row r="196">
      <c r="A196" s="9" t="n">
        <v>195</v>
      </c>
      <c r="B196" s="9" t="inlineStr">
        <is>
          <t>NEW</t>
        </is>
      </c>
      <c r="C196" s="9" t="inlineStr"/>
      <c r="D196" s="9" t="n">
        <v>0</v>
      </c>
      <c r="E196" s="9" t="inlineStr"/>
      <c r="F196" s="9" t="inlineStr"/>
      <c r="G196" s="9" t="inlineStr"/>
      <c r="H196" s="9" t="inlineStr"/>
      <c r="I196" t="inlineStr">
        <is>
          <t>DYSTAR INDUSTRIA E COMERCIO DE PRODUTOS QUIMICOS LTDA</t>
        </is>
      </c>
      <c r="J196" t="inlineStr">
        <is>
          <t>DYSTAR INDUSTRIA E COMERCIO DE PRODUTOS QUIMICOS LTDA</t>
        </is>
      </c>
      <c r="K196" t="inlineStr">
        <is>
          <t>48648869</t>
        </is>
      </c>
      <c r="L196" t="inlineStr">
        <is>
          <t>48648869001145</t>
        </is>
      </c>
      <c r="M196" s="10" t="n">
        <v>113951.54</v>
      </c>
      <c r="N196" t="n">
        <v>1</v>
      </c>
      <c r="O196" s="11" t="inlineStr">
        <is>
          <t>B</t>
        </is>
      </c>
      <c r="P196" s="11" t="inlineStr">
        <is>
          <t>ACTIVE</t>
        </is>
      </c>
      <c r="Q196" s="12" t="n">
        <v>45425</v>
      </c>
      <c r="R196" s="11">
        <f>IF(Q196="","",ROUND((TODAY()-Q196)/365.25,1))</f>
        <v/>
      </c>
      <c r="S196" s="13">
        <f>IFERROR(VLOOKUP(O196,Assumptions!$A$7:$F$11,2,FALSE),0.25)</f>
        <v/>
      </c>
      <c r="T196" s="14">
        <f>IF(O196="A",MAX(1,IFERROR(VLOOKUP(O196,Assumptions!$A$7:$F$11,3,FALSE),3)+IFERROR(VLOOKUP(O196,Assumptions!$A$7:$F$11,4,FALSE),8)/2-MAX(0,IF(R196="",0,R196)-IFERROR(VLOOKUP(O196,Assumptions!$A$7:$F$11,5,FALSE),1.5))),IFERROR(VLOOKUP(O196,Assumptions!$A$7:$F$11,5,FALSE),2.5)+IFERROR(VLOOKUP(O196,Assumptions!$A$7:$F$11,3,FALSE),3)+IFERROR(VLOOKUP(O196,Assumptions!$A$7:$F$11,4,FALSE),8)/2)</f>
        <v/>
      </c>
      <c r="U196" s="15">
        <f>M196*S196/(1+Assumptions!$B$3)^T196</f>
        <v/>
      </c>
      <c r="V196" s="11">
        <f>IF(M196=0,"",ROUND(U196/M196*100,1))</f>
        <v/>
      </c>
      <c r="W196" s="16">
        <f>U196*Assumptions!$B$4</f>
        <v/>
      </c>
      <c r="X196" s="11">
        <f>IF(M196=0,"",ROUND(W196/M196*100,1))</f>
        <v/>
      </c>
      <c r="Y196" t="inlineStr">
        <is>
          <t>GRUPO DIVINA</t>
        </is>
      </c>
      <c r="Z196" t="inlineStr">
        <is>
          <t>0000721-61.2024.8.17.2620</t>
        </is>
      </c>
      <c r="AA196" t="inlineStr">
        <is>
          <t>TJPE</t>
        </is>
      </c>
      <c r="AB196" t="inlineStr">
        <is>
          <t>lrflideres.com.br</t>
        </is>
      </c>
      <c r="AC196" t="inlineStr">
        <is>
          <t>MAURO HENKE</t>
        </is>
      </c>
      <c r="AD196" t="inlineStr">
        <is>
          <t>Administrador</t>
        </is>
      </c>
      <c r="AE196" t="inlineStr">
        <is>
          <t>(11) 5508-3474</t>
        </is>
      </c>
      <c r="AF196" t="inlineStr">
        <is>
          <t>(11) 5508-3477</t>
        </is>
      </c>
      <c r="AG196" t="inlineStr"/>
      <c r="AH196" t="inlineStr">
        <is>
          <t>SP</t>
        </is>
      </c>
      <c r="AI196" t="inlineStr">
        <is>
          <t>SAO PAULO</t>
        </is>
      </c>
      <c r="AJ196" t="inlineStr">
        <is>
          <t>Serviços combinados de escritório e apoio administrativo</t>
        </is>
      </c>
      <c r="AK196" t="inlineStr">
        <is>
          <t>DEMAIS</t>
        </is>
      </c>
      <c r="AL196" t="inlineStr">
        <is>
          <t>ATIVA</t>
        </is>
      </c>
      <c r="AM196" s="17" t="inlineStr">
        <is>
          <t>https://lrflideres.com.br/wp-content/plugins/download-attachments/includes/download.php?id=6252</t>
        </is>
      </c>
      <c r="AN196" s="18" t="inlineStr">
        <is>
          <t>p2 r37</t>
        </is>
      </c>
      <c r="AO196" s="18" t="inlineStr">
        <is>
          <t>p2: R$ 113.951,54</t>
        </is>
      </c>
      <c r="AP196" s="18" t="inlineStr">
        <is>
          <t>AJ_LIST</t>
        </is>
      </c>
      <c r="AQ196" s="18" t="inlineStr">
        <is>
          <t>2024-11-27</t>
        </is>
      </c>
      <c r="AR196" s="18" t="inlineStr">
        <is>
          <t>QUARANTINED</t>
        </is>
      </c>
      <c r="AS196" s="18" t="inlineStr">
        <is>
          <t>PARTIAL_DOC_CLASS_III_RECONCILED ROWS:p2r37</t>
        </is>
      </c>
      <c r="AT196" s="18" t="inlineStr">
        <is>
          <t>38f0c15b8a2d</t>
        </is>
      </c>
    </row>
    <row r="197">
      <c r="A197" s="9" t="n">
        <v>196</v>
      </c>
      <c r="B197" s="9" t="inlineStr">
        <is>
          <t>NEW</t>
        </is>
      </c>
      <c r="C197" s="9" t="inlineStr"/>
      <c r="D197" s="9" t="n">
        <v>0</v>
      </c>
      <c r="E197" s="9" t="inlineStr"/>
      <c r="F197" s="9" t="inlineStr"/>
      <c r="G197" s="9" t="inlineStr"/>
      <c r="H197" s="9" t="inlineStr"/>
      <c r="I197" t="inlineStr">
        <is>
          <t>HOSPIDROGAS COMERCIO DE PRODUTOS HOSPITALARES LTDA</t>
        </is>
      </c>
      <c r="J197" t="inlineStr">
        <is>
          <t>HOSPIDROGAS COM DE PROD HOSPITALARES LTDA</t>
        </is>
      </c>
      <c r="K197" t="inlineStr">
        <is>
          <t>35997345</t>
        </is>
      </c>
      <c r="L197" t="inlineStr">
        <is>
          <t>35997345000146</t>
        </is>
      </c>
      <c r="M197" s="10" t="n">
        <v>113368.32</v>
      </c>
      <c r="N197" t="n">
        <v>1</v>
      </c>
      <c r="O197" s="11" t="inlineStr">
        <is>
          <t>C</t>
        </is>
      </c>
      <c r="P197" s="11" t="inlineStr"/>
      <c r="Q197" s="12" t="inlineStr"/>
      <c r="R197" s="11">
        <f>IF(Q197="","",ROUND((TODAY()-Q197)/365.25,1))</f>
        <v/>
      </c>
      <c r="S197" s="13">
        <f>IFERROR(VLOOKUP(O197,Assumptions!$A$7:$F$11,2,FALSE),0.25)</f>
        <v/>
      </c>
      <c r="T197" s="14">
        <f>IF(O197="A",MAX(1,IFERROR(VLOOKUP(O197,Assumptions!$A$7:$F$11,3,FALSE),3)+IFERROR(VLOOKUP(O197,Assumptions!$A$7:$F$11,4,FALSE),8)/2-MAX(0,IF(R197="",0,R197)-IFERROR(VLOOKUP(O197,Assumptions!$A$7:$F$11,5,FALSE),1.5))),IFERROR(VLOOKUP(O197,Assumptions!$A$7:$F$11,5,FALSE),2.5)+IFERROR(VLOOKUP(O197,Assumptions!$A$7:$F$11,3,FALSE),3)+IFERROR(VLOOKUP(O197,Assumptions!$A$7:$F$11,4,FALSE),8)/2)</f>
        <v/>
      </c>
      <c r="U197" s="15">
        <f>M197*S197/(1+Assumptions!$B$3)^T197</f>
        <v/>
      </c>
      <c r="V197" s="11">
        <f>IF(M197=0,"",ROUND(U197/M197*100,1))</f>
        <v/>
      </c>
      <c r="W197" s="16">
        <f>U197*Assumptions!$B$4</f>
        <v/>
      </c>
      <c r="X197" s="11">
        <f>IF(M197=0,"",ROUND(W197/M197*100,1))</f>
        <v/>
      </c>
      <c r="Y197" t="inlineStr">
        <is>
          <t>HOSPITAL SANTA MÔNICA LTDA</t>
        </is>
      </c>
      <c r="Z197" t="inlineStr">
        <is>
          <t>0041309-42.2014.8.08.0024</t>
        </is>
      </c>
      <c r="AA197" t="inlineStr"/>
      <c r="AB197" t="inlineStr">
        <is>
          <t>ricardobiancardi.com.br</t>
        </is>
      </c>
      <c r="AC197" t="inlineStr">
        <is>
          <t>GUSTAVO DAZZI PIOL</t>
        </is>
      </c>
      <c r="AD197" t="inlineStr">
        <is>
          <t>Sócio-Administrador</t>
        </is>
      </c>
      <c r="AE197" t="inlineStr">
        <is>
          <t>(27) 3229-1000</t>
        </is>
      </c>
      <c r="AF197" t="inlineStr"/>
      <c r="AG197" t="inlineStr"/>
      <c r="AH197" t="inlineStr">
        <is>
          <t>ES</t>
        </is>
      </c>
      <c r="AI197" t="inlineStr">
        <is>
          <t>VILA VELHA</t>
        </is>
      </c>
      <c r="AJ197" t="inlineStr">
        <is>
          <t>Comércio atacadista de medicamentos e drogas de uso humano</t>
        </is>
      </c>
      <c r="AK197" t="inlineStr">
        <is>
          <t>DEMAIS</t>
        </is>
      </c>
      <c r="AL197" t="inlineStr">
        <is>
          <t>ATIVA</t>
        </is>
      </c>
      <c r="AM197" s="17" t="inlineStr">
        <is>
          <t>https://ricardobiancardi.com.br/wp-content/uploads/2024/12/Edital-1-relacao-de-credores-pub.-02.12.24-.pdf</t>
        </is>
      </c>
      <c r="AN197" s="18" t="inlineStr">
        <is>
          <t>p4 r20</t>
        </is>
      </c>
      <c r="AO197" s="18" t="inlineStr">
        <is>
          <t>p4: R$ 113.368,32</t>
        </is>
      </c>
      <c r="AP197" s="18" t="inlineStr">
        <is>
          <t>DEBTOR_LIST</t>
        </is>
      </c>
      <c r="AQ197" s="18" t="inlineStr">
        <is>
          <t>2024-12-02</t>
        </is>
      </c>
      <c r="AR197" s="18" t="inlineStr">
        <is>
          <t>OK_NO_TOTALS</t>
        </is>
      </c>
      <c r="AS197" s="18" t="inlineStr">
        <is>
          <t>ROWS:p4r20 UNRECONCILED_SOURCE</t>
        </is>
      </c>
      <c r="AT197" s="18" t="inlineStr">
        <is>
          <t>bf96785f7a4e</t>
        </is>
      </c>
    </row>
    <row r="198">
      <c r="A198" s="9" t="n">
        <v>197</v>
      </c>
      <c r="B198" s="9" t="inlineStr">
        <is>
          <t>NEW</t>
        </is>
      </c>
      <c r="C198" s="9" t="inlineStr"/>
      <c r="D198" s="9" t="n">
        <v>0</v>
      </c>
      <c r="E198" s="9" t="inlineStr"/>
      <c r="F198" s="9" t="inlineStr"/>
      <c r="G198" s="9" t="inlineStr"/>
      <c r="H198" s="9" t="inlineStr"/>
      <c r="I198" t="inlineStr">
        <is>
          <t>PACK BIG BAG INDUSTRIA DE EMBALAGENS LTDA</t>
        </is>
      </c>
      <c r="J198" t="inlineStr">
        <is>
          <t>13478113000300</t>
        </is>
      </c>
      <c r="K198" t="inlineStr">
        <is>
          <t>13478113</t>
        </is>
      </c>
      <c r="L198" t="inlineStr">
        <is>
          <t>13478113000300</t>
        </is>
      </c>
      <c r="M198" s="10" t="n">
        <v>112946.91</v>
      </c>
      <c r="N198" t="n">
        <v>1</v>
      </c>
      <c r="O198" s="11" t="inlineStr">
        <is>
          <t>C</t>
        </is>
      </c>
      <c r="P198" s="11" t="inlineStr">
        <is>
          <t>ACTIVE</t>
        </is>
      </c>
      <c r="Q198" s="12" t="n">
        <v>45057</v>
      </c>
      <c r="R198" s="11">
        <f>IF(Q198="","",ROUND((TODAY()-Q198)/365.25,1))</f>
        <v/>
      </c>
      <c r="S198" s="13">
        <f>IFERROR(VLOOKUP(O198,Assumptions!$A$7:$F$11,2,FALSE),0.25)</f>
        <v/>
      </c>
      <c r="T198" s="14">
        <f>IF(O198="A",MAX(1,IFERROR(VLOOKUP(O198,Assumptions!$A$7:$F$11,3,FALSE),3)+IFERROR(VLOOKUP(O198,Assumptions!$A$7:$F$11,4,FALSE),8)/2-MAX(0,IF(R198="",0,R198)-IFERROR(VLOOKUP(O198,Assumptions!$A$7:$F$11,5,FALSE),1.5))),IFERROR(VLOOKUP(O198,Assumptions!$A$7:$F$11,5,FALSE),2.5)+IFERROR(VLOOKUP(O198,Assumptions!$A$7:$F$11,3,FALSE),3)+IFERROR(VLOOKUP(O198,Assumptions!$A$7:$F$11,4,FALSE),8)/2)</f>
        <v/>
      </c>
      <c r="U198" s="15">
        <f>M198*S198/(1+Assumptions!$B$3)^T198</f>
        <v/>
      </c>
      <c r="V198" s="11">
        <f>IF(M198=0,"",ROUND(U198/M198*100,1))</f>
        <v/>
      </c>
      <c r="W198" s="16">
        <f>U198*Assumptions!$B$4</f>
        <v/>
      </c>
      <c r="X198" s="11">
        <f>IF(M198=0,"",ROUND(W198/M198*100,1))</f>
        <v/>
      </c>
      <c r="Y198" t="inlineStr">
        <is>
          <t>TOP TEXTIL EMBALAGENS LTDA</t>
        </is>
      </c>
      <c r="Z198" t="inlineStr">
        <is>
          <t>5011460-87.2023.8.24.0020</t>
        </is>
      </c>
      <c r="AA198" t="inlineStr">
        <is>
          <t>TJSC</t>
        </is>
      </c>
      <c r="AB198" t="inlineStr">
        <is>
          <t>cataliseaj.com.br</t>
        </is>
      </c>
      <c r="AC198" t="inlineStr">
        <is>
          <t>ARAM FRANCISCO MARCONDES OLIVEIRA</t>
        </is>
      </c>
      <c r="AD198" t="inlineStr">
        <is>
          <t>Sócio-Administrador</t>
        </is>
      </c>
      <c r="AE198" t="inlineStr">
        <is>
          <t>(19) 3671-2600</t>
        </is>
      </c>
      <c r="AF198" t="inlineStr"/>
      <c r="AG198" t="inlineStr"/>
      <c r="AH198" t="inlineStr">
        <is>
          <t>SP</t>
        </is>
      </c>
      <c r="AI198" t="inlineStr">
        <is>
          <t>CASA BRANCA</t>
        </is>
      </c>
      <c r="AJ198" t="inlineStr">
        <is>
          <t>Fabricação de outros produtos têxteis não especificados anteriormente</t>
        </is>
      </c>
      <c r="AK198" t="inlineStr">
        <is>
          <t>DEMAIS</t>
        </is>
      </c>
      <c r="AL198" t="inlineStr">
        <is>
          <t>ATIVA</t>
        </is>
      </c>
      <c r="AM198" s="17" t="inlineStr">
        <is>
          <t>https://cataliseaj.com.br/sgc/download.php?file=files/processo_documento/processo_documento15092204102024_1_.pdf&amp;nome=02. RELAÇÃO DE CREDORES</t>
        </is>
      </c>
      <c r="AN198" s="18" t="inlineStr">
        <is>
          <t>p2 r69</t>
        </is>
      </c>
      <c r="AO198" s="18" t="inlineStr">
        <is>
          <t>p2: R$ 112.946,91</t>
        </is>
      </c>
      <c r="AP198" s="18" t="inlineStr">
        <is>
          <t>DEBTOR_LIST</t>
        </is>
      </c>
      <c r="AQ198" s="18" t="inlineStr"/>
      <c r="AR198" s="18" t="inlineStr">
        <is>
          <t>OK_NO_TOTALS</t>
        </is>
      </c>
      <c r="AS198" s="18" t="inlineStr">
        <is>
          <t>ROWS:p2r69 UNRECONCILED_SOURCE</t>
        </is>
      </c>
      <c r="AT198" s="18" t="inlineStr">
        <is>
          <t>741aed48dd00</t>
        </is>
      </c>
    </row>
    <row r="199">
      <c r="A199" s="9" t="n">
        <v>198</v>
      </c>
      <c r="B199" s="9" t="inlineStr">
        <is>
          <t>NEW</t>
        </is>
      </c>
      <c r="C199" s="9" t="inlineStr"/>
      <c r="D199" s="9" t="n">
        <v>0</v>
      </c>
      <c r="E199" s="9" t="inlineStr"/>
      <c r="F199" s="9" t="inlineStr"/>
      <c r="G199" s="9" t="inlineStr"/>
      <c r="H199" s="9" t="inlineStr"/>
      <c r="I199" t="inlineStr">
        <is>
          <t>MEDICOM MEDICAMENTOS ESPECIAIS LTDA</t>
        </is>
      </c>
      <c r="J199" t="inlineStr">
        <is>
          <t>MEDICOM COMÉRCIO DE MEDICAMENTOS LTDA, CNPJ</t>
        </is>
      </c>
      <c r="K199" t="inlineStr">
        <is>
          <t>05960621</t>
        </is>
      </c>
      <c r="L199" t="inlineStr">
        <is>
          <t>05960621000130</t>
        </is>
      </c>
      <c r="M199" s="10" t="n">
        <v>112346.28</v>
      </c>
      <c r="N199" t="n">
        <v>1</v>
      </c>
      <c r="O199" s="11" t="inlineStr">
        <is>
          <t>C</t>
        </is>
      </c>
      <c r="P199" s="11" t="inlineStr">
        <is>
          <t>ACTIVE</t>
        </is>
      </c>
      <c r="Q199" s="12" t="n">
        <v>44735</v>
      </c>
      <c r="R199" s="11">
        <f>IF(Q199="","",ROUND((TODAY()-Q199)/365.25,1))</f>
        <v/>
      </c>
      <c r="S199" s="13">
        <f>IFERROR(VLOOKUP(O199,Assumptions!$A$7:$F$11,2,FALSE),0.25)</f>
        <v/>
      </c>
      <c r="T199" s="14">
        <f>IF(O199="A",MAX(1,IFERROR(VLOOKUP(O199,Assumptions!$A$7:$F$11,3,FALSE),3)+IFERROR(VLOOKUP(O199,Assumptions!$A$7:$F$11,4,FALSE),8)/2-MAX(0,IF(R199="",0,R199)-IFERROR(VLOOKUP(O199,Assumptions!$A$7:$F$11,5,FALSE),1.5))),IFERROR(VLOOKUP(O199,Assumptions!$A$7:$F$11,5,FALSE),2.5)+IFERROR(VLOOKUP(O199,Assumptions!$A$7:$F$11,3,FALSE),3)+IFERROR(VLOOKUP(O199,Assumptions!$A$7:$F$11,4,FALSE),8)/2)</f>
        <v/>
      </c>
      <c r="U199" s="15">
        <f>M199*S199/(1+Assumptions!$B$3)^T199</f>
        <v/>
      </c>
      <c r="V199" s="11">
        <f>IF(M199=0,"",ROUND(U199/M199*100,1))</f>
        <v/>
      </c>
      <c r="W199" s="16">
        <f>U199*Assumptions!$B$4</f>
        <v/>
      </c>
      <c r="X199" s="11">
        <f>IF(M199=0,"",ROUND(W199/M199*100,1))</f>
        <v/>
      </c>
      <c r="Y199" t="inlineStr">
        <is>
          <t>ASSOCIAÇÃO DE CARIDADE SANTA CASA DO RIO GRANDE</t>
        </is>
      </c>
      <c r="Z199" t="inlineStr">
        <is>
          <t>5012306-16.2022.8.21.0023</t>
        </is>
      </c>
      <c r="AA199" t="inlineStr">
        <is>
          <t>TJRS</t>
        </is>
      </c>
      <c r="AB199" t="inlineStr">
        <is>
          <t>scalzilliaj.com.br</t>
        </is>
      </c>
      <c r="AC199" t="inlineStr">
        <is>
          <t>VERIDIANA DOS SANTOS MESQUITA</t>
        </is>
      </c>
      <c r="AD199" t="inlineStr">
        <is>
          <t>Administrador</t>
        </is>
      </c>
      <c r="AE199" t="inlineStr">
        <is>
          <t>(51) 9605-1484</t>
        </is>
      </c>
      <c r="AF199" t="inlineStr"/>
      <c r="AG199" t="inlineStr"/>
      <c r="AH199" t="inlineStr">
        <is>
          <t>RS</t>
        </is>
      </c>
      <c r="AI199" t="inlineStr">
        <is>
          <t>PORTO ALEGRE</t>
        </is>
      </c>
      <c r="AJ199" t="inlineStr">
        <is>
          <t>Comércio varejista de produtos farmacêuticos, sem manipulação de fórmulas</t>
        </is>
      </c>
      <c r="AK199" t="inlineStr">
        <is>
          <t>DEMAIS</t>
        </is>
      </c>
      <c r="AL199" t="inlineStr">
        <is>
          <t>ATIVA</t>
        </is>
      </c>
      <c r="AM199" s="17" t="inlineStr">
        <is>
          <t>https://scalzilliaj.com.br/sgc/download.php?file=files/processo_documento/processo_documento09120721032023_1_.pdf&amp;nome=15 - Edital do art. 7º, §2º e 53 da Lei 11.101/2005 (segunda lista de credores e recebimento do plano))</t>
        </is>
      </c>
      <c r="AN199" s="18" t="inlineStr">
        <is>
          <t>p28 r49</t>
        </is>
      </c>
      <c r="AO199" s="18" t="inlineStr">
        <is>
          <t>p28: R$ 112.346,28</t>
        </is>
      </c>
      <c r="AP199" s="18" t="inlineStr">
        <is>
          <t>AJ_LIST</t>
        </is>
      </c>
      <c r="AQ199" s="18" t="inlineStr">
        <is>
          <t>2023-03-21</t>
        </is>
      </c>
      <c r="AR199" s="18" t="inlineStr">
        <is>
          <t>OK_NO_TOTALS</t>
        </is>
      </c>
      <c r="AS199" s="18" t="inlineStr">
        <is>
          <t>ROWS:p28r49 UNRECONCILED_SOURCE</t>
        </is>
      </c>
      <c r="AT199" s="18" t="inlineStr">
        <is>
          <t>ebfb999b457c</t>
        </is>
      </c>
    </row>
    <row r="200">
      <c r="A200" s="9" t="n">
        <v>199</v>
      </c>
      <c r="B200" s="9" t="inlineStr">
        <is>
          <t>NEW</t>
        </is>
      </c>
      <c r="C200" s="9" t="inlineStr"/>
      <c r="D200" s="9" t="n">
        <v>0</v>
      </c>
      <c r="E200" s="9" t="inlineStr"/>
      <c r="F200" s="9" t="inlineStr"/>
      <c r="G200" s="9" t="inlineStr"/>
      <c r="H200" s="9" t="inlineStr"/>
      <c r="I200" t="inlineStr">
        <is>
          <t>PARANAGRAN INDUSTRIA E COMERCIO DE FERTILIZANTES LTDA</t>
        </is>
      </c>
      <c r="J200" t="inlineStr">
        <is>
          <t>PARANAGRAN INDUSTRIA E COMERCIO DE FERTILIZANTES LTDA</t>
        </is>
      </c>
      <c r="K200" t="inlineStr">
        <is>
          <t>05522796</t>
        </is>
      </c>
      <c r="L200" t="inlineStr">
        <is>
          <t>05522796000166</t>
        </is>
      </c>
      <c r="M200" s="10" t="n">
        <v>112259.2</v>
      </c>
      <c r="N200" t="n">
        <v>1</v>
      </c>
      <c r="O200" s="11" t="inlineStr">
        <is>
          <t>B</t>
        </is>
      </c>
      <c r="P200" s="11" t="inlineStr">
        <is>
          <t>ACTIVE</t>
        </is>
      </c>
      <c r="Q200" s="12" t="n">
        <v>45625</v>
      </c>
      <c r="R200" s="11">
        <f>IF(Q200="","",ROUND((TODAY()-Q200)/365.25,1))</f>
        <v/>
      </c>
      <c r="S200" s="13">
        <f>IFERROR(VLOOKUP(O200,Assumptions!$A$7:$F$11,2,FALSE),0.25)</f>
        <v/>
      </c>
      <c r="T200" s="14">
        <f>IF(O200="A",MAX(1,IFERROR(VLOOKUP(O200,Assumptions!$A$7:$F$11,3,FALSE),3)+IFERROR(VLOOKUP(O200,Assumptions!$A$7:$F$11,4,FALSE),8)/2-MAX(0,IF(R200="",0,R200)-IFERROR(VLOOKUP(O200,Assumptions!$A$7:$F$11,5,FALSE),1.5))),IFERROR(VLOOKUP(O200,Assumptions!$A$7:$F$11,5,FALSE),2.5)+IFERROR(VLOOKUP(O200,Assumptions!$A$7:$F$11,3,FALSE),3)+IFERROR(VLOOKUP(O200,Assumptions!$A$7:$F$11,4,FALSE),8)/2)</f>
        <v/>
      </c>
      <c r="U200" s="15">
        <f>M200*S200/(1+Assumptions!$B$3)^T200</f>
        <v/>
      </c>
      <c r="V200" s="11">
        <f>IF(M200=0,"",ROUND(U200/M200*100,1))</f>
        <v/>
      </c>
      <c r="W200" s="16">
        <f>U200*Assumptions!$B$4</f>
        <v/>
      </c>
      <c r="X200" s="11">
        <f>IF(M200=0,"",ROUND(W200/M200*100,1))</f>
        <v/>
      </c>
      <c r="Y200" t="inlineStr">
        <is>
          <t>Agroforte Agropecuaria Ltda</t>
        </is>
      </c>
      <c r="Z200" t="inlineStr">
        <is>
          <t>0031120-52.2024.8.16.0017</t>
        </is>
      </c>
      <c r="AA200" t="inlineStr">
        <is>
          <t>TJPR</t>
        </is>
      </c>
      <c r="AB200" t="inlineStr">
        <is>
          <t>marquesadmjudicial.com.br</t>
        </is>
      </c>
      <c r="AC200" t="inlineStr">
        <is>
          <t>SILVIO DE LARA VAZ FILHO</t>
        </is>
      </c>
      <c r="AD200" t="inlineStr">
        <is>
          <t>Sócio-Administrador</t>
        </is>
      </c>
      <c r="AE200" t="inlineStr">
        <is>
          <t>(41) 3874-5000</t>
        </is>
      </c>
      <c r="AF200" t="inlineStr"/>
      <c r="AG200" t="inlineStr"/>
      <c r="AH200" t="inlineStr">
        <is>
          <t>PR</t>
        </is>
      </c>
      <c r="AI200" t="inlineStr">
        <is>
          <t>ALMIRANTE TAMANDARE</t>
        </is>
      </c>
      <c r="AJ200" t="inlineStr">
        <is>
          <t>Fabricação de adubos e fertilizantes, exceto organo-minerais</t>
        </is>
      </c>
      <c r="AK200" t="inlineStr">
        <is>
          <t>DEMAIS</t>
        </is>
      </c>
      <c r="AL200" t="inlineStr">
        <is>
          <t>ATIVA</t>
        </is>
      </c>
      <c r="AM200" s="17" t="inlineStr">
        <is>
          <t>https://marquesadmjudicial.com.br/sgc/download.php?file=files/processo_documento/processo_documento11370527032026_1_.pdf&amp;nome=Quadro Geral de Credores (QGC) -AJ Anterior</t>
        </is>
      </c>
      <c r="AN200" s="18" t="inlineStr">
        <is>
          <t>p1 r5</t>
        </is>
      </c>
      <c r="AO200" s="18" t="inlineStr">
        <is>
          <t>p1: R$ 112.259,20</t>
        </is>
      </c>
      <c r="AP200" s="18" t="inlineStr">
        <is>
          <t>QGC</t>
        </is>
      </c>
      <c r="AQ200" s="18" t="inlineStr">
        <is>
          <t>2025-09-22</t>
        </is>
      </c>
      <c r="AR200" s="18" t="inlineStr">
        <is>
          <t>QUARANTINED</t>
        </is>
      </c>
      <c r="AS200" s="18" t="inlineStr">
        <is>
          <t>PARTIAL_DOC_CLASS_III_RECONCILED ROWS:p1r5</t>
        </is>
      </c>
      <c r="AT200" s="18" t="inlineStr">
        <is>
          <t>200afc9e12c1</t>
        </is>
      </c>
    </row>
    <row r="201">
      <c r="A201" s="9" t="n">
        <v>200</v>
      </c>
      <c r="B201" s="9" t="inlineStr">
        <is>
          <t>NEW</t>
        </is>
      </c>
      <c r="C201" s="9" t="inlineStr"/>
      <c r="D201" s="9" t="n">
        <v>0</v>
      </c>
      <c r="E201" s="9" t="inlineStr"/>
      <c r="F201" s="9" t="inlineStr"/>
      <c r="G201" s="9" t="inlineStr"/>
      <c r="H201" s="9" t="inlineStr"/>
      <c r="I201" t="inlineStr">
        <is>
          <t>SKA AUTOMACAO DE ENGENHARIAS LTDA</t>
        </is>
      </c>
      <c r="J201" t="inlineStr">
        <is>
          <t>SKA AUTOMACAO DE ENGENHARIA LTDA (</t>
        </is>
      </c>
      <c r="K201" t="inlineStr">
        <is>
          <t>81329823</t>
        </is>
      </c>
      <c r="L201" t="inlineStr">
        <is>
          <t>81329823000167</t>
        </is>
      </c>
      <c r="M201" s="10" t="n">
        <v>112079.44</v>
      </c>
      <c r="N201" t="n">
        <v>1</v>
      </c>
      <c r="O201" s="11" t="inlineStr">
        <is>
          <t>C</t>
        </is>
      </c>
      <c r="P201" s="11" t="inlineStr">
        <is>
          <t>ACTIVE</t>
        </is>
      </c>
      <c r="Q201" s="12" t="n">
        <v>44354</v>
      </c>
      <c r="R201" s="11">
        <f>IF(Q201="","",ROUND((TODAY()-Q201)/365.25,1))</f>
        <v/>
      </c>
      <c r="S201" s="13">
        <f>IFERROR(VLOOKUP(O201,Assumptions!$A$7:$F$11,2,FALSE),0.25)</f>
        <v/>
      </c>
      <c r="T201" s="14">
        <f>IF(O201="A",MAX(1,IFERROR(VLOOKUP(O201,Assumptions!$A$7:$F$11,3,FALSE),3)+IFERROR(VLOOKUP(O201,Assumptions!$A$7:$F$11,4,FALSE),8)/2-MAX(0,IF(R201="",0,R201)-IFERROR(VLOOKUP(O201,Assumptions!$A$7:$F$11,5,FALSE),1.5))),IFERROR(VLOOKUP(O201,Assumptions!$A$7:$F$11,5,FALSE),2.5)+IFERROR(VLOOKUP(O201,Assumptions!$A$7:$F$11,3,FALSE),3)+IFERROR(VLOOKUP(O201,Assumptions!$A$7:$F$11,4,FALSE),8)/2)</f>
        <v/>
      </c>
      <c r="U201" s="15">
        <f>M201*S201/(1+Assumptions!$B$3)^T201</f>
        <v/>
      </c>
      <c r="V201" s="11">
        <f>IF(M201=0,"",ROUND(U201/M201*100,1))</f>
        <v/>
      </c>
      <c r="W201" s="16">
        <f>U201*Assumptions!$B$4</f>
        <v/>
      </c>
      <c r="X201" s="11">
        <f>IF(M201=0,"",ROUND(W201/M201*100,1))</f>
        <v/>
      </c>
      <c r="Y201" t="inlineStr">
        <is>
          <t>VECTOR INDÚSTRIA DE PRODUTOS METALÚRGICOS LTDA.</t>
        </is>
      </c>
      <c r="Z201" t="inlineStr">
        <is>
          <t>5014104-85.2021.8.21.0010</t>
        </is>
      </c>
      <c r="AA201" t="inlineStr">
        <is>
          <t>TJRS</t>
        </is>
      </c>
      <c r="AB201" t="inlineStr">
        <is>
          <t>scalzilliaj.com.br</t>
        </is>
      </c>
      <c r="AC201" t="inlineStr">
        <is>
          <t>TIAGO WOLFARTH</t>
        </is>
      </c>
      <c r="AD201" t="inlineStr">
        <is>
          <t>Administrador</t>
        </is>
      </c>
      <c r="AE201" t="inlineStr">
        <is>
          <t>(51) 3591-2900</t>
        </is>
      </c>
      <c r="AF201" t="inlineStr"/>
      <c r="AG201" t="inlineStr"/>
      <c r="AH201" t="inlineStr">
        <is>
          <t>RS</t>
        </is>
      </c>
      <c r="AI201" t="inlineStr">
        <is>
          <t>SAO LEOPOLDO</t>
        </is>
      </c>
      <c r="AJ201" t="inlineStr">
        <is>
          <t>Desenvolvimento e licenciamento de programas de computador não-customizáveis</t>
        </is>
      </c>
      <c r="AK201" t="inlineStr">
        <is>
          <t>DEMAIS</t>
        </is>
      </c>
      <c r="AL201" t="inlineStr">
        <is>
          <t>ATIVA</t>
        </is>
      </c>
      <c r="AM201" s="17" t="inlineStr">
        <is>
          <t>https://scalzilliaj.com.br/sgc/download.php?file=files/processo_documento/processo_documento15513401112022_1_.pdf&amp;nome=15 - Edital do art. 7º, §2º (segunda lista de credores) e do art. 53 da Lei 11.101/2005 (recebimento do plano)</t>
        </is>
      </c>
      <c r="AN201" s="18" t="inlineStr">
        <is>
          <t>p9 r38</t>
        </is>
      </c>
      <c r="AO201" s="18" t="inlineStr">
        <is>
          <t>p9: R$ 112.079,44</t>
        </is>
      </c>
      <c r="AP201" s="18" t="inlineStr">
        <is>
          <t>AJ_LIST</t>
        </is>
      </c>
      <c r="AQ201" s="18" t="inlineStr">
        <is>
          <t>2022-11-01</t>
        </is>
      </c>
      <c r="AR201" s="18" t="inlineStr">
        <is>
          <t>OK_NO_TOTALS</t>
        </is>
      </c>
      <c r="AS201" s="18" t="inlineStr">
        <is>
          <t>ROWS:p9r38 UNRECONCILED_SOURCE</t>
        </is>
      </c>
      <c r="AT201" s="18" t="inlineStr">
        <is>
          <t>84c586360a66</t>
        </is>
      </c>
    </row>
    <row r="202">
      <c r="A202" s="9" t="n">
        <v>201</v>
      </c>
      <c r="B202" s="9" t="inlineStr">
        <is>
          <t>NEW</t>
        </is>
      </c>
      <c r="C202" s="9" t="inlineStr"/>
      <c r="D202" s="9" t="n">
        <v>0</v>
      </c>
      <c r="E202" s="9" t="inlineStr"/>
      <c r="F202" s="9" t="inlineStr"/>
      <c r="G202" s="9" t="inlineStr"/>
      <c r="H202" s="9" t="inlineStr"/>
      <c r="I202" t="inlineStr">
        <is>
          <t>ESPORTES SOUZA LTDA</t>
        </is>
      </c>
      <c r="J202" t="inlineStr">
        <is>
          <t>ESPORTES SOUZA LTDA, CPF/CNPJ Nº</t>
        </is>
      </c>
      <c r="K202" t="inlineStr">
        <is>
          <t>47927158</t>
        </is>
      </c>
      <c r="L202" t="inlineStr">
        <is>
          <t>47927158000175</t>
        </is>
      </c>
      <c r="M202" s="10" t="n">
        <v>112000</v>
      </c>
      <c r="N202" t="n">
        <v>1</v>
      </c>
      <c r="O202" s="11" t="inlineStr">
        <is>
          <t>C</t>
        </is>
      </c>
      <c r="P202" s="11" t="inlineStr">
        <is>
          <t>ACTIVE</t>
        </is>
      </c>
      <c r="Q202" s="12" t="n">
        <v>44966</v>
      </c>
      <c r="R202" s="11">
        <f>IF(Q202="","",ROUND((TODAY()-Q202)/365.25,1))</f>
        <v/>
      </c>
      <c r="S202" s="13">
        <f>IFERROR(VLOOKUP(O202,Assumptions!$A$7:$F$11,2,FALSE),0.25)</f>
        <v/>
      </c>
      <c r="T202" s="14">
        <f>IF(O202="A",MAX(1,IFERROR(VLOOKUP(O202,Assumptions!$A$7:$F$11,3,FALSE),3)+IFERROR(VLOOKUP(O202,Assumptions!$A$7:$F$11,4,FALSE),8)/2-MAX(0,IF(R202="",0,R202)-IFERROR(VLOOKUP(O202,Assumptions!$A$7:$F$11,5,FALSE),1.5))),IFERROR(VLOOKUP(O202,Assumptions!$A$7:$F$11,5,FALSE),2.5)+IFERROR(VLOOKUP(O202,Assumptions!$A$7:$F$11,3,FALSE),3)+IFERROR(VLOOKUP(O202,Assumptions!$A$7:$F$11,4,FALSE),8)/2)</f>
        <v/>
      </c>
      <c r="U202" s="15">
        <f>M202*S202/(1+Assumptions!$B$3)^T202</f>
        <v/>
      </c>
      <c r="V202" s="11">
        <f>IF(M202=0,"",ROUND(U202/M202*100,1))</f>
        <v/>
      </c>
      <c r="W202" s="16">
        <f>U202*Assumptions!$B$4</f>
        <v/>
      </c>
      <c r="X202" s="11">
        <f>IF(M202=0,"",ROUND(W202/M202*100,1))</f>
        <v/>
      </c>
      <c r="Y202" t="inlineStr">
        <is>
          <t>CLUBE NÁUTICO CAPIBARIBE</t>
        </is>
      </c>
      <c r="Z202" t="inlineStr">
        <is>
          <t>0011283-80.2023.8.17.2001</t>
        </is>
      </c>
      <c r="AA202" t="inlineStr">
        <is>
          <t>TJPE</t>
        </is>
      </c>
      <c r="AB202" t="inlineStr">
        <is>
          <t>lrflideres.com.br</t>
        </is>
      </c>
      <c r="AC202" t="inlineStr">
        <is>
          <t>ELIERCE BARBOZA DE SOUZA</t>
        </is>
      </c>
      <c r="AD202" t="inlineStr">
        <is>
          <t>Sócio-Administrador</t>
        </is>
      </c>
      <c r="AE202" t="inlineStr">
        <is>
          <t>(11) 6847-3144</t>
        </is>
      </c>
      <c r="AF202" t="inlineStr">
        <is>
          <t>000000000000</t>
        </is>
      </c>
      <c r="AG202" t="inlineStr"/>
      <c r="AH202" t="inlineStr">
        <is>
          <t>SP</t>
        </is>
      </c>
      <c r="AI202" t="inlineStr">
        <is>
          <t>SAO PAULO</t>
        </is>
      </c>
      <c r="AJ202" t="inlineStr">
        <is>
          <t>Agenciamento de profissionais para atividades esportivas, culturais e artísticas</t>
        </is>
      </c>
      <c r="AK202" t="inlineStr">
        <is>
          <t>DEMAIS</t>
        </is>
      </c>
      <c r="AL202" t="inlineStr">
        <is>
          <t>ATIVA</t>
        </is>
      </c>
      <c r="AM202" s="17" t="inlineStr">
        <is>
          <t>https://lrflideres.com.br/wp-content/plugins/download-attachments/includes/download.php?id=5589</t>
        </is>
      </c>
      <c r="AN202" s="18" t="inlineStr">
        <is>
          <t>p12 r7</t>
        </is>
      </c>
      <c r="AO202" s="18" t="inlineStr">
        <is>
          <t>p12: R$ 112.000,00</t>
        </is>
      </c>
      <c r="AP202" s="18" t="inlineStr">
        <is>
          <t>AJ_LIST</t>
        </is>
      </c>
      <c r="AQ202" s="18" t="inlineStr">
        <is>
          <t>2023-11-27</t>
        </is>
      </c>
      <c r="AR202" s="18" t="inlineStr">
        <is>
          <t>QUARANTINED</t>
        </is>
      </c>
      <c r="AS202" s="18" t="inlineStr">
        <is>
          <t>PARTIAL_DOC_CLASS_III_RECONCILED ROWS:p12r7</t>
        </is>
      </c>
      <c r="AT202" s="18" t="inlineStr">
        <is>
          <t>677be5783c06</t>
        </is>
      </c>
    </row>
    <row r="203">
      <c r="A203" s="9" t="n">
        <v>202</v>
      </c>
      <c r="B203" s="9" t="inlineStr">
        <is>
          <t>NEW</t>
        </is>
      </c>
      <c r="C203" s="9" t="inlineStr"/>
      <c r="D203" s="9" t="n">
        <v>0</v>
      </c>
      <c r="E203" s="9" t="inlineStr"/>
      <c r="F203" s="9" t="inlineStr"/>
      <c r="G203" s="9" t="inlineStr"/>
      <c r="H203" s="9" t="inlineStr"/>
      <c r="I203" t="inlineStr">
        <is>
          <t>YF 04 ESPORTES LTDA</t>
        </is>
      </c>
      <c r="J203" t="inlineStr">
        <is>
          <t>YF 04 ESPORTES - EIRELI, CPF/CNPJ Nº</t>
        </is>
      </c>
      <c r="K203" t="inlineStr">
        <is>
          <t>28055164</t>
        </is>
      </c>
      <c r="L203" t="inlineStr">
        <is>
          <t>28055164000135</t>
        </is>
      </c>
      <c r="M203" s="10" t="n">
        <v>112000</v>
      </c>
      <c r="N203" t="n">
        <v>1</v>
      </c>
      <c r="O203" s="11" t="inlineStr">
        <is>
          <t>C</t>
        </is>
      </c>
      <c r="P203" s="11" t="inlineStr">
        <is>
          <t>ACTIVE</t>
        </is>
      </c>
      <c r="Q203" s="12" t="n">
        <v>44966</v>
      </c>
      <c r="R203" s="11">
        <f>IF(Q203="","",ROUND((TODAY()-Q203)/365.25,1))</f>
        <v/>
      </c>
      <c r="S203" s="13">
        <f>IFERROR(VLOOKUP(O203,Assumptions!$A$7:$F$11,2,FALSE),0.25)</f>
        <v/>
      </c>
      <c r="T203" s="14">
        <f>IF(O203="A",MAX(1,IFERROR(VLOOKUP(O203,Assumptions!$A$7:$F$11,3,FALSE),3)+IFERROR(VLOOKUP(O203,Assumptions!$A$7:$F$11,4,FALSE),8)/2-MAX(0,IF(R203="",0,R203)-IFERROR(VLOOKUP(O203,Assumptions!$A$7:$F$11,5,FALSE),1.5))),IFERROR(VLOOKUP(O203,Assumptions!$A$7:$F$11,5,FALSE),2.5)+IFERROR(VLOOKUP(O203,Assumptions!$A$7:$F$11,3,FALSE),3)+IFERROR(VLOOKUP(O203,Assumptions!$A$7:$F$11,4,FALSE),8)/2)</f>
        <v/>
      </c>
      <c r="U203" s="15">
        <f>M203*S203/(1+Assumptions!$B$3)^T203</f>
        <v/>
      </c>
      <c r="V203" s="11">
        <f>IF(M203=0,"",ROUND(U203/M203*100,1))</f>
        <v/>
      </c>
      <c r="W203" s="16">
        <f>U203*Assumptions!$B$4</f>
        <v/>
      </c>
      <c r="X203" s="11">
        <f>IF(M203=0,"",ROUND(W203/M203*100,1))</f>
        <v/>
      </c>
      <c r="Y203" t="inlineStr">
        <is>
          <t>CLUBE NÁUTICO CAPIBARIBE</t>
        </is>
      </c>
      <c r="Z203" t="inlineStr">
        <is>
          <t>0011283-80.2023.8.17.2001</t>
        </is>
      </c>
      <c r="AA203" t="inlineStr">
        <is>
          <t>TJPE</t>
        </is>
      </c>
      <c r="AB203" t="inlineStr">
        <is>
          <t>lrflideres.com.br</t>
        </is>
      </c>
      <c r="AC203" t="inlineStr">
        <is>
          <t>YAGO FERNANDO DA SILVA</t>
        </is>
      </c>
      <c r="AD203" t="inlineStr">
        <is>
          <t>Sócio-Administrador</t>
        </is>
      </c>
      <c r="AE203" t="inlineStr">
        <is>
          <t>(11) 4231-2022</t>
        </is>
      </c>
      <c r="AF203" t="inlineStr"/>
      <c r="AG203" t="inlineStr"/>
      <c r="AH203" t="inlineStr">
        <is>
          <t>SP</t>
        </is>
      </c>
      <c r="AI203" t="inlineStr">
        <is>
          <t>SAO CAETANO DO SUL</t>
        </is>
      </c>
      <c r="AJ203" t="inlineStr">
        <is>
          <t>Agenciamento de profissionais para atividades esportivas, culturais e artísticas</t>
        </is>
      </c>
      <c r="AK203" t="inlineStr">
        <is>
          <t>DEMAIS</t>
        </is>
      </c>
      <c r="AL203" t="inlineStr">
        <is>
          <t>ATIVA</t>
        </is>
      </c>
      <c r="AM203" s="17" t="inlineStr">
        <is>
          <t>https://lrflideres.com.br/wp-content/plugins/download-attachments/includes/download.php?id=5589</t>
        </is>
      </c>
      <c r="AN203" s="18" t="inlineStr">
        <is>
          <t>p12 r54</t>
        </is>
      </c>
      <c r="AO203" s="18" t="inlineStr">
        <is>
          <t>p12: R$ 112.000,00</t>
        </is>
      </c>
      <c r="AP203" s="18" t="inlineStr">
        <is>
          <t>AJ_LIST</t>
        </is>
      </c>
      <c r="AQ203" s="18" t="inlineStr">
        <is>
          <t>2023-11-27</t>
        </is>
      </c>
      <c r="AR203" s="18" t="inlineStr">
        <is>
          <t>QUARANTINED</t>
        </is>
      </c>
      <c r="AS203" s="18" t="inlineStr">
        <is>
          <t>PARTIAL_DOC_CLASS_III_RECONCILED ROWS:p12r54</t>
        </is>
      </c>
      <c r="AT203" s="18" t="inlineStr">
        <is>
          <t>677be5783c06</t>
        </is>
      </c>
    </row>
    <row r="204">
      <c r="A204" s="9" t="n">
        <v>203</v>
      </c>
      <c r="B204" s="9" t="inlineStr">
        <is>
          <t>NEW</t>
        </is>
      </c>
      <c r="C204" s="9" t="inlineStr"/>
      <c r="D204" s="9" t="n">
        <v>0</v>
      </c>
      <c r="E204" s="9" t="inlineStr"/>
      <c r="F204" s="9" t="inlineStr"/>
      <c r="G204" s="9" t="inlineStr"/>
      <c r="H204" s="9" t="inlineStr"/>
      <c r="I204" t="inlineStr">
        <is>
          <t>QUANTIQ DISTRIBUIDORA LTDA</t>
        </is>
      </c>
      <c r="J204" t="inlineStr">
        <is>
          <t>IQ SOLUÇOES &amp; QUIMICA S/A</t>
        </is>
      </c>
      <c r="K204" t="inlineStr">
        <is>
          <t>62227509</t>
        </is>
      </c>
      <c r="L204" t="inlineStr">
        <is>
          <t>62227509000471</t>
        </is>
      </c>
      <c r="M204" s="10" t="n">
        <v>110948.46</v>
      </c>
      <c r="N204" t="n">
        <v>1</v>
      </c>
      <c r="O204" s="11" t="inlineStr">
        <is>
          <t>C</t>
        </is>
      </c>
      <c r="P204" s="11" t="inlineStr"/>
      <c r="Q204" s="12" t="inlineStr"/>
      <c r="R204" s="11">
        <f>IF(Q204="","",ROUND((TODAY()-Q204)/365.25,1))</f>
        <v/>
      </c>
      <c r="S204" s="13">
        <f>IFERROR(VLOOKUP(O204,Assumptions!$A$7:$F$11,2,FALSE),0.25)</f>
        <v/>
      </c>
      <c r="T204" s="14">
        <f>IF(O204="A",MAX(1,IFERROR(VLOOKUP(O204,Assumptions!$A$7:$F$11,3,FALSE),3)+IFERROR(VLOOKUP(O204,Assumptions!$A$7:$F$11,4,FALSE),8)/2-MAX(0,IF(R204="",0,R204)-IFERROR(VLOOKUP(O204,Assumptions!$A$7:$F$11,5,FALSE),1.5))),IFERROR(VLOOKUP(O204,Assumptions!$A$7:$F$11,5,FALSE),2.5)+IFERROR(VLOOKUP(O204,Assumptions!$A$7:$F$11,3,FALSE),3)+IFERROR(VLOOKUP(O204,Assumptions!$A$7:$F$11,4,FALSE),8)/2)</f>
        <v/>
      </c>
      <c r="U204" s="15">
        <f>M204*S204/(1+Assumptions!$B$3)^T204</f>
        <v/>
      </c>
      <c r="V204" s="11">
        <f>IF(M204=0,"",ROUND(U204/M204*100,1))</f>
        <v/>
      </c>
      <c r="W204" s="16">
        <f>U204*Assumptions!$B$4</f>
        <v/>
      </c>
      <c r="X204" s="11">
        <f>IF(M204=0,"",ROUND(W204/M204*100,1))</f>
        <v/>
      </c>
      <c r="Y204" t="inlineStr">
        <is>
          <t>BLUTRAFOS BLUMENAU TRANSFORMADORES LTDA</t>
        </is>
      </c>
      <c r="Z204" t="inlineStr">
        <is>
          <t>0022845-08.2013.8.24.0008</t>
        </is>
      </c>
      <c r="AA204" t="inlineStr"/>
      <c r="AB204" t="inlineStr">
        <is>
          <t>administradorajudicialgs.com.br</t>
        </is>
      </c>
      <c r="AC204" t="inlineStr">
        <is>
          <t>ANNIK COSTA VARELA</t>
        </is>
      </c>
      <c r="AD204" t="inlineStr">
        <is>
          <t>Administrador</t>
        </is>
      </c>
      <c r="AE204" t="inlineStr">
        <is>
          <t>(11) 2195-9235</t>
        </is>
      </c>
      <c r="AF204" t="inlineStr"/>
      <c r="AG204" t="inlineStr"/>
      <c r="AH204" t="inlineStr">
        <is>
          <t>SP</t>
        </is>
      </c>
      <c r="AI204" t="inlineStr">
        <is>
          <t>SAO PAULO</t>
        </is>
      </c>
      <c r="AJ204" t="inlineStr">
        <is>
          <t>Comércio atacadista de outros produtos químicos e petroquímicos não especificados anteriormente</t>
        </is>
      </c>
      <c r="AK204" t="inlineStr">
        <is>
          <t>DEMAIS</t>
        </is>
      </c>
      <c r="AL204" t="inlineStr">
        <is>
          <t>ATIVA</t>
        </is>
      </c>
      <c r="AM204" s="17" t="inlineStr">
        <is>
          <t>https://administradorajudicialgs.com.br/wp-content/uploads/2023/08/advogados-sgrott-doc-22-relacao-de-credores-do-administrador-judicial-classe-iii-05-02-14.pdf</t>
        </is>
      </c>
      <c r="AN204" s="18" t="inlineStr">
        <is>
          <t>p3 r41</t>
        </is>
      </c>
      <c r="AO204" s="18" t="inlineStr">
        <is>
          <t>p3: R$ 110.948,46</t>
        </is>
      </c>
      <c r="AP204" s="18" t="inlineStr">
        <is>
          <t>UNKNOWN</t>
        </is>
      </c>
      <c r="AQ204" s="18" t="inlineStr"/>
      <c r="AR204" s="18" t="inlineStr">
        <is>
          <t>OK</t>
        </is>
      </c>
      <c r="AS204" s="18" t="inlineStr">
        <is>
          <t>ROWS:p3r41</t>
        </is>
      </c>
      <c r="AT204" s="18" t="inlineStr">
        <is>
          <t>22ac347cfe4f</t>
        </is>
      </c>
    </row>
    <row r="205">
      <c r="A205" s="9" t="n">
        <v>204</v>
      </c>
      <c r="B205" s="9" t="inlineStr">
        <is>
          <t>NEW</t>
        </is>
      </c>
      <c r="C205" s="9" t="inlineStr"/>
      <c r="D205" s="9" t="n">
        <v>0</v>
      </c>
      <c r="E205" s="9" t="inlineStr"/>
      <c r="F205" s="9" t="inlineStr"/>
      <c r="G205" s="9" t="inlineStr"/>
      <c r="H205" s="9" t="inlineStr"/>
      <c r="I205" t="inlineStr">
        <is>
          <t>USINA AURORA ACUCAR E ALCOOL LTDA</t>
        </is>
      </c>
      <c r="J205" t="inlineStr">
        <is>
          <t>USINA AURORA ACUCAR E ALCOOL LTDA</t>
        </is>
      </c>
      <c r="K205" t="inlineStr">
        <is>
          <t>08395185</t>
        </is>
      </c>
      <c r="L205" t="inlineStr">
        <is>
          <t>08395185000192</t>
        </is>
      </c>
      <c r="M205" s="10" t="n">
        <v>110445.07</v>
      </c>
      <c r="N205" t="n">
        <v>1</v>
      </c>
      <c r="O205" s="11" t="inlineStr">
        <is>
          <t>C</t>
        </is>
      </c>
      <c r="P205" s="11" t="inlineStr"/>
      <c r="Q205" s="12" t="inlineStr"/>
      <c r="R205" s="11">
        <f>IF(Q205="","",ROUND((TODAY()-Q205)/365.25,1))</f>
        <v/>
      </c>
      <c r="S205" s="13">
        <f>IFERROR(VLOOKUP(O205,Assumptions!$A$7:$F$11,2,FALSE),0.25)</f>
        <v/>
      </c>
      <c r="T205" s="14">
        <f>IF(O205="A",MAX(1,IFERROR(VLOOKUP(O205,Assumptions!$A$7:$F$11,3,FALSE),3)+IFERROR(VLOOKUP(O205,Assumptions!$A$7:$F$11,4,FALSE),8)/2-MAX(0,IF(R205="",0,R205)-IFERROR(VLOOKUP(O205,Assumptions!$A$7:$F$11,5,FALSE),1.5))),IFERROR(VLOOKUP(O205,Assumptions!$A$7:$F$11,5,FALSE),2.5)+IFERROR(VLOOKUP(O205,Assumptions!$A$7:$F$11,3,FALSE),3)+IFERROR(VLOOKUP(O205,Assumptions!$A$7:$F$11,4,FALSE),8)/2)</f>
        <v/>
      </c>
      <c r="U205" s="15">
        <f>M205*S205/(1+Assumptions!$B$3)^T205</f>
        <v/>
      </c>
      <c r="V205" s="11">
        <f>IF(M205=0,"",ROUND(U205/M205*100,1))</f>
        <v/>
      </c>
      <c r="W205" s="16">
        <f>U205*Assumptions!$B$4</f>
        <v/>
      </c>
      <c r="X205" s="11">
        <f>IF(M205=0,"",ROUND(W205/M205*100,1))</f>
        <v/>
      </c>
      <c r="Y205" t="inlineStr">
        <is>
          <t>BLUTRAFOS BLUMENAU TRANSFORMADORES LTDA</t>
        </is>
      </c>
      <c r="Z205" t="inlineStr">
        <is>
          <t>0022845-08.2013.8.24.0008</t>
        </is>
      </c>
      <c r="AA205" t="inlineStr"/>
      <c r="AB205" t="inlineStr">
        <is>
          <t>administradorajudicialgs.com.br</t>
        </is>
      </c>
      <c r="AC205" t="inlineStr">
        <is>
          <t>LIDIO SCALON</t>
        </is>
      </c>
      <c r="AD205" t="inlineStr">
        <is>
          <t>Sócio-Administrador</t>
        </is>
      </c>
      <c r="AE205" t="inlineStr">
        <is>
          <t>(67) 3445-1305</t>
        </is>
      </c>
      <c r="AF205" t="inlineStr"/>
      <c r="AG205" t="inlineStr"/>
      <c r="AH205" t="inlineStr">
        <is>
          <t>MS</t>
        </is>
      </c>
      <c r="AI205" t="inlineStr">
        <is>
          <t>CAMPO GRANDE</t>
        </is>
      </c>
      <c r="AJ205" t="inlineStr">
        <is>
          <t>Fabricação de álcool</t>
        </is>
      </c>
      <c r="AK205" t="inlineStr">
        <is>
          <t>DEMAIS</t>
        </is>
      </c>
      <c r="AL205" t="inlineStr">
        <is>
          <t>ATIVA</t>
        </is>
      </c>
      <c r="AM205" s="17" t="inlineStr">
        <is>
          <t>https://administradorajudicialgs.com.br/wp-content/uploads/2023/08/advogados-sgrott-doc-22-relacao-de-credores-do-administrador-judicial-classe-iii-05-02-14.pdf</t>
        </is>
      </c>
      <c r="AN205" s="18" t="inlineStr">
        <is>
          <t>p6 r33</t>
        </is>
      </c>
      <c r="AO205" s="18" t="inlineStr">
        <is>
          <t>p6: R$ 110.445,07</t>
        </is>
      </c>
      <c r="AP205" s="18" t="inlineStr">
        <is>
          <t>UNKNOWN</t>
        </is>
      </c>
      <c r="AQ205" s="18" t="inlineStr"/>
      <c r="AR205" s="18" t="inlineStr">
        <is>
          <t>OK</t>
        </is>
      </c>
      <c r="AS205" s="18" t="inlineStr">
        <is>
          <t>ROWS:p6r33</t>
        </is>
      </c>
      <c r="AT205" s="18" t="inlineStr">
        <is>
          <t>22ac347cfe4f</t>
        </is>
      </c>
    </row>
    <row r="206">
      <c r="A206" s="9" t="n">
        <v>205</v>
      </c>
      <c r="B206" s="9" t="inlineStr">
        <is>
          <t>NEW</t>
        </is>
      </c>
      <c r="C206" s="9" t="inlineStr"/>
      <c r="D206" s="9" t="n">
        <v>0</v>
      </c>
      <c r="E206" s="9" t="inlineStr"/>
      <c r="F206" s="9" t="inlineStr"/>
      <c r="G206" s="9" t="inlineStr"/>
      <c r="H206" s="9" t="inlineStr"/>
      <c r="I206" t="inlineStr">
        <is>
          <t>MASTER HIGIMED COMERCIAL DE PRODUTOS DE HIGIENIZACAO E HOSPITALARES LTDA</t>
        </is>
      </c>
      <c r="J206" t="inlineStr">
        <is>
          <t>MASTER HIGIMED COMERCIAL DE PRODUTOS DE HIGIENIZACAO E HOSPITALARES LTDA</t>
        </is>
      </c>
      <c r="K206" t="inlineStr">
        <is>
          <t>11730935</t>
        </is>
      </c>
      <c r="L206" t="inlineStr">
        <is>
          <t>11730935000140</t>
        </is>
      </c>
      <c r="M206" s="10" t="n">
        <v>109592.48</v>
      </c>
      <c r="N206" t="n">
        <v>1</v>
      </c>
      <c r="O206" s="11" t="inlineStr">
        <is>
          <t>C</t>
        </is>
      </c>
      <c r="P206" s="11" t="inlineStr">
        <is>
          <t>ACTIVE</t>
        </is>
      </c>
      <c r="Q206" s="12" t="n">
        <v>45154</v>
      </c>
      <c r="R206" s="11">
        <f>IF(Q206="","",ROUND((TODAY()-Q206)/365.25,1))</f>
        <v/>
      </c>
      <c r="S206" s="13">
        <f>IFERROR(VLOOKUP(O206,Assumptions!$A$7:$F$11,2,FALSE),0.25)</f>
        <v/>
      </c>
      <c r="T206" s="14">
        <f>IF(O206="A",MAX(1,IFERROR(VLOOKUP(O206,Assumptions!$A$7:$F$11,3,FALSE),3)+IFERROR(VLOOKUP(O206,Assumptions!$A$7:$F$11,4,FALSE),8)/2-MAX(0,IF(R206="",0,R206)-IFERROR(VLOOKUP(O206,Assumptions!$A$7:$F$11,5,FALSE),1.5))),IFERROR(VLOOKUP(O206,Assumptions!$A$7:$F$11,5,FALSE),2.5)+IFERROR(VLOOKUP(O206,Assumptions!$A$7:$F$11,3,FALSE),3)+IFERROR(VLOOKUP(O206,Assumptions!$A$7:$F$11,4,FALSE),8)/2)</f>
        <v/>
      </c>
      <c r="U206" s="15">
        <f>M206*S206/(1+Assumptions!$B$3)^T206</f>
        <v/>
      </c>
      <c r="V206" s="11">
        <f>IF(M206=0,"",ROUND(U206/M206*100,1))</f>
        <v/>
      </c>
      <c r="W206" s="16">
        <f>U206*Assumptions!$B$4</f>
        <v/>
      </c>
      <c r="X206" s="11">
        <f>IF(M206=0,"",ROUND(W206/M206*100,1))</f>
        <v/>
      </c>
      <c r="Y206" t="inlineStr">
        <is>
          <t>AZEPLAST INDÚSTRIA E COMÉRCIO LTDA</t>
        </is>
      </c>
      <c r="Z206" t="inlineStr">
        <is>
          <t>5008793-34.2023.8.24.0019</t>
        </is>
      </c>
      <c r="AA206" t="inlineStr">
        <is>
          <t>TJSC</t>
        </is>
      </c>
      <c r="AB206" t="inlineStr">
        <is>
          <t>ajruiz.com.br</t>
        </is>
      </c>
      <c r="AC206" t="inlineStr">
        <is>
          <t>DANILO CESAR DA SILVA</t>
        </is>
      </c>
      <c r="AD206" t="inlineStr">
        <is>
          <t>Administrador</t>
        </is>
      </c>
      <c r="AE206" t="inlineStr">
        <is>
          <t>(11) 3996-2467</t>
        </is>
      </c>
      <c r="AF206" t="inlineStr"/>
      <c r="AG206" t="inlineStr"/>
      <c r="AH206" t="inlineStr">
        <is>
          <t>SP</t>
        </is>
      </c>
      <c r="AI206" t="inlineStr">
        <is>
          <t>SAO PAULO</t>
        </is>
      </c>
      <c r="AJ206" t="inlineStr">
        <is>
          <t>Comércio atacadista de produtos de higiene, limpeza e conservação domiciliar</t>
        </is>
      </c>
      <c r="AK206" t="inlineStr">
        <is>
          <t>DEMAIS</t>
        </is>
      </c>
      <c r="AL206" t="inlineStr">
        <is>
          <t>ATIVA</t>
        </is>
      </c>
      <c r="AM206" s="17" t="inlineStr">
        <is>
          <t>https://ajruiz.com.br/sites/default/files/public/arquivos-processos/2026-08/qgc_azeplast_julho_2026.pdf</t>
        </is>
      </c>
      <c r="AN206" s="18" t="inlineStr">
        <is>
          <t>p1 r40</t>
        </is>
      </c>
      <c r="AO206" s="18" t="inlineStr">
        <is>
          <t>p1: R$ 109.592,48</t>
        </is>
      </c>
      <c r="AP206" s="18" t="inlineStr">
        <is>
          <t>QGC</t>
        </is>
      </c>
      <c r="AQ206" s="18" t="inlineStr"/>
      <c r="AR206" s="18" t="inlineStr">
        <is>
          <t>QUARANTINED</t>
        </is>
      </c>
      <c r="AS206" s="18" t="inlineStr">
        <is>
          <t>PARTIAL_DOC_CLASS_III_RECONCILED ROWS:p1r40</t>
        </is>
      </c>
      <c r="AT206" s="18" t="inlineStr">
        <is>
          <t>229081edb0ea</t>
        </is>
      </c>
    </row>
    <row r="207">
      <c r="A207" s="9" t="n">
        <v>206</v>
      </c>
      <c r="B207" s="9" t="inlineStr">
        <is>
          <t>NEW</t>
        </is>
      </c>
      <c r="C207" s="9" t="inlineStr"/>
      <c r="D207" s="9" t="n">
        <v>0</v>
      </c>
      <c r="E207" s="9" t="inlineStr"/>
      <c r="F207" s="9" t="inlineStr"/>
      <c r="G207" s="9" t="inlineStr"/>
      <c r="H207" s="9" t="inlineStr"/>
      <c r="I207" t="inlineStr">
        <is>
          <t>SUPERMIX CONCRETO S/A</t>
        </is>
      </c>
      <c r="J207" t="inlineStr">
        <is>
          <t>ROD FERNÃO DIAS KM 942 1000 CENTRO 37640000</t>
        </is>
      </c>
      <c r="K207" t="inlineStr">
        <is>
          <t>34230979</t>
        </is>
      </c>
      <c r="L207" t="inlineStr">
        <is>
          <t>34230979010764, 34230979018072</t>
        </is>
      </c>
      <c r="M207" s="10" t="n">
        <v>109316.67</v>
      </c>
      <c r="N207" t="n">
        <v>2</v>
      </c>
      <c r="O207" s="11" t="inlineStr">
        <is>
          <t>B</t>
        </is>
      </c>
      <c r="P207" s="11" t="inlineStr">
        <is>
          <t>ACTIVE</t>
        </is>
      </c>
      <c r="Q207" s="12" t="n">
        <v>45964</v>
      </c>
      <c r="R207" s="11">
        <f>IF(Q207="","",ROUND((TODAY()-Q207)/365.25,1))</f>
        <v/>
      </c>
      <c r="S207" s="13">
        <f>IFERROR(VLOOKUP(O207,Assumptions!$A$7:$F$11,2,FALSE),0.25)</f>
        <v/>
      </c>
      <c r="T207" s="14">
        <f>IF(O207="A",MAX(1,IFERROR(VLOOKUP(O207,Assumptions!$A$7:$F$11,3,FALSE),3)+IFERROR(VLOOKUP(O207,Assumptions!$A$7:$F$11,4,FALSE),8)/2-MAX(0,IF(R207="",0,R207)-IFERROR(VLOOKUP(O207,Assumptions!$A$7:$F$11,5,FALSE),1.5))),IFERROR(VLOOKUP(O207,Assumptions!$A$7:$F$11,5,FALSE),2.5)+IFERROR(VLOOKUP(O207,Assumptions!$A$7:$F$11,3,FALSE),3)+IFERROR(VLOOKUP(O207,Assumptions!$A$7:$F$11,4,FALSE),8)/2)</f>
        <v/>
      </c>
      <c r="U207" s="15">
        <f>M207*S207/(1+Assumptions!$B$3)^T207</f>
        <v/>
      </c>
      <c r="V207" s="11">
        <f>IF(M207=0,"",ROUND(U207/M207*100,1))</f>
        <v/>
      </c>
      <c r="W207" s="16">
        <f>U207*Assumptions!$B$4</f>
        <v/>
      </c>
      <c r="X207" s="11">
        <f>IF(M207=0,"",ROUND(W207/M207*100,1))</f>
        <v/>
      </c>
      <c r="Y207" t="inlineStr">
        <is>
          <t>CENTURY CONSTRUÇÕES COMÉRCIO E SERVIÇOS LTDA.</t>
        </is>
      </c>
      <c r="Z207" t="inlineStr">
        <is>
          <t>4054599-35.2025.8.26.0100</t>
        </is>
      </c>
      <c r="AA207" t="inlineStr">
        <is>
          <t>TJSP</t>
        </is>
      </c>
      <c r="AB207" t="inlineStr">
        <is>
          <t>ativosajce.com.br</t>
        </is>
      </c>
      <c r="AC207" t="inlineStr">
        <is>
          <t>ALESSANDRO VERISSIMO SOUZA</t>
        </is>
      </c>
      <c r="AD207" t="inlineStr">
        <is>
          <t>Diretor</t>
        </is>
      </c>
      <c r="AE207" t="inlineStr"/>
      <c r="AF207" t="inlineStr"/>
      <c r="AG207" t="inlineStr"/>
      <c r="AH207" t="inlineStr">
        <is>
          <t>MG</t>
        </is>
      </c>
      <c r="AI207" t="inlineStr">
        <is>
          <t>BELO HORIZONTE</t>
        </is>
      </c>
      <c r="AJ207" t="inlineStr">
        <is>
          <t>Outras obras de engenharia civil não especificadas anteriormente</t>
        </is>
      </c>
      <c r="AK207" t="inlineStr">
        <is>
          <t>DEMAIS</t>
        </is>
      </c>
      <c r="AL207" t="inlineStr">
        <is>
          <t>ATIVA</t>
        </is>
      </c>
      <c r="AM207" s="17" t="inlineStr">
        <is>
          <t>https://ativosajce.com.br/admin/download.php?file=files/processo_documento/processo_documento16022716122025_1_.pdf&amp;nome=Relação de credores - art. 52, §1º da Lei 11.101/05 - 15/12/2025</t>
        </is>
      </c>
      <c r="AN207" s="18" t="inlineStr">
        <is>
          <t>p4 r50; p4 r51</t>
        </is>
      </c>
      <c r="AO207" s="18" t="inlineStr">
        <is>
          <t>p4: R$ 3.546,67; p4: R$ 105.770,00</t>
        </is>
      </c>
      <c r="AP207" s="18" t="inlineStr">
        <is>
          <t>UNKNOWN</t>
        </is>
      </c>
      <c r="AQ207" s="18" t="inlineStr"/>
      <c r="AR207" s="18" t="inlineStr">
        <is>
          <t>OK_NO_TOTALS</t>
        </is>
      </c>
      <c r="AS207" s="18" t="inlineStr">
        <is>
          <t>ROWS:p4r50,p4r51 UNRECONCILED_SOURCE</t>
        </is>
      </c>
      <c r="AT207" s="18" t="inlineStr">
        <is>
          <t>2fe04bf4466d</t>
        </is>
      </c>
    </row>
    <row r="208">
      <c r="A208" s="9" t="n">
        <v>207</v>
      </c>
      <c r="B208" s="9" t="inlineStr">
        <is>
          <t>NEW</t>
        </is>
      </c>
      <c r="C208" s="9" t="inlineStr"/>
      <c r="D208" s="9" t="n">
        <v>0</v>
      </c>
      <c r="E208" s="9" t="inlineStr"/>
      <c r="F208" s="9" t="inlineStr"/>
      <c r="G208" s="9" t="inlineStr"/>
      <c r="H208" s="9" t="inlineStr"/>
      <c r="I208" t="inlineStr">
        <is>
          <t>MACOM INSTRUMENTAL CIRURGICO INDUSTRIA LTDA</t>
        </is>
      </c>
      <c r="J208" t="inlineStr">
        <is>
          <t>MACOM INSTR.CIRURGICO IND.LTD (</t>
        </is>
      </c>
      <c r="K208" t="inlineStr">
        <is>
          <t>59650556</t>
        </is>
      </c>
      <c r="L208" t="inlineStr">
        <is>
          <t>59650556000176</t>
        </is>
      </c>
      <c r="M208" s="10" t="n">
        <v>108802.58</v>
      </c>
      <c r="N208" t="n">
        <v>1</v>
      </c>
      <c r="O208" s="11" t="inlineStr">
        <is>
          <t>C</t>
        </is>
      </c>
      <c r="P208" s="11" t="inlineStr">
        <is>
          <t>ACTIVE</t>
        </is>
      </c>
      <c r="Q208" s="12" t="n">
        <v>44735</v>
      </c>
      <c r="R208" s="11">
        <f>IF(Q208="","",ROUND((TODAY()-Q208)/365.25,1))</f>
        <v/>
      </c>
      <c r="S208" s="13">
        <f>IFERROR(VLOOKUP(O208,Assumptions!$A$7:$F$11,2,FALSE),0.25)</f>
        <v/>
      </c>
      <c r="T208" s="14">
        <f>IF(O208="A",MAX(1,IFERROR(VLOOKUP(O208,Assumptions!$A$7:$F$11,3,FALSE),3)+IFERROR(VLOOKUP(O208,Assumptions!$A$7:$F$11,4,FALSE),8)/2-MAX(0,IF(R208="",0,R208)-IFERROR(VLOOKUP(O208,Assumptions!$A$7:$F$11,5,FALSE),1.5))),IFERROR(VLOOKUP(O208,Assumptions!$A$7:$F$11,5,FALSE),2.5)+IFERROR(VLOOKUP(O208,Assumptions!$A$7:$F$11,3,FALSE),3)+IFERROR(VLOOKUP(O208,Assumptions!$A$7:$F$11,4,FALSE),8)/2)</f>
        <v/>
      </c>
      <c r="U208" s="15">
        <f>M208*S208/(1+Assumptions!$B$3)^T208</f>
        <v/>
      </c>
      <c r="V208" s="11">
        <f>IF(M208=0,"",ROUND(U208/M208*100,1))</f>
        <v/>
      </c>
      <c r="W208" s="16">
        <f>U208*Assumptions!$B$4</f>
        <v/>
      </c>
      <c r="X208" s="11">
        <f>IF(M208=0,"",ROUND(W208/M208*100,1))</f>
        <v/>
      </c>
      <c r="Y208" t="inlineStr">
        <is>
          <t>ASSOCIAÇÃO DE CARIDADE SANTA CASA DO RIO GRANDE</t>
        </is>
      </c>
      <c r="Z208" t="inlineStr">
        <is>
          <t>5012306-16.2022.8.21.0023</t>
        </is>
      </c>
      <c r="AA208" t="inlineStr">
        <is>
          <t>TJRS</t>
        </is>
      </c>
      <c r="AB208" t="inlineStr">
        <is>
          <t>scalzilliaj.com.br</t>
        </is>
      </c>
      <c r="AC208" t="inlineStr">
        <is>
          <t>REINALDO RODRIGUES DOS SANTOS</t>
        </is>
      </c>
      <c r="AD208" t="inlineStr">
        <is>
          <t>Sócio-Administrador</t>
        </is>
      </c>
      <c r="AE208" t="inlineStr">
        <is>
          <t>(11) 2431-4636</t>
        </is>
      </c>
      <c r="AF208" t="inlineStr"/>
      <c r="AG208" t="inlineStr"/>
      <c r="AH208" t="inlineStr">
        <is>
          <t>SP</t>
        </is>
      </c>
      <c r="AI208" t="inlineStr">
        <is>
          <t>GUARULHOS</t>
        </is>
      </c>
      <c r="AJ208" t="inlineStr">
        <is>
          <t>Fabricação de instrumentos não-eletrônicos e utensílios para uso médico, cirúrgico, odontológico e de laboratório</t>
        </is>
      </c>
      <c r="AK208" t="inlineStr">
        <is>
          <t>DEMAIS</t>
        </is>
      </c>
      <c r="AL208" t="inlineStr">
        <is>
          <t>ATIVA</t>
        </is>
      </c>
      <c r="AM208" s="17" t="inlineStr">
        <is>
          <t>https://scalzilliaj.com.br/sgc/download.php?file=files/processo_documento/processo_documento09120721032023_1_.pdf&amp;nome=15 - Edital do art. 7º, §2º e 53 da Lei 11.101/2005 (segunda lista de credores e recebimento do plano))</t>
        </is>
      </c>
      <c r="AN208" s="18" t="inlineStr">
        <is>
          <t>p28 r36</t>
        </is>
      </c>
      <c r="AO208" s="18" t="inlineStr">
        <is>
          <t>p28: R$ 108.802,58</t>
        </is>
      </c>
      <c r="AP208" s="18" t="inlineStr">
        <is>
          <t>AJ_LIST</t>
        </is>
      </c>
      <c r="AQ208" s="18" t="inlineStr">
        <is>
          <t>2023-03-21</t>
        </is>
      </c>
      <c r="AR208" s="18" t="inlineStr">
        <is>
          <t>OK_NO_TOTALS</t>
        </is>
      </c>
      <c r="AS208" s="18" t="inlineStr">
        <is>
          <t>ROWS:p28r36 UNRECONCILED_SOURCE</t>
        </is>
      </c>
      <c r="AT208" s="18" t="inlineStr">
        <is>
          <t>ebfb999b457c</t>
        </is>
      </c>
    </row>
    <row r="209">
      <c r="A209" s="9" t="n">
        <v>208</v>
      </c>
      <c r="B209" s="9" t="inlineStr">
        <is>
          <t>NEW</t>
        </is>
      </c>
      <c r="C209" s="9" t="inlineStr"/>
      <c r="D209" s="9" t="n">
        <v>0</v>
      </c>
      <c r="E209" s="9" t="inlineStr"/>
      <c r="F209" s="9" t="inlineStr"/>
      <c r="G209" s="9" t="inlineStr"/>
      <c r="H209" s="9" t="inlineStr"/>
      <c r="I209" t="inlineStr">
        <is>
          <t>ARVAC INDUSTRIA E COMERCIO DE COMPRESSORES E BOMBAS LTDA</t>
        </is>
      </c>
      <c r="J209" t="inlineStr">
        <is>
          <t>ARVAC TECN.COML.MANUT.EIRELI (</t>
        </is>
      </c>
      <c r="K209" t="inlineStr">
        <is>
          <t>26524480</t>
        </is>
      </c>
      <c r="L209" t="inlineStr">
        <is>
          <t>26524480000183</t>
        </is>
      </c>
      <c r="M209" s="10" t="n">
        <v>108613.34</v>
      </c>
      <c r="N209" t="n">
        <v>1</v>
      </c>
      <c r="O209" s="11" t="inlineStr">
        <is>
          <t>C</t>
        </is>
      </c>
      <c r="P209" s="11" t="inlineStr">
        <is>
          <t>ACTIVE</t>
        </is>
      </c>
      <c r="Q209" s="12" t="n">
        <v>44735</v>
      </c>
      <c r="R209" s="11">
        <f>IF(Q209="","",ROUND((TODAY()-Q209)/365.25,1))</f>
        <v/>
      </c>
      <c r="S209" s="13">
        <f>IFERROR(VLOOKUP(O209,Assumptions!$A$7:$F$11,2,FALSE),0.25)</f>
        <v/>
      </c>
      <c r="T209" s="14">
        <f>IF(O209="A",MAX(1,IFERROR(VLOOKUP(O209,Assumptions!$A$7:$F$11,3,FALSE),3)+IFERROR(VLOOKUP(O209,Assumptions!$A$7:$F$11,4,FALSE),8)/2-MAX(0,IF(R209="",0,R209)-IFERROR(VLOOKUP(O209,Assumptions!$A$7:$F$11,5,FALSE),1.5))),IFERROR(VLOOKUP(O209,Assumptions!$A$7:$F$11,5,FALSE),2.5)+IFERROR(VLOOKUP(O209,Assumptions!$A$7:$F$11,3,FALSE),3)+IFERROR(VLOOKUP(O209,Assumptions!$A$7:$F$11,4,FALSE),8)/2)</f>
        <v/>
      </c>
      <c r="U209" s="15">
        <f>M209*S209/(1+Assumptions!$B$3)^T209</f>
        <v/>
      </c>
      <c r="V209" s="11">
        <f>IF(M209=0,"",ROUND(U209/M209*100,1))</f>
        <v/>
      </c>
      <c r="W209" s="16">
        <f>U209*Assumptions!$B$4</f>
        <v/>
      </c>
      <c r="X209" s="11">
        <f>IF(M209=0,"",ROUND(W209/M209*100,1))</f>
        <v/>
      </c>
      <c r="Y209" t="inlineStr">
        <is>
          <t>ASSOCIAÇÃO DE CARIDADE SANTA CASA DO RIO GRANDE</t>
        </is>
      </c>
      <c r="Z209" t="inlineStr">
        <is>
          <t>5012306-16.2022.8.21.0023</t>
        </is>
      </c>
      <c r="AA209" t="inlineStr">
        <is>
          <t>TJRS</t>
        </is>
      </c>
      <c r="AB209" t="inlineStr">
        <is>
          <t>scalzilliaj.com.br</t>
        </is>
      </c>
      <c r="AC209" t="inlineStr">
        <is>
          <t>RICARDO HENRIQUE RODRIGUES</t>
        </is>
      </c>
      <c r="AD209" t="inlineStr">
        <is>
          <t>Sócio-Administrador</t>
        </is>
      </c>
      <c r="AE209" t="inlineStr">
        <is>
          <t>(11) 5683-8920</t>
        </is>
      </c>
      <c r="AF209" t="inlineStr"/>
      <c r="AG209" t="inlineStr"/>
      <c r="AH209" t="inlineStr">
        <is>
          <t>SP</t>
        </is>
      </c>
      <c r="AI209" t="inlineStr">
        <is>
          <t>SAO PAULO</t>
        </is>
      </c>
      <c r="AJ209" t="inlineStr">
        <is>
          <t>Fabricação de compressores para uso industrial, peças e acessórios</t>
        </is>
      </c>
      <c r="AK209" t="inlineStr">
        <is>
          <t>DEMAIS</t>
        </is>
      </c>
      <c r="AL209" t="inlineStr">
        <is>
          <t>ATIVA</t>
        </is>
      </c>
      <c r="AM209" s="17" t="inlineStr">
        <is>
          <t>https://scalzilliaj.com.br/sgc/download.php?file=files/processo_documento/processo_documento09120721032023_1_.pdf&amp;nome=15 - Edital do art. 7º, §2º e 53 da Lei 11.101/2005 (segunda lista de credores e recebimento do plano))</t>
        </is>
      </c>
      <c r="AN209" s="18" t="inlineStr">
        <is>
          <t>p25 r57</t>
        </is>
      </c>
      <c r="AO209" s="18" t="inlineStr">
        <is>
          <t>p25: R$ 108.613,34</t>
        </is>
      </c>
      <c r="AP209" s="18" t="inlineStr">
        <is>
          <t>AJ_LIST</t>
        </is>
      </c>
      <c r="AQ209" s="18" t="inlineStr">
        <is>
          <t>2023-03-21</t>
        </is>
      </c>
      <c r="AR209" s="18" t="inlineStr">
        <is>
          <t>OK_NO_TOTALS</t>
        </is>
      </c>
      <c r="AS209" s="18" t="inlineStr">
        <is>
          <t>ROWS:p25r57 UNRECONCILED_SOURCE</t>
        </is>
      </c>
      <c r="AT209" s="18" t="inlineStr">
        <is>
          <t>ebfb999b457c</t>
        </is>
      </c>
    </row>
    <row r="210">
      <c r="A210" s="9" t="n">
        <v>209</v>
      </c>
      <c r="B210" s="9" t="inlineStr">
        <is>
          <t>NEW</t>
        </is>
      </c>
      <c r="C210" s="9" t="inlineStr"/>
      <c r="D210" s="9" t="n">
        <v>0</v>
      </c>
      <c r="E210" s="9" t="inlineStr"/>
      <c r="F210" s="9" t="inlineStr"/>
      <c r="G210" s="9" t="inlineStr"/>
      <c r="H210" s="9" t="inlineStr"/>
      <c r="I210" t="inlineStr">
        <is>
          <t>TOTVS S.A.</t>
        </is>
      </c>
      <c r="J210" t="inlineStr">
        <is>
          <t>TOTVS S A</t>
        </is>
      </c>
      <c r="K210" t="inlineStr">
        <is>
          <t>53113791</t>
        </is>
      </c>
      <c r="L210" t="inlineStr">
        <is>
          <t>53113791001790</t>
        </is>
      </c>
      <c r="M210" s="10" t="n">
        <v>108442.28</v>
      </c>
      <c r="N210" t="n">
        <v>2</v>
      </c>
      <c r="O210" s="11" t="inlineStr">
        <is>
          <t>D</t>
        </is>
      </c>
      <c r="P210" s="11" t="inlineStr"/>
      <c r="Q210" s="12" t="inlineStr"/>
      <c r="R210" s="11">
        <f>IF(Q210="","",ROUND((TODAY()-Q210)/365.25,1))</f>
        <v/>
      </c>
      <c r="S210" s="13">
        <f>IFERROR(VLOOKUP(O210,Assumptions!$A$7:$F$11,2,FALSE),0.25)</f>
        <v/>
      </c>
      <c r="T210" s="14">
        <f>IF(O210="A",MAX(1,IFERROR(VLOOKUP(O210,Assumptions!$A$7:$F$11,3,FALSE),3)+IFERROR(VLOOKUP(O210,Assumptions!$A$7:$F$11,4,FALSE),8)/2-MAX(0,IF(R210="",0,R210)-IFERROR(VLOOKUP(O210,Assumptions!$A$7:$F$11,5,FALSE),1.5))),IFERROR(VLOOKUP(O210,Assumptions!$A$7:$F$11,5,FALSE),2.5)+IFERROR(VLOOKUP(O210,Assumptions!$A$7:$F$11,3,FALSE),3)+IFERROR(VLOOKUP(O210,Assumptions!$A$7:$F$11,4,FALSE),8)/2)</f>
        <v/>
      </c>
      <c r="U210" s="15">
        <f>M210*S210/(1+Assumptions!$B$3)^T210</f>
        <v/>
      </c>
      <c r="V210" s="11">
        <f>IF(M210=0,"",ROUND(U210/M210*100,1))</f>
        <v/>
      </c>
      <c r="W210" s="16">
        <f>U210*Assumptions!$B$4</f>
        <v/>
      </c>
      <c r="X210" s="11">
        <f>IF(M210=0,"",ROUND(W210/M210*100,1))</f>
        <v/>
      </c>
      <c r="Y210" t="inlineStr">
        <is>
          <t>Mannes</t>
        </is>
      </c>
      <c r="Z210" t="inlineStr">
        <is>
          <t>0005010-50.2013.8.24.0026</t>
        </is>
      </c>
      <c r="AA210" t="inlineStr"/>
      <c r="AB210" t="inlineStr">
        <is>
          <t>administradorajudicialgs.com.br</t>
        </is>
      </c>
      <c r="AC210" t="inlineStr">
        <is>
          <t>DENNIS HERSZKOWICZ</t>
        </is>
      </c>
      <c r="AD210" t="inlineStr">
        <is>
          <t>Presidente</t>
        </is>
      </c>
      <c r="AE210" t="inlineStr">
        <is>
          <t>(11) 4004-0015</t>
        </is>
      </c>
      <c r="AF210" t="inlineStr"/>
      <c r="AG210" t="inlineStr"/>
      <c r="AH210" t="inlineStr">
        <is>
          <t>SP</t>
        </is>
      </c>
      <c r="AI210" t="inlineStr">
        <is>
          <t>SAO PAULO</t>
        </is>
      </c>
      <c r="AJ210" t="inlineStr">
        <is>
          <t>Desenvolvimento de programas de computador sob encomenda</t>
        </is>
      </c>
      <c r="AK210" t="inlineStr">
        <is>
          <t>DEMAIS</t>
        </is>
      </c>
      <c r="AL210" t="inlineStr">
        <is>
          <t>ATIVA</t>
        </is>
      </c>
      <c r="AM210" s="17" t="inlineStr">
        <is>
          <t>https://administradorajudicialgs.com.br/wp-content/uploads/2024/12/relacao-de-credores-da-falida.pdf</t>
        </is>
      </c>
      <c r="AN210" s="18" t="inlineStr">
        <is>
          <t>p19 r4; p19 r5</t>
        </is>
      </c>
      <c r="AO210" s="18" t="inlineStr">
        <is>
          <t>p19: R$ 8.287,06; p19: R$ 100.155,22</t>
        </is>
      </c>
      <c r="AP210" s="18" t="inlineStr">
        <is>
          <t>OTHER</t>
        </is>
      </c>
      <c r="AQ210" s="18" t="inlineStr">
        <is>
          <t>2025-03-25</t>
        </is>
      </c>
      <c r="AR210" s="18" t="inlineStr">
        <is>
          <t>OK_NO_TOTALS</t>
        </is>
      </c>
      <c r="AS210" s="18" t="inlineStr">
        <is>
          <t>ROWS:p19r4,p19r5 UNRECONCILED_SOURCE CASE_NUMBER_CORRECTED</t>
        </is>
      </c>
      <c r="AT210" s="18" t="inlineStr">
        <is>
          <t>ea17ba43b261</t>
        </is>
      </c>
    </row>
    <row r="211">
      <c r="A211" s="9" t="n">
        <v>210</v>
      </c>
      <c r="B211" s="9" t="inlineStr">
        <is>
          <t>NEW</t>
        </is>
      </c>
      <c r="C211" s="9" t="inlineStr"/>
      <c r="D211" s="9" t="n">
        <v>0</v>
      </c>
      <c r="E211" s="9" t="inlineStr"/>
      <c r="F211" s="9" t="inlineStr"/>
      <c r="G211" s="9" t="inlineStr"/>
      <c r="H211" s="9" t="inlineStr"/>
      <c r="I211" t="inlineStr">
        <is>
          <t>MRJ COMERCIO DE CONFECCOES LTDA</t>
        </is>
      </c>
      <c r="J211" t="inlineStr">
        <is>
          <t>MRJ COMERCIO DE CONFECCOES LTDA - ME</t>
        </is>
      </c>
      <c r="K211" t="inlineStr">
        <is>
          <t>07465648</t>
        </is>
      </c>
      <c r="L211" t="inlineStr">
        <is>
          <t>07465648000263</t>
        </is>
      </c>
      <c r="M211" s="10" t="n">
        <v>108052.14</v>
      </c>
      <c r="N211" t="n">
        <v>1</v>
      </c>
      <c r="O211" s="11" t="inlineStr">
        <is>
          <t>C</t>
        </is>
      </c>
      <c r="P211" s="11" t="inlineStr">
        <is>
          <t>ACTIVE</t>
        </is>
      </c>
      <c r="Q211" s="12" t="n">
        <v>44571</v>
      </c>
      <c r="R211" s="11">
        <f>IF(Q211="","",ROUND((TODAY()-Q211)/365.25,1))</f>
        <v/>
      </c>
      <c r="S211" s="13">
        <f>IFERROR(VLOOKUP(O211,Assumptions!$A$7:$F$11,2,FALSE),0.25)</f>
        <v/>
      </c>
      <c r="T211" s="14">
        <f>IF(O211="A",MAX(1,IFERROR(VLOOKUP(O211,Assumptions!$A$7:$F$11,3,FALSE),3)+IFERROR(VLOOKUP(O211,Assumptions!$A$7:$F$11,4,FALSE),8)/2-MAX(0,IF(R211="",0,R211)-IFERROR(VLOOKUP(O211,Assumptions!$A$7:$F$11,5,FALSE),1.5))),IFERROR(VLOOKUP(O211,Assumptions!$A$7:$F$11,5,FALSE),2.5)+IFERROR(VLOOKUP(O211,Assumptions!$A$7:$F$11,3,FALSE),3)+IFERROR(VLOOKUP(O211,Assumptions!$A$7:$F$11,4,FALSE),8)/2)</f>
        <v/>
      </c>
      <c r="U211" s="15">
        <f>M211*S211/(1+Assumptions!$B$3)^T211</f>
        <v/>
      </c>
      <c r="V211" s="11">
        <f>IF(M211=0,"",ROUND(U211/M211*100,1))</f>
        <v/>
      </c>
      <c r="W211" s="16">
        <f>U211*Assumptions!$B$4</f>
        <v/>
      </c>
      <c r="X211" s="11">
        <f>IF(M211=0,"",ROUND(W211/M211*100,1))</f>
        <v/>
      </c>
      <c r="Y211" t="inlineStr">
        <is>
          <t>GRUPO CATTAN</t>
        </is>
      </c>
      <c r="Z211" t="inlineStr">
        <is>
          <t>0002484-82.2022.8.17.2001</t>
        </is>
      </c>
      <c r="AA211" t="inlineStr">
        <is>
          <t>TJPE</t>
        </is>
      </c>
      <c r="AB211" t="inlineStr">
        <is>
          <t>lrflideres.com.br</t>
        </is>
      </c>
      <c r="AC211" t="inlineStr">
        <is>
          <t>RENATO COELHO DANTAS</t>
        </is>
      </c>
      <c r="AD211" t="inlineStr">
        <is>
          <t>Sócio-Administrador</t>
        </is>
      </c>
      <c r="AE211" t="inlineStr">
        <is>
          <t>(81) 3719-1225</t>
        </is>
      </c>
      <c r="AF211" t="inlineStr"/>
      <c r="AG211" t="inlineStr"/>
      <c r="AH211" t="inlineStr">
        <is>
          <t>PE</t>
        </is>
      </c>
      <c r="AI211" t="inlineStr">
        <is>
          <t>CARUARU</t>
        </is>
      </c>
      <c r="AJ211" t="inlineStr">
        <is>
          <t>Confecção de peças de vestuário, exceto roupas íntimas e as confeccionadas sob medida</t>
        </is>
      </c>
      <c r="AK211" t="inlineStr">
        <is>
          <t>MICRO EMPRESA</t>
        </is>
      </c>
      <c r="AL211" t="inlineStr">
        <is>
          <t>ATIVA</t>
        </is>
      </c>
      <c r="AM211" s="17" t="inlineStr">
        <is>
          <t>https://lrflideres.com.br/wp-content/plugins/download-attachments/includes/download.php?id=4023</t>
        </is>
      </c>
      <c r="AN211" s="18" t="inlineStr">
        <is>
          <t>p7 r113</t>
        </is>
      </c>
      <c r="AO211" s="18" t="inlineStr">
        <is>
          <t>p7: R$ 108.052,14</t>
        </is>
      </c>
      <c r="AP211" s="18" t="inlineStr">
        <is>
          <t>DEBTOR_LIST</t>
        </is>
      </c>
      <c r="AQ211" s="18" t="inlineStr"/>
      <c r="AR211" s="18" t="inlineStr">
        <is>
          <t>QUARANTINED</t>
        </is>
      </c>
      <c r="AS211" s="18" t="inlineStr">
        <is>
          <t>PARTIAL_DOC_CLASS_III_RECONCILED ROWS:p7r113</t>
        </is>
      </c>
      <c r="AT211" s="18" t="inlineStr">
        <is>
          <t>f3b6182e3aa2</t>
        </is>
      </c>
    </row>
    <row r="212">
      <c r="A212" s="9" t="n">
        <v>211</v>
      </c>
      <c r="B212" s="9" t="inlineStr">
        <is>
          <t>NEW</t>
        </is>
      </c>
      <c r="C212" s="9" t="inlineStr"/>
      <c r="D212" s="9" t="n">
        <v>0</v>
      </c>
      <c r="E212" s="9" t="inlineStr"/>
      <c r="F212" s="9" t="inlineStr"/>
      <c r="G212" s="9" t="inlineStr"/>
      <c r="H212" s="9" t="inlineStr"/>
      <c r="I212" t="inlineStr">
        <is>
          <t>CP COMERCIAL S/A</t>
        </is>
      </c>
      <c r="J212" t="inlineStr">
        <is>
          <t>CP COMERCIAL S.A</t>
        </is>
      </c>
      <c r="K212" t="inlineStr">
        <is>
          <t>08888040</t>
        </is>
      </c>
      <c r="L212" t="inlineStr">
        <is>
          <t>08888040000123</t>
        </is>
      </c>
      <c r="M212" s="10" t="n">
        <v>108000</v>
      </c>
      <c r="N212" t="n">
        <v>1</v>
      </c>
      <c r="O212" s="11" t="inlineStr">
        <is>
          <t>C</t>
        </is>
      </c>
      <c r="P212" s="11" t="inlineStr">
        <is>
          <t>ACTIVE</t>
        </is>
      </c>
      <c r="Q212" s="12" t="n">
        <v>44798</v>
      </c>
      <c r="R212" s="11">
        <f>IF(Q212="","",ROUND((TODAY()-Q212)/365.25,1))</f>
        <v/>
      </c>
      <c r="S212" s="13">
        <f>IFERROR(VLOOKUP(O212,Assumptions!$A$7:$F$11,2,FALSE),0.25)</f>
        <v/>
      </c>
      <c r="T212" s="14">
        <f>IF(O212="A",MAX(1,IFERROR(VLOOKUP(O212,Assumptions!$A$7:$F$11,3,FALSE),3)+IFERROR(VLOOKUP(O212,Assumptions!$A$7:$F$11,4,FALSE),8)/2-MAX(0,IF(R212="",0,R212)-IFERROR(VLOOKUP(O212,Assumptions!$A$7:$F$11,5,FALSE),1.5))),IFERROR(VLOOKUP(O212,Assumptions!$A$7:$F$11,5,FALSE),2.5)+IFERROR(VLOOKUP(O212,Assumptions!$A$7:$F$11,3,FALSE),3)+IFERROR(VLOOKUP(O212,Assumptions!$A$7:$F$11,4,FALSE),8)/2)</f>
        <v/>
      </c>
      <c r="U212" s="15">
        <f>M212*S212/(1+Assumptions!$B$3)^T212</f>
        <v/>
      </c>
      <c r="V212" s="11">
        <f>IF(M212=0,"",ROUND(U212/M212*100,1))</f>
        <v/>
      </c>
      <c r="W212" s="16">
        <f>U212*Assumptions!$B$4</f>
        <v/>
      </c>
      <c r="X212" s="11">
        <f>IF(M212=0,"",ROUND(W212/M212*100,1))</f>
        <v/>
      </c>
      <c r="Y212" t="inlineStr">
        <is>
          <t>SECULAR COMÉRCIO CONSTRUÇÃO E REPRESENTAÇÃO LTDA - ME, EM RECUPERAÇÃO JUDICIAL</t>
        </is>
      </c>
      <c r="Z212" t="inlineStr">
        <is>
          <t>0804204-35.2022.8.15.0731</t>
        </is>
      </c>
      <c r="AA212" t="inlineStr">
        <is>
          <t>TJPB</t>
        </is>
      </c>
      <c r="AB212" t="inlineStr">
        <is>
          <t>lrflideres.com.br</t>
        </is>
      </c>
      <c r="AC212" t="inlineStr">
        <is>
          <t>HUMBERTO GABRIEL CANTU</t>
        </is>
      </c>
      <c r="AD212" t="inlineStr">
        <is>
          <t>Presidente</t>
        </is>
      </c>
      <c r="AE212" t="inlineStr">
        <is>
          <t>(47) 3046-2550</t>
        </is>
      </c>
      <c r="AF212" t="inlineStr"/>
      <c r="AG212" t="inlineStr"/>
      <c r="AH212" t="inlineStr">
        <is>
          <t>SC</t>
        </is>
      </c>
      <c r="AI212" t="inlineStr">
        <is>
          <t>ITAJAI</t>
        </is>
      </c>
      <c r="AJ212" t="inlineStr">
        <is>
          <t>Comércio por atacado de pneumáticos e câmaras-de-ar</t>
        </is>
      </c>
      <c r="AK212" t="inlineStr">
        <is>
          <t>DEMAIS</t>
        </is>
      </c>
      <c r="AL212" t="inlineStr">
        <is>
          <t>ATIVA</t>
        </is>
      </c>
      <c r="AM212" s="17" t="inlineStr">
        <is>
          <t>https://lrflideres.com.br/wp-content/uploads/2022/08/4.-EDITAL-2a-LISTA-DE-CREDORES.pdf</t>
        </is>
      </c>
      <c r="AN212" s="18" t="inlineStr">
        <is>
          <t>p1 r10</t>
        </is>
      </c>
      <c r="AO212" s="18" t="inlineStr">
        <is>
          <t>p1: R$ 108.000,00</t>
        </is>
      </c>
      <c r="AP212" s="18" t="inlineStr">
        <is>
          <t>AJ_LIST</t>
        </is>
      </c>
      <c r="AQ212" s="18" t="inlineStr">
        <is>
          <t>2023-12-04</t>
        </is>
      </c>
      <c r="AR212" s="18" t="inlineStr">
        <is>
          <t>OK</t>
        </is>
      </c>
      <c r="AS212" s="18" t="inlineStr">
        <is>
          <t>ROWS:p1r10</t>
        </is>
      </c>
      <c r="AT212" s="18" t="inlineStr">
        <is>
          <t>1355f93a13cd</t>
        </is>
      </c>
    </row>
    <row r="213">
      <c r="A213" s="9" t="n">
        <v>212</v>
      </c>
      <c r="B213" s="9" t="inlineStr">
        <is>
          <t>NEW</t>
        </is>
      </c>
      <c r="C213" s="9" t="inlineStr"/>
      <c r="D213" s="9" t="n">
        <v>0</v>
      </c>
      <c r="E213" s="9" t="inlineStr"/>
      <c r="F213" s="9" t="inlineStr"/>
      <c r="G213" s="9" t="inlineStr"/>
      <c r="H213" s="9" t="inlineStr"/>
      <c r="I213" t="inlineStr">
        <is>
          <t>FAGE LIMPEZA EM PREDIOS E DOMICILIOS LTDA</t>
        </is>
      </c>
      <c r="J213" t="inlineStr">
        <is>
          <t>FAGE LIMPEZA EM PRÉDIOS E DOMICÍLIOS</t>
        </is>
      </c>
      <c r="K213" t="inlineStr">
        <is>
          <t>25174218</t>
        </is>
      </c>
      <c r="L213" t="inlineStr">
        <is>
          <t>25174218000193</t>
        </is>
      </c>
      <c r="M213" s="10" t="n">
        <v>107947.49</v>
      </c>
      <c r="N213" t="n">
        <v>1</v>
      </c>
      <c r="O213" s="11" t="inlineStr">
        <is>
          <t>D</t>
        </is>
      </c>
      <c r="P213" s="11" t="inlineStr"/>
      <c r="Q213" s="12" t="inlineStr"/>
      <c r="R213" s="11">
        <f>IF(Q213="","",ROUND((TODAY()-Q213)/365.25,1))</f>
        <v/>
      </c>
      <c r="S213" s="13">
        <f>IFERROR(VLOOKUP(O213,Assumptions!$A$7:$F$11,2,FALSE),0.25)</f>
        <v/>
      </c>
      <c r="T213" s="14">
        <f>IF(O213="A",MAX(1,IFERROR(VLOOKUP(O213,Assumptions!$A$7:$F$11,3,FALSE),3)+IFERROR(VLOOKUP(O213,Assumptions!$A$7:$F$11,4,FALSE),8)/2-MAX(0,IF(R213="",0,R213)-IFERROR(VLOOKUP(O213,Assumptions!$A$7:$F$11,5,FALSE),1.5))),IFERROR(VLOOKUP(O213,Assumptions!$A$7:$F$11,5,FALSE),2.5)+IFERROR(VLOOKUP(O213,Assumptions!$A$7:$F$11,3,FALSE),3)+IFERROR(VLOOKUP(O213,Assumptions!$A$7:$F$11,4,FALSE),8)/2)</f>
        <v/>
      </c>
      <c r="U213" s="15">
        <f>M213*S213/(1+Assumptions!$B$3)^T213</f>
        <v/>
      </c>
      <c r="V213" s="11">
        <f>IF(M213=0,"",ROUND(U213/M213*100,1))</f>
        <v/>
      </c>
      <c r="W213" s="16">
        <f>U213*Assumptions!$B$4</f>
        <v/>
      </c>
      <c r="X213" s="11">
        <f>IF(M213=0,"",ROUND(W213/M213*100,1))</f>
        <v/>
      </c>
      <c r="Y213" t="inlineStr">
        <is>
          <t>EQUIP SEG INTELIGÊNCIA EM SEGURANÇA LTDA. E EQUIP SEG SERVIÇOS ESPECIALIZADOS LTDA.</t>
        </is>
      </c>
      <c r="Z213" t="inlineStr">
        <is>
          <t>0033736-15.2023.8.16.0185</t>
        </is>
      </c>
      <c r="AA213" t="inlineStr"/>
      <c r="AB213" t="inlineStr">
        <is>
          <t>bbsadvogados.com.br</t>
        </is>
      </c>
      <c r="AC213" t="inlineStr">
        <is>
          <t>FABRICIO FURLAN</t>
        </is>
      </c>
      <c r="AD213" t="inlineStr">
        <is>
          <t>Sócio-Administrador</t>
        </is>
      </c>
      <c r="AE213" t="inlineStr">
        <is>
          <t>(41) 9838-5985</t>
        </is>
      </c>
      <c r="AF213" t="inlineStr"/>
      <c r="AG213" t="inlineStr"/>
      <c r="AH213" t="inlineStr">
        <is>
          <t>PR</t>
        </is>
      </c>
      <c r="AI213" t="inlineStr">
        <is>
          <t>CURITIBA</t>
        </is>
      </c>
      <c r="AJ213" t="inlineStr">
        <is>
          <t>Locação de automóveis sem condutor</t>
        </is>
      </c>
      <c r="AK213" t="inlineStr">
        <is>
          <t>MICRO EMPRESA</t>
        </is>
      </c>
      <c r="AL213" t="inlineStr">
        <is>
          <t>ATIVA</t>
        </is>
      </c>
      <c r="AM213" s="17" t="inlineStr">
        <is>
          <t>https://bbsadvogados.com.br/wp-content/uploads/2025/04/Equipseg-Edital-Relacao-de-Credores-da-Administradora-Judicial-art.-7o2o-da-LRF.pdf</t>
        </is>
      </c>
      <c r="AN213" s="18" t="inlineStr">
        <is>
          <t>p39 r5</t>
        </is>
      </c>
      <c r="AO213" s="18" t="inlineStr">
        <is>
          <t>p39: R$ 107.947,49</t>
        </is>
      </c>
      <c r="AP213" s="18" t="inlineStr">
        <is>
          <t>AJ_LIST</t>
        </is>
      </c>
      <c r="AQ213" s="18" t="inlineStr">
        <is>
          <t>2025-04-08</t>
        </is>
      </c>
      <c r="AR213" s="18" t="inlineStr">
        <is>
          <t>OK_NO_TOTALS</t>
        </is>
      </c>
      <c r="AS213" s="18" t="inlineStr">
        <is>
          <t>ROWS:p39r5 UNRECONCILED_SOURCE</t>
        </is>
      </c>
      <c r="AT213" s="18" t="inlineStr">
        <is>
          <t>b9895d3bab05</t>
        </is>
      </c>
    </row>
    <row r="214">
      <c r="A214" s="9" t="n">
        <v>213</v>
      </c>
      <c r="B214" s="9" t="inlineStr">
        <is>
          <t>NEW</t>
        </is>
      </c>
      <c r="C214" s="9" t="inlineStr"/>
      <c r="D214" s="9" t="n">
        <v>0</v>
      </c>
      <c r="E214" s="9" t="inlineStr"/>
      <c r="F214" s="9" t="inlineStr"/>
      <c r="G214" s="9" t="inlineStr"/>
      <c r="H214" s="9" t="inlineStr"/>
      <c r="I214" t="inlineStr">
        <is>
          <t>H STRATTNER E CIA LTDA</t>
        </is>
      </c>
      <c r="J214" t="inlineStr">
        <is>
          <t>H STRATTNER E CIA LTDA (</t>
        </is>
      </c>
      <c r="K214" t="inlineStr">
        <is>
          <t>33250713</t>
        </is>
      </c>
      <c r="L214" t="inlineStr">
        <is>
          <t>33250713000162, 33250713000243</t>
        </is>
      </c>
      <c r="M214" s="10" t="n">
        <v>107894.91</v>
      </c>
      <c r="N214" t="n">
        <v>2</v>
      </c>
      <c r="O214" s="11" t="inlineStr">
        <is>
          <t>C</t>
        </is>
      </c>
      <c r="P214" s="11" t="inlineStr">
        <is>
          <t>ACTIVE</t>
        </is>
      </c>
      <c r="Q214" s="12" t="n">
        <v>44735</v>
      </c>
      <c r="R214" s="11">
        <f>IF(Q214="","",ROUND((TODAY()-Q214)/365.25,1))</f>
        <v/>
      </c>
      <c r="S214" s="13">
        <f>IFERROR(VLOOKUP(O214,Assumptions!$A$7:$F$11,2,FALSE),0.25)</f>
        <v/>
      </c>
      <c r="T214" s="14">
        <f>IF(O214="A",MAX(1,IFERROR(VLOOKUP(O214,Assumptions!$A$7:$F$11,3,FALSE),3)+IFERROR(VLOOKUP(O214,Assumptions!$A$7:$F$11,4,FALSE),8)/2-MAX(0,IF(R214="",0,R214)-IFERROR(VLOOKUP(O214,Assumptions!$A$7:$F$11,5,FALSE),1.5))),IFERROR(VLOOKUP(O214,Assumptions!$A$7:$F$11,5,FALSE),2.5)+IFERROR(VLOOKUP(O214,Assumptions!$A$7:$F$11,3,FALSE),3)+IFERROR(VLOOKUP(O214,Assumptions!$A$7:$F$11,4,FALSE),8)/2)</f>
        <v/>
      </c>
      <c r="U214" s="15">
        <f>M214*S214/(1+Assumptions!$B$3)^T214</f>
        <v/>
      </c>
      <c r="V214" s="11">
        <f>IF(M214=0,"",ROUND(U214/M214*100,1))</f>
        <v/>
      </c>
      <c r="W214" s="16">
        <f>U214*Assumptions!$B$4</f>
        <v/>
      </c>
      <c r="X214" s="11">
        <f>IF(M214=0,"",ROUND(W214/M214*100,1))</f>
        <v/>
      </c>
      <c r="Y214" t="inlineStr">
        <is>
          <t>ASSOCIAÇÃO DE CARIDADE SANTA CASA DO RIO GRANDE</t>
        </is>
      </c>
      <c r="Z214" t="inlineStr">
        <is>
          <t>5012306-16.2022.8.21.0023</t>
        </is>
      </c>
      <c r="AA214" t="inlineStr">
        <is>
          <t>TJRS</t>
        </is>
      </c>
      <c r="AB214" t="inlineStr">
        <is>
          <t>scalzilliaj.com.br</t>
        </is>
      </c>
      <c r="AC214" t="inlineStr">
        <is>
          <t>BIANCA STRATTNER</t>
        </is>
      </c>
      <c r="AD214" t="inlineStr">
        <is>
          <t>Sócio-Administrador</t>
        </is>
      </c>
      <c r="AE214" t="inlineStr">
        <is>
          <t>(21) 2121-1300</t>
        </is>
      </c>
      <c r="AF214" t="inlineStr"/>
      <c r="AG214" t="inlineStr"/>
      <c r="AH214" t="inlineStr">
        <is>
          <t>RJ</t>
        </is>
      </c>
      <c r="AI214" t="inlineStr">
        <is>
          <t>RIO DE JANEIRO</t>
        </is>
      </c>
      <c r="AJ214" t="inlineStr">
        <is>
          <t>Comércio atacadista de instrumentos e materiais para uso médico, cirúrgico, hospitalar e de laboratórios</t>
        </is>
      </c>
      <c r="AK214" t="inlineStr">
        <is>
          <t>DEMAIS</t>
        </is>
      </c>
      <c r="AL214" t="inlineStr">
        <is>
          <t>ATIVA</t>
        </is>
      </c>
      <c r="AM214" s="17" t="inlineStr">
        <is>
          <t>https://scalzilliaj.com.br/sgc/download.php?file=files/processo_documento/processo_documento09120721032023_1_.pdf&amp;nome=15 - Edital do art. 7º, §2º e 53 da Lei 11.101/2005 (segunda lista de credores e recebimento do plano))</t>
        </is>
      </c>
      <c r="AN214" s="18" t="inlineStr">
        <is>
          <t>p27 r41; p27 r42</t>
        </is>
      </c>
      <c r="AO214" s="18" t="inlineStr">
        <is>
          <t>p27: R$ 30.425,71; p27: R$ 77.469,20</t>
        </is>
      </c>
      <c r="AP214" s="18" t="inlineStr">
        <is>
          <t>AJ_LIST</t>
        </is>
      </c>
      <c r="AQ214" s="18" t="inlineStr">
        <is>
          <t>2023-03-21</t>
        </is>
      </c>
      <c r="AR214" s="18" t="inlineStr">
        <is>
          <t>OK_NO_TOTALS</t>
        </is>
      </c>
      <c r="AS214" s="18" t="inlineStr">
        <is>
          <t>ROWS:p27r41,p27r42 UNRECONCILED_SOURCE</t>
        </is>
      </c>
      <c r="AT214" s="18" t="inlineStr">
        <is>
          <t>ebfb999b457c</t>
        </is>
      </c>
    </row>
    <row r="215">
      <c r="A215" s="9" t="n">
        <v>214</v>
      </c>
      <c r="B215" s="9" t="inlineStr">
        <is>
          <t>NEW</t>
        </is>
      </c>
      <c r="C215" s="9" t="inlineStr"/>
      <c r="D215" s="9" t="n">
        <v>0</v>
      </c>
      <c r="E215" s="9" t="inlineStr"/>
      <c r="F215" s="9" t="inlineStr"/>
      <c r="G215" s="9" t="inlineStr"/>
      <c r="H215" s="9" t="inlineStr"/>
      <c r="I215" t="inlineStr">
        <is>
          <t>CAVALO MARINHO COMBUSTIVEIS PERNAMBUCO LTDA</t>
        </is>
      </c>
      <c r="J215" t="inlineStr">
        <is>
          <t>CAVALO MARINHO COMBUSTIVEIS PERNAMBUCO</t>
        </is>
      </c>
      <c r="K215" t="inlineStr">
        <is>
          <t>06974793</t>
        </is>
      </c>
      <c r="L215" t="inlineStr">
        <is>
          <t>06974793000126</t>
        </is>
      </c>
      <c r="M215" s="10" t="n">
        <v>107850</v>
      </c>
      <c r="N215" t="n">
        <v>1</v>
      </c>
      <c r="O215" s="11" t="inlineStr">
        <is>
          <t>C</t>
        </is>
      </c>
      <c r="P215" s="11" t="inlineStr">
        <is>
          <t>ACTIVE</t>
        </is>
      </c>
      <c r="Q215" s="12" t="n">
        <v>44798</v>
      </c>
      <c r="R215" s="11">
        <f>IF(Q215="","",ROUND((TODAY()-Q215)/365.25,1))</f>
        <v/>
      </c>
      <c r="S215" s="13">
        <f>IFERROR(VLOOKUP(O215,Assumptions!$A$7:$F$11,2,FALSE),0.25)</f>
        <v/>
      </c>
      <c r="T215" s="14">
        <f>IF(O215="A",MAX(1,IFERROR(VLOOKUP(O215,Assumptions!$A$7:$F$11,3,FALSE),3)+IFERROR(VLOOKUP(O215,Assumptions!$A$7:$F$11,4,FALSE),8)/2-MAX(0,IF(R215="",0,R215)-IFERROR(VLOOKUP(O215,Assumptions!$A$7:$F$11,5,FALSE),1.5))),IFERROR(VLOOKUP(O215,Assumptions!$A$7:$F$11,5,FALSE),2.5)+IFERROR(VLOOKUP(O215,Assumptions!$A$7:$F$11,3,FALSE),3)+IFERROR(VLOOKUP(O215,Assumptions!$A$7:$F$11,4,FALSE),8)/2)</f>
        <v/>
      </c>
      <c r="U215" s="15">
        <f>M215*S215/(1+Assumptions!$B$3)^T215</f>
        <v/>
      </c>
      <c r="V215" s="11">
        <f>IF(M215=0,"",ROUND(U215/M215*100,1))</f>
        <v/>
      </c>
      <c r="W215" s="16">
        <f>U215*Assumptions!$B$4</f>
        <v/>
      </c>
      <c r="X215" s="11">
        <f>IF(M215=0,"",ROUND(W215/M215*100,1))</f>
        <v/>
      </c>
      <c r="Y215" t="inlineStr">
        <is>
          <t>SECULAR COMÉRCIO CONSTRUÇÃO E REPRESENTAÇÃO LTDA - ME, EM RECUPERAÇÃO JUDICIAL</t>
        </is>
      </c>
      <c r="Z215" t="inlineStr">
        <is>
          <t>0804204-35.2022.8.15.0731</t>
        </is>
      </c>
      <c r="AA215" t="inlineStr">
        <is>
          <t>TJPB</t>
        </is>
      </c>
      <c r="AB215" t="inlineStr">
        <is>
          <t>lrflideres.com.br</t>
        </is>
      </c>
      <c r="AC215" t="inlineStr">
        <is>
          <t>ARMANDO MONTEIRO DA FONSECA FILHO</t>
        </is>
      </c>
      <c r="AD215" t="inlineStr">
        <is>
          <t>Sócio-Administrador</t>
        </is>
      </c>
      <c r="AE215" t="inlineStr">
        <is>
          <t>(81) 3106-5102</t>
        </is>
      </c>
      <c r="AF215" t="inlineStr"/>
      <c r="AG215" t="inlineStr"/>
      <c r="AH215" t="inlineStr">
        <is>
          <t>PE</t>
        </is>
      </c>
      <c r="AI215" t="inlineStr">
        <is>
          <t>JABOATAO DOS GUARARAPES</t>
        </is>
      </c>
      <c r="AJ215" t="inlineStr">
        <is>
          <t>Comércio atacadista de combustíveis realizado por transportador retalhista (T.R.R.)</t>
        </is>
      </c>
      <c r="AK215" t="inlineStr">
        <is>
          <t>DEMAIS</t>
        </is>
      </c>
      <c r="AL215" t="inlineStr">
        <is>
          <t>ATIVA</t>
        </is>
      </c>
      <c r="AM215" s="17" t="inlineStr">
        <is>
          <t>https://lrflideres.com.br/wp-content/uploads/2022/08/4.-EDITAL-2a-LISTA-DE-CREDORES.pdf</t>
        </is>
      </c>
      <c r="AN215" s="18" t="inlineStr">
        <is>
          <t>p1 r8</t>
        </is>
      </c>
      <c r="AO215" s="18" t="inlineStr">
        <is>
          <t>p1: R$ 107.850,00</t>
        </is>
      </c>
      <c r="AP215" s="18" t="inlineStr">
        <is>
          <t>AJ_LIST</t>
        </is>
      </c>
      <c r="AQ215" s="18" t="inlineStr">
        <is>
          <t>2023-12-04</t>
        </is>
      </c>
      <c r="AR215" s="18" t="inlineStr">
        <is>
          <t>OK</t>
        </is>
      </c>
      <c r="AS215" s="18" t="inlineStr">
        <is>
          <t>ROWS:p1r8</t>
        </is>
      </c>
      <c r="AT215" s="18" t="inlineStr">
        <is>
          <t>1355f93a13cd</t>
        </is>
      </c>
    </row>
    <row r="216">
      <c r="A216" s="9" t="n">
        <v>215</v>
      </c>
      <c r="B216" s="9" t="inlineStr">
        <is>
          <t>NEW</t>
        </is>
      </c>
      <c r="C216" s="9" t="inlineStr"/>
      <c r="D216" s="9" t="n">
        <v>0</v>
      </c>
      <c r="E216" s="9" t="inlineStr"/>
      <c r="F216" s="9" t="inlineStr"/>
      <c r="G216" s="9" t="inlineStr"/>
      <c r="H216" s="9" t="inlineStr"/>
      <c r="I216" t="inlineStr">
        <is>
          <t>M.C. ARRUDA ADMINISTRADORA DE BENS S.A.</t>
        </is>
      </c>
      <c r="J216" t="inlineStr">
        <is>
          <t>M.C. ARRUDA ADMINISTRADORA DE BENS S.A</t>
        </is>
      </c>
      <c r="K216" t="inlineStr">
        <is>
          <t>14724478</t>
        </is>
      </c>
      <c r="L216" t="inlineStr">
        <is>
          <t>14724478000179</t>
        </is>
      </c>
      <c r="M216" s="10" t="n">
        <v>107500</v>
      </c>
      <c r="N216" t="n">
        <v>1</v>
      </c>
      <c r="O216" s="11" t="inlineStr">
        <is>
          <t>B</t>
        </is>
      </c>
      <c r="P216" s="11" t="inlineStr">
        <is>
          <t>ACTIVE</t>
        </is>
      </c>
      <c r="Q216" s="12" t="n">
        <v>45685</v>
      </c>
      <c r="R216" s="11">
        <f>IF(Q216="","",ROUND((TODAY()-Q216)/365.25,1))</f>
        <v/>
      </c>
      <c r="S216" s="13">
        <f>IFERROR(VLOOKUP(O216,Assumptions!$A$7:$F$11,2,FALSE),0.25)</f>
        <v/>
      </c>
      <c r="T216" s="14">
        <f>IF(O216="A",MAX(1,IFERROR(VLOOKUP(O216,Assumptions!$A$7:$F$11,3,FALSE),3)+IFERROR(VLOOKUP(O216,Assumptions!$A$7:$F$11,4,FALSE),8)/2-MAX(0,IF(R216="",0,R216)-IFERROR(VLOOKUP(O216,Assumptions!$A$7:$F$11,5,FALSE),1.5))),IFERROR(VLOOKUP(O216,Assumptions!$A$7:$F$11,5,FALSE),2.5)+IFERROR(VLOOKUP(O216,Assumptions!$A$7:$F$11,3,FALSE),3)+IFERROR(VLOOKUP(O216,Assumptions!$A$7:$F$11,4,FALSE),8)/2)</f>
        <v/>
      </c>
      <c r="U216" s="15">
        <f>M216*S216/(1+Assumptions!$B$3)^T216</f>
        <v/>
      </c>
      <c r="V216" s="11">
        <f>IF(M216=0,"",ROUND(U216/M216*100,1))</f>
        <v/>
      </c>
      <c r="W216" s="16">
        <f>U216*Assumptions!$B$4</f>
        <v/>
      </c>
      <c r="X216" s="11">
        <f>IF(M216=0,"",ROUND(W216/M216*100,1))</f>
        <v/>
      </c>
      <c r="Y216" t="inlineStr">
        <is>
          <t>Grupo Arruda (ARRUDA &amp; MELO REPRESENTACAO DE ALIMENTOS E BEBIDAS LTDA, ARRUDA &amp; MELO COMERCIO E DISTRIBUICAO DE ALIMENTOS E BEBIDAS LTDA, ARRUDA &amp; MELO COMERCIO E DISTRIBUICAO DE ALIMENTOS E BEBIDAS DA BAHIA LTDA)</t>
        </is>
      </c>
      <c r="Z216" t="inlineStr">
        <is>
          <t>0008526-45.2025.8.17.2001</t>
        </is>
      </c>
      <c r="AA216" t="inlineStr">
        <is>
          <t>TJPE</t>
        </is>
      </c>
      <c r="AB216" t="inlineStr">
        <is>
          <t>diligence.adm.br</t>
        </is>
      </c>
      <c r="AC216" t="inlineStr">
        <is>
          <t>AMANDA MARILIA SALDANHA ARRUDA</t>
        </is>
      </c>
      <c r="AD216" t="inlineStr">
        <is>
          <t>Diretor</t>
        </is>
      </c>
      <c r="AE216" t="inlineStr">
        <is>
          <t>(81) 3314-2110</t>
        </is>
      </c>
      <c r="AF216" t="inlineStr"/>
      <c r="AG216" t="inlineStr"/>
      <c r="AH216" t="inlineStr">
        <is>
          <t>PE</t>
        </is>
      </c>
      <c r="AI216" t="inlineStr">
        <is>
          <t>RECIFE</t>
        </is>
      </c>
      <c r="AJ216" t="inlineStr">
        <is>
          <t>Gestão e administração da propriedade imobiliária</t>
        </is>
      </c>
      <c r="AK216" t="inlineStr">
        <is>
          <t>DEMAIS</t>
        </is>
      </c>
      <c r="AL216" t="inlineStr">
        <is>
          <t>ATIVA</t>
        </is>
      </c>
      <c r="AM216" s="17" t="inlineStr">
        <is>
          <t>https://diligence.adm.br/wp-content/uploads/2025/06/Edital-1a-Lista-de-Credores.pdf</t>
        </is>
      </c>
      <c r="AN216" s="18" t="inlineStr">
        <is>
          <t>p5 r57</t>
        </is>
      </c>
      <c r="AO216" s="18" t="inlineStr">
        <is>
          <t>p5: R$ 107.500,00</t>
        </is>
      </c>
      <c r="AP216" s="18" t="inlineStr">
        <is>
          <t>DEBTOR_LIST</t>
        </is>
      </c>
      <c r="AQ216" s="18" t="inlineStr">
        <is>
          <t>2025-06-10</t>
        </is>
      </c>
      <c r="AR216" s="18" t="inlineStr">
        <is>
          <t>OK</t>
        </is>
      </c>
      <c r="AS216" s="18" t="inlineStr">
        <is>
          <t>ROWS:p5r57</t>
        </is>
      </c>
      <c r="AT216" s="18" t="inlineStr">
        <is>
          <t>1658892fa167</t>
        </is>
      </c>
    </row>
    <row r="217">
      <c r="A217" s="9" t="n">
        <v>216</v>
      </c>
      <c r="B217" s="9" t="inlineStr">
        <is>
          <t>NEW</t>
        </is>
      </c>
      <c r="C217" s="9" t="inlineStr"/>
      <c r="D217" s="9" t="n">
        <v>0</v>
      </c>
      <c r="E217" s="9" t="inlineStr"/>
      <c r="F217" s="9" t="inlineStr"/>
      <c r="G217" s="9" t="inlineStr"/>
      <c r="H217" s="9" t="inlineStr"/>
      <c r="I217" t="inlineStr">
        <is>
          <t>CAEDU COMERCIO VAREJISTA DE ARTIGOS DO VESTUARIO SA</t>
        </is>
      </c>
      <c r="J217" t="inlineStr">
        <is>
          <t>CAEDU COMERCIO VAREJISTA DE ARTIGOS DO VESTUARIO SA</t>
        </is>
      </c>
      <c r="K217" t="inlineStr">
        <is>
          <t>46377727</t>
        </is>
      </c>
      <c r="L217" t="inlineStr">
        <is>
          <t>46377727007015</t>
        </is>
      </c>
      <c r="M217" s="10" t="n">
        <v>106032</v>
      </c>
      <c r="N217" t="n">
        <v>1</v>
      </c>
      <c r="O217" s="11" t="inlineStr">
        <is>
          <t>C</t>
        </is>
      </c>
      <c r="P217" s="11" t="inlineStr">
        <is>
          <t>ACTIVE</t>
        </is>
      </c>
      <c r="Q217" s="12" t="n">
        <v>44571</v>
      </c>
      <c r="R217" s="11">
        <f>IF(Q217="","",ROUND((TODAY()-Q217)/365.25,1))</f>
        <v/>
      </c>
      <c r="S217" s="13">
        <f>IFERROR(VLOOKUP(O217,Assumptions!$A$7:$F$11,2,FALSE),0.25)</f>
        <v/>
      </c>
      <c r="T217" s="14">
        <f>IF(O217="A",MAX(1,IFERROR(VLOOKUP(O217,Assumptions!$A$7:$F$11,3,FALSE),3)+IFERROR(VLOOKUP(O217,Assumptions!$A$7:$F$11,4,FALSE),8)/2-MAX(0,IF(R217="",0,R217)-IFERROR(VLOOKUP(O217,Assumptions!$A$7:$F$11,5,FALSE),1.5))),IFERROR(VLOOKUP(O217,Assumptions!$A$7:$F$11,5,FALSE),2.5)+IFERROR(VLOOKUP(O217,Assumptions!$A$7:$F$11,3,FALSE),3)+IFERROR(VLOOKUP(O217,Assumptions!$A$7:$F$11,4,FALSE),8)/2)</f>
        <v/>
      </c>
      <c r="U217" s="15">
        <f>M217*S217/(1+Assumptions!$B$3)^T217</f>
        <v/>
      </c>
      <c r="V217" s="11">
        <f>IF(M217=0,"",ROUND(U217/M217*100,1))</f>
        <v/>
      </c>
      <c r="W217" s="16">
        <f>U217*Assumptions!$B$4</f>
        <v/>
      </c>
      <c r="X217" s="11">
        <f>IF(M217=0,"",ROUND(W217/M217*100,1))</f>
        <v/>
      </c>
      <c r="Y217" t="inlineStr">
        <is>
          <t>GRUPO CATTAN</t>
        </is>
      </c>
      <c r="Z217" t="inlineStr">
        <is>
          <t>0002484-82.2022.8.17.2001</t>
        </is>
      </c>
      <c r="AA217" t="inlineStr">
        <is>
          <t>TJPE</t>
        </is>
      </c>
      <c r="AB217" t="inlineStr">
        <is>
          <t>lrflideres.com.br</t>
        </is>
      </c>
      <c r="AC217" t="inlineStr">
        <is>
          <t>LUCILENE DA PALMA PEDROSO</t>
        </is>
      </c>
      <c r="AD217" t="inlineStr">
        <is>
          <t>Presidente</t>
        </is>
      </c>
      <c r="AE217" t="inlineStr">
        <is>
          <t>(11) 3469-2300</t>
        </is>
      </c>
      <c r="AF217" t="inlineStr"/>
      <c r="AG217" t="inlineStr"/>
      <c r="AH217" t="inlineStr">
        <is>
          <t>SP</t>
        </is>
      </c>
      <c r="AI217" t="inlineStr">
        <is>
          <t>SAO PAULO</t>
        </is>
      </c>
      <c r="AJ217" t="inlineStr">
        <is>
          <t>Comércio varejista de artigos do vestuário e acessórios</t>
        </is>
      </c>
      <c r="AK217" t="inlineStr">
        <is>
          <t>DEMAIS</t>
        </is>
      </c>
      <c r="AL217" t="inlineStr">
        <is>
          <t>ATIVA</t>
        </is>
      </c>
      <c r="AM217" s="17" t="inlineStr">
        <is>
          <t>https://lrflideres.com.br/wp-content/plugins/download-attachments/includes/download.php?id=4023</t>
        </is>
      </c>
      <c r="AN217" s="18" t="inlineStr">
        <is>
          <t>p7 r82</t>
        </is>
      </c>
      <c r="AO217" s="18" t="inlineStr">
        <is>
          <t>p7: R$ 106.032,00</t>
        </is>
      </c>
      <c r="AP217" s="18" t="inlineStr">
        <is>
          <t>DEBTOR_LIST</t>
        </is>
      </c>
      <c r="AQ217" s="18" t="inlineStr"/>
      <c r="AR217" s="18" t="inlineStr">
        <is>
          <t>QUARANTINED</t>
        </is>
      </c>
      <c r="AS217" s="18" t="inlineStr">
        <is>
          <t>PARTIAL_DOC_CLASS_III_RECONCILED ROWS:p7r82</t>
        </is>
      </c>
      <c r="AT217" s="18" t="inlineStr">
        <is>
          <t>f3b6182e3aa2</t>
        </is>
      </c>
    </row>
    <row r="218">
      <c r="A218" s="9" t="n">
        <v>217</v>
      </c>
      <c r="B218" s="9" t="inlineStr">
        <is>
          <t>NEW</t>
        </is>
      </c>
      <c r="C218" s="9" t="inlineStr"/>
      <c r="D218" s="9" t="n">
        <v>0</v>
      </c>
      <c r="E218" s="9" t="inlineStr"/>
      <c r="F218" s="9" t="inlineStr"/>
      <c r="G218" s="9" t="inlineStr"/>
      <c r="H218" s="9" t="inlineStr"/>
      <c r="I218" t="inlineStr">
        <is>
          <t>VFS SISTEMA ELETRONICO DE ALARME LTDA</t>
        </is>
      </c>
      <c r="J218" t="inlineStr">
        <is>
          <t>VFS SISTEMA ELETRONICO DE ALARME LTDA</t>
        </is>
      </c>
      <c r="K218" t="inlineStr">
        <is>
          <t>16693500</t>
        </is>
      </c>
      <c r="L218" t="inlineStr">
        <is>
          <t>16693500000196</t>
        </is>
      </c>
      <c r="M218" s="10" t="n">
        <v>105643.9</v>
      </c>
      <c r="N218" t="n">
        <v>1</v>
      </c>
      <c r="O218" s="11" t="inlineStr">
        <is>
          <t>B</t>
        </is>
      </c>
      <c r="P218" s="11" t="inlineStr">
        <is>
          <t>ACTIVE</t>
        </is>
      </c>
      <c r="Q218" s="12" t="n">
        <v>45617</v>
      </c>
      <c r="R218" s="11">
        <f>IF(Q218="","",ROUND((TODAY()-Q218)/365.25,1))</f>
        <v/>
      </c>
      <c r="S218" s="13">
        <f>IFERROR(VLOOKUP(O218,Assumptions!$A$7:$F$11,2,FALSE),0.25)</f>
        <v/>
      </c>
      <c r="T218" s="14">
        <f>IF(O218="A",MAX(1,IFERROR(VLOOKUP(O218,Assumptions!$A$7:$F$11,3,FALSE),3)+IFERROR(VLOOKUP(O218,Assumptions!$A$7:$F$11,4,FALSE),8)/2-MAX(0,IF(R218="",0,R218)-IFERROR(VLOOKUP(O218,Assumptions!$A$7:$F$11,5,FALSE),1.5))),IFERROR(VLOOKUP(O218,Assumptions!$A$7:$F$11,5,FALSE),2.5)+IFERROR(VLOOKUP(O218,Assumptions!$A$7:$F$11,3,FALSE),3)+IFERROR(VLOOKUP(O218,Assumptions!$A$7:$F$11,4,FALSE),8)/2)</f>
        <v/>
      </c>
      <c r="U218" s="15">
        <f>M218*S218/(1+Assumptions!$B$3)^T218</f>
        <v/>
      </c>
      <c r="V218" s="11">
        <f>IF(M218=0,"",ROUND(U218/M218*100,1))</f>
        <v/>
      </c>
      <c r="W218" s="16">
        <f>U218*Assumptions!$B$4</f>
        <v/>
      </c>
      <c r="X218" s="11">
        <f>IF(M218=0,"",ROUND(W218/M218*100,1))</f>
        <v/>
      </c>
      <c r="Y218" t="inlineStr">
        <is>
          <t>GRUPO CEAM</t>
        </is>
      </c>
      <c r="Z218" t="inlineStr">
        <is>
          <t>0133628-14.2024.8.17.2001</t>
        </is>
      </c>
      <c r="AA218" t="inlineStr">
        <is>
          <t>TJPE</t>
        </is>
      </c>
      <c r="AB218" t="inlineStr">
        <is>
          <t>recuperasolucoes.com</t>
        </is>
      </c>
      <c r="AC218" t="inlineStr">
        <is>
          <t>VALDERLI FRANCISCO DA SILVA</t>
        </is>
      </c>
      <c r="AD218" t="inlineStr">
        <is>
          <t>Sócio-Administrador</t>
        </is>
      </c>
      <c r="AE218" t="inlineStr">
        <is>
          <t>(81) 3423-9384</t>
        </is>
      </c>
      <c r="AF218" t="inlineStr">
        <is>
          <t>(81) 3423-9384</t>
        </is>
      </c>
      <c r="AG218" t="inlineStr"/>
      <c r="AH218" t="inlineStr">
        <is>
          <t>PE</t>
        </is>
      </c>
      <c r="AI218" t="inlineStr">
        <is>
          <t>RECIFE</t>
        </is>
      </c>
      <c r="AJ218" t="inlineStr">
        <is>
          <t>Aluguel de outras máquinas e equipamentos comerciais e industriais não especificados anteriormente, sem operador</t>
        </is>
      </c>
      <c r="AK218" t="inlineStr">
        <is>
          <t>DEMAIS</t>
        </is>
      </c>
      <c r="AL218" t="inlineStr">
        <is>
          <t>ATIVA</t>
        </is>
      </c>
      <c r="AM218" s="17" t="inlineStr">
        <is>
          <t>https://recuperasolucoes.com/wp-content/plugins/download-attachments/includes/download.php?id=1492</t>
        </is>
      </c>
      <c r="AN218" s="18" t="inlineStr">
        <is>
          <t>p5 r75</t>
        </is>
      </c>
      <c r="AO218" s="18" t="inlineStr">
        <is>
          <t>p5: R$ 105.643,90</t>
        </is>
      </c>
      <c r="AP218" s="18" t="inlineStr">
        <is>
          <t>AJ_LIST</t>
        </is>
      </c>
      <c r="AQ218" s="18" t="inlineStr">
        <is>
          <t>2025-09-12</t>
        </is>
      </c>
      <c r="AR218" s="18" t="inlineStr">
        <is>
          <t>OK</t>
        </is>
      </c>
      <c r="AS218" s="18" t="inlineStr">
        <is>
          <t>ROWS:p5r75</t>
        </is>
      </c>
      <c r="AT218" s="18" t="inlineStr">
        <is>
          <t>e9d023c65bbd</t>
        </is>
      </c>
    </row>
    <row r="219">
      <c r="A219" s="9" t="n">
        <v>218</v>
      </c>
      <c r="B219" s="9" t="inlineStr">
        <is>
          <t>NEW</t>
        </is>
      </c>
      <c r="C219" s="9" t="inlineStr"/>
      <c r="D219" s="9" t="n">
        <v>0</v>
      </c>
      <c r="E219" s="9" t="inlineStr"/>
      <c r="F219" s="9" t="inlineStr"/>
      <c r="G219" s="9" t="inlineStr"/>
      <c r="H219" s="9" t="inlineStr"/>
      <c r="I219" t="inlineStr">
        <is>
          <t>ANTONIO MIACHON PALHARES</t>
        </is>
      </c>
      <c r="J219" t="inlineStr">
        <is>
          <t>ANTONIO MIACHON PALHARES</t>
        </is>
      </c>
      <c r="K219" t="inlineStr">
        <is>
          <t>08047566</t>
        </is>
      </c>
      <c r="L219" t="inlineStr">
        <is>
          <t>08047566000180</t>
        </is>
      </c>
      <c r="M219" s="10" t="n">
        <v>105542.7</v>
      </c>
      <c r="N219" t="n">
        <v>4</v>
      </c>
      <c r="O219" s="11" t="inlineStr">
        <is>
          <t>B</t>
        </is>
      </c>
      <c r="P219" s="11" t="inlineStr">
        <is>
          <t>ACTIVE</t>
        </is>
      </c>
      <c r="Q219" s="12" t="n">
        <v>45713</v>
      </c>
      <c r="R219" s="11">
        <f>IF(Q219="","",ROUND((TODAY()-Q219)/365.25,1))</f>
        <v/>
      </c>
      <c r="S219" s="13">
        <f>IFERROR(VLOOKUP(O219,Assumptions!$A$7:$F$11,2,FALSE),0.25)</f>
        <v/>
      </c>
      <c r="T219" s="14">
        <f>IF(O219="A",MAX(1,IFERROR(VLOOKUP(O219,Assumptions!$A$7:$F$11,3,FALSE),3)+IFERROR(VLOOKUP(O219,Assumptions!$A$7:$F$11,4,FALSE),8)/2-MAX(0,IF(R219="",0,R219)-IFERROR(VLOOKUP(O219,Assumptions!$A$7:$F$11,5,FALSE),1.5))),IFERROR(VLOOKUP(O219,Assumptions!$A$7:$F$11,5,FALSE),2.5)+IFERROR(VLOOKUP(O219,Assumptions!$A$7:$F$11,3,FALSE),3)+IFERROR(VLOOKUP(O219,Assumptions!$A$7:$F$11,4,FALSE),8)/2)</f>
        <v/>
      </c>
      <c r="U219" s="15">
        <f>M219*S219/(1+Assumptions!$B$3)^T219</f>
        <v/>
      </c>
      <c r="V219" s="11">
        <f>IF(M219=0,"",ROUND(U219/M219*100,1))</f>
        <v/>
      </c>
      <c r="W219" s="16">
        <f>U219*Assumptions!$B$4</f>
        <v/>
      </c>
      <c r="X219" s="11">
        <f>IF(M219=0,"",ROUND(W219/M219*100,1))</f>
        <v/>
      </c>
      <c r="Y219" t="inlineStr">
        <is>
          <t>FLAVOUR MIX IND. E REP. ALIM. E INGR. QUÍMICOS LTDA.</t>
        </is>
      </c>
      <c r="Z219" t="inlineStr">
        <is>
          <t>1000119-75.2025.8.26.0354</t>
        </is>
      </c>
      <c r="AA219" t="inlineStr">
        <is>
          <t>TJSP</t>
        </is>
      </c>
      <c r="AB219" t="inlineStr">
        <is>
          <t>ativosajce.com.br</t>
        </is>
      </c>
      <c r="AC219" t="inlineStr"/>
      <c r="AD219" t="inlineStr"/>
      <c r="AE219" t="inlineStr">
        <is>
          <t>(19) 3562-7553</t>
        </is>
      </c>
      <c r="AF219" t="inlineStr"/>
      <c r="AG219" t="inlineStr"/>
      <c r="AH219" t="inlineStr">
        <is>
          <t>SP</t>
        </is>
      </c>
      <c r="AI219" t="inlineStr">
        <is>
          <t>PIRASSUNUNGA</t>
        </is>
      </c>
      <c r="AJ219" t="inlineStr">
        <is>
          <t>Cultivo de laranja</t>
        </is>
      </c>
      <c r="AK219" t="inlineStr">
        <is>
          <t>DEMAIS</t>
        </is>
      </c>
      <c r="AL219" t="inlineStr">
        <is>
          <t>ATIVA</t>
        </is>
      </c>
      <c r="AM219" s="17" t="inlineStr">
        <is>
          <t>https://ativosajce.com.br/admin/download.php?file=files/processo_documento/processo_documento13422625032025_1_.pdf&amp;nome=Relação de Credores - Art. 52º § 1º, da Lei nº 11.101/2005 - 25/02/2025</t>
        </is>
      </c>
      <c r="AN219" s="18" t="inlineStr">
        <is>
          <t>p3 r7; p3 r8; p3 r9; p3 r10</t>
        </is>
      </c>
      <c r="AO219" s="18" t="inlineStr">
        <is>
          <t>p3: R$ 20.000,00; p3: R$ 20.061,00; p3: R$ 25.488,00; p3: R$ 39.993,70</t>
        </is>
      </c>
      <c r="AP219" s="18" t="inlineStr">
        <is>
          <t>UNKNOWN</t>
        </is>
      </c>
      <c r="AQ219" s="18" t="inlineStr">
        <is>
          <t>2025-02-28</t>
        </is>
      </c>
      <c r="AR219" s="18" t="inlineStr">
        <is>
          <t>OK_NO_TOTALS</t>
        </is>
      </c>
      <c r="AS219" s="18" t="inlineStr">
        <is>
          <t>ROWS:p3r7,p3r8,p3r9,p3r10 UNRECONCILED_SOURCE</t>
        </is>
      </c>
      <c r="AT219" s="18" t="inlineStr">
        <is>
          <t>7e2dd0270ed8</t>
        </is>
      </c>
    </row>
    <row r="220">
      <c r="A220" s="9" t="n">
        <v>219</v>
      </c>
      <c r="B220" s="9" t="inlineStr">
        <is>
          <t>NEW</t>
        </is>
      </c>
      <c r="C220" s="9" t="inlineStr"/>
      <c r="D220" s="9" t="n">
        <v>0</v>
      </c>
      <c r="E220" s="9" t="inlineStr"/>
      <c r="F220" s="9" t="inlineStr"/>
      <c r="G220" s="9" t="inlineStr"/>
      <c r="H220" s="9" t="inlineStr"/>
      <c r="I220" t="inlineStr">
        <is>
          <t>BRANYL COMERCIO E INDUSTRIA TEXTIL LTDA</t>
        </is>
      </c>
      <c r="J220" t="inlineStr">
        <is>
          <t>BRANYL COM. IND. TEXTIL LTDA.</t>
        </is>
      </c>
      <c r="K220" t="inlineStr">
        <is>
          <t>43631191</t>
        </is>
      </c>
      <c r="L220" t="inlineStr">
        <is>
          <t>43631191000100</t>
        </is>
      </c>
      <c r="M220" s="10" t="n">
        <v>105513.48</v>
      </c>
      <c r="N220" t="n">
        <v>1</v>
      </c>
      <c r="O220" s="11" t="inlineStr">
        <is>
          <t>D</t>
        </is>
      </c>
      <c r="P220" s="11" t="inlineStr"/>
      <c r="Q220" s="12" t="inlineStr"/>
      <c r="R220" s="11">
        <f>IF(Q220="","",ROUND((TODAY()-Q220)/365.25,1))</f>
        <v/>
      </c>
      <c r="S220" s="13">
        <f>IFERROR(VLOOKUP(O220,Assumptions!$A$7:$F$11,2,FALSE),0.25)</f>
        <v/>
      </c>
      <c r="T220" s="14">
        <f>IF(O220="A",MAX(1,IFERROR(VLOOKUP(O220,Assumptions!$A$7:$F$11,3,FALSE),3)+IFERROR(VLOOKUP(O220,Assumptions!$A$7:$F$11,4,FALSE),8)/2-MAX(0,IF(R220="",0,R220)-IFERROR(VLOOKUP(O220,Assumptions!$A$7:$F$11,5,FALSE),1.5))),IFERROR(VLOOKUP(O220,Assumptions!$A$7:$F$11,5,FALSE),2.5)+IFERROR(VLOOKUP(O220,Assumptions!$A$7:$F$11,3,FALSE),3)+IFERROR(VLOOKUP(O220,Assumptions!$A$7:$F$11,4,FALSE),8)/2)</f>
        <v/>
      </c>
      <c r="U220" s="15">
        <f>M220*S220/(1+Assumptions!$B$3)^T220</f>
        <v/>
      </c>
      <c r="V220" s="11">
        <f>IF(M220=0,"",ROUND(U220/M220*100,1))</f>
        <v/>
      </c>
      <c r="W220" s="16">
        <f>U220*Assumptions!$B$4</f>
        <v/>
      </c>
      <c r="X220" s="11">
        <f>IF(M220=0,"",ROUND(W220/M220*100,1))</f>
        <v/>
      </c>
      <c r="Y220" t="inlineStr">
        <is>
          <t>Mannes</t>
        </is>
      </c>
      <c r="Z220" t="inlineStr">
        <is>
          <t>0005010-50.2013.8.24.0026</t>
        </is>
      </c>
      <c r="AA220" t="inlineStr"/>
      <c r="AB220" t="inlineStr">
        <is>
          <t>administradorajudicialgs.com.br</t>
        </is>
      </c>
      <c r="AC220" t="inlineStr">
        <is>
          <t>ANDRE PABLO LEBL</t>
        </is>
      </c>
      <c r="AD220" t="inlineStr">
        <is>
          <t>Sócio-Administrador</t>
        </is>
      </c>
      <c r="AE220" t="inlineStr">
        <is>
          <t>(19) 3492-8400</t>
        </is>
      </c>
      <c r="AF220" t="inlineStr"/>
      <c r="AG220" t="inlineStr"/>
      <c r="AH220" t="inlineStr">
        <is>
          <t>SP</t>
        </is>
      </c>
      <c r="AI220" t="inlineStr">
        <is>
          <t>CAPIVARI</t>
        </is>
      </c>
      <c r="AJ220" t="inlineStr">
        <is>
          <t>Fabricação de tecidos de malha</t>
        </is>
      </c>
      <c r="AK220" t="inlineStr">
        <is>
          <t>DEMAIS</t>
        </is>
      </c>
      <c r="AL220" t="inlineStr">
        <is>
          <t>ATIVA</t>
        </is>
      </c>
      <c r="AM220" s="17" t="inlineStr">
        <is>
          <t>https://administradorajudicialgs.com.br/wp-content/uploads/2024/12/relacao-de-credores-da-falida.pdf</t>
        </is>
      </c>
      <c r="AN220" s="18" t="inlineStr">
        <is>
          <t>p13 r24</t>
        </is>
      </c>
      <c r="AO220" s="18" t="inlineStr">
        <is>
          <t>p13: R$ 105.513,48</t>
        </is>
      </c>
      <c r="AP220" s="18" t="inlineStr">
        <is>
          <t>OTHER</t>
        </is>
      </c>
      <c r="AQ220" s="18" t="inlineStr">
        <is>
          <t>2025-03-25</t>
        </is>
      </c>
      <c r="AR220" s="18" t="inlineStr">
        <is>
          <t>OK_NO_TOTALS</t>
        </is>
      </c>
      <c r="AS220" s="18" t="inlineStr">
        <is>
          <t>ROWS:p13r24 UNRECONCILED_SOURCE CASE_NUMBER_CORRECTED</t>
        </is>
      </c>
      <c r="AT220" s="18" t="inlineStr">
        <is>
          <t>ea17ba43b261</t>
        </is>
      </c>
    </row>
    <row r="221">
      <c r="A221" s="9" t="n">
        <v>220</v>
      </c>
      <c r="B221" s="9" t="inlineStr">
        <is>
          <t>NEW</t>
        </is>
      </c>
      <c r="C221" s="9" t="inlineStr"/>
      <c r="D221" s="9" t="n">
        <v>0</v>
      </c>
      <c r="E221" s="9" t="inlineStr"/>
      <c r="F221" s="9" t="inlineStr"/>
      <c r="G221" s="9" t="inlineStr"/>
      <c r="H221" s="9" t="inlineStr"/>
      <c r="I221" t="inlineStr">
        <is>
          <t>CLIMAZON INDUSTRIAL LTDA</t>
        </is>
      </c>
      <c r="J221" t="inlineStr">
        <is>
          <t>04.222.931/0001-95</t>
        </is>
      </c>
      <c r="K221" t="inlineStr">
        <is>
          <t>04222931</t>
        </is>
      </c>
      <c r="L221" t="inlineStr">
        <is>
          <t>04222931000195</t>
        </is>
      </c>
      <c r="M221" s="10" t="n">
        <v>105350.62</v>
      </c>
      <c r="N221" t="n">
        <v>1</v>
      </c>
      <c r="O221" s="11" t="inlineStr">
        <is>
          <t>C</t>
        </is>
      </c>
      <c r="P221" s="11" t="inlineStr">
        <is>
          <t>ACTIVE</t>
        </is>
      </c>
      <c r="Q221" s="12" t="n">
        <v>43894</v>
      </c>
      <c r="R221" s="11">
        <f>IF(Q221="","",ROUND((TODAY()-Q221)/365.25,1))</f>
        <v/>
      </c>
      <c r="S221" s="13">
        <f>IFERROR(VLOOKUP(O221,Assumptions!$A$7:$F$11,2,FALSE),0.25)</f>
        <v/>
      </c>
      <c r="T221" s="14">
        <f>IF(O221="A",MAX(1,IFERROR(VLOOKUP(O221,Assumptions!$A$7:$F$11,3,FALSE),3)+IFERROR(VLOOKUP(O221,Assumptions!$A$7:$F$11,4,FALSE),8)/2-MAX(0,IF(R221="",0,R221)-IFERROR(VLOOKUP(O221,Assumptions!$A$7:$F$11,5,FALSE),1.5))),IFERROR(VLOOKUP(O221,Assumptions!$A$7:$F$11,5,FALSE),2.5)+IFERROR(VLOOKUP(O221,Assumptions!$A$7:$F$11,3,FALSE),3)+IFERROR(VLOOKUP(O221,Assumptions!$A$7:$F$11,4,FALSE),8)/2)</f>
        <v/>
      </c>
      <c r="U221" s="15">
        <f>M221*S221/(1+Assumptions!$B$3)^T221</f>
        <v/>
      </c>
      <c r="V221" s="11">
        <f>IF(M221=0,"",ROUND(U221/M221*100,1))</f>
        <v/>
      </c>
      <c r="W221" s="16">
        <f>U221*Assumptions!$B$4</f>
        <v/>
      </c>
      <c r="X221" s="11">
        <f>IF(M221=0,"",ROUND(W221/M221*100,1))</f>
        <v/>
      </c>
      <c r="Y221" t="inlineStr">
        <is>
          <t>CREDIMÓVEIS NOVOLAR LTDA.</t>
        </is>
      </c>
      <c r="Z221" t="inlineStr">
        <is>
          <t>0007565-40.2020.8.17.2370</t>
        </is>
      </c>
      <c r="AA221" t="inlineStr">
        <is>
          <t>TJPE</t>
        </is>
      </c>
      <c r="AB221" t="inlineStr">
        <is>
          <t>recuperacaojudicial.squarespace.com</t>
        </is>
      </c>
      <c r="AC221" t="inlineStr">
        <is>
          <t>ADRIANO ZACCARI FORTUNA</t>
        </is>
      </c>
      <c r="AD221" t="inlineStr">
        <is>
          <t>Administrador</t>
        </is>
      </c>
      <c r="AE221" t="inlineStr">
        <is>
          <t>(51) 3477-9873</t>
        </is>
      </c>
      <c r="AF221" t="inlineStr">
        <is>
          <t>(51) 3477-9684</t>
        </is>
      </c>
      <c r="AG221" t="inlineStr"/>
      <c r="AH221" t="inlineStr">
        <is>
          <t>AM</t>
        </is>
      </c>
      <c r="AI221" t="inlineStr">
        <is>
          <t>MANAUS</t>
        </is>
      </c>
      <c r="AJ221" t="inlineStr">
        <is>
          <t>Fabricação de aparelhos e equipamentos de ar condicionado para uso não-industrial</t>
        </is>
      </c>
      <c r="AK221" t="inlineStr">
        <is>
          <t>DEMAIS</t>
        </is>
      </c>
      <c r="AL221" t="inlineStr">
        <is>
          <t>ATIVA</t>
        </is>
      </c>
      <c r="AM221" s="17" t="inlineStr">
        <is>
          <t>https://recuperacaojudicial.squarespace.com/s/RJ-Credimoveis-QGC-01082025.pdf</t>
        </is>
      </c>
      <c r="AN221" s="18" t="inlineStr">
        <is>
          <t>p15 r34</t>
        </is>
      </c>
      <c r="AO221" s="18" t="inlineStr">
        <is>
          <t>p15: R$ 105.350,62</t>
        </is>
      </c>
      <c r="AP221" s="18" t="inlineStr">
        <is>
          <t>QGC</t>
        </is>
      </c>
      <c r="AQ221" s="18" t="inlineStr">
        <is>
          <t>2026-01-28</t>
        </is>
      </c>
      <c r="AR221" s="18" t="inlineStr">
        <is>
          <t>OK</t>
        </is>
      </c>
      <c r="AS221" s="18" t="inlineStr">
        <is>
          <t>ROWS:p15r34</t>
        </is>
      </c>
      <c r="AT221" s="18" t="inlineStr">
        <is>
          <t>849d4fe5adce</t>
        </is>
      </c>
    </row>
    <row r="222">
      <c r="A222" s="9" t="n">
        <v>221</v>
      </c>
      <c r="B222" s="9" t="inlineStr">
        <is>
          <t>NEW</t>
        </is>
      </c>
      <c r="C222" s="9" t="inlineStr"/>
      <c r="D222" s="9" t="n">
        <v>0</v>
      </c>
      <c r="E222" s="9" t="inlineStr"/>
      <c r="F222" s="9" t="inlineStr"/>
      <c r="G222" s="9" t="inlineStr"/>
      <c r="H222" s="9" t="inlineStr"/>
      <c r="I222" t="inlineStr">
        <is>
          <t>COOPERATIVA SANTA CLARA LTDA</t>
        </is>
      </c>
      <c r="J222" t="inlineStr">
        <is>
          <t>COOPERATIVA SANTA CLARA LTDA (</t>
        </is>
      </c>
      <c r="K222" t="inlineStr">
        <is>
          <t>88587357</t>
        </is>
      </c>
      <c r="L222" t="inlineStr">
        <is>
          <t>88587357000169</t>
        </is>
      </c>
      <c r="M222" s="10" t="n">
        <v>105043.21</v>
      </c>
      <c r="N222" t="n">
        <v>1</v>
      </c>
      <c r="O222" s="11" t="inlineStr">
        <is>
          <t>C</t>
        </is>
      </c>
      <c r="P222" s="11" t="inlineStr">
        <is>
          <t>ACTIVE</t>
        </is>
      </c>
      <c r="Q222" s="12" t="n">
        <v>44735</v>
      </c>
      <c r="R222" s="11">
        <f>IF(Q222="","",ROUND((TODAY()-Q222)/365.25,1))</f>
        <v/>
      </c>
      <c r="S222" s="13">
        <f>IFERROR(VLOOKUP(O222,Assumptions!$A$7:$F$11,2,FALSE),0.25)</f>
        <v/>
      </c>
      <c r="T222" s="14">
        <f>IF(O222="A",MAX(1,IFERROR(VLOOKUP(O222,Assumptions!$A$7:$F$11,3,FALSE),3)+IFERROR(VLOOKUP(O222,Assumptions!$A$7:$F$11,4,FALSE),8)/2-MAX(0,IF(R222="",0,R222)-IFERROR(VLOOKUP(O222,Assumptions!$A$7:$F$11,5,FALSE),1.5))),IFERROR(VLOOKUP(O222,Assumptions!$A$7:$F$11,5,FALSE),2.5)+IFERROR(VLOOKUP(O222,Assumptions!$A$7:$F$11,3,FALSE),3)+IFERROR(VLOOKUP(O222,Assumptions!$A$7:$F$11,4,FALSE),8)/2)</f>
        <v/>
      </c>
      <c r="U222" s="15">
        <f>M222*S222/(1+Assumptions!$B$3)^T222</f>
        <v/>
      </c>
      <c r="V222" s="11">
        <f>IF(M222=0,"",ROUND(U222/M222*100,1))</f>
        <v/>
      </c>
      <c r="W222" s="16">
        <f>U222*Assumptions!$B$4</f>
        <v/>
      </c>
      <c r="X222" s="11">
        <f>IF(M222=0,"",ROUND(W222/M222*100,1))</f>
        <v/>
      </c>
      <c r="Y222" t="inlineStr">
        <is>
          <t>ASSOCIAÇÃO DE CARIDADE SANTA CASA DO RIO GRANDE</t>
        </is>
      </c>
      <c r="Z222" t="inlineStr">
        <is>
          <t>5012306-16.2022.8.21.0023</t>
        </is>
      </c>
      <c r="AA222" t="inlineStr">
        <is>
          <t>TJRS</t>
        </is>
      </c>
      <c r="AB222" t="inlineStr">
        <is>
          <t>scalzilliaj.com.br</t>
        </is>
      </c>
      <c r="AC222" t="inlineStr">
        <is>
          <t>GELSI BELMIRO THUMS</t>
        </is>
      </c>
      <c r="AD222" t="inlineStr">
        <is>
          <t>Presidente</t>
        </is>
      </c>
      <c r="AE222" t="inlineStr">
        <is>
          <t>(54) 3461-8300</t>
        </is>
      </c>
      <c r="AF222" t="inlineStr"/>
      <c r="AG222" t="inlineStr"/>
      <c r="AH222" t="inlineStr">
        <is>
          <t>RS</t>
        </is>
      </c>
      <c r="AI222" t="inlineStr">
        <is>
          <t>CARLOS BARBOSA</t>
        </is>
      </c>
      <c r="AJ222" t="inlineStr">
        <is>
          <t>Fabricação de laticínios</t>
        </is>
      </c>
      <c r="AK222" t="inlineStr">
        <is>
          <t>DEMAIS</t>
        </is>
      </c>
      <c r="AL222" t="inlineStr">
        <is>
          <t>ATIVA</t>
        </is>
      </c>
      <c r="AM222" s="17" t="inlineStr">
        <is>
          <t>https://scalzilliaj.com.br/sgc/download.php?file=files/processo_documento/processo_documento09120721032023_1_.pdf&amp;nome=15 - Edital do art. 7º, §2º e 53 da Lei 11.101/2005 (segunda lista de credores e recebimento do plano))</t>
        </is>
      </c>
      <c r="AN222" s="18" t="inlineStr">
        <is>
          <t>p26 r51</t>
        </is>
      </c>
      <c r="AO222" s="18" t="inlineStr">
        <is>
          <t>p26: R$ 105.043,21</t>
        </is>
      </c>
      <c r="AP222" s="18" t="inlineStr">
        <is>
          <t>AJ_LIST</t>
        </is>
      </c>
      <c r="AQ222" s="18" t="inlineStr">
        <is>
          <t>2023-03-21</t>
        </is>
      </c>
      <c r="AR222" s="18" t="inlineStr">
        <is>
          <t>OK_NO_TOTALS</t>
        </is>
      </c>
      <c r="AS222" s="18" t="inlineStr">
        <is>
          <t>ROWS:p26r51 UNRECONCILED_SOURCE</t>
        </is>
      </c>
      <c r="AT222" s="18" t="inlineStr">
        <is>
          <t>ebfb999b457c</t>
        </is>
      </c>
    </row>
    <row r="223">
      <c r="A223" s="9" t="n">
        <v>222</v>
      </c>
      <c r="B223" s="9" t="inlineStr">
        <is>
          <t>NEW</t>
        </is>
      </c>
      <c r="C223" s="9" t="inlineStr"/>
      <c r="D223" s="9" t="n">
        <v>0</v>
      </c>
      <c r="E223" s="9" t="inlineStr"/>
      <c r="F223" s="9" t="inlineStr"/>
      <c r="G223" s="9" t="inlineStr"/>
      <c r="H223" s="9" t="inlineStr"/>
      <c r="I223" t="inlineStr">
        <is>
          <t>LATICINIOS BELA VISTA S.A.</t>
        </is>
      </c>
      <c r="J223" t="inlineStr">
        <is>
          <t>A. B. Supermercados LTDA (CNPJ n° (CNPJ n°</t>
        </is>
      </c>
      <c r="K223" t="inlineStr">
        <is>
          <t>02089969</t>
        </is>
      </c>
      <c r="L223" t="inlineStr">
        <is>
          <t>02089969000106</t>
        </is>
      </c>
      <c r="M223" s="10" t="n">
        <v>104867.8</v>
      </c>
      <c r="N223" t="n">
        <v>1</v>
      </c>
      <c r="O223" s="11" t="inlineStr">
        <is>
          <t>B</t>
        </is>
      </c>
      <c r="P223" s="11" t="inlineStr">
        <is>
          <t>ACTIVE</t>
        </is>
      </c>
      <c r="Q223" s="12" t="n">
        <v>45303</v>
      </c>
      <c r="R223" s="11">
        <f>IF(Q223="","",ROUND((TODAY()-Q223)/365.25,1))</f>
        <v/>
      </c>
      <c r="S223" s="13">
        <f>IFERROR(VLOOKUP(O223,Assumptions!$A$7:$F$11,2,FALSE),0.25)</f>
        <v/>
      </c>
      <c r="T223" s="14">
        <f>IF(O223="A",MAX(1,IFERROR(VLOOKUP(O223,Assumptions!$A$7:$F$11,3,FALSE),3)+IFERROR(VLOOKUP(O223,Assumptions!$A$7:$F$11,4,FALSE),8)/2-MAX(0,IF(R223="",0,R223)-IFERROR(VLOOKUP(O223,Assumptions!$A$7:$F$11,5,FALSE),1.5))),IFERROR(VLOOKUP(O223,Assumptions!$A$7:$F$11,5,FALSE),2.5)+IFERROR(VLOOKUP(O223,Assumptions!$A$7:$F$11,3,FALSE),3)+IFERROR(VLOOKUP(O223,Assumptions!$A$7:$F$11,4,FALSE),8)/2)</f>
        <v/>
      </c>
      <c r="U223" s="15">
        <f>M223*S223/(1+Assumptions!$B$3)^T223</f>
        <v/>
      </c>
      <c r="V223" s="11">
        <f>IF(M223=0,"",ROUND(U223/M223*100,1))</f>
        <v/>
      </c>
      <c r="W223" s="16">
        <f>U223*Assumptions!$B$4</f>
        <v/>
      </c>
      <c r="X223" s="11">
        <f>IF(M223=0,"",ROUND(W223/M223*100,1))</f>
        <v/>
      </c>
      <c r="Y223" t="inlineStr">
        <is>
          <t>Grupo Battisti</t>
        </is>
      </c>
      <c r="Z223" t="inlineStr">
        <is>
          <t>0000357-17.2024.8.16.0131</t>
        </is>
      </c>
      <c r="AA223" t="inlineStr">
        <is>
          <t>TJPR</t>
        </is>
      </c>
      <c r="AB223" t="inlineStr">
        <is>
          <t>marquesadmjudicial.com.br</t>
        </is>
      </c>
      <c r="AC223" t="inlineStr">
        <is>
          <t>LUIZ CLAUDIO LORENZO</t>
        </is>
      </c>
      <c r="AD223" t="inlineStr">
        <is>
          <t>Presidente</t>
        </is>
      </c>
      <c r="AE223" t="inlineStr">
        <is>
          <t>(62) 3946-8300</t>
        </is>
      </c>
      <c r="AF223" t="inlineStr"/>
      <c r="AG223" t="inlineStr"/>
      <c r="AH223" t="inlineStr">
        <is>
          <t>GO</t>
        </is>
      </c>
      <c r="AI223" t="inlineStr">
        <is>
          <t>GOIANIA</t>
        </is>
      </c>
      <c r="AJ223" t="inlineStr">
        <is>
          <t>Fabricação de laticínios</t>
        </is>
      </c>
      <c r="AK223" t="inlineStr">
        <is>
          <t>DEMAIS</t>
        </is>
      </c>
      <c r="AL223" t="inlineStr">
        <is>
          <t>ATIVA</t>
        </is>
      </c>
      <c r="AM223" s="17" t="inlineStr">
        <is>
          <t>https://marquesadmjudicial.com.br/sgc/download.php?file=files/processo_documento/processo_documento10074612042024_1_.pdf&amp;nome=2º Edital-Relação de Credores AJ e PRJ</t>
        </is>
      </c>
      <c r="AN223" s="18" t="inlineStr">
        <is>
          <t>p1 r7</t>
        </is>
      </c>
      <c r="AO223" s="18" t="inlineStr">
        <is>
          <t>p1: R$ 104.867,80</t>
        </is>
      </c>
      <c r="AP223" s="18" t="inlineStr">
        <is>
          <t>AJ_LIST</t>
        </is>
      </c>
      <c r="AQ223" s="18" t="inlineStr">
        <is>
          <t>2024-01-12</t>
        </is>
      </c>
      <c r="AR223" s="18" t="inlineStr">
        <is>
          <t>OK_NO_TOTALS</t>
        </is>
      </c>
      <c r="AS223" s="18" t="inlineStr">
        <is>
          <t>ROWS:p1r7 UNRECONCILED_SOURCE</t>
        </is>
      </c>
      <c r="AT223" s="18" t="inlineStr">
        <is>
          <t>96830f5ef11b</t>
        </is>
      </c>
    </row>
    <row r="224">
      <c r="A224" s="9" t="n">
        <v>223</v>
      </c>
      <c r="B224" s="9" t="inlineStr">
        <is>
          <t>NEW</t>
        </is>
      </c>
      <c r="C224" s="9" t="inlineStr"/>
      <c r="D224" s="9" t="n">
        <v>0</v>
      </c>
      <c r="E224" s="9" t="inlineStr"/>
      <c r="F224" s="9" t="inlineStr"/>
      <c r="G224" s="9" t="inlineStr"/>
      <c r="H224" s="9" t="inlineStr"/>
      <c r="I224" t="inlineStr">
        <is>
          <t>IKINHA INDUSTRIA TEXTIL LTDA</t>
        </is>
      </c>
      <c r="J224" t="inlineStr">
        <is>
          <t>IKINHA INDUSTRIA TEXTIL LTDA</t>
        </is>
      </c>
      <c r="K224" t="inlineStr">
        <is>
          <t>07310843</t>
        </is>
      </c>
      <c r="L224" t="inlineStr">
        <is>
          <t>07310843000133</t>
        </is>
      </c>
      <c r="M224" s="10" t="n">
        <v>104550</v>
      </c>
      <c r="N224" t="n">
        <v>1</v>
      </c>
      <c r="O224" s="11" t="inlineStr">
        <is>
          <t>C</t>
        </is>
      </c>
      <c r="P224" s="11" t="inlineStr">
        <is>
          <t>ACTIVE</t>
        </is>
      </c>
      <c r="Q224" s="12" t="n">
        <v>44571</v>
      </c>
      <c r="R224" s="11">
        <f>IF(Q224="","",ROUND((TODAY()-Q224)/365.25,1))</f>
        <v/>
      </c>
      <c r="S224" s="13">
        <f>IFERROR(VLOOKUP(O224,Assumptions!$A$7:$F$11,2,FALSE),0.25)</f>
        <v/>
      </c>
      <c r="T224" s="14">
        <f>IF(O224="A",MAX(1,IFERROR(VLOOKUP(O224,Assumptions!$A$7:$F$11,3,FALSE),3)+IFERROR(VLOOKUP(O224,Assumptions!$A$7:$F$11,4,FALSE),8)/2-MAX(0,IF(R224="",0,R224)-IFERROR(VLOOKUP(O224,Assumptions!$A$7:$F$11,5,FALSE),1.5))),IFERROR(VLOOKUP(O224,Assumptions!$A$7:$F$11,5,FALSE),2.5)+IFERROR(VLOOKUP(O224,Assumptions!$A$7:$F$11,3,FALSE),3)+IFERROR(VLOOKUP(O224,Assumptions!$A$7:$F$11,4,FALSE),8)/2)</f>
        <v/>
      </c>
      <c r="U224" s="15">
        <f>M224*S224/(1+Assumptions!$B$3)^T224</f>
        <v/>
      </c>
      <c r="V224" s="11">
        <f>IF(M224=0,"",ROUND(U224/M224*100,1))</f>
        <v/>
      </c>
      <c r="W224" s="16">
        <f>U224*Assumptions!$B$4</f>
        <v/>
      </c>
      <c r="X224" s="11">
        <f>IF(M224=0,"",ROUND(W224/M224*100,1))</f>
        <v/>
      </c>
      <c r="Y224" t="inlineStr">
        <is>
          <t>GRUPO CATTAN</t>
        </is>
      </c>
      <c r="Z224" t="inlineStr">
        <is>
          <t>0002484-82.2022.8.17.2001</t>
        </is>
      </c>
      <c r="AA224" t="inlineStr">
        <is>
          <t>TJPE</t>
        </is>
      </c>
      <c r="AB224" t="inlineStr">
        <is>
          <t>lrflideres.com.br</t>
        </is>
      </c>
      <c r="AC224" t="inlineStr">
        <is>
          <t>IVANILDE CRISTINA DE PAULA HAMMES</t>
        </is>
      </c>
      <c r="AD224" t="inlineStr">
        <is>
          <t>Sócio-Administrador</t>
        </is>
      </c>
      <c r="AE224" t="inlineStr">
        <is>
          <t>(24) 2103-9003</t>
        </is>
      </c>
      <c r="AF224" t="inlineStr"/>
      <c r="AG224" t="inlineStr"/>
      <c r="AH224" t="inlineStr">
        <is>
          <t>RJ</t>
        </is>
      </c>
      <c r="AI224" t="inlineStr">
        <is>
          <t>PETROPOLIS</t>
        </is>
      </c>
      <c r="AJ224" t="inlineStr">
        <is>
          <t>Fabricação de tecidos de malha</t>
        </is>
      </c>
      <c r="AK224" t="inlineStr">
        <is>
          <t>DEMAIS</t>
        </is>
      </c>
      <c r="AL224" t="inlineStr">
        <is>
          <t>ATIVA</t>
        </is>
      </c>
      <c r="AM224" s="17" t="inlineStr">
        <is>
          <t>https://lrflideres.com.br/wp-content/plugins/download-attachments/includes/download.php?id=4023</t>
        </is>
      </c>
      <c r="AN224" s="18" t="inlineStr">
        <is>
          <t>p4 r77</t>
        </is>
      </c>
      <c r="AO224" s="18" t="inlineStr">
        <is>
          <t>p4: R$ 104.550,00</t>
        </is>
      </c>
      <c r="AP224" s="18" t="inlineStr">
        <is>
          <t>DEBTOR_LIST</t>
        </is>
      </c>
      <c r="AQ224" s="18" t="inlineStr"/>
      <c r="AR224" s="18" t="inlineStr">
        <is>
          <t>QUARANTINED</t>
        </is>
      </c>
      <c r="AS224" s="18" t="inlineStr">
        <is>
          <t>PARTIAL_DOC_CLASS_III_RECONCILED ROWS:p4r77</t>
        </is>
      </c>
      <c r="AT224" s="18" t="inlineStr">
        <is>
          <t>f3b6182e3aa2</t>
        </is>
      </c>
    </row>
    <row r="225">
      <c r="A225" s="9" t="n">
        <v>224</v>
      </c>
      <c r="B225" s="9" t="inlineStr">
        <is>
          <t>NEW</t>
        </is>
      </c>
      <c r="C225" s="9" t="inlineStr"/>
      <c r="D225" s="9" t="n">
        <v>0</v>
      </c>
      <c r="E225" s="9" t="inlineStr"/>
      <c r="F225" s="9" t="inlineStr"/>
      <c r="G225" s="9" t="inlineStr"/>
      <c r="H225" s="9" t="inlineStr"/>
      <c r="I225" t="inlineStr">
        <is>
          <t>INCENHA TRANSPORTES LTDA - EM RECUPERACAO JUDICIAL</t>
        </is>
      </c>
      <c r="J225" t="inlineStr">
        <is>
          <t>Incenha Transportes Ltda</t>
        </is>
      </c>
      <c r="K225" t="inlineStr">
        <is>
          <t>14014246</t>
        </is>
      </c>
      <c r="L225" t="inlineStr">
        <is>
          <t>14014246000127</t>
        </is>
      </c>
      <c r="M225" s="10" t="n">
        <v>104493.13</v>
      </c>
      <c r="N225" t="n">
        <v>1</v>
      </c>
      <c r="O225" s="11" t="inlineStr">
        <is>
          <t>B</t>
        </is>
      </c>
      <c r="P225" s="11" t="inlineStr">
        <is>
          <t>ACTIVE</t>
        </is>
      </c>
      <c r="Q225" s="12" t="n">
        <v>45460</v>
      </c>
      <c r="R225" s="11">
        <f>IF(Q225="","",ROUND((TODAY()-Q225)/365.25,1))</f>
        <v/>
      </c>
      <c r="S225" s="13">
        <f>IFERROR(VLOOKUP(O225,Assumptions!$A$7:$F$11,2,FALSE),0.25)</f>
        <v/>
      </c>
      <c r="T225" s="14">
        <f>IF(O225="A",MAX(1,IFERROR(VLOOKUP(O225,Assumptions!$A$7:$F$11,3,FALSE),3)+IFERROR(VLOOKUP(O225,Assumptions!$A$7:$F$11,4,FALSE),8)/2-MAX(0,IF(R225="",0,R225)-IFERROR(VLOOKUP(O225,Assumptions!$A$7:$F$11,5,FALSE),1.5))),IFERROR(VLOOKUP(O225,Assumptions!$A$7:$F$11,5,FALSE),2.5)+IFERROR(VLOOKUP(O225,Assumptions!$A$7:$F$11,3,FALSE),3)+IFERROR(VLOOKUP(O225,Assumptions!$A$7:$F$11,4,FALSE),8)/2)</f>
        <v/>
      </c>
      <c r="U225" s="15">
        <f>M225*S225/(1+Assumptions!$B$3)^T225</f>
        <v/>
      </c>
      <c r="V225" s="11">
        <f>IF(M225=0,"",ROUND(U225/M225*100,1))</f>
        <v/>
      </c>
      <c r="W225" s="16">
        <f>U225*Assumptions!$B$4</f>
        <v/>
      </c>
      <c r="X225" s="11">
        <f>IF(M225=0,"",ROUND(W225/M225*100,1))</f>
        <v/>
      </c>
      <c r="Y225" t="inlineStr">
        <is>
          <t>GRUPO D&amp;D</t>
        </is>
      </c>
      <c r="Z225" t="inlineStr">
        <is>
          <t>0001943-40.2024.8.16.0115</t>
        </is>
      </c>
      <c r="AA225" t="inlineStr">
        <is>
          <t>TJPR</t>
        </is>
      </c>
      <c r="AB225" t="inlineStr">
        <is>
          <t>marquesadmjudicial.com.br</t>
        </is>
      </c>
      <c r="AC225" t="inlineStr">
        <is>
          <t>MARCIO APARECIDO INCENHA</t>
        </is>
      </c>
      <c r="AD225" t="inlineStr">
        <is>
          <t>Sócio-Administrador</t>
        </is>
      </c>
      <c r="AE225" t="inlineStr">
        <is>
          <t>(44) 3623-3166</t>
        </is>
      </c>
      <c r="AF225" t="inlineStr"/>
      <c r="AG225" t="inlineStr"/>
      <c r="AH225" t="inlineStr">
        <is>
          <t>PR</t>
        </is>
      </c>
      <c r="AI225" t="inlineStr">
        <is>
          <t>UMUARAMA</t>
        </is>
      </c>
      <c r="AJ225" t="inlineStr">
        <is>
          <t>Transporte rodoviário de produtos perigosos</t>
        </is>
      </c>
      <c r="AK225" t="inlineStr">
        <is>
          <t>DEMAIS</t>
        </is>
      </c>
      <c r="AL225" t="inlineStr">
        <is>
          <t>ATIVA</t>
        </is>
      </c>
      <c r="AM225" s="17" t="inlineStr">
        <is>
          <t>https://marquesadmjudicial.com.br/sgc/download.php?file=files/processo_documento/processo_documento20014127022025_1_.pdf&amp;nome=Relação Nominal de Credores</t>
        </is>
      </c>
      <c r="AN225" s="18" t="inlineStr">
        <is>
          <t>p4 r20</t>
        </is>
      </c>
      <c r="AO225" s="18" t="inlineStr">
        <is>
          <t>p4: R$ 104.493,13</t>
        </is>
      </c>
      <c r="AP225" s="18" t="inlineStr">
        <is>
          <t>AJ_LIST</t>
        </is>
      </c>
      <c r="AQ225" s="18" t="inlineStr">
        <is>
          <t>2024-11-08</t>
        </is>
      </c>
      <c r="AR225" s="18" t="inlineStr">
        <is>
          <t>QUARANTINED</t>
        </is>
      </c>
      <c r="AS225" s="18" t="inlineStr">
        <is>
          <t>PARTIAL_DOC_CLASS_III_RECONCILED ROWS:p4r20</t>
        </is>
      </c>
      <c r="AT225" s="18" t="inlineStr">
        <is>
          <t>dfc3207dcd0f</t>
        </is>
      </c>
    </row>
    <row r="226">
      <c r="A226" s="9" t="n">
        <v>225</v>
      </c>
      <c r="B226" s="9" t="inlineStr">
        <is>
          <t>NEW</t>
        </is>
      </c>
      <c r="C226" s="9" t="inlineStr"/>
      <c r="D226" s="9" t="n">
        <v>0</v>
      </c>
      <c r="E226" s="9" t="inlineStr"/>
      <c r="F226" s="9" t="inlineStr"/>
      <c r="G226" s="9" t="inlineStr"/>
      <c r="H226" s="9" t="inlineStr"/>
      <c r="I226" t="inlineStr">
        <is>
          <t>TEKNO S.A. INDUSTRIA E COMERCIO</t>
        </is>
      </c>
      <c r="J226" t="inlineStr">
        <is>
          <t>TEKNO S.A. INDÚSTRIA E COMÉRCIO (CNPJ</t>
        </is>
      </c>
      <c r="K226" t="inlineStr">
        <is>
          <t>33467572</t>
        </is>
      </c>
      <c r="L226" t="inlineStr">
        <is>
          <t>33467572000304, 33467572000568</t>
        </is>
      </c>
      <c r="M226" s="10" t="n">
        <v>103927.32</v>
      </c>
      <c r="N226" t="n">
        <v>2</v>
      </c>
      <c r="O226" s="11" t="inlineStr">
        <is>
          <t>C</t>
        </is>
      </c>
      <c r="P226" s="11" t="inlineStr"/>
      <c r="Q226" s="12" t="inlineStr"/>
      <c r="R226" s="11">
        <f>IF(Q226="","",ROUND((TODAY()-Q226)/365.25,1))</f>
        <v/>
      </c>
      <c r="S226" s="13">
        <f>IFERROR(VLOOKUP(O226,Assumptions!$A$7:$F$11,2,FALSE),0.25)</f>
        <v/>
      </c>
      <c r="T226" s="14">
        <f>IF(O226="A",MAX(1,IFERROR(VLOOKUP(O226,Assumptions!$A$7:$F$11,3,FALSE),3)+IFERROR(VLOOKUP(O226,Assumptions!$A$7:$F$11,4,FALSE),8)/2-MAX(0,IF(R226="",0,R226)-IFERROR(VLOOKUP(O226,Assumptions!$A$7:$F$11,5,FALSE),1.5))),IFERROR(VLOOKUP(O226,Assumptions!$A$7:$F$11,5,FALSE),2.5)+IFERROR(VLOOKUP(O226,Assumptions!$A$7:$F$11,3,FALSE),3)+IFERROR(VLOOKUP(O226,Assumptions!$A$7:$F$11,4,FALSE),8)/2)</f>
        <v/>
      </c>
      <c r="U226" s="15">
        <f>M226*S226/(1+Assumptions!$B$3)^T226</f>
        <v/>
      </c>
      <c r="V226" s="11">
        <f>IF(M226=0,"",ROUND(U226/M226*100,1))</f>
        <v/>
      </c>
      <c r="W226" s="16">
        <f>U226*Assumptions!$B$4</f>
        <v/>
      </c>
      <c r="X226" s="11">
        <f>IF(M226=0,"",ROUND(W226/M226*100,1))</f>
        <v/>
      </c>
      <c r="Y226" t="inlineStr">
        <is>
          <t>HOKEN INTERNATIONAL</t>
        </is>
      </c>
      <c r="Z226" t="inlineStr">
        <is>
          <t>1032741-02.2020.8.26.0576</t>
        </is>
      </c>
      <c r="AA226" t="inlineStr"/>
      <c r="AB226" t="inlineStr">
        <is>
          <t>brasiltrustee.com.br</t>
        </is>
      </c>
      <c r="AC226" t="inlineStr">
        <is>
          <t>RODRIGO AUGUSTO COSTA DESLANDES</t>
        </is>
      </c>
      <c r="AD226" t="inlineStr">
        <is>
          <t>Presidente</t>
        </is>
      </c>
      <c r="AE226" t="inlineStr">
        <is>
          <t>(12) 3128-5096</t>
        </is>
      </c>
      <c r="AF226" t="inlineStr"/>
      <c r="AG226" t="inlineStr"/>
      <c r="AH226" t="inlineStr">
        <is>
          <t>SP</t>
        </is>
      </c>
      <c r="AI226" t="inlineStr">
        <is>
          <t>GUARATINGUETA</t>
        </is>
      </c>
      <c r="AJ226" t="inlineStr">
        <is>
          <t>Fabricação de outros produtos de metal não especificados anteriormente</t>
        </is>
      </c>
      <c r="AK226" t="inlineStr">
        <is>
          <t>DEMAIS</t>
        </is>
      </c>
      <c r="AL226" t="inlineStr">
        <is>
          <t>ATIVA</t>
        </is>
      </c>
      <c r="AM226" s="17" t="inlineStr">
        <is>
          <t>https://violet-wolf-754008.hostingersite.com/wp-content/uploads/recuperacoes-judiciais/Grupo-Hoken/2o-Edital-Grupo-Hoken.pdf</t>
        </is>
      </c>
      <c r="AN226" s="18" t="inlineStr">
        <is>
          <t>p3 r41; p3 r42</t>
        </is>
      </c>
      <c r="AO226" s="18" t="inlineStr">
        <is>
          <t>p3: R$ 17.303,03; p3: R$ 86.624,29</t>
        </is>
      </c>
      <c r="AP226" s="18" t="inlineStr">
        <is>
          <t>QGC</t>
        </is>
      </c>
      <c r="AQ226" s="18" t="inlineStr"/>
      <c r="AR226" s="18" t="inlineStr">
        <is>
          <t>OK_NO_TOTALS</t>
        </is>
      </c>
      <c r="AS226" s="18" t="inlineStr">
        <is>
          <t>ROWS:p3r41,p3r42 UNRECONCILED_SOURCE</t>
        </is>
      </c>
      <c r="AT226" s="18" t="inlineStr">
        <is>
          <t>8f8da4cde6b7</t>
        </is>
      </c>
    </row>
    <row r="227">
      <c r="A227" s="9" t="n">
        <v>226</v>
      </c>
      <c r="B227" s="9" t="inlineStr">
        <is>
          <t>NEW</t>
        </is>
      </c>
      <c r="C227" s="9" t="inlineStr"/>
      <c r="D227" s="9" t="n">
        <v>0</v>
      </c>
      <c r="E227" s="9" t="inlineStr"/>
      <c r="F227" s="9" t="inlineStr"/>
      <c r="G227" s="9" t="inlineStr"/>
      <c r="H227" s="9" t="inlineStr"/>
      <c r="I227" t="inlineStr">
        <is>
          <t>GF INDUSTRIA DE CONFECCOES LTDA</t>
        </is>
      </c>
      <c r="J227" t="inlineStr">
        <is>
          <t>GF INDUSTRIA DE CONFECCOES EIRELI</t>
        </is>
      </c>
      <c r="K227" t="inlineStr">
        <is>
          <t>33779449</t>
        </is>
      </c>
      <c r="L227" t="inlineStr">
        <is>
          <t>33779449000159</t>
        </is>
      </c>
      <c r="M227" s="10" t="n">
        <v>103485.6</v>
      </c>
      <c r="N227" t="n">
        <v>3</v>
      </c>
      <c r="O227" s="11" t="inlineStr">
        <is>
          <t>C</t>
        </is>
      </c>
      <c r="P227" s="11" t="inlineStr">
        <is>
          <t>ACTIVE</t>
        </is>
      </c>
      <c r="Q227" s="12" t="n">
        <v>44571</v>
      </c>
      <c r="R227" s="11">
        <f>IF(Q227="","",ROUND((TODAY()-Q227)/365.25,1))</f>
        <v/>
      </c>
      <c r="S227" s="13">
        <f>IFERROR(VLOOKUP(O227,Assumptions!$A$7:$F$11,2,FALSE),0.25)</f>
        <v/>
      </c>
      <c r="T227" s="14">
        <f>IF(O227="A",MAX(1,IFERROR(VLOOKUP(O227,Assumptions!$A$7:$F$11,3,FALSE),3)+IFERROR(VLOOKUP(O227,Assumptions!$A$7:$F$11,4,FALSE),8)/2-MAX(0,IF(R227="",0,R227)-IFERROR(VLOOKUP(O227,Assumptions!$A$7:$F$11,5,FALSE),1.5))),IFERROR(VLOOKUP(O227,Assumptions!$A$7:$F$11,5,FALSE),2.5)+IFERROR(VLOOKUP(O227,Assumptions!$A$7:$F$11,3,FALSE),3)+IFERROR(VLOOKUP(O227,Assumptions!$A$7:$F$11,4,FALSE),8)/2)</f>
        <v/>
      </c>
      <c r="U227" s="15">
        <f>M227*S227/(1+Assumptions!$B$3)^T227</f>
        <v/>
      </c>
      <c r="V227" s="11">
        <f>IF(M227=0,"",ROUND(U227/M227*100,1))</f>
        <v/>
      </c>
      <c r="W227" s="16">
        <f>U227*Assumptions!$B$4</f>
        <v/>
      </c>
      <c r="X227" s="11">
        <f>IF(M227=0,"",ROUND(W227/M227*100,1))</f>
        <v/>
      </c>
      <c r="Y227" t="inlineStr">
        <is>
          <t>GRUPO CATTAN</t>
        </is>
      </c>
      <c r="Z227" t="inlineStr">
        <is>
          <t>0002484-82.2022.8.17.2001</t>
        </is>
      </c>
      <c r="AA227" t="inlineStr">
        <is>
          <t>TJPE</t>
        </is>
      </c>
      <c r="AB227" t="inlineStr">
        <is>
          <t>lrflideres.com.br</t>
        </is>
      </c>
      <c r="AC227" t="inlineStr">
        <is>
          <t>ANTONIO GILSON ROCHA DE MENDONCA FILHO</t>
        </is>
      </c>
      <c r="AD227" t="inlineStr">
        <is>
          <t>Sócio-Administrador</t>
        </is>
      </c>
      <c r="AE227" t="inlineStr">
        <is>
          <t>(85) 8900-0655</t>
        </is>
      </c>
      <c r="AF227" t="inlineStr"/>
      <c r="AG227" t="inlineStr"/>
      <c r="AH227" t="inlineStr">
        <is>
          <t>CE</t>
        </is>
      </c>
      <c r="AI227" t="inlineStr">
        <is>
          <t>FORTALEZA</t>
        </is>
      </c>
      <c r="AJ227" t="inlineStr">
        <is>
          <t>Confecção de peças de vestuário, exceto roupas íntimas e as confeccionadas sob medida</t>
        </is>
      </c>
      <c r="AK227" t="inlineStr">
        <is>
          <t>DEMAIS</t>
        </is>
      </c>
      <c r="AL227" t="inlineStr">
        <is>
          <t>ATIVA</t>
        </is>
      </c>
      <c r="AM227" s="17" t="inlineStr">
        <is>
          <t>https://lrflideres.com.br/wp-content/plugins/download-attachments/includes/download.php?id=4023</t>
        </is>
      </c>
      <c r="AN227" s="18" t="inlineStr">
        <is>
          <t>p4 r74; p7 r98; p9 r72</t>
        </is>
      </c>
      <c r="AO227" s="18" t="inlineStr">
        <is>
          <t>p4: R$ 31.008,00; p7: R$ 57.945,60; p9: R$ 14.532,00</t>
        </is>
      </c>
      <c r="AP227" s="18" t="inlineStr">
        <is>
          <t>DEBTOR_LIST</t>
        </is>
      </c>
      <c r="AQ227" s="18" t="inlineStr"/>
      <c r="AR227" s="18" t="inlineStr">
        <is>
          <t>QUARANTINED</t>
        </is>
      </c>
      <c r="AS227" s="18" t="inlineStr">
        <is>
          <t>PARTIAL_DOC_CLASS_III_RECONCILED ROWS:p4r74,p7r98,p9r72</t>
        </is>
      </c>
      <c r="AT227" s="18" t="inlineStr">
        <is>
          <t>f3b6182e3aa2</t>
        </is>
      </c>
    </row>
    <row r="228">
      <c r="A228" s="9" t="n">
        <v>227</v>
      </c>
      <c r="B228" s="9" t="inlineStr">
        <is>
          <t>NEW</t>
        </is>
      </c>
      <c r="C228" s="9" t="inlineStr"/>
      <c r="D228" s="9" t="n">
        <v>0</v>
      </c>
      <c r="E228" s="9" t="inlineStr"/>
      <c r="F228" s="9" t="inlineStr"/>
      <c r="G228" s="9" t="inlineStr"/>
      <c r="H228" s="9" t="inlineStr"/>
      <c r="I228" t="inlineStr">
        <is>
          <t>ARCOM S/A</t>
        </is>
      </c>
      <c r="J228" t="inlineStr">
        <is>
          <t>Arcom S/A</t>
        </is>
      </c>
      <c r="K228" t="inlineStr">
        <is>
          <t>25769266</t>
        </is>
      </c>
      <c r="L228" t="inlineStr">
        <is>
          <t>25769266000124</t>
        </is>
      </c>
      <c r="M228" s="10" t="n">
        <v>103242.42</v>
      </c>
      <c r="N228" t="n">
        <v>1</v>
      </c>
      <c r="O228" s="11" t="inlineStr">
        <is>
          <t>B</t>
        </is>
      </c>
      <c r="P228" s="11" t="inlineStr">
        <is>
          <t>ACTIVE</t>
        </is>
      </c>
      <c r="Q228" s="12" t="n">
        <v>46130</v>
      </c>
      <c r="R228" s="11">
        <f>IF(Q228="","",ROUND((TODAY()-Q228)/365.25,1))</f>
        <v/>
      </c>
      <c r="S228" s="13">
        <f>IFERROR(VLOOKUP(O228,Assumptions!$A$7:$F$11,2,FALSE),0.25)</f>
        <v/>
      </c>
      <c r="T228" s="14">
        <f>IF(O228="A",MAX(1,IFERROR(VLOOKUP(O228,Assumptions!$A$7:$F$11,3,FALSE),3)+IFERROR(VLOOKUP(O228,Assumptions!$A$7:$F$11,4,FALSE),8)/2-MAX(0,IF(R228="",0,R228)-IFERROR(VLOOKUP(O228,Assumptions!$A$7:$F$11,5,FALSE),1.5))),IFERROR(VLOOKUP(O228,Assumptions!$A$7:$F$11,5,FALSE),2.5)+IFERROR(VLOOKUP(O228,Assumptions!$A$7:$F$11,3,FALSE),3)+IFERROR(VLOOKUP(O228,Assumptions!$A$7:$F$11,4,FALSE),8)/2)</f>
        <v/>
      </c>
      <c r="U228" s="15">
        <f>M228*S228/(1+Assumptions!$B$3)^T228</f>
        <v/>
      </c>
      <c r="V228" s="11">
        <f>IF(M228=0,"",ROUND(U228/M228*100,1))</f>
        <v/>
      </c>
      <c r="W228" s="16">
        <f>U228*Assumptions!$B$4</f>
        <v/>
      </c>
      <c r="X228" s="11">
        <f>IF(M228=0,"",ROUND(W228/M228*100,1))</f>
        <v/>
      </c>
      <c r="Y228" t="inlineStr">
        <is>
          <t>GRUPO 3E</t>
        </is>
      </c>
      <c r="Z228" t="inlineStr">
        <is>
          <t>5341375-33.2026.8.09.0049</t>
        </is>
      </c>
      <c r="AA228" t="inlineStr">
        <is>
          <t>TJGO</t>
        </is>
      </c>
      <c r="AB228" t="inlineStr">
        <is>
          <t>stenius.com.br</t>
        </is>
      </c>
      <c r="AC228" t="inlineStr">
        <is>
          <t>FLAVIO FARIA ROCHA</t>
        </is>
      </c>
      <c r="AD228" t="inlineStr">
        <is>
          <t>Administrador</t>
        </is>
      </c>
      <c r="AE228" t="inlineStr">
        <is>
          <t>(34) 3218-4000</t>
        </is>
      </c>
      <c r="AF228" t="inlineStr">
        <is>
          <t>(34) 3218-4100</t>
        </is>
      </c>
      <c r="AG228" t="inlineStr"/>
      <c r="AH228" t="inlineStr">
        <is>
          <t>MG</t>
        </is>
      </c>
      <c r="AI228" t="inlineStr">
        <is>
          <t>UBERLANDIA</t>
        </is>
      </c>
      <c r="AJ228" t="inlineStr">
        <is>
          <t>Comércio atacadista de mercadorias em geral, sem predominância de alimentos ou de insumos agropecuários</t>
        </is>
      </c>
      <c r="AK228" t="inlineStr">
        <is>
          <t>DEMAIS</t>
        </is>
      </c>
      <c r="AL228" t="inlineStr">
        <is>
          <t>ATIVA</t>
        </is>
      </c>
      <c r="AM228" s="17" t="inlineStr">
        <is>
          <t>https://stenius.com.br/wp-content/uploads/2026/06/EDITAL-GRUPO-3E.pdf</t>
        </is>
      </c>
      <c r="AN228" s="18" t="inlineStr">
        <is>
          <t>p10 r7</t>
        </is>
      </c>
      <c r="AO228" s="18" t="inlineStr">
        <is>
          <t>p10: R$ 103.242,42</t>
        </is>
      </c>
      <c r="AP228" s="18" t="inlineStr">
        <is>
          <t>DEBTOR_LIST</t>
        </is>
      </c>
      <c r="AQ228" s="18" t="inlineStr">
        <is>
          <t>2026-06-22</t>
        </is>
      </c>
      <c r="AR228" s="18" t="inlineStr">
        <is>
          <t>OK_NO_TOTALS</t>
        </is>
      </c>
      <c r="AS228" s="18" t="inlineStr">
        <is>
          <t>ROWS:p10r7 UNRECONCILED_SOURCE</t>
        </is>
      </c>
      <c r="AT228" s="18" t="inlineStr">
        <is>
          <t>8e8832093a15</t>
        </is>
      </c>
    </row>
    <row r="229">
      <c r="A229" s="9" t="n">
        <v>228</v>
      </c>
      <c r="B229" s="9" t="inlineStr">
        <is>
          <t>NEW</t>
        </is>
      </c>
      <c r="C229" s="9" t="inlineStr"/>
      <c r="D229" s="9" t="n">
        <v>0</v>
      </c>
      <c r="E229" s="9" t="inlineStr"/>
      <c r="F229" s="9" t="inlineStr"/>
      <c r="G229" s="9" t="inlineStr"/>
      <c r="H229" s="9" t="inlineStr"/>
      <c r="I229" t="inlineStr">
        <is>
          <t>IOS INDUSTRIA E COMERCIO DE MOVEIS LTDA</t>
        </is>
      </c>
      <c r="J229" t="inlineStr">
        <is>
          <t>31.873.195/0001-08</t>
        </is>
      </c>
      <c r="K229" t="inlineStr">
        <is>
          <t>31873195</t>
        </is>
      </c>
      <c r="L229" t="inlineStr">
        <is>
          <t>31873195000108</t>
        </is>
      </c>
      <c r="M229" s="10" t="n">
        <v>103005.25</v>
      </c>
      <c r="N229" t="n">
        <v>1</v>
      </c>
      <c r="O229" s="11" t="inlineStr">
        <is>
          <t>C</t>
        </is>
      </c>
      <c r="P229" s="11" t="inlineStr">
        <is>
          <t>ACTIVE</t>
        </is>
      </c>
      <c r="Q229" s="12" t="n">
        <v>43894</v>
      </c>
      <c r="R229" s="11">
        <f>IF(Q229="","",ROUND((TODAY()-Q229)/365.25,1))</f>
        <v/>
      </c>
      <c r="S229" s="13">
        <f>IFERROR(VLOOKUP(O229,Assumptions!$A$7:$F$11,2,FALSE),0.25)</f>
        <v/>
      </c>
      <c r="T229" s="14">
        <f>IF(O229="A",MAX(1,IFERROR(VLOOKUP(O229,Assumptions!$A$7:$F$11,3,FALSE),3)+IFERROR(VLOOKUP(O229,Assumptions!$A$7:$F$11,4,FALSE),8)/2-MAX(0,IF(R229="",0,R229)-IFERROR(VLOOKUP(O229,Assumptions!$A$7:$F$11,5,FALSE),1.5))),IFERROR(VLOOKUP(O229,Assumptions!$A$7:$F$11,5,FALSE),2.5)+IFERROR(VLOOKUP(O229,Assumptions!$A$7:$F$11,3,FALSE),3)+IFERROR(VLOOKUP(O229,Assumptions!$A$7:$F$11,4,FALSE),8)/2)</f>
        <v/>
      </c>
      <c r="U229" s="15">
        <f>M229*S229/(1+Assumptions!$B$3)^T229</f>
        <v/>
      </c>
      <c r="V229" s="11">
        <f>IF(M229=0,"",ROUND(U229/M229*100,1))</f>
        <v/>
      </c>
      <c r="W229" s="16">
        <f>U229*Assumptions!$B$4</f>
        <v/>
      </c>
      <c r="X229" s="11">
        <f>IF(M229=0,"",ROUND(W229/M229*100,1))</f>
        <v/>
      </c>
      <c r="Y229" t="inlineStr">
        <is>
          <t>CREDIMÓVEIS NOVOLAR LTDA.</t>
        </is>
      </c>
      <c r="Z229" t="inlineStr">
        <is>
          <t>0007565-40.2020.8.17.2370</t>
        </is>
      </c>
      <c r="AA229" t="inlineStr">
        <is>
          <t>TJPE</t>
        </is>
      </c>
      <c r="AB229" t="inlineStr">
        <is>
          <t>recuperacaojudicial.squarespace.com</t>
        </is>
      </c>
      <c r="AC229" t="inlineStr">
        <is>
          <t>PAULO HENRIQUE OLIVEIRA DE SA</t>
        </is>
      </c>
      <c r="AD229" t="inlineStr">
        <is>
          <t>Sócio-Administrador</t>
        </is>
      </c>
      <c r="AE229" t="inlineStr">
        <is>
          <t>(81) 8866-7072</t>
        </is>
      </c>
      <c r="AF229" t="inlineStr"/>
      <c r="AG229" t="inlineStr"/>
      <c r="AH229" t="inlineStr">
        <is>
          <t>PE</t>
        </is>
      </c>
      <c r="AI229" t="inlineStr">
        <is>
          <t>PAULISTA</t>
        </is>
      </c>
      <c r="AJ229" t="inlineStr">
        <is>
          <t>Fabricação de móveis com predominância de metal</t>
        </is>
      </c>
      <c r="AK229" t="inlineStr">
        <is>
          <t>DEMAIS</t>
        </is>
      </c>
      <c r="AL229" t="inlineStr">
        <is>
          <t>ATIVA</t>
        </is>
      </c>
      <c r="AM229" s="17" t="inlineStr">
        <is>
          <t>https://recuperacaojudicial.squarespace.com/s/RJ-Credimoveis-QGC-01082025.pdf</t>
        </is>
      </c>
      <c r="AN229" s="18" t="inlineStr">
        <is>
          <t>p15 r62</t>
        </is>
      </c>
      <c r="AO229" s="18" t="inlineStr">
        <is>
          <t>p15: R$ 103.005,25</t>
        </is>
      </c>
      <c r="AP229" s="18" t="inlineStr">
        <is>
          <t>QGC</t>
        </is>
      </c>
      <c r="AQ229" s="18" t="inlineStr">
        <is>
          <t>2026-01-28</t>
        </is>
      </c>
      <c r="AR229" s="18" t="inlineStr">
        <is>
          <t>OK</t>
        </is>
      </c>
      <c r="AS229" s="18" t="inlineStr">
        <is>
          <t>ROWS:p15r62</t>
        </is>
      </c>
      <c r="AT229" s="18" t="inlineStr">
        <is>
          <t>849d4fe5adce</t>
        </is>
      </c>
    </row>
    <row r="230">
      <c r="A230" s="9" t="n">
        <v>229</v>
      </c>
      <c r="B230" s="9" t="inlineStr">
        <is>
          <t>NEW</t>
        </is>
      </c>
      <c r="C230" s="9" t="inlineStr"/>
      <c r="D230" s="9" t="n">
        <v>0</v>
      </c>
      <c r="E230" s="9" t="inlineStr"/>
      <c r="F230" s="9" t="inlineStr"/>
      <c r="G230" s="9" t="inlineStr"/>
      <c r="H230" s="9" t="inlineStr"/>
      <c r="I230" t="inlineStr">
        <is>
          <t>COCAMAR COOPERATIVA AGROINDUSTRIAL</t>
        </is>
      </c>
      <c r="J230" t="inlineStr">
        <is>
          <t>COCAMAR COOPERATIVA AGROINDUSTRIAL</t>
        </is>
      </c>
      <c r="K230" t="inlineStr">
        <is>
          <t>79114450</t>
        </is>
      </c>
      <c r="L230" t="inlineStr">
        <is>
          <t>79114450002702</t>
        </is>
      </c>
      <c r="M230" s="10" t="n">
        <v>102951.03</v>
      </c>
      <c r="N230" t="n">
        <v>1</v>
      </c>
      <c r="O230" s="11" t="inlineStr">
        <is>
          <t>C</t>
        </is>
      </c>
      <c r="P230" s="11" t="inlineStr"/>
      <c r="Q230" s="12" t="inlineStr"/>
      <c r="R230" s="11">
        <f>IF(Q230="","",ROUND((TODAY()-Q230)/365.25,1))</f>
        <v/>
      </c>
      <c r="S230" s="13">
        <f>IFERROR(VLOOKUP(O230,Assumptions!$A$7:$F$11,2,FALSE),0.25)</f>
        <v/>
      </c>
      <c r="T230" s="14">
        <f>IF(O230="A",MAX(1,IFERROR(VLOOKUP(O230,Assumptions!$A$7:$F$11,3,FALSE),3)+IFERROR(VLOOKUP(O230,Assumptions!$A$7:$F$11,4,FALSE),8)/2-MAX(0,IF(R230="",0,R230)-IFERROR(VLOOKUP(O230,Assumptions!$A$7:$F$11,5,FALSE),1.5))),IFERROR(VLOOKUP(O230,Assumptions!$A$7:$F$11,5,FALSE),2.5)+IFERROR(VLOOKUP(O230,Assumptions!$A$7:$F$11,3,FALSE),3)+IFERROR(VLOOKUP(O230,Assumptions!$A$7:$F$11,4,FALSE),8)/2)</f>
        <v/>
      </c>
      <c r="U230" s="15">
        <f>M230*S230/(1+Assumptions!$B$3)^T230</f>
        <v/>
      </c>
      <c r="V230" s="11">
        <f>IF(M230=0,"",ROUND(U230/M230*100,1))</f>
        <v/>
      </c>
      <c r="W230" s="16">
        <f>U230*Assumptions!$B$4</f>
        <v/>
      </c>
      <c r="X230" s="11">
        <f>IF(M230=0,"",ROUND(W230/M230*100,1))</f>
        <v/>
      </c>
      <c r="Y230" t="inlineStr">
        <is>
          <t>CONFECÇÕES ANDRIMALHAS LTDA</t>
        </is>
      </c>
      <c r="Z230" t="inlineStr">
        <is>
          <t>0302174-63.2015.8.24.0025</t>
        </is>
      </c>
      <c r="AA230" t="inlineStr"/>
      <c r="AB230" t="inlineStr">
        <is>
          <t>administradorajudicialgs.com.br</t>
        </is>
      </c>
      <c r="AC230" t="inlineStr">
        <is>
          <t>DIVANIR HIGINO DA SILVA</t>
        </is>
      </c>
      <c r="AD230" t="inlineStr">
        <is>
          <t>Presidente</t>
        </is>
      </c>
      <c r="AE230" t="inlineStr">
        <is>
          <t>(44) 3221-3007</t>
        </is>
      </c>
      <c r="AF230" t="inlineStr"/>
      <c r="AG230" t="inlineStr"/>
      <c r="AH230" t="inlineStr">
        <is>
          <t>PR</t>
        </is>
      </c>
      <c r="AI230" t="inlineStr">
        <is>
          <t>MARINGA</t>
        </is>
      </c>
      <c r="AJ230" t="inlineStr">
        <is>
          <t>Comércio atacadista especializado em outros produtos intermediários não especificados anteriormente</t>
        </is>
      </c>
      <c r="AK230" t="inlineStr">
        <is>
          <t>DEMAIS</t>
        </is>
      </c>
      <c r="AL230" t="inlineStr">
        <is>
          <t>ATIVA</t>
        </is>
      </c>
      <c r="AM230" s="17" t="inlineStr">
        <is>
          <t>https://administradorajudicialgs.com.br/wp-content/uploads/2023/08/doc-06-relacao-credores-do-administrador-judicial-10-02-2015.pdf</t>
        </is>
      </c>
      <c r="AN230" s="18" t="inlineStr">
        <is>
          <t>p1 r41</t>
        </is>
      </c>
      <c r="AO230" s="18" t="inlineStr">
        <is>
          <t>p1: R$ 102.951,03</t>
        </is>
      </c>
      <c r="AP230" s="18" t="inlineStr">
        <is>
          <t>AJ_LIST</t>
        </is>
      </c>
      <c r="AQ230" s="18" t="inlineStr"/>
      <c r="AR230" s="18" t="inlineStr">
        <is>
          <t>QUARANTINED</t>
        </is>
      </c>
      <c r="AS230" s="18" t="inlineStr">
        <is>
          <t>PARTIAL_DOC_CLASS_III_RECONCILED ROWS:p1r41 VALUE_COL:Valores</t>
        </is>
      </c>
      <c r="AT230" s="18" t="inlineStr">
        <is>
          <t>d403116b357d</t>
        </is>
      </c>
    </row>
    <row r="231">
      <c r="A231" s="9" t="n">
        <v>230</v>
      </c>
      <c r="B231" s="9" t="inlineStr">
        <is>
          <t>NEW</t>
        </is>
      </c>
      <c r="C231" s="9" t="inlineStr"/>
      <c r="D231" s="9" t="n">
        <v>0</v>
      </c>
      <c r="E231" s="9" t="inlineStr"/>
      <c r="F231" s="9" t="inlineStr"/>
      <c r="G231" s="9" t="inlineStr"/>
      <c r="H231" s="9" t="inlineStr"/>
      <c r="I231" t="inlineStr">
        <is>
          <t>WAM-MED DISTRIBUIDORA DE MEDICAMENTOS LTDA</t>
        </is>
      </c>
      <c r="J231" t="inlineStr">
        <is>
          <t>WAM MED DISTRIB DE MEDIC LTDA (</t>
        </is>
      </c>
      <c r="K231" t="inlineStr">
        <is>
          <t>08725154</t>
        </is>
      </c>
      <c r="L231" t="inlineStr">
        <is>
          <t>08725154000233</t>
        </is>
      </c>
      <c r="M231" s="10" t="n">
        <v>102665.68</v>
      </c>
      <c r="N231" t="n">
        <v>1</v>
      </c>
      <c r="O231" s="11" t="inlineStr">
        <is>
          <t>C</t>
        </is>
      </c>
      <c r="P231" s="11" t="inlineStr">
        <is>
          <t>ACTIVE</t>
        </is>
      </c>
      <c r="Q231" s="12" t="n">
        <v>44735</v>
      </c>
      <c r="R231" s="11">
        <f>IF(Q231="","",ROUND((TODAY()-Q231)/365.25,1))</f>
        <v/>
      </c>
      <c r="S231" s="13">
        <f>IFERROR(VLOOKUP(O231,Assumptions!$A$7:$F$11,2,FALSE),0.25)</f>
        <v/>
      </c>
      <c r="T231" s="14">
        <f>IF(O231="A",MAX(1,IFERROR(VLOOKUP(O231,Assumptions!$A$7:$F$11,3,FALSE),3)+IFERROR(VLOOKUP(O231,Assumptions!$A$7:$F$11,4,FALSE),8)/2-MAX(0,IF(R231="",0,R231)-IFERROR(VLOOKUP(O231,Assumptions!$A$7:$F$11,5,FALSE),1.5))),IFERROR(VLOOKUP(O231,Assumptions!$A$7:$F$11,5,FALSE),2.5)+IFERROR(VLOOKUP(O231,Assumptions!$A$7:$F$11,3,FALSE),3)+IFERROR(VLOOKUP(O231,Assumptions!$A$7:$F$11,4,FALSE),8)/2)</f>
        <v/>
      </c>
      <c r="U231" s="15">
        <f>M231*S231/(1+Assumptions!$B$3)^T231</f>
        <v/>
      </c>
      <c r="V231" s="11">
        <f>IF(M231=0,"",ROUND(U231/M231*100,1))</f>
        <v/>
      </c>
      <c r="W231" s="16">
        <f>U231*Assumptions!$B$4</f>
        <v/>
      </c>
      <c r="X231" s="11">
        <f>IF(M231=0,"",ROUND(W231/M231*100,1))</f>
        <v/>
      </c>
      <c r="Y231" t="inlineStr">
        <is>
          <t>ASSOCIAÇÃO DE CARIDADE SANTA CASA DO RIO GRANDE</t>
        </is>
      </c>
      <c r="Z231" t="inlineStr">
        <is>
          <t>5012306-16.2022.8.21.0023</t>
        </is>
      </c>
      <c r="AA231" t="inlineStr">
        <is>
          <t>TJRS</t>
        </is>
      </c>
      <c r="AB231" t="inlineStr">
        <is>
          <t>scalzilliaj.com.br</t>
        </is>
      </c>
      <c r="AC231" t="inlineStr">
        <is>
          <t>CARLA CASAGRANDE CANOVA</t>
        </is>
      </c>
      <c r="AD231" t="inlineStr">
        <is>
          <t>Sócio-Administrador</t>
        </is>
      </c>
      <c r="AE231" t="inlineStr">
        <is>
          <t>(51) 3751-4180</t>
        </is>
      </c>
      <c r="AF231" t="inlineStr"/>
      <c r="AG231" t="inlineStr"/>
      <c r="AH231" t="inlineStr">
        <is>
          <t>RS</t>
        </is>
      </c>
      <c r="AI231" t="inlineStr">
        <is>
          <t>ENCANTADO</t>
        </is>
      </c>
      <c r="AJ231" t="inlineStr">
        <is>
          <t>Comércio atacadista de medicamentos e drogas de uso humano</t>
        </is>
      </c>
      <c r="AK231" t="inlineStr">
        <is>
          <t>DEMAIS</t>
        </is>
      </c>
      <c r="AL231" t="inlineStr">
        <is>
          <t>ATIVA</t>
        </is>
      </c>
      <c r="AM231" s="17" t="inlineStr">
        <is>
          <t>https://scalzilliaj.com.br/sgc/download.php?file=files/processo_documento/processo_documento09120721032023_1_.pdf&amp;nome=15 - Edital do art. 7º, §2º e 53 da Lei 11.101/2005 (segunda lista de credores e recebimento do plano))</t>
        </is>
      </c>
      <c r="AN231" s="18" t="inlineStr">
        <is>
          <t>p30 r35</t>
        </is>
      </c>
      <c r="AO231" s="18" t="inlineStr">
        <is>
          <t>p30: R$ 102.665,68</t>
        </is>
      </c>
      <c r="AP231" s="18" t="inlineStr">
        <is>
          <t>AJ_LIST</t>
        </is>
      </c>
      <c r="AQ231" s="18" t="inlineStr">
        <is>
          <t>2023-03-21</t>
        </is>
      </c>
      <c r="AR231" s="18" t="inlineStr">
        <is>
          <t>OK_NO_TOTALS</t>
        </is>
      </c>
      <c r="AS231" s="18" t="inlineStr">
        <is>
          <t>ROWS:p30r35 UNRECONCILED_SOURCE</t>
        </is>
      </c>
      <c r="AT231" s="18" t="inlineStr">
        <is>
          <t>ebfb999b457c</t>
        </is>
      </c>
    </row>
    <row r="232">
      <c r="A232" s="9" t="n">
        <v>231</v>
      </c>
      <c r="B232" s="9" t="inlineStr">
        <is>
          <t>NEW</t>
        </is>
      </c>
      <c r="C232" s="9" t="inlineStr"/>
      <c r="D232" s="9" t="n">
        <v>0</v>
      </c>
      <c r="E232" s="9" t="inlineStr"/>
      <c r="F232" s="9" t="inlineStr"/>
      <c r="G232" s="9" t="inlineStr"/>
      <c r="H232" s="9" t="inlineStr"/>
      <c r="I232" t="inlineStr">
        <is>
          <t>RECONFLEX INDUSTRIA E COMERCIO DE COLCHOES LTDA</t>
        </is>
      </c>
      <c r="J232" t="inlineStr">
        <is>
          <t>96.738.240/0003-29</t>
        </is>
      </c>
      <c r="K232" t="inlineStr">
        <is>
          <t>96738240</t>
        </is>
      </c>
      <c r="L232" t="inlineStr">
        <is>
          <t>96738240000329</t>
        </is>
      </c>
      <c r="M232" s="10" t="n">
        <v>102130.88</v>
      </c>
      <c r="N232" t="n">
        <v>1</v>
      </c>
      <c r="O232" s="11" t="inlineStr">
        <is>
          <t>C</t>
        </is>
      </c>
      <c r="P232" s="11" t="inlineStr">
        <is>
          <t>ACTIVE</t>
        </is>
      </c>
      <c r="Q232" s="12" t="n">
        <v>43894</v>
      </c>
      <c r="R232" s="11">
        <f>IF(Q232="","",ROUND((TODAY()-Q232)/365.25,1))</f>
        <v/>
      </c>
      <c r="S232" s="13">
        <f>IFERROR(VLOOKUP(O232,Assumptions!$A$7:$F$11,2,FALSE),0.25)</f>
        <v/>
      </c>
      <c r="T232" s="14">
        <f>IF(O232="A",MAX(1,IFERROR(VLOOKUP(O232,Assumptions!$A$7:$F$11,3,FALSE),3)+IFERROR(VLOOKUP(O232,Assumptions!$A$7:$F$11,4,FALSE),8)/2-MAX(0,IF(R232="",0,R232)-IFERROR(VLOOKUP(O232,Assumptions!$A$7:$F$11,5,FALSE),1.5))),IFERROR(VLOOKUP(O232,Assumptions!$A$7:$F$11,5,FALSE),2.5)+IFERROR(VLOOKUP(O232,Assumptions!$A$7:$F$11,3,FALSE),3)+IFERROR(VLOOKUP(O232,Assumptions!$A$7:$F$11,4,FALSE),8)/2)</f>
        <v/>
      </c>
      <c r="U232" s="15">
        <f>M232*S232/(1+Assumptions!$B$3)^T232</f>
        <v/>
      </c>
      <c r="V232" s="11">
        <f>IF(M232=0,"",ROUND(U232/M232*100,1))</f>
        <v/>
      </c>
      <c r="W232" s="16">
        <f>U232*Assumptions!$B$4</f>
        <v/>
      </c>
      <c r="X232" s="11">
        <f>IF(M232=0,"",ROUND(W232/M232*100,1))</f>
        <v/>
      </c>
      <c r="Y232" t="inlineStr">
        <is>
          <t>CREDIMÓVEIS NOVOLAR LTDA.</t>
        </is>
      </c>
      <c r="Z232" t="inlineStr">
        <is>
          <t>0007565-40.2020.8.17.2370</t>
        </is>
      </c>
      <c r="AA232" t="inlineStr">
        <is>
          <t>TJPE</t>
        </is>
      </c>
      <c r="AB232" t="inlineStr">
        <is>
          <t>recuperacaojudicial.squarespace.com</t>
        </is>
      </c>
      <c r="AC232" t="inlineStr">
        <is>
          <t>EDIVALDO ANDRADE DE OLIVEIRA</t>
        </is>
      </c>
      <c r="AD232" t="inlineStr">
        <is>
          <t>Sócio-Administrador</t>
        </is>
      </c>
      <c r="AE232" t="inlineStr">
        <is>
          <t>(75) 3311-4303</t>
        </is>
      </c>
      <c r="AF232" t="inlineStr">
        <is>
          <t>(75) 3311-4301</t>
        </is>
      </c>
      <c r="AG232" t="inlineStr"/>
      <c r="AH232" t="inlineStr">
        <is>
          <t>BA</t>
        </is>
      </c>
      <c r="AI232" t="inlineStr">
        <is>
          <t>SANTO ANTONIO DE JESUS</t>
        </is>
      </c>
      <c r="AJ232" t="inlineStr">
        <is>
          <t>Fabricação de colchões</t>
        </is>
      </c>
      <c r="AK232" t="inlineStr">
        <is>
          <t>DEMAIS</t>
        </is>
      </c>
      <c r="AL232" t="inlineStr">
        <is>
          <t>ATIVA</t>
        </is>
      </c>
      <c r="AM232" s="17" t="inlineStr">
        <is>
          <t>https://recuperacaojudicial.squarespace.com/s/RJ-Credimoveis-QGC-01082025.pdf</t>
        </is>
      </c>
      <c r="AN232" s="18" t="inlineStr">
        <is>
          <t>p16 r48</t>
        </is>
      </c>
      <c r="AO232" s="18" t="inlineStr">
        <is>
          <t>p16: R$ 102.130,88</t>
        </is>
      </c>
      <c r="AP232" s="18" t="inlineStr">
        <is>
          <t>QGC</t>
        </is>
      </c>
      <c r="AQ232" s="18" t="inlineStr">
        <is>
          <t>2026-01-28</t>
        </is>
      </c>
      <c r="AR232" s="18" t="inlineStr">
        <is>
          <t>OK</t>
        </is>
      </c>
      <c r="AS232" s="18" t="inlineStr">
        <is>
          <t>ROWS:p16r48</t>
        </is>
      </c>
      <c r="AT232" s="18" t="inlineStr">
        <is>
          <t>849d4fe5adce</t>
        </is>
      </c>
    </row>
    <row r="233">
      <c r="A233" s="9" t="n">
        <v>232</v>
      </c>
      <c r="B233" s="9" t="inlineStr">
        <is>
          <t>NEW</t>
        </is>
      </c>
      <c r="C233" s="9" t="inlineStr"/>
      <c r="D233" s="9" t="n">
        <v>0</v>
      </c>
      <c r="E233" s="9" t="inlineStr"/>
      <c r="F233" s="9" t="inlineStr"/>
      <c r="G233" s="9" t="inlineStr"/>
      <c r="H233" s="9" t="inlineStr"/>
      <c r="I233" t="inlineStr">
        <is>
          <t>UNISOLDAS COMERCIAL LTDA</t>
        </is>
      </c>
      <c r="J233" t="inlineStr">
        <is>
          <t>Unisoldas Comercial Ltda</t>
        </is>
      </c>
      <c r="K233" t="inlineStr">
        <is>
          <t>24058612</t>
        </is>
      </c>
      <c r="L233" t="inlineStr">
        <is>
          <t>24058612000101</t>
        </is>
      </c>
      <c r="M233" s="10" t="n">
        <v>102046.25</v>
      </c>
      <c r="N233" t="n">
        <v>1</v>
      </c>
      <c r="O233" s="11" t="inlineStr">
        <is>
          <t>B</t>
        </is>
      </c>
      <c r="P233" s="11" t="inlineStr"/>
      <c r="Q233" s="12" t="n">
        <v>45756</v>
      </c>
      <c r="R233" s="11">
        <f>IF(Q233="","",ROUND((TODAY()-Q233)/365.25,1))</f>
        <v/>
      </c>
      <c r="S233" s="13">
        <f>IFERROR(VLOOKUP(O233,Assumptions!$A$7:$F$11,2,FALSE),0.25)</f>
        <v/>
      </c>
      <c r="T233" s="14">
        <f>IF(O233="A",MAX(1,IFERROR(VLOOKUP(O233,Assumptions!$A$7:$F$11,3,FALSE),3)+IFERROR(VLOOKUP(O233,Assumptions!$A$7:$F$11,4,FALSE),8)/2-MAX(0,IF(R233="",0,R233)-IFERROR(VLOOKUP(O233,Assumptions!$A$7:$F$11,5,FALSE),1.5))),IFERROR(VLOOKUP(O233,Assumptions!$A$7:$F$11,5,FALSE),2.5)+IFERROR(VLOOKUP(O233,Assumptions!$A$7:$F$11,3,FALSE),3)+IFERROR(VLOOKUP(O233,Assumptions!$A$7:$F$11,4,FALSE),8)/2)</f>
        <v/>
      </c>
      <c r="U233" s="15">
        <f>M233*S233/(1+Assumptions!$B$3)^T233</f>
        <v/>
      </c>
      <c r="V233" s="11">
        <f>IF(M233=0,"",ROUND(U233/M233*100,1))</f>
        <v/>
      </c>
      <c r="W233" s="16">
        <f>U233*Assumptions!$B$4</f>
        <v/>
      </c>
      <c r="X233" s="11">
        <f>IF(M233=0,"",ROUND(W233/M233*100,1))</f>
        <v/>
      </c>
      <c r="Y233" t="inlineStr">
        <is>
          <t>GRUPO EGESA (EGESA ENG S.A, EGESUR PART E EMP S.A, MATRIX INFRA LTDA, BEMVIVER ENG AMBIENTAL E SERV LTDA, DKF CONST E EMP LTDA, EGEPEL LTDA, ETR ASSESSORIA EMP E PART LTDA, MVT ENG E SERV LTDA, PARQUES DO VALE LTDA, ELMO RIBEIRO E ANA RIBEIRO)</t>
        </is>
      </c>
      <c r="Z233" t="inlineStr">
        <is>
          <t>5088952-81.2025.8.13.0024</t>
        </is>
      </c>
      <c r="AA233" t="inlineStr">
        <is>
          <t>TJMG</t>
        </is>
      </c>
      <c r="AB233" t="inlineStr">
        <is>
          <t>scalzilliaj.com.br</t>
        </is>
      </c>
      <c r="AC233" t="inlineStr">
        <is>
          <t>RONALDO ROBERTO ROCHA</t>
        </is>
      </c>
      <c r="AD233" t="inlineStr">
        <is>
          <t>Sócio-Administrador</t>
        </is>
      </c>
      <c r="AE233" t="inlineStr">
        <is>
          <t>(31) 3419-0800</t>
        </is>
      </c>
      <c r="AF233" t="inlineStr">
        <is>
          <t>(31) 8514-0800</t>
        </is>
      </c>
      <c r="AG233" t="inlineStr"/>
      <c r="AH233" t="inlineStr">
        <is>
          <t>MG</t>
        </is>
      </c>
      <c r="AI233" t="inlineStr">
        <is>
          <t>BELO HORIZONTE</t>
        </is>
      </c>
      <c r="AJ233" t="inlineStr">
        <is>
          <t>Comércio varejista de outros produtos não especificados anteriormente</t>
        </is>
      </c>
      <c r="AK233" t="inlineStr">
        <is>
          <t>DEMAIS</t>
        </is>
      </c>
      <c r="AL233" t="inlineStr">
        <is>
          <t>ATIVA</t>
        </is>
      </c>
      <c r="AM233" s="17" t="inlineStr">
        <is>
          <t>https://scalzilliaj.com.br/sgc/download.php?file=files/processo_documento/processo_documento09514021082025_1_.pdf&amp;nome=04 - Relação de credores das Recuperandas</t>
        </is>
      </c>
      <c r="AN233" s="18" t="inlineStr">
        <is>
          <t>p75 r7</t>
        </is>
      </c>
      <c r="AO233" s="18" t="inlineStr">
        <is>
          <t>p75: R$ 102.046,25</t>
        </is>
      </c>
      <c r="AP233" s="18" t="inlineStr">
        <is>
          <t>DEBTOR_LIST</t>
        </is>
      </c>
      <c r="AQ233" s="18" t="inlineStr"/>
      <c r="AR233" s="18" t="inlineStr">
        <is>
          <t>OK</t>
        </is>
      </c>
      <c r="AS233" s="18" t="inlineStr">
        <is>
          <t>ROWS:p75r7 VALUE_COL:Valor_Atualizado CASE_NUMBER_CORRECTED CASE_FROM_PORTAL</t>
        </is>
      </c>
      <c r="AT233" s="18" t="inlineStr">
        <is>
          <t>24ed98480a57</t>
        </is>
      </c>
    </row>
    <row r="234">
      <c r="A234" s="9" t="n">
        <v>233</v>
      </c>
      <c r="B234" s="9" t="inlineStr">
        <is>
          <t>NEW</t>
        </is>
      </c>
      <c r="C234" s="9" t="inlineStr"/>
      <c r="D234" s="9" t="n">
        <v>0</v>
      </c>
      <c r="E234" s="9" t="inlineStr"/>
      <c r="F234" s="9" t="inlineStr"/>
      <c r="G234" s="9" t="inlineStr"/>
      <c r="H234" s="9" t="inlineStr"/>
      <c r="I234" t="inlineStr">
        <is>
          <t>BAHIANA DISTRIBUIDORA DE GAS LTDA</t>
        </is>
      </c>
      <c r="J234" t="inlineStr">
        <is>
          <t>BAHIANA DISTRIBUIDORA DE GAS LTDA</t>
        </is>
      </c>
      <c r="K234" t="inlineStr">
        <is>
          <t>46395687</t>
        </is>
      </c>
      <c r="L234" t="inlineStr">
        <is>
          <t>46395687003551</t>
        </is>
      </c>
      <c r="M234" s="10" t="n">
        <v>101818.15</v>
      </c>
      <c r="N234" t="n">
        <v>1</v>
      </c>
      <c r="O234" s="11" t="inlineStr">
        <is>
          <t>C</t>
        </is>
      </c>
      <c r="P234" s="11" t="inlineStr">
        <is>
          <t>ACTIVE</t>
        </is>
      </c>
      <c r="Q234" s="12" t="n">
        <v>43838</v>
      </c>
      <c r="R234" s="11">
        <f>IF(Q234="","",ROUND((TODAY()-Q234)/365.25,1))</f>
        <v/>
      </c>
      <c r="S234" s="13">
        <f>IFERROR(VLOOKUP(O234,Assumptions!$A$7:$F$11,2,FALSE),0.25)</f>
        <v/>
      </c>
      <c r="T234" s="14">
        <f>IF(O234="A",MAX(1,IFERROR(VLOOKUP(O234,Assumptions!$A$7:$F$11,3,FALSE),3)+IFERROR(VLOOKUP(O234,Assumptions!$A$7:$F$11,4,FALSE),8)/2-MAX(0,IF(R234="",0,R234)-IFERROR(VLOOKUP(O234,Assumptions!$A$7:$F$11,5,FALSE),1.5))),IFERROR(VLOOKUP(O234,Assumptions!$A$7:$F$11,5,FALSE),2.5)+IFERROR(VLOOKUP(O234,Assumptions!$A$7:$F$11,3,FALSE),3)+IFERROR(VLOOKUP(O234,Assumptions!$A$7:$F$11,4,FALSE),8)/2)</f>
        <v/>
      </c>
      <c r="U234" s="15">
        <f>M234*S234/(1+Assumptions!$B$3)^T234</f>
        <v/>
      </c>
      <c r="V234" s="11">
        <f>IF(M234=0,"",ROUND(U234/M234*100,1))</f>
        <v/>
      </c>
      <c r="W234" s="16">
        <f>U234*Assumptions!$B$4</f>
        <v/>
      </c>
      <c r="X234" s="11">
        <f>IF(M234=0,"",ROUND(W234/M234*100,1))</f>
        <v/>
      </c>
      <c r="Y234" t="inlineStr">
        <is>
          <t>CONSTRUTORA ANDRADE GUEDES LTDA</t>
        </is>
      </c>
      <c r="Z234" t="inlineStr">
        <is>
          <t>0000880-57.2020.8.17.2001</t>
        </is>
      </c>
      <c r="AA234" t="inlineStr">
        <is>
          <t>TJPE</t>
        </is>
      </c>
      <c r="AB234" t="inlineStr">
        <is>
          <t>diligence.adm.br</t>
        </is>
      </c>
      <c r="AC234" t="inlineStr">
        <is>
          <t>FABIANA RICARDO MOLINA</t>
        </is>
      </c>
      <c r="AD234" t="inlineStr">
        <is>
          <t>Administrador</t>
        </is>
      </c>
      <c r="AE234" t="inlineStr">
        <is>
          <t>(11) 3177-2677</t>
        </is>
      </c>
      <c r="AF234" t="inlineStr"/>
      <c r="AG234" t="inlineStr"/>
      <c r="AH234" t="inlineStr">
        <is>
          <t>SP</t>
        </is>
      </c>
      <c r="AI234" t="inlineStr">
        <is>
          <t>SAO PAULO</t>
        </is>
      </c>
      <c r="AJ234" t="inlineStr">
        <is>
          <t>Comércio atacadista de gás liqüefeito de petróleo (GLP)</t>
        </is>
      </c>
      <c r="AK234" t="inlineStr">
        <is>
          <t>DEMAIS</t>
        </is>
      </c>
      <c r="AL234" t="inlineStr">
        <is>
          <t>ATIVA</t>
        </is>
      </c>
      <c r="AM234" s="17" t="inlineStr">
        <is>
          <t>https://diligence.adm.br/wp-content/plugins/download-attachments/includes/download.php?id=4599</t>
        </is>
      </c>
      <c r="AN234" s="18" t="inlineStr">
        <is>
          <t>p10 r6</t>
        </is>
      </c>
      <c r="AO234" s="18" t="inlineStr">
        <is>
          <t>p10: R$ 101.818,15</t>
        </is>
      </c>
      <c r="AP234" s="18" t="inlineStr">
        <is>
          <t>AJ_LIST</t>
        </is>
      </c>
      <c r="AQ234" s="18" t="inlineStr">
        <is>
          <t>2024-06-25</t>
        </is>
      </c>
      <c r="AR234" s="18" t="inlineStr">
        <is>
          <t>OK_NO_TOTALS</t>
        </is>
      </c>
      <c r="AS234" s="18" t="inlineStr">
        <is>
          <t>ALT_VALUE:-R$20.363,63 ALT_VALUE:R$122.181,78 ROWS:p10r6 UNRECONCILED_SOURCE VALUE_COL:2ª_Lista</t>
        </is>
      </c>
      <c r="AT234" s="18" t="inlineStr">
        <is>
          <t>44ecd0afa707</t>
        </is>
      </c>
    </row>
    <row r="235">
      <c r="A235" s="9" t="n">
        <v>234</v>
      </c>
      <c r="B235" s="9" t="inlineStr">
        <is>
          <t>NEW</t>
        </is>
      </c>
      <c r="C235" s="9" t="inlineStr"/>
      <c r="D235" s="9" t="n">
        <v>0</v>
      </c>
      <c r="E235" s="9" t="inlineStr"/>
      <c r="F235" s="9" t="inlineStr"/>
      <c r="G235" s="9" t="inlineStr"/>
      <c r="H235" s="9" t="inlineStr"/>
      <c r="I235" t="inlineStr">
        <is>
          <t>S P DATA SERVICO DE PROCESSAMENTO DE DADOS LIMITADA</t>
        </is>
      </c>
      <c r="J235" t="inlineStr">
        <is>
          <t>S P DATA SER.PROC.DADOS LIMITA (</t>
        </is>
      </c>
      <c r="K235" t="inlineStr">
        <is>
          <t>25326661</t>
        </is>
      </c>
      <c r="L235" t="inlineStr">
        <is>
          <t>25326661000132</t>
        </is>
      </c>
      <c r="M235" s="10" t="n">
        <v>101418.68</v>
      </c>
      <c r="N235" t="n">
        <v>1</v>
      </c>
      <c r="O235" s="11" t="inlineStr">
        <is>
          <t>C</t>
        </is>
      </c>
      <c r="P235" s="11" t="inlineStr">
        <is>
          <t>ACTIVE</t>
        </is>
      </c>
      <c r="Q235" s="12" t="n">
        <v>44735</v>
      </c>
      <c r="R235" s="11">
        <f>IF(Q235="","",ROUND((TODAY()-Q235)/365.25,1))</f>
        <v/>
      </c>
      <c r="S235" s="13">
        <f>IFERROR(VLOOKUP(O235,Assumptions!$A$7:$F$11,2,FALSE),0.25)</f>
        <v/>
      </c>
      <c r="T235" s="14">
        <f>IF(O235="A",MAX(1,IFERROR(VLOOKUP(O235,Assumptions!$A$7:$F$11,3,FALSE),3)+IFERROR(VLOOKUP(O235,Assumptions!$A$7:$F$11,4,FALSE),8)/2-MAX(0,IF(R235="",0,R235)-IFERROR(VLOOKUP(O235,Assumptions!$A$7:$F$11,5,FALSE),1.5))),IFERROR(VLOOKUP(O235,Assumptions!$A$7:$F$11,5,FALSE),2.5)+IFERROR(VLOOKUP(O235,Assumptions!$A$7:$F$11,3,FALSE),3)+IFERROR(VLOOKUP(O235,Assumptions!$A$7:$F$11,4,FALSE),8)/2)</f>
        <v/>
      </c>
      <c r="U235" s="15">
        <f>M235*S235/(1+Assumptions!$B$3)^T235</f>
        <v/>
      </c>
      <c r="V235" s="11">
        <f>IF(M235=0,"",ROUND(U235/M235*100,1))</f>
        <v/>
      </c>
      <c r="W235" s="16">
        <f>U235*Assumptions!$B$4</f>
        <v/>
      </c>
      <c r="X235" s="11">
        <f>IF(M235=0,"",ROUND(W235/M235*100,1))</f>
        <v/>
      </c>
      <c r="Y235" t="inlineStr">
        <is>
          <t>ASSOCIAÇÃO DE CARIDADE SANTA CASA DO RIO GRANDE</t>
        </is>
      </c>
      <c r="Z235" t="inlineStr">
        <is>
          <t>5012306-16.2022.8.21.0023</t>
        </is>
      </c>
      <c r="AA235" t="inlineStr">
        <is>
          <t>TJRS</t>
        </is>
      </c>
      <c r="AB235" t="inlineStr">
        <is>
          <t>scalzilliaj.com.br</t>
        </is>
      </c>
      <c r="AC235" t="inlineStr">
        <is>
          <t>ALBERTO JAEKEL JUNIOR</t>
        </is>
      </c>
      <c r="AD235" t="inlineStr">
        <is>
          <t>Sócio-Administrador</t>
        </is>
      </c>
      <c r="AE235" t="inlineStr">
        <is>
          <t>(31) 3399-2500</t>
        </is>
      </c>
      <c r="AF235" t="inlineStr"/>
      <c r="AG235" t="inlineStr"/>
      <c r="AH235" t="inlineStr">
        <is>
          <t>MG</t>
        </is>
      </c>
      <c r="AI235" t="inlineStr">
        <is>
          <t>CONTAGEM</t>
        </is>
      </c>
      <c r="AJ235" t="inlineStr">
        <is>
          <t>Desenvolvimento e licenciamento de programas de computador não-customizáveis</t>
        </is>
      </c>
      <c r="AK235" t="inlineStr">
        <is>
          <t>DEMAIS</t>
        </is>
      </c>
      <c r="AL235" t="inlineStr">
        <is>
          <t>ATIVA</t>
        </is>
      </c>
      <c r="AM235" s="17" t="inlineStr">
        <is>
          <t>https://scalzilliaj.com.br/sgc/download.php?file=files/processo_documento/processo_documento09120721032023_1_.pdf&amp;nome=15 - Edital do art. 7º, §2º e 53 da Lei 11.101/2005 (segunda lista de credores e recebimento do plano))</t>
        </is>
      </c>
      <c r="AN235" s="18" t="inlineStr">
        <is>
          <t>p29 r42</t>
        </is>
      </c>
      <c r="AO235" s="18" t="inlineStr">
        <is>
          <t>p29: R$ 101.418,68</t>
        </is>
      </c>
      <c r="AP235" s="18" t="inlineStr">
        <is>
          <t>AJ_LIST</t>
        </is>
      </c>
      <c r="AQ235" s="18" t="inlineStr">
        <is>
          <t>2023-03-21</t>
        </is>
      </c>
      <c r="AR235" s="18" t="inlineStr">
        <is>
          <t>OK_NO_TOTALS</t>
        </is>
      </c>
      <c r="AS235" s="18" t="inlineStr">
        <is>
          <t>ROWS:p29r42 UNRECONCILED_SOURCE</t>
        </is>
      </c>
      <c r="AT235" s="18" t="inlineStr">
        <is>
          <t>ebfb999b457c</t>
        </is>
      </c>
    </row>
    <row r="236">
      <c r="A236" s="9" t="n">
        <v>235</v>
      </c>
      <c r="B236" s="9" t="inlineStr">
        <is>
          <t>NEW</t>
        </is>
      </c>
      <c r="C236" s="9" t="inlineStr"/>
      <c r="D236" s="9" t="n">
        <v>0</v>
      </c>
      <c r="E236" s="9" t="inlineStr"/>
      <c r="F236" s="9" t="inlineStr"/>
      <c r="G236" s="9" t="inlineStr"/>
      <c r="H236" s="9" t="inlineStr"/>
      <c r="I236" t="inlineStr">
        <is>
          <t>LOCALIZA FLEET S.A.</t>
        </is>
      </c>
      <c r="J236" t="inlineStr">
        <is>
          <t>Localiza Fleet S.A.</t>
        </is>
      </c>
      <c r="K236" t="inlineStr">
        <is>
          <t>02286479</t>
        </is>
      </c>
      <c r="L236" t="inlineStr">
        <is>
          <t>02286479000108</t>
        </is>
      </c>
      <c r="M236" s="10" t="n">
        <v>100176.05</v>
      </c>
      <c r="N236" t="n">
        <v>1</v>
      </c>
      <c r="O236" s="11" t="inlineStr">
        <is>
          <t>C</t>
        </is>
      </c>
      <c r="P236" s="11" t="inlineStr">
        <is>
          <t>ACTIVE</t>
        </is>
      </c>
      <c r="Q236" s="12" t="n">
        <v>44987</v>
      </c>
      <c r="R236" s="11">
        <f>IF(Q236="","",ROUND((TODAY()-Q236)/365.25,1))</f>
        <v/>
      </c>
      <c r="S236" s="13">
        <f>IFERROR(VLOOKUP(O236,Assumptions!$A$7:$F$11,2,FALSE),0.25)</f>
        <v/>
      </c>
      <c r="T236" s="14">
        <f>IF(O236="A",MAX(1,IFERROR(VLOOKUP(O236,Assumptions!$A$7:$F$11,3,FALSE),3)+IFERROR(VLOOKUP(O236,Assumptions!$A$7:$F$11,4,FALSE),8)/2-MAX(0,IF(R236="",0,R236)-IFERROR(VLOOKUP(O236,Assumptions!$A$7:$F$11,5,FALSE),1.5))),IFERROR(VLOOKUP(O236,Assumptions!$A$7:$F$11,5,FALSE),2.5)+IFERROR(VLOOKUP(O236,Assumptions!$A$7:$F$11,3,FALSE),3)+IFERROR(VLOOKUP(O236,Assumptions!$A$7:$F$11,4,FALSE),8)/2)</f>
        <v/>
      </c>
      <c r="U236" s="15">
        <f>M236*S236/(1+Assumptions!$B$3)^T236</f>
        <v/>
      </c>
      <c r="V236" s="11">
        <f>IF(M236=0,"",ROUND(U236/M236*100,1))</f>
        <v/>
      </c>
      <c r="W236" s="16">
        <f>U236*Assumptions!$B$4</f>
        <v/>
      </c>
      <c r="X236" s="11">
        <f>IF(M236=0,"",ROUND(W236/M236*100,1))</f>
        <v/>
      </c>
      <c r="Y236" t="inlineStr">
        <is>
          <t>GRUPO DP4</t>
        </is>
      </c>
      <c r="Z236" t="inlineStr">
        <is>
          <t>0005010-98.2023.8.16.0001</t>
        </is>
      </c>
      <c r="AA236" t="inlineStr">
        <is>
          <t>TJPR</t>
        </is>
      </c>
      <c r="AB236" t="inlineStr">
        <is>
          <t>marquesadmjudicial.com.br</t>
        </is>
      </c>
      <c r="AC236" t="inlineStr">
        <is>
          <t>BRUNO SEBASTIAN LASANSKY</t>
        </is>
      </c>
      <c r="AD236" t="inlineStr">
        <is>
          <t>Presidente</t>
        </is>
      </c>
      <c r="AE236" t="inlineStr">
        <is>
          <t>(31) 2323-7160</t>
        </is>
      </c>
      <c r="AF236" t="inlineStr"/>
      <c r="AG236" t="inlineStr"/>
      <c r="AH236" t="inlineStr">
        <is>
          <t>MG</t>
        </is>
      </c>
      <c r="AI236" t="inlineStr">
        <is>
          <t>BELO HORIZONTE</t>
        </is>
      </c>
      <c r="AJ236" t="inlineStr">
        <is>
          <t>Locação de automóveis sem condutor</t>
        </is>
      </c>
      <c r="AK236" t="inlineStr">
        <is>
          <t>DEMAIS</t>
        </is>
      </c>
      <c r="AL236" t="inlineStr">
        <is>
          <t>ATIVA</t>
        </is>
      </c>
      <c r="AM236" s="17" t="inlineStr">
        <is>
          <t>https://marquesadmjudicial.com.br/sgc/download.php?file=files/processo_documento/processo_documento15293208032024_1_.pdf&amp;nome=Relação Nominal de Credores da AJ-Sintética</t>
        </is>
      </c>
      <c r="AN236" s="18" t="inlineStr">
        <is>
          <t>p28 r7</t>
        </is>
      </c>
      <c r="AO236" s="18" t="inlineStr">
        <is>
          <t>p28: R$ 100.176,05</t>
        </is>
      </c>
      <c r="AP236" s="18" t="inlineStr">
        <is>
          <t>AJ_LIST</t>
        </is>
      </c>
      <c r="AQ236" s="18" t="inlineStr">
        <is>
          <t>2023-03-02</t>
        </is>
      </c>
      <c r="AR236" s="18" t="inlineStr">
        <is>
          <t>QUARANTINED</t>
        </is>
      </c>
      <c r="AS236" s="18" t="inlineStr">
        <is>
          <t>PARTIAL_DOC_CLASS_III_RECONCILED ROWS:p28r7</t>
        </is>
      </c>
      <c r="AT236" s="18" t="inlineStr">
        <is>
          <t>b465a5d11eec</t>
        </is>
      </c>
    </row>
    <row r="237">
      <c r="A237" s="9" t="n">
        <v>236</v>
      </c>
      <c r="B237" s="9" t="inlineStr">
        <is>
          <t>NEW</t>
        </is>
      </c>
      <c r="C237" s="9" t="inlineStr"/>
      <c r="D237" s="9" t="n">
        <v>0</v>
      </c>
      <c r="E237" s="9" t="inlineStr"/>
      <c r="F237" s="9" t="inlineStr"/>
      <c r="G237" s="9" t="inlineStr"/>
      <c r="H237" s="9" t="inlineStr"/>
      <c r="I237" t="inlineStr">
        <is>
          <t>PLANALTO COMERCIO DE COMBUSTIVEIS E LUBRIFICANTES LTDA</t>
        </is>
      </c>
      <c r="J237" t="inlineStr">
        <is>
          <t>PLANALTO COMERCIO DE COMBUSTIVEIS E LUBRIFICANTES LTDA</t>
        </is>
      </c>
      <c r="K237" t="inlineStr">
        <is>
          <t>14547859</t>
        </is>
      </c>
      <c r="L237" t="inlineStr">
        <is>
          <t>14547859000120</t>
        </is>
      </c>
      <c r="M237" s="10" t="n">
        <v>100000</v>
      </c>
      <c r="N237" t="n">
        <v>1</v>
      </c>
      <c r="O237" s="11" t="inlineStr">
        <is>
          <t>C</t>
        </is>
      </c>
      <c r="P237" s="11" t="inlineStr">
        <is>
          <t>ACTIVE</t>
        </is>
      </c>
      <c r="Q237" s="12" t="n">
        <v>44798</v>
      </c>
      <c r="R237" s="11">
        <f>IF(Q237="","",ROUND((TODAY()-Q237)/365.25,1))</f>
        <v/>
      </c>
      <c r="S237" s="13">
        <f>IFERROR(VLOOKUP(O237,Assumptions!$A$7:$F$11,2,FALSE),0.25)</f>
        <v/>
      </c>
      <c r="T237" s="14">
        <f>IF(O237="A",MAX(1,IFERROR(VLOOKUP(O237,Assumptions!$A$7:$F$11,3,FALSE),3)+IFERROR(VLOOKUP(O237,Assumptions!$A$7:$F$11,4,FALSE),8)/2-MAX(0,IF(R237="",0,R237)-IFERROR(VLOOKUP(O237,Assumptions!$A$7:$F$11,5,FALSE),1.5))),IFERROR(VLOOKUP(O237,Assumptions!$A$7:$F$11,5,FALSE),2.5)+IFERROR(VLOOKUP(O237,Assumptions!$A$7:$F$11,3,FALSE),3)+IFERROR(VLOOKUP(O237,Assumptions!$A$7:$F$11,4,FALSE),8)/2)</f>
        <v/>
      </c>
      <c r="U237" s="15">
        <f>M237*S237/(1+Assumptions!$B$3)^T237</f>
        <v/>
      </c>
      <c r="V237" s="11">
        <f>IF(M237=0,"",ROUND(U237/M237*100,1))</f>
        <v/>
      </c>
      <c r="W237" s="16">
        <f>U237*Assumptions!$B$4</f>
        <v/>
      </c>
      <c r="X237" s="11">
        <f>IF(M237=0,"",ROUND(W237/M237*100,1))</f>
        <v/>
      </c>
      <c r="Y237" t="inlineStr">
        <is>
          <t>SECULAR COMÉRCIO CONSTRUÇÃO E REPRESENTAÇÃO LTDA - ME, EM RECUPERAÇÃO JUDICIAL</t>
        </is>
      </c>
      <c r="Z237" t="inlineStr">
        <is>
          <t>0804204-35.2022.8.15.0731</t>
        </is>
      </c>
      <c r="AA237" t="inlineStr">
        <is>
          <t>TJPB</t>
        </is>
      </c>
      <c r="AB237" t="inlineStr">
        <is>
          <t>lrflideres.com.br</t>
        </is>
      </c>
      <c r="AC237" t="inlineStr">
        <is>
          <t>ELIZABETH DA SILVA PONTES ROZENDO</t>
        </is>
      </c>
      <c r="AD237" t="inlineStr">
        <is>
          <t>Administrador</t>
        </is>
      </c>
      <c r="AE237" t="inlineStr">
        <is>
          <t>(83) 9984-3530</t>
        </is>
      </c>
      <c r="AF237" t="inlineStr">
        <is>
          <t>(83) 8783-8545</t>
        </is>
      </c>
      <c r="AG237" t="inlineStr"/>
      <c r="AH237" t="inlineStr">
        <is>
          <t>PB</t>
        </is>
      </c>
      <c r="AI237" t="inlineStr">
        <is>
          <t>SANTA RITA</t>
        </is>
      </c>
      <c r="AJ237" t="inlineStr">
        <is>
          <t>Comércio varejista de combustíveis para veículos automotores</t>
        </is>
      </c>
      <c r="AK237" t="inlineStr">
        <is>
          <t>DEMAIS</t>
        </is>
      </c>
      <c r="AL237" t="inlineStr">
        <is>
          <t>ATIVA</t>
        </is>
      </c>
      <c r="AM237" s="17" t="inlineStr">
        <is>
          <t>https://lrflideres.com.br/wp-content/uploads/2022/08/4.-EDITAL-2a-LISTA-DE-CREDORES.pdf</t>
        </is>
      </c>
      <c r="AN237" s="18" t="inlineStr">
        <is>
          <t>p2 r2</t>
        </is>
      </c>
      <c r="AO237" s="18" t="inlineStr">
        <is>
          <t>p2: R$ 100.000,00</t>
        </is>
      </c>
      <c r="AP237" s="18" t="inlineStr">
        <is>
          <t>AJ_LIST</t>
        </is>
      </c>
      <c r="AQ237" s="18" t="inlineStr">
        <is>
          <t>2023-12-04</t>
        </is>
      </c>
      <c r="AR237" s="18" t="inlineStr">
        <is>
          <t>OK</t>
        </is>
      </c>
      <c r="AS237" s="18" t="inlineStr">
        <is>
          <t>ROWS:p2r2</t>
        </is>
      </c>
      <c r="AT237" s="18" t="inlineStr">
        <is>
          <t>1355f93a13cd</t>
        </is>
      </c>
    </row>
  </sheetData>
  <autoFilter ref="A1:AT237"/>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showDropDown="0" showInputMessage="0" showErrorMessage="0" allowBlank="1" type="list">
      <formula1>"NEW,QUEUED,EMAILED,CALLED,VOICEMAIL,CONNECTED,INTERESTED,NOT INTERESTED,CALL BACK,DEAD,TERMS AGREED,CESSÃO SIGNED,SUBSTITUTED IN LIST,SETTLED"</formula1>
    </dataValidation>
  </dataValidations>
  <hyperlinks>
    <hyperlink xmlns:r="http://schemas.openxmlformats.org/officeDocument/2006/relationships" ref="AM2" r:id="rId1"/>
    <hyperlink xmlns:r="http://schemas.openxmlformats.org/officeDocument/2006/relationships" ref="AM3" r:id="rId2"/>
    <hyperlink xmlns:r="http://schemas.openxmlformats.org/officeDocument/2006/relationships" ref="AM4" r:id="rId3"/>
    <hyperlink xmlns:r="http://schemas.openxmlformats.org/officeDocument/2006/relationships" ref="AM5" r:id="rId4"/>
    <hyperlink xmlns:r="http://schemas.openxmlformats.org/officeDocument/2006/relationships" ref="AM6" r:id="rId5"/>
    <hyperlink xmlns:r="http://schemas.openxmlformats.org/officeDocument/2006/relationships" ref="AM7" r:id="rId6"/>
    <hyperlink xmlns:r="http://schemas.openxmlformats.org/officeDocument/2006/relationships" ref="AM8" r:id="rId7"/>
    <hyperlink xmlns:r="http://schemas.openxmlformats.org/officeDocument/2006/relationships" ref="AM9" r:id="rId8"/>
    <hyperlink xmlns:r="http://schemas.openxmlformats.org/officeDocument/2006/relationships" ref="AM10" r:id="rId9"/>
    <hyperlink xmlns:r="http://schemas.openxmlformats.org/officeDocument/2006/relationships" ref="AM11" r:id="rId10"/>
    <hyperlink xmlns:r="http://schemas.openxmlformats.org/officeDocument/2006/relationships" ref="AM12" r:id="rId11"/>
    <hyperlink xmlns:r="http://schemas.openxmlformats.org/officeDocument/2006/relationships" ref="AM13" r:id="rId12"/>
    <hyperlink xmlns:r="http://schemas.openxmlformats.org/officeDocument/2006/relationships" ref="AM14" r:id="rId13"/>
    <hyperlink xmlns:r="http://schemas.openxmlformats.org/officeDocument/2006/relationships" ref="AM15" r:id="rId14"/>
    <hyperlink xmlns:r="http://schemas.openxmlformats.org/officeDocument/2006/relationships" ref="AM16" r:id="rId15"/>
    <hyperlink xmlns:r="http://schemas.openxmlformats.org/officeDocument/2006/relationships" ref="AM17" r:id="rId16"/>
    <hyperlink xmlns:r="http://schemas.openxmlformats.org/officeDocument/2006/relationships" ref="AM18" r:id="rId17"/>
    <hyperlink xmlns:r="http://schemas.openxmlformats.org/officeDocument/2006/relationships" ref="AM19" r:id="rId18"/>
    <hyperlink xmlns:r="http://schemas.openxmlformats.org/officeDocument/2006/relationships" ref="AM20" r:id="rId19"/>
    <hyperlink xmlns:r="http://schemas.openxmlformats.org/officeDocument/2006/relationships" ref="AM21" r:id="rId20"/>
    <hyperlink xmlns:r="http://schemas.openxmlformats.org/officeDocument/2006/relationships" ref="AM22" r:id="rId21"/>
    <hyperlink xmlns:r="http://schemas.openxmlformats.org/officeDocument/2006/relationships" ref="AM23" r:id="rId22"/>
    <hyperlink xmlns:r="http://schemas.openxmlformats.org/officeDocument/2006/relationships" ref="AM24" r:id="rId23"/>
    <hyperlink xmlns:r="http://schemas.openxmlformats.org/officeDocument/2006/relationships" ref="AM25" r:id="rId24"/>
    <hyperlink xmlns:r="http://schemas.openxmlformats.org/officeDocument/2006/relationships" ref="AM26" r:id="rId25"/>
    <hyperlink xmlns:r="http://schemas.openxmlformats.org/officeDocument/2006/relationships" ref="AM27" r:id="rId26"/>
    <hyperlink xmlns:r="http://schemas.openxmlformats.org/officeDocument/2006/relationships" ref="AM28" r:id="rId27"/>
    <hyperlink xmlns:r="http://schemas.openxmlformats.org/officeDocument/2006/relationships" ref="AM29" r:id="rId28"/>
    <hyperlink xmlns:r="http://schemas.openxmlformats.org/officeDocument/2006/relationships" ref="AM30" r:id="rId29"/>
    <hyperlink xmlns:r="http://schemas.openxmlformats.org/officeDocument/2006/relationships" ref="AM31" r:id="rId30"/>
    <hyperlink xmlns:r="http://schemas.openxmlformats.org/officeDocument/2006/relationships" ref="AM32" r:id="rId31"/>
    <hyperlink xmlns:r="http://schemas.openxmlformats.org/officeDocument/2006/relationships" ref="AM33" r:id="rId32"/>
    <hyperlink xmlns:r="http://schemas.openxmlformats.org/officeDocument/2006/relationships" ref="AM34" r:id="rId33"/>
    <hyperlink xmlns:r="http://schemas.openxmlformats.org/officeDocument/2006/relationships" ref="AM35" r:id="rId34"/>
    <hyperlink xmlns:r="http://schemas.openxmlformats.org/officeDocument/2006/relationships" ref="AM36" r:id="rId35"/>
    <hyperlink xmlns:r="http://schemas.openxmlformats.org/officeDocument/2006/relationships" ref="AM37" r:id="rId36"/>
    <hyperlink xmlns:r="http://schemas.openxmlformats.org/officeDocument/2006/relationships" ref="AM38" r:id="rId37"/>
    <hyperlink xmlns:r="http://schemas.openxmlformats.org/officeDocument/2006/relationships" ref="AM39" r:id="rId38"/>
    <hyperlink xmlns:r="http://schemas.openxmlformats.org/officeDocument/2006/relationships" ref="AM40" r:id="rId39"/>
    <hyperlink xmlns:r="http://schemas.openxmlformats.org/officeDocument/2006/relationships" ref="AM41" r:id="rId40"/>
    <hyperlink xmlns:r="http://schemas.openxmlformats.org/officeDocument/2006/relationships" ref="AM42" r:id="rId41"/>
    <hyperlink xmlns:r="http://schemas.openxmlformats.org/officeDocument/2006/relationships" ref="AM43" r:id="rId42"/>
    <hyperlink xmlns:r="http://schemas.openxmlformats.org/officeDocument/2006/relationships" ref="AM44" r:id="rId43"/>
    <hyperlink xmlns:r="http://schemas.openxmlformats.org/officeDocument/2006/relationships" ref="AM45" r:id="rId44"/>
    <hyperlink xmlns:r="http://schemas.openxmlformats.org/officeDocument/2006/relationships" ref="AM46" r:id="rId45"/>
    <hyperlink xmlns:r="http://schemas.openxmlformats.org/officeDocument/2006/relationships" ref="AM47" r:id="rId46"/>
    <hyperlink xmlns:r="http://schemas.openxmlformats.org/officeDocument/2006/relationships" ref="AM48" r:id="rId47"/>
    <hyperlink xmlns:r="http://schemas.openxmlformats.org/officeDocument/2006/relationships" ref="AM49" r:id="rId48"/>
    <hyperlink xmlns:r="http://schemas.openxmlformats.org/officeDocument/2006/relationships" ref="AM50" r:id="rId49"/>
    <hyperlink xmlns:r="http://schemas.openxmlformats.org/officeDocument/2006/relationships" ref="AM51" r:id="rId50"/>
    <hyperlink xmlns:r="http://schemas.openxmlformats.org/officeDocument/2006/relationships" ref="AM52" r:id="rId51"/>
    <hyperlink xmlns:r="http://schemas.openxmlformats.org/officeDocument/2006/relationships" ref="AM53" r:id="rId52"/>
    <hyperlink xmlns:r="http://schemas.openxmlformats.org/officeDocument/2006/relationships" ref="AM54" r:id="rId53"/>
    <hyperlink xmlns:r="http://schemas.openxmlformats.org/officeDocument/2006/relationships" ref="AM55" r:id="rId54"/>
    <hyperlink xmlns:r="http://schemas.openxmlformats.org/officeDocument/2006/relationships" ref="AM56" r:id="rId55"/>
    <hyperlink xmlns:r="http://schemas.openxmlformats.org/officeDocument/2006/relationships" ref="AM57" r:id="rId56"/>
    <hyperlink xmlns:r="http://schemas.openxmlformats.org/officeDocument/2006/relationships" ref="AM58" r:id="rId57"/>
    <hyperlink xmlns:r="http://schemas.openxmlformats.org/officeDocument/2006/relationships" ref="AM59" r:id="rId58"/>
    <hyperlink xmlns:r="http://schemas.openxmlformats.org/officeDocument/2006/relationships" ref="AM60" r:id="rId59"/>
    <hyperlink xmlns:r="http://schemas.openxmlformats.org/officeDocument/2006/relationships" ref="AM61" r:id="rId60"/>
    <hyperlink xmlns:r="http://schemas.openxmlformats.org/officeDocument/2006/relationships" ref="AM62" r:id="rId61"/>
    <hyperlink xmlns:r="http://schemas.openxmlformats.org/officeDocument/2006/relationships" ref="AM63" r:id="rId62"/>
    <hyperlink xmlns:r="http://schemas.openxmlformats.org/officeDocument/2006/relationships" ref="AM64" r:id="rId63"/>
    <hyperlink xmlns:r="http://schemas.openxmlformats.org/officeDocument/2006/relationships" ref="AM65" r:id="rId64"/>
    <hyperlink xmlns:r="http://schemas.openxmlformats.org/officeDocument/2006/relationships" ref="AM66" r:id="rId65"/>
    <hyperlink xmlns:r="http://schemas.openxmlformats.org/officeDocument/2006/relationships" ref="AM67" r:id="rId66"/>
    <hyperlink xmlns:r="http://schemas.openxmlformats.org/officeDocument/2006/relationships" ref="AM68" r:id="rId67"/>
    <hyperlink xmlns:r="http://schemas.openxmlformats.org/officeDocument/2006/relationships" ref="AM69" r:id="rId68"/>
    <hyperlink xmlns:r="http://schemas.openxmlformats.org/officeDocument/2006/relationships" ref="AM70" r:id="rId69"/>
    <hyperlink xmlns:r="http://schemas.openxmlformats.org/officeDocument/2006/relationships" ref="AM71" r:id="rId70"/>
    <hyperlink xmlns:r="http://schemas.openxmlformats.org/officeDocument/2006/relationships" ref="AM72" r:id="rId71"/>
    <hyperlink xmlns:r="http://schemas.openxmlformats.org/officeDocument/2006/relationships" ref="AM73" r:id="rId72"/>
    <hyperlink xmlns:r="http://schemas.openxmlformats.org/officeDocument/2006/relationships" ref="AM74" r:id="rId73"/>
    <hyperlink xmlns:r="http://schemas.openxmlformats.org/officeDocument/2006/relationships" ref="AM75" r:id="rId74"/>
    <hyperlink xmlns:r="http://schemas.openxmlformats.org/officeDocument/2006/relationships" ref="AM76" r:id="rId75"/>
    <hyperlink xmlns:r="http://schemas.openxmlformats.org/officeDocument/2006/relationships" ref="AM77" r:id="rId76"/>
    <hyperlink xmlns:r="http://schemas.openxmlformats.org/officeDocument/2006/relationships" ref="AM78" r:id="rId77"/>
    <hyperlink xmlns:r="http://schemas.openxmlformats.org/officeDocument/2006/relationships" ref="AM79" r:id="rId78"/>
    <hyperlink xmlns:r="http://schemas.openxmlformats.org/officeDocument/2006/relationships" ref="AM80" r:id="rId79"/>
    <hyperlink xmlns:r="http://schemas.openxmlformats.org/officeDocument/2006/relationships" ref="AM81" r:id="rId80"/>
    <hyperlink xmlns:r="http://schemas.openxmlformats.org/officeDocument/2006/relationships" ref="AM82" r:id="rId81"/>
    <hyperlink xmlns:r="http://schemas.openxmlformats.org/officeDocument/2006/relationships" ref="AM83" r:id="rId82"/>
    <hyperlink xmlns:r="http://schemas.openxmlformats.org/officeDocument/2006/relationships" ref="AM84" r:id="rId83"/>
    <hyperlink xmlns:r="http://schemas.openxmlformats.org/officeDocument/2006/relationships" ref="AM85" r:id="rId84"/>
    <hyperlink xmlns:r="http://schemas.openxmlformats.org/officeDocument/2006/relationships" ref="AM86" r:id="rId85"/>
    <hyperlink xmlns:r="http://schemas.openxmlformats.org/officeDocument/2006/relationships" ref="AM87" r:id="rId86"/>
    <hyperlink xmlns:r="http://schemas.openxmlformats.org/officeDocument/2006/relationships" ref="AM88" r:id="rId87"/>
    <hyperlink xmlns:r="http://schemas.openxmlformats.org/officeDocument/2006/relationships" ref="AM89" r:id="rId88"/>
    <hyperlink xmlns:r="http://schemas.openxmlformats.org/officeDocument/2006/relationships" ref="AM90" r:id="rId89"/>
    <hyperlink xmlns:r="http://schemas.openxmlformats.org/officeDocument/2006/relationships" ref="AM91" r:id="rId90"/>
    <hyperlink xmlns:r="http://schemas.openxmlformats.org/officeDocument/2006/relationships" ref="AM92" r:id="rId91"/>
    <hyperlink xmlns:r="http://schemas.openxmlformats.org/officeDocument/2006/relationships" ref="AM93" r:id="rId92"/>
    <hyperlink xmlns:r="http://schemas.openxmlformats.org/officeDocument/2006/relationships" ref="AM94" r:id="rId93"/>
    <hyperlink xmlns:r="http://schemas.openxmlformats.org/officeDocument/2006/relationships" ref="AM95" r:id="rId94"/>
    <hyperlink xmlns:r="http://schemas.openxmlformats.org/officeDocument/2006/relationships" ref="AM96" r:id="rId95"/>
    <hyperlink xmlns:r="http://schemas.openxmlformats.org/officeDocument/2006/relationships" ref="AM97" r:id="rId96"/>
    <hyperlink xmlns:r="http://schemas.openxmlformats.org/officeDocument/2006/relationships" ref="AM98" r:id="rId97"/>
    <hyperlink xmlns:r="http://schemas.openxmlformats.org/officeDocument/2006/relationships" ref="AM99" r:id="rId98"/>
    <hyperlink xmlns:r="http://schemas.openxmlformats.org/officeDocument/2006/relationships" ref="AM100" r:id="rId99"/>
    <hyperlink xmlns:r="http://schemas.openxmlformats.org/officeDocument/2006/relationships" ref="AM101" r:id="rId100"/>
    <hyperlink xmlns:r="http://schemas.openxmlformats.org/officeDocument/2006/relationships" ref="AM102" r:id="rId101"/>
    <hyperlink xmlns:r="http://schemas.openxmlformats.org/officeDocument/2006/relationships" ref="AM103" r:id="rId102"/>
    <hyperlink xmlns:r="http://schemas.openxmlformats.org/officeDocument/2006/relationships" ref="AM104" r:id="rId103"/>
    <hyperlink xmlns:r="http://schemas.openxmlformats.org/officeDocument/2006/relationships" ref="AM105" r:id="rId104"/>
    <hyperlink xmlns:r="http://schemas.openxmlformats.org/officeDocument/2006/relationships" ref="AM106" r:id="rId105"/>
    <hyperlink xmlns:r="http://schemas.openxmlformats.org/officeDocument/2006/relationships" ref="AM107" r:id="rId106"/>
    <hyperlink xmlns:r="http://schemas.openxmlformats.org/officeDocument/2006/relationships" ref="AM108" r:id="rId107"/>
    <hyperlink xmlns:r="http://schemas.openxmlformats.org/officeDocument/2006/relationships" ref="AM109" r:id="rId108"/>
    <hyperlink xmlns:r="http://schemas.openxmlformats.org/officeDocument/2006/relationships" ref="AM110" r:id="rId109"/>
    <hyperlink xmlns:r="http://schemas.openxmlformats.org/officeDocument/2006/relationships" ref="AM111" r:id="rId110"/>
    <hyperlink xmlns:r="http://schemas.openxmlformats.org/officeDocument/2006/relationships" ref="AM112" r:id="rId111"/>
    <hyperlink xmlns:r="http://schemas.openxmlformats.org/officeDocument/2006/relationships" ref="AM113" r:id="rId112"/>
    <hyperlink xmlns:r="http://schemas.openxmlformats.org/officeDocument/2006/relationships" ref="AM114" r:id="rId113"/>
    <hyperlink xmlns:r="http://schemas.openxmlformats.org/officeDocument/2006/relationships" ref="AM115" r:id="rId114"/>
    <hyperlink xmlns:r="http://schemas.openxmlformats.org/officeDocument/2006/relationships" ref="AM116" r:id="rId115"/>
    <hyperlink xmlns:r="http://schemas.openxmlformats.org/officeDocument/2006/relationships" ref="AM117" r:id="rId116"/>
    <hyperlink xmlns:r="http://schemas.openxmlformats.org/officeDocument/2006/relationships" ref="AM118" r:id="rId117"/>
    <hyperlink xmlns:r="http://schemas.openxmlformats.org/officeDocument/2006/relationships" ref="AM119" r:id="rId118"/>
    <hyperlink xmlns:r="http://schemas.openxmlformats.org/officeDocument/2006/relationships" ref="AM120" r:id="rId119"/>
    <hyperlink xmlns:r="http://schemas.openxmlformats.org/officeDocument/2006/relationships" ref="AM121" r:id="rId120"/>
    <hyperlink xmlns:r="http://schemas.openxmlformats.org/officeDocument/2006/relationships" ref="AM122" r:id="rId121"/>
    <hyperlink xmlns:r="http://schemas.openxmlformats.org/officeDocument/2006/relationships" ref="AM123" r:id="rId122"/>
    <hyperlink xmlns:r="http://schemas.openxmlformats.org/officeDocument/2006/relationships" ref="AM124" r:id="rId123"/>
    <hyperlink xmlns:r="http://schemas.openxmlformats.org/officeDocument/2006/relationships" ref="AM125" r:id="rId124"/>
    <hyperlink xmlns:r="http://schemas.openxmlformats.org/officeDocument/2006/relationships" ref="AM126" r:id="rId125"/>
    <hyperlink xmlns:r="http://schemas.openxmlformats.org/officeDocument/2006/relationships" ref="AM127" r:id="rId126"/>
    <hyperlink xmlns:r="http://schemas.openxmlformats.org/officeDocument/2006/relationships" ref="AM128" r:id="rId127"/>
    <hyperlink xmlns:r="http://schemas.openxmlformats.org/officeDocument/2006/relationships" ref="AM129" r:id="rId128"/>
    <hyperlink xmlns:r="http://schemas.openxmlformats.org/officeDocument/2006/relationships" ref="AM130" r:id="rId129"/>
    <hyperlink xmlns:r="http://schemas.openxmlformats.org/officeDocument/2006/relationships" ref="AM131" r:id="rId130"/>
    <hyperlink xmlns:r="http://schemas.openxmlformats.org/officeDocument/2006/relationships" ref="AM132" r:id="rId131"/>
    <hyperlink xmlns:r="http://schemas.openxmlformats.org/officeDocument/2006/relationships" ref="AM133" r:id="rId132"/>
    <hyperlink xmlns:r="http://schemas.openxmlformats.org/officeDocument/2006/relationships" ref="AM134" r:id="rId133"/>
    <hyperlink xmlns:r="http://schemas.openxmlformats.org/officeDocument/2006/relationships" ref="AM135" r:id="rId134"/>
    <hyperlink xmlns:r="http://schemas.openxmlformats.org/officeDocument/2006/relationships" ref="AM136" r:id="rId135"/>
    <hyperlink xmlns:r="http://schemas.openxmlformats.org/officeDocument/2006/relationships" ref="AM137" r:id="rId136"/>
    <hyperlink xmlns:r="http://schemas.openxmlformats.org/officeDocument/2006/relationships" ref="AM138" r:id="rId137"/>
    <hyperlink xmlns:r="http://schemas.openxmlformats.org/officeDocument/2006/relationships" ref="AM139" r:id="rId138"/>
    <hyperlink xmlns:r="http://schemas.openxmlformats.org/officeDocument/2006/relationships" ref="AM140" r:id="rId139"/>
    <hyperlink xmlns:r="http://schemas.openxmlformats.org/officeDocument/2006/relationships" ref="AM141" r:id="rId140"/>
    <hyperlink xmlns:r="http://schemas.openxmlformats.org/officeDocument/2006/relationships" ref="AM142" r:id="rId141"/>
    <hyperlink xmlns:r="http://schemas.openxmlformats.org/officeDocument/2006/relationships" ref="AM143" r:id="rId142"/>
    <hyperlink xmlns:r="http://schemas.openxmlformats.org/officeDocument/2006/relationships" ref="AM144" r:id="rId143"/>
    <hyperlink xmlns:r="http://schemas.openxmlformats.org/officeDocument/2006/relationships" ref="AM145" r:id="rId144"/>
    <hyperlink xmlns:r="http://schemas.openxmlformats.org/officeDocument/2006/relationships" ref="AM146" r:id="rId145"/>
    <hyperlink xmlns:r="http://schemas.openxmlformats.org/officeDocument/2006/relationships" ref="AM147" r:id="rId146"/>
    <hyperlink xmlns:r="http://schemas.openxmlformats.org/officeDocument/2006/relationships" ref="AM148" r:id="rId147"/>
    <hyperlink xmlns:r="http://schemas.openxmlformats.org/officeDocument/2006/relationships" ref="AM149" r:id="rId148"/>
    <hyperlink xmlns:r="http://schemas.openxmlformats.org/officeDocument/2006/relationships" ref="AM150" r:id="rId149"/>
    <hyperlink xmlns:r="http://schemas.openxmlformats.org/officeDocument/2006/relationships" ref="AM151" r:id="rId150"/>
    <hyperlink xmlns:r="http://schemas.openxmlformats.org/officeDocument/2006/relationships" ref="AM152" r:id="rId151"/>
    <hyperlink xmlns:r="http://schemas.openxmlformats.org/officeDocument/2006/relationships" ref="AM153" r:id="rId152"/>
    <hyperlink xmlns:r="http://schemas.openxmlformats.org/officeDocument/2006/relationships" ref="AM154" r:id="rId153"/>
    <hyperlink xmlns:r="http://schemas.openxmlformats.org/officeDocument/2006/relationships" ref="AM155" r:id="rId154"/>
    <hyperlink xmlns:r="http://schemas.openxmlformats.org/officeDocument/2006/relationships" ref="AM156" r:id="rId155"/>
    <hyperlink xmlns:r="http://schemas.openxmlformats.org/officeDocument/2006/relationships" ref="AM157" r:id="rId156"/>
    <hyperlink xmlns:r="http://schemas.openxmlformats.org/officeDocument/2006/relationships" ref="AM158" r:id="rId157"/>
    <hyperlink xmlns:r="http://schemas.openxmlformats.org/officeDocument/2006/relationships" ref="AM159" r:id="rId158"/>
    <hyperlink xmlns:r="http://schemas.openxmlformats.org/officeDocument/2006/relationships" ref="AM160" r:id="rId159"/>
    <hyperlink xmlns:r="http://schemas.openxmlformats.org/officeDocument/2006/relationships" ref="AM161" r:id="rId160"/>
    <hyperlink xmlns:r="http://schemas.openxmlformats.org/officeDocument/2006/relationships" ref="AM162" r:id="rId161"/>
    <hyperlink xmlns:r="http://schemas.openxmlformats.org/officeDocument/2006/relationships" ref="AM163" r:id="rId162"/>
    <hyperlink xmlns:r="http://schemas.openxmlformats.org/officeDocument/2006/relationships" ref="AM164" r:id="rId163"/>
    <hyperlink xmlns:r="http://schemas.openxmlformats.org/officeDocument/2006/relationships" ref="AM165" r:id="rId164"/>
    <hyperlink xmlns:r="http://schemas.openxmlformats.org/officeDocument/2006/relationships" ref="AM166" r:id="rId165"/>
    <hyperlink xmlns:r="http://schemas.openxmlformats.org/officeDocument/2006/relationships" ref="AM167" r:id="rId166"/>
    <hyperlink xmlns:r="http://schemas.openxmlformats.org/officeDocument/2006/relationships" ref="AM168" r:id="rId167"/>
    <hyperlink xmlns:r="http://schemas.openxmlformats.org/officeDocument/2006/relationships" ref="AM169" r:id="rId168"/>
    <hyperlink xmlns:r="http://schemas.openxmlformats.org/officeDocument/2006/relationships" ref="AM170" r:id="rId169"/>
    <hyperlink xmlns:r="http://schemas.openxmlformats.org/officeDocument/2006/relationships" ref="AM171" r:id="rId170"/>
    <hyperlink xmlns:r="http://schemas.openxmlformats.org/officeDocument/2006/relationships" ref="AM172" r:id="rId171"/>
    <hyperlink xmlns:r="http://schemas.openxmlformats.org/officeDocument/2006/relationships" ref="AM173" r:id="rId172"/>
    <hyperlink xmlns:r="http://schemas.openxmlformats.org/officeDocument/2006/relationships" ref="AM174" r:id="rId173"/>
    <hyperlink xmlns:r="http://schemas.openxmlformats.org/officeDocument/2006/relationships" ref="AM175" r:id="rId174"/>
    <hyperlink xmlns:r="http://schemas.openxmlformats.org/officeDocument/2006/relationships" ref="AM176" r:id="rId175"/>
    <hyperlink xmlns:r="http://schemas.openxmlformats.org/officeDocument/2006/relationships" ref="AM177" r:id="rId176"/>
    <hyperlink xmlns:r="http://schemas.openxmlformats.org/officeDocument/2006/relationships" ref="AM178" r:id="rId177"/>
    <hyperlink xmlns:r="http://schemas.openxmlformats.org/officeDocument/2006/relationships" ref="AM179" r:id="rId178"/>
    <hyperlink xmlns:r="http://schemas.openxmlformats.org/officeDocument/2006/relationships" ref="AM180" r:id="rId179"/>
    <hyperlink xmlns:r="http://schemas.openxmlformats.org/officeDocument/2006/relationships" ref="AM181" r:id="rId180"/>
    <hyperlink xmlns:r="http://schemas.openxmlformats.org/officeDocument/2006/relationships" ref="AM182" r:id="rId181"/>
    <hyperlink xmlns:r="http://schemas.openxmlformats.org/officeDocument/2006/relationships" ref="AM183" r:id="rId182"/>
    <hyperlink xmlns:r="http://schemas.openxmlformats.org/officeDocument/2006/relationships" ref="AM184" r:id="rId183"/>
    <hyperlink xmlns:r="http://schemas.openxmlformats.org/officeDocument/2006/relationships" ref="AM185" r:id="rId184"/>
    <hyperlink xmlns:r="http://schemas.openxmlformats.org/officeDocument/2006/relationships" ref="AM186" r:id="rId185"/>
    <hyperlink xmlns:r="http://schemas.openxmlformats.org/officeDocument/2006/relationships" ref="AM187" r:id="rId186"/>
    <hyperlink xmlns:r="http://schemas.openxmlformats.org/officeDocument/2006/relationships" ref="AM188" r:id="rId187"/>
    <hyperlink xmlns:r="http://schemas.openxmlformats.org/officeDocument/2006/relationships" ref="AM189" r:id="rId188"/>
    <hyperlink xmlns:r="http://schemas.openxmlformats.org/officeDocument/2006/relationships" ref="AM190" r:id="rId189"/>
    <hyperlink xmlns:r="http://schemas.openxmlformats.org/officeDocument/2006/relationships" ref="AM191" r:id="rId190"/>
    <hyperlink xmlns:r="http://schemas.openxmlformats.org/officeDocument/2006/relationships" ref="AM192" r:id="rId191"/>
    <hyperlink xmlns:r="http://schemas.openxmlformats.org/officeDocument/2006/relationships" ref="AM193" r:id="rId192"/>
    <hyperlink xmlns:r="http://schemas.openxmlformats.org/officeDocument/2006/relationships" ref="AM194" r:id="rId193"/>
    <hyperlink xmlns:r="http://schemas.openxmlformats.org/officeDocument/2006/relationships" ref="AM195" r:id="rId194"/>
    <hyperlink xmlns:r="http://schemas.openxmlformats.org/officeDocument/2006/relationships" ref="AM196" r:id="rId195"/>
    <hyperlink xmlns:r="http://schemas.openxmlformats.org/officeDocument/2006/relationships" ref="AM197" r:id="rId196"/>
    <hyperlink xmlns:r="http://schemas.openxmlformats.org/officeDocument/2006/relationships" ref="AM198" r:id="rId197"/>
    <hyperlink xmlns:r="http://schemas.openxmlformats.org/officeDocument/2006/relationships" ref="AM199" r:id="rId198"/>
    <hyperlink xmlns:r="http://schemas.openxmlformats.org/officeDocument/2006/relationships" ref="AM200" r:id="rId199"/>
    <hyperlink xmlns:r="http://schemas.openxmlformats.org/officeDocument/2006/relationships" ref="AM201" r:id="rId200"/>
    <hyperlink xmlns:r="http://schemas.openxmlformats.org/officeDocument/2006/relationships" ref="AM202" r:id="rId201"/>
    <hyperlink xmlns:r="http://schemas.openxmlformats.org/officeDocument/2006/relationships" ref="AM203" r:id="rId202"/>
    <hyperlink xmlns:r="http://schemas.openxmlformats.org/officeDocument/2006/relationships" ref="AM204" r:id="rId203"/>
    <hyperlink xmlns:r="http://schemas.openxmlformats.org/officeDocument/2006/relationships" ref="AM205" r:id="rId204"/>
    <hyperlink xmlns:r="http://schemas.openxmlformats.org/officeDocument/2006/relationships" ref="AM206" r:id="rId205"/>
    <hyperlink xmlns:r="http://schemas.openxmlformats.org/officeDocument/2006/relationships" ref="AM207" r:id="rId206"/>
    <hyperlink xmlns:r="http://schemas.openxmlformats.org/officeDocument/2006/relationships" ref="AM208" r:id="rId207"/>
    <hyperlink xmlns:r="http://schemas.openxmlformats.org/officeDocument/2006/relationships" ref="AM209" r:id="rId208"/>
    <hyperlink xmlns:r="http://schemas.openxmlformats.org/officeDocument/2006/relationships" ref="AM210" r:id="rId209"/>
    <hyperlink xmlns:r="http://schemas.openxmlformats.org/officeDocument/2006/relationships" ref="AM211" r:id="rId210"/>
    <hyperlink xmlns:r="http://schemas.openxmlformats.org/officeDocument/2006/relationships" ref="AM212" r:id="rId211"/>
    <hyperlink xmlns:r="http://schemas.openxmlformats.org/officeDocument/2006/relationships" ref="AM213" r:id="rId212"/>
    <hyperlink xmlns:r="http://schemas.openxmlformats.org/officeDocument/2006/relationships" ref="AM214" r:id="rId213"/>
    <hyperlink xmlns:r="http://schemas.openxmlformats.org/officeDocument/2006/relationships" ref="AM215" r:id="rId214"/>
    <hyperlink xmlns:r="http://schemas.openxmlformats.org/officeDocument/2006/relationships" ref="AM216" r:id="rId215"/>
    <hyperlink xmlns:r="http://schemas.openxmlformats.org/officeDocument/2006/relationships" ref="AM217" r:id="rId216"/>
    <hyperlink xmlns:r="http://schemas.openxmlformats.org/officeDocument/2006/relationships" ref="AM218" r:id="rId217"/>
    <hyperlink xmlns:r="http://schemas.openxmlformats.org/officeDocument/2006/relationships" ref="AM219" r:id="rId218"/>
    <hyperlink xmlns:r="http://schemas.openxmlformats.org/officeDocument/2006/relationships" ref="AM220" r:id="rId219"/>
    <hyperlink xmlns:r="http://schemas.openxmlformats.org/officeDocument/2006/relationships" ref="AM221" r:id="rId220"/>
    <hyperlink xmlns:r="http://schemas.openxmlformats.org/officeDocument/2006/relationships" ref="AM222" r:id="rId221"/>
    <hyperlink xmlns:r="http://schemas.openxmlformats.org/officeDocument/2006/relationships" ref="AM223" r:id="rId222"/>
    <hyperlink xmlns:r="http://schemas.openxmlformats.org/officeDocument/2006/relationships" ref="AM224" r:id="rId223"/>
    <hyperlink xmlns:r="http://schemas.openxmlformats.org/officeDocument/2006/relationships" ref="AM225" r:id="rId224"/>
    <hyperlink xmlns:r="http://schemas.openxmlformats.org/officeDocument/2006/relationships" ref="AM226" r:id="rId225"/>
    <hyperlink xmlns:r="http://schemas.openxmlformats.org/officeDocument/2006/relationships" ref="AM227" r:id="rId226"/>
    <hyperlink xmlns:r="http://schemas.openxmlformats.org/officeDocument/2006/relationships" ref="AM228" r:id="rId227"/>
    <hyperlink xmlns:r="http://schemas.openxmlformats.org/officeDocument/2006/relationships" ref="AM229" r:id="rId228"/>
    <hyperlink xmlns:r="http://schemas.openxmlformats.org/officeDocument/2006/relationships" ref="AM230" r:id="rId229"/>
    <hyperlink xmlns:r="http://schemas.openxmlformats.org/officeDocument/2006/relationships" ref="AM231" r:id="rId230"/>
    <hyperlink xmlns:r="http://schemas.openxmlformats.org/officeDocument/2006/relationships" ref="AM232" r:id="rId231"/>
    <hyperlink xmlns:r="http://schemas.openxmlformats.org/officeDocument/2006/relationships" ref="AM233" r:id="rId232"/>
    <hyperlink xmlns:r="http://schemas.openxmlformats.org/officeDocument/2006/relationships" ref="AM234" r:id="rId233"/>
    <hyperlink xmlns:r="http://schemas.openxmlformats.org/officeDocument/2006/relationships" ref="AM235" r:id="rId234"/>
    <hyperlink xmlns:r="http://schemas.openxmlformats.org/officeDocument/2006/relationships" ref="AM236" r:id="rId235"/>
    <hyperlink xmlns:r="http://schemas.openxmlformats.org/officeDocument/2006/relationships" ref="AM237" r:id="rId2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83"/>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40" customWidth="1" min="3" max="3"/>
    <col width="26" customWidth="1" min="4" max="4"/>
    <col width="12" customWidth="1" min="5" max="5"/>
    <col width="14" customWidth="1" min="6" max="6"/>
    <col width="60" customWidth="1" min="7" max="7"/>
    <col width="12" customWidth="1" min="8" max="8"/>
    <col width="40" customWidth="1" min="9" max="9"/>
  </cols>
  <sheetData>
    <row r="1">
      <c r="A1" s="5" t="inlineStr">
        <is>
          <t>Name as printed</t>
        </is>
      </c>
      <c r="B1" s="5" t="inlineStr">
        <is>
          <t>Class III value (R$)</t>
        </is>
      </c>
      <c r="C1" s="5" t="inlineStr">
        <is>
          <t>Debtor</t>
        </is>
      </c>
      <c r="D1" s="5" t="inlineStr">
        <is>
          <t>Case number</t>
        </is>
      </c>
      <c r="E1" s="5" t="inlineStr">
        <is>
          <t>Which list</t>
        </is>
      </c>
      <c r="F1" s="5" t="inlineStr">
        <is>
          <t>Reconciled</t>
        </is>
      </c>
      <c r="G1" s="5" t="inlineStr">
        <is>
          <t>PROOF: source document</t>
        </is>
      </c>
      <c r="H1" s="5" t="inlineStr">
        <is>
          <t>Page / row</t>
        </is>
      </c>
      <c r="I1" s="5" t="inlineStr">
        <is>
          <t>Flags</t>
        </is>
      </c>
    </row>
    <row r="2">
      <c r="A2" t="inlineStr">
        <is>
          <t>Banco Itaú Unibanco S.A</t>
        </is>
      </c>
      <c r="B2" s="10" t="n">
        <v>1587270.22</v>
      </c>
      <c r="C2" t="inlineStr">
        <is>
          <t>e da possibilidade concreta de seja ordenada por Vossa</t>
        </is>
      </c>
      <c r="D2" t="inlineStr">
        <is>
          <t>0600328-51.2014.8.24.0031</t>
        </is>
      </c>
      <c r="E2" t="inlineStr">
        <is>
          <t>DEBTOR_LIST</t>
        </is>
      </c>
      <c r="F2" t="inlineStr">
        <is>
          <t>OK_NO_TOTALS</t>
        </is>
      </c>
      <c r="G2" s="19" t="inlineStr">
        <is>
          <t>https://administradorajudicialgs.com.br/wp-content/uploads/2023/08/doc-05-publicacao-relacao-credores-22-04-16.pdf</t>
        </is>
      </c>
      <c r="H2" t="inlineStr">
        <is>
          <t>p3 r28</t>
        </is>
      </c>
      <c r="I2" t="inlineStr">
        <is>
          <t>NO_DOCUMENT</t>
        </is>
      </c>
    </row>
    <row r="3">
      <c r="A3" t="inlineStr">
        <is>
          <t>Banco do Brasil S.A prosseguir no desenvolvimento de suas atividades, ocasionando um</t>
        </is>
      </c>
      <c r="B3" s="10" t="n">
        <v>1399741.44</v>
      </c>
      <c r="C3" t="inlineStr">
        <is>
          <t>e da possibilidade concreta de seja ordenada por Vossa</t>
        </is>
      </c>
      <c r="D3" t="inlineStr">
        <is>
          <t>0600328-51.2014.8.24.0031</t>
        </is>
      </c>
      <c r="E3" t="inlineStr">
        <is>
          <t>DEBTOR_LIST</t>
        </is>
      </c>
      <c r="F3" t="inlineStr">
        <is>
          <t>OK_NO_TOTALS</t>
        </is>
      </c>
      <c r="G3" s="19" t="inlineStr">
        <is>
          <t>https://administradorajudicialgs.com.br/wp-content/uploads/2023/08/doc-05-publicacao-relacao-credores-22-04-16.pdf</t>
        </is>
      </c>
      <c r="H3" t="inlineStr">
        <is>
          <t>p3 r27</t>
        </is>
      </c>
      <c r="I3" t="inlineStr">
        <is>
          <t>NO_DOCUMENT</t>
        </is>
      </c>
    </row>
    <row r="4">
      <c r="A4" t="inlineStr">
        <is>
          <t>Viacredi - Coop. de Crédito do Vale do a seguinte decisão: “Vistos, etc... Considerando a disponibilidade de Itajaí</t>
        </is>
      </c>
      <c r="B4" s="10" t="n">
        <v>1001584.54</v>
      </c>
      <c r="C4" t="inlineStr">
        <is>
          <t>e da possibilidade concreta de seja ordenada por Vossa</t>
        </is>
      </c>
      <c r="D4" t="inlineStr">
        <is>
          <t>0600328-51.2014.8.24.0031</t>
        </is>
      </c>
      <c r="E4" t="inlineStr">
        <is>
          <t>DEBTOR_LIST</t>
        </is>
      </c>
      <c r="F4" t="inlineStr">
        <is>
          <t>OK_NO_TOTALS</t>
        </is>
      </c>
      <c r="G4" s="19" t="inlineStr">
        <is>
          <t>https://administradorajudicialgs.com.br/wp-content/uploads/2023/08/doc-05-publicacao-relacao-credores-22-04-16.pdf</t>
        </is>
      </c>
      <c r="H4" t="inlineStr">
        <is>
          <t>p4 r80</t>
        </is>
      </c>
      <c r="I4" t="inlineStr">
        <is>
          <t>NO_DOCUMENT</t>
        </is>
      </c>
    </row>
    <row r="5">
      <c r="A5" t="inlineStr">
        <is>
          <t>Fundo é absolutamente passageira, de modo que o deferimento do presente de Investimentos em Dir. Cred. Del Monte</t>
        </is>
      </c>
      <c r="B5" s="10" t="n">
        <v>844173</v>
      </c>
      <c r="C5" t="inlineStr">
        <is>
          <t>e da possibilidade concreta de seja ordenada por Vossa</t>
        </is>
      </c>
      <c r="D5" t="inlineStr">
        <is>
          <t>0600328-51.2014.8.24.0031</t>
        </is>
      </c>
      <c r="E5" t="inlineStr">
        <is>
          <t>DEBTOR_LIST</t>
        </is>
      </c>
      <c r="F5" t="inlineStr">
        <is>
          <t>OK_NO_TOTALS</t>
        </is>
      </c>
      <c r="G5" s="19" t="inlineStr">
        <is>
          <t>https://administradorajudicialgs.com.br/wp-content/uploads/2023/08/doc-05-publicacao-relacao-credores-22-04-16.pdf</t>
        </is>
      </c>
      <c r="H5" t="inlineStr">
        <is>
          <t>p3 r60</t>
        </is>
      </c>
      <c r="I5" t="inlineStr">
        <is>
          <t>NO_DOCUMENT</t>
        </is>
      </c>
    </row>
    <row r="6">
      <c r="A6" t="inlineStr">
        <is>
          <t>HSBC Bank para atender(em) ao objetivo supra mencionado, no lapso de tempo Brasil S.A</t>
        </is>
      </c>
      <c r="B6" s="10" t="n">
        <v>535429.58</v>
      </c>
      <c r="C6" t="inlineStr">
        <is>
          <t>e da possibilidade concreta de seja ordenada por Vossa</t>
        </is>
      </c>
      <c r="D6" t="inlineStr">
        <is>
          <t>0600328-51.2014.8.24.0031</t>
        </is>
      </c>
      <c r="E6" t="inlineStr">
        <is>
          <t>DEBTOR_LIST</t>
        </is>
      </c>
      <c r="F6" t="inlineStr">
        <is>
          <t>OK_NO_TOTALS</t>
        </is>
      </c>
      <c r="G6" s="19" t="inlineStr">
        <is>
          <t>https://administradorajudicialgs.com.br/wp-content/uploads/2023/08/doc-05-publicacao-relacao-credores-22-04-16.pdf</t>
        </is>
      </c>
      <c r="H6" t="inlineStr">
        <is>
          <t>p4 r5</t>
        </is>
      </c>
      <c r="I6" t="inlineStr">
        <is>
          <t>NO_DOCUMENT</t>
        </is>
      </c>
    </row>
    <row r="7">
      <c r="A7" t="inlineStr">
        <is>
          <t>Banco Bradesco implantadas.No entanto, sem o benefício da recuperação judicial, de S.A</t>
        </is>
      </c>
      <c r="B7" s="10" t="n">
        <v>320675.65</v>
      </c>
      <c r="C7" t="inlineStr">
        <is>
          <t>e da possibilidade concreta de seja ordenada por Vossa</t>
        </is>
      </c>
      <c r="D7" t="inlineStr">
        <is>
          <t>0600328-51.2014.8.24.0031</t>
        </is>
      </c>
      <c r="E7" t="inlineStr">
        <is>
          <t>DEBTOR_LIST</t>
        </is>
      </c>
      <c r="F7" t="inlineStr">
        <is>
          <t>OK_NO_TOTALS</t>
        </is>
      </c>
      <c r="G7" s="19" t="inlineStr">
        <is>
          <t>https://administradorajudicialgs.com.br/wp-content/uploads/2023/08/doc-05-publicacao-relacao-credores-22-04-16.pdf</t>
        </is>
      </c>
      <c r="H7" t="inlineStr">
        <is>
          <t>p3 r24</t>
        </is>
      </c>
      <c r="I7" t="inlineStr">
        <is>
          <t>NO_DOCUMENT</t>
        </is>
      </c>
    </row>
    <row r="8">
      <c r="A8" t="inlineStr">
        <is>
          <t>Guararapes Paineis o presente pedido de Recuperação Judicial, requer a Vossa Excelência: Ltda</t>
        </is>
      </c>
      <c r="B8" s="10" t="n">
        <v>258822.37</v>
      </c>
      <c r="C8" t="inlineStr">
        <is>
          <t>e da possibilidade concreta de seja ordenada por Vossa</t>
        </is>
      </c>
      <c r="D8" t="inlineStr">
        <is>
          <t>0600328-51.2014.8.24.0031</t>
        </is>
      </c>
      <c r="E8" t="inlineStr">
        <is>
          <t>DEBTOR_LIST</t>
        </is>
      </c>
      <c r="F8" t="inlineStr">
        <is>
          <t>OK_NO_TOTALS</t>
        </is>
      </c>
      <c r="G8" s="19" t="inlineStr">
        <is>
          <t>https://administradorajudicialgs.com.br/wp-content/uploads/2023/08/doc-05-publicacao-relacao-credores-22-04-16.pdf</t>
        </is>
      </c>
      <c r="H8" t="inlineStr">
        <is>
          <t>p3 r68</t>
        </is>
      </c>
      <c r="I8" t="inlineStr">
        <is>
          <t>NO_DOCUMENT</t>
        </is>
      </c>
    </row>
    <row r="9">
      <c r="A9" t="inlineStr"/>
      <c r="B9" s="10" t="n">
        <v>4318998.61</v>
      </c>
      <c r="C9" t="inlineStr">
        <is>
          <t>GRUPO NACIONAL – Diligence Administração em Recuperação Judicial e Falência</t>
        </is>
      </c>
      <c r="D9" t="inlineStr">
        <is>
          <t>0089327-55.2019.8.17.2001</t>
        </is>
      </c>
      <c r="E9" t="inlineStr">
        <is>
          <t>QGC</t>
        </is>
      </c>
      <c r="F9" t="inlineStr">
        <is>
          <t>OK_NO_TOTALS</t>
        </is>
      </c>
      <c r="G9" s="19" t="inlineStr">
        <is>
          <t>https://diligence.adm.br/wp-content/uploads/2024/05/Relacao-de-Credores-Classe-III-1.pdf</t>
        </is>
      </c>
      <c r="H9" t="inlineStr">
        <is>
          <t>p1 r8</t>
        </is>
      </c>
      <c r="I9" t="inlineStr">
        <is>
          <t>NO_DOCUMENT NAME_MISSING</t>
        </is>
      </c>
    </row>
    <row r="10">
      <c r="A10" t="inlineStr">
        <is>
          <t>JRFM PARTICIPAÇÕES SOCIETÁRIAS LTDA</t>
        </is>
      </c>
      <c r="B10" s="10" t="n">
        <v>923728.51</v>
      </c>
      <c r="C10" t="inlineStr">
        <is>
          <t>GRUPO NACIONAL – Diligence Administração em Recuperação Judicial e Falência</t>
        </is>
      </c>
      <c r="D10" t="inlineStr">
        <is>
          <t>0089327-55.2019.8.17.2001</t>
        </is>
      </c>
      <c r="E10" t="inlineStr">
        <is>
          <t>QGC</t>
        </is>
      </c>
      <c r="F10" t="inlineStr">
        <is>
          <t>OK_NO_TOTALS</t>
        </is>
      </c>
      <c r="G10" s="19" t="inlineStr">
        <is>
          <t>https://diligence.adm.br/wp-content/uploads/2024/05/Relacao-de-Credores-Classe-III-1.pdf</t>
        </is>
      </c>
      <c r="H10" t="inlineStr">
        <is>
          <t>p3 r22</t>
        </is>
      </c>
      <c r="I10" t="inlineStr">
        <is>
          <t>NO_DOCUMENT</t>
        </is>
      </c>
    </row>
    <row r="11">
      <c r="A11" t="inlineStr">
        <is>
          <t>IBRAP INDUSTRIA BRASILEIRA DE ALUMÍNIO E PLÁSTICOS SA</t>
        </is>
      </c>
      <c r="B11" s="10" t="n">
        <v>327967.88</v>
      </c>
      <c r="C11" t="inlineStr">
        <is>
          <t>GRUPO NACIONAL – Diligence Administração em Recuperação Judicial e Falência</t>
        </is>
      </c>
      <c r="D11" t="inlineStr">
        <is>
          <t>0089327-55.2019.8.17.2001</t>
        </is>
      </c>
      <c r="E11" t="inlineStr">
        <is>
          <t>QGC</t>
        </is>
      </c>
      <c r="F11" t="inlineStr">
        <is>
          <t>OK_NO_TOTALS</t>
        </is>
      </c>
      <c r="G11" s="19" t="inlineStr">
        <is>
          <t>https://diligence.adm.br/wp-content/uploads/2024/05/Relacao-de-Credores-Classe-III-1.pdf</t>
        </is>
      </c>
      <c r="H11" t="inlineStr">
        <is>
          <t>p3 r4</t>
        </is>
      </c>
      <c r="I11" t="inlineStr">
        <is>
          <t>NO_DOCUMENT</t>
        </is>
      </c>
    </row>
    <row r="12">
      <c r="A12" t="inlineStr"/>
      <c r="B12" s="10" t="n">
        <v>206488.39</v>
      </c>
      <c r="C12" t="inlineStr">
        <is>
          <t>GRUPO NACIONAL – Diligence Administração em Recuperação Judicial e Falência</t>
        </is>
      </c>
      <c r="D12" t="inlineStr">
        <is>
          <t>0089327-55.2019.8.17.2001</t>
        </is>
      </c>
      <c r="E12" t="inlineStr">
        <is>
          <t>QGC</t>
        </is>
      </c>
      <c r="F12" t="inlineStr">
        <is>
          <t>OK_NO_TOTALS</t>
        </is>
      </c>
      <c r="G12" s="19" t="inlineStr">
        <is>
          <t>https://diligence.adm.br/wp-content/uploads/2024/05/Relacao-de-Credores-Classe-III-1.pdf</t>
        </is>
      </c>
      <c r="H12" t="inlineStr">
        <is>
          <t>p1 r27</t>
        </is>
      </c>
      <c r="I12" t="inlineStr">
        <is>
          <t>NO_DOCUMENT NAME_MISSING</t>
        </is>
      </c>
    </row>
    <row r="13">
      <c r="A13" t="inlineStr">
        <is>
          <t>PARATY AUTO POSTO TRANSPORTES LTDA - 03.468.344/0001-,18</t>
        </is>
      </c>
      <c r="B13" s="10" t="n">
        <v>588569.25</v>
      </c>
      <c r="C13" t="inlineStr">
        <is>
          <t>GRUPO DIVINA INDUSTRIA DE COURO LTDA – LRF Líderes em Recuperação Judicial e Falência</t>
        </is>
      </c>
      <c r="D13" t="inlineStr">
        <is>
          <t>0000721-61.2024.8.17.2620</t>
        </is>
      </c>
      <c r="E13" t="inlineStr">
        <is>
          <t>AJ_LIST</t>
        </is>
      </c>
      <c r="F13" t="inlineStr">
        <is>
          <t>QUARANTINED</t>
        </is>
      </c>
      <c r="G13" s="19" t="inlineStr">
        <is>
          <t>https://lrflideres.com.br/wp-content/plugins/download-attachments/includes/download.php?id=6252</t>
        </is>
      </c>
      <c r="H13" t="inlineStr">
        <is>
          <t>p2 r69</t>
        </is>
      </c>
      <c r="I13" t="inlineStr">
        <is>
          <t>NO_DOCUMENT</t>
        </is>
      </c>
    </row>
    <row r="14">
      <c r="A14" t="inlineStr">
        <is>
          <t>TEAR TEXTIL COMERCIO E INDUSTRIA LTDA 4</t>
        </is>
      </c>
      <c r="B14" s="10" t="n">
        <v>5161189.75</v>
      </c>
      <c r="C14" t="inlineStr">
        <is>
          <t>Assunto Concurso de Credores Requerente Rita Farias Martins &amp; Cia</t>
        </is>
      </c>
      <c r="D14" t="inlineStr">
        <is>
          <t>0270804-61.2023.8.06.0001</t>
        </is>
      </c>
      <c r="E14" t="inlineStr">
        <is>
          <t>AJ_LIST</t>
        </is>
      </c>
      <c r="F14" t="inlineStr">
        <is>
          <t>OK</t>
        </is>
      </c>
      <c r="G14" s="19" t="inlineStr">
        <is>
          <t>https://bugarimecoelho.com.br/ws/media-library/8f7dbe28cfa44738bc17a4b8e8e8a759/12.-edital-relacao-de-credores-aj.pdf</t>
        </is>
      </c>
      <c r="H14" t="inlineStr">
        <is>
          <t>p3 r14</t>
        </is>
      </c>
      <c r="I14" t="inlineStr">
        <is>
          <t>NO_DOCUMENT</t>
        </is>
      </c>
    </row>
    <row r="15">
      <c r="A15" t="inlineStr">
        <is>
          <t>00.000.000/0001- BANCO DO BRASIL S.A. 91</t>
        </is>
      </c>
      <c r="B15" s="10" t="n">
        <v>4961400.3</v>
      </c>
      <c r="C15" t="inlineStr">
        <is>
          <t>Assunto Concurso de Credores Requerente Rita Farias Martins &amp; Cia</t>
        </is>
      </c>
      <c r="D15" t="inlineStr">
        <is>
          <t>0270804-61.2023.8.06.0001</t>
        </is>
      </c>
      <c r="E15" t="inlineStr">
        <is>
          <t>AJ_LIST</t>
        </is>
      </c>
      <c r="F15" t="inlineStr">
        <is>
          <t>OK</t>
        </is>
      </c>
      <c r="G15" s="19" t="inlineStr">
        <is>
          <t>https://bugarimecoelho.com.br/ws/media-library/8f7dbe28cfa44738bc17a4b8e8e8a759/12.-edital-relacao-de-credores-aj.pdf</t>
        </is>
      </c>
      <c r="H15" t="inlineStr">
        <is>
          <t>p2 r4</t>
        </is>
      </c>
      <c r="I15" t="inlineStr">
        <is>
          <t>NO_DOCUMENT</t>
        </is>
      </c>
    </row>
    <row r="16">
      <c r="A16" t="inlineStr">
        <is>
          <t>ITAU UNIBANCO S.A. 4</t>
        </is>
      </c>
      <c r="B16" s="10" t="n">
        <v>2539921.25</v>
      </c>
      <c r="C16" t="inlineStr">
        <is>
          <t>Assunto Concurso de Credores Requerente Rita Farias Martins &amp; Cia</t>
        </is>
      </c>
      <c r="D16" t="inlineStr">
        <is>
          <t>0270804-61.2023.8.06.0001</t>
        </is>
      </c>
      <c r="E16" t="inlineStr">
        <is>
          <t>AJ_LIST</t>
        </is>
      </c>
      <c r="F16" t="inlineStr">
        <is>
          <t>OK</t>
        </is>
      </c>
      <c r="G16" s="19" t="inlineStr">
        <is>
          <t>https://bugarimecoelho.com.br/ws/media-library/8f7dbe28cfa44738bc17a4b8e8e8a759/12.-edital-relacao-de-credores-aj.pdf</t>
        </is>
      </c>
      <c r="H16" t="inlineStr">
        <is>
          <t>p3 r8</t>
        </is>
      </c>
      <c r="I16" t="inlineStr">
        <is>
          <t>NO_DOCUMENT</t>
        </is>
      </c>
    </row>
    <row r="17">
      <c r="A17" t="inlineStr">
        <is>
          <t>4</t>
        </is>
      </c>
      <c r="B17" s="10" t="n">
        <v>1771099.05</v>
      </c>
      <c r="C17" t="inlineStr">
        <is>
          <t>Assunto Concurso de Credores Requerente Rita Farias Martins &amp; Cia</t>
        </is>
      </c>
      <c r="D17" t="inlineStr">
        <is>
          <t>0270804-61.2023.8.06.0001</t>
        </is>
      </c>
      <c r="E17" t="inlineStr">
        <is>
          <t>AJ_LIST</t>
        </is>
      </c>
      <c r="F17" t="inlineStr">
        <is>
          <t>OK</t>
        </is>
      </c>
      <c r="G17" s="19" t="inlineStr">
        <is>
          <t>https://bugarimecoelho.com.br/ws/media-library/8f7dbe28cfa44738bc17a4b8e8e8a759/12.-edital-relacao-de-credores-aj.pdf</t>
        </is>
      </c>
      <c r="H17" t="inlineStr">
        <is>
          <t>p3 r1</t>
        </is>
      </c>
      <c r="I17" t="inlineStr">
        <is>
          <t>NO_DOCUMENT</t>
        </is>
      </c>
    </row>
    <row r="18">
      <c r="A18" t="inlineStr">
        <is>
          <t>MALHARIA BERLAN LTDA. 6</t>
        </is>
      </c>
      <c r="B18" s="10" t="n">
        <v>863857.51</v>
      </c>
      <c r="C18" t="inlineStr">
        <is>
          <t>Assunto Concurso de Credores Requerente Rita Farias Martins &amp; Cia</t>
        </is>
      </c>
      <c r="D18" t="inlineStr">
        <is>
          <t>0270804-61.2023.8.06.0001</t>
        </is>
      </c>
      <c r="E18" t="inlineStr">
        <is>
          <t>AJ_LIST</t>
        </is>
      </c>
      <c r="F18" t="inlineStr">
        <is>
          <t>OK</t>
        </is>
      </c>
      <c r="G18" s="19" t="inlineStr">
        <is>
          <t>https://bugarimecoelho.com.br/ws/media-library/8f7dbe28cfa44738bc17a4b8e8e8a759/12.-edital-relacao-de-credores-aj.pdf</t>
        </is>
      </c>
      <c r="H18" t="inlineStr">
        <is>
          <t>p3 r9</t>
        </is>
      </c>
      <c r="I18" t="inlineStr">
        <is>
          <t>NO_DOCUMENT</t>
        </is>
      </c>
    </row>
    <row r="19">
      <c r="A19" t="inlineStr">
        <is>
          <t>BANCO SAFRA S.A. 8 CAIXA ECONOMICA FEDERAL 00.360.305/0001-0</t>
        </is>
      </c>
      <c r="B19" s="10" t="n">
        <v>742429</v>
      </c>
      <c r="C19" t="inlineStr">
        <is>
          <t>Assunto Concurso de Credores Requerente Rita Farias Martins &amp; Cia</t>
        </is>
      </c>
      <c r="D19" t="inlineStr">
        <is>
          <t>0270804-61.2023.8.06.0001</t>
        </is>
      </c>
      <c r="E19" t="inlineStr">
        <is>
          <t>AJ_LIST</t>
        </is>
      </c>
      <c r="F19" t="inlineStr">
        <is>
          <t>OK</t>
        </is>
      </c>
      <c r="G19" s="19" t="inlineStr">
        <is>
          <t>https://bugarimecoelho.com.br/ws/media-library/8f7dbe28cfa44738bc17a4b8e8e8a759/12.-edital-relacao-de-credores-aj.pdf</t>
        </is>
      </c>
      <c r="H19" t="inlineStr">
        <is>
          <t>p2 r6</t>
        </is>
      </c>
      <c r="I19" t="inlineStr">
        <is>
          <t>NO_DOCUMENT</t>
        </is>
      </c>
    </row>
    <row r="20">
      <c r="A20" t="inlineStr">
        <is>
          <t>ADAR IND. COM. IMPORT. E EXPORT. LTDA. 0</t>
        </is>
      </c>
      <c r="B20" s="10" t="n">
        <v>391865.29</v>
      </c>
      <c r="C20" t="inlineStr">
        <is>
          <t>Assunto Concurso de Credores Requerente Rita Farias Martins &amp; Cia</t>
        </is>
      </c>
      <c r="D20" t="inlineStr">
        <is>
          <t>0270804-61.2023.8.06.0001</t>
        </is>
      </c>
      <c r="E20" t="inlineStr">
        <is>
          <t>AJ_LIST</t>
        </is>
      </c>
      <c r="F20" t="inlineStr">
        <is>
          <t>OK</t>
        </is>
      </c>
      <c r="G20" s="19" t="inlineStr">
        <is>
          <t>https://bugarimecoelho.com.br/ws/media-library/8f7dbe28cfa44738bc17a4b8e8e8a759/12.-edital-relacao-de-credores-aj.pdf</t>
        </is>
      </c>
      <c r="H20" t="inlineStr">
        <is>
          <t>p2 r1</t>
        </is>
      </c>
      <c r="I20" t="inlineStr">
        <is>
          <t>NO_DOCUMENT</t>
        </is>
      </c>
    </row>
    <row r="21">
      <c r="A21" t="inlineStr">
        <is>
          <t>BANCO DO NORDESTE DO BRASIL S.A. 4</t>
        </is>
      </c>
      <c r="B21" s="10" t="n">
        <v>334316.76</v>
      </c>
      <c r="C21" t="inlineStr">
        <is>
          <t>Assunto Concurso de Credores Requerente Rita Farias Martins &amp; Cia</t>
        </is>
      </c>
      <c r="D21" t="inlineStr">
        <is>
          <t>0270804-61.2023.8.06.0001</t>
        </is>
      </c>
      <c r="E21" t="inlineStr">
        <is>
          <t>AJ_LIST</t>
        </is>
      </c>
      <c r="F21" t="inlineStr">
        <is>
          <t>OK</t>
        </is>
      </c>
      <c r="G21" s="19" t="inlineStr">
        <is>
          <t>https://bugarimecoelho.com.br/ws/media-library/8f7dbe28cfa44738bc17a4b8e8e8a759/12.-edital-relacao-de-credores-aj.pdf</t>
        </is>
      </c>
      <c r="H21" t="inlineStr">
        <is>
          <t>p2 r5</t>
        </is>
      </c>
      <c r="I21" t="inlineStr">
        <is>
          <t>NO_DOCUMENT</t>
        </is>
      </c>
    </row>
    <row r="22">
      <c r="A22" t="inlineStr"/>
      <c r="B22" s="10" t="n">
        <v>10369428.48</v>
      </c>
      <c r="C22" t="inlineStr">
        <is>
          <t>MFC INDUSTRIA E COMÉRCIO LTDA - Vivante Gestão e Administração Judicial</t>
        </is>
      </c>
      <c r="D22" t="inlineStr">
        <is>
          <t>1003919-39.2024.8.26.0260</t>
        </is>
      </c>
      <c r="E22" t="inlineStr">
        <is>
          <t>UNKNOWN</t>
        </is>
      </c>
      <c r="F22" t="inlineStr">
        <is>
          <t>OK_NO_TOTALS</t>
        </is>
      </c>
      <c r="G22" s="19" t="inlineStr">
        <is>
          <t>https://vivanteaj.com.br/wp-content/uploads/2025/02/2a-lista-de-credores-MFC-Industria.pdf</t>
        </is>
      </c>
      <c r="H22" t="inlineStr">
        <is>
          <t>p1 r18</t>
        </is>
      </c>
      <c r="I22" t="inlineStr">
        <is>
          <t>NO_DOCUMENT NAME_MISSING</t>
        </is>
      </c>
    </row>
    <row r="23">
      <c r="A23" t="inlineStr">
        <is>
          <t>SAINTE MARIE IMPORTACAO</t>
        </is>
      </c>
      <c r="B23" s="10" t="n">
        <v>7409283.12</v>
      </c>
      <c r="C23" t="inlineStr">
        <is>
          <t>MFC INDUSTRIA E COMÉRCIO LTDA - Vivante Gestão e Administração Judicial</t>
        </is>
      </c>
      <c r="D23" t="inlineStr">
        <is>
          <t>1003919-39.2024.8.26.0260</t>
        </is>
      </c>
      <c r="E23" t="inlineStr">
        <is>
          <t>UNKNOWN</t>
        </is>
      </c>
      <c r="F23" t="inlineStr">
        <is>
          <t>OK_NO_TOTALS</t>
        </is>
      </c>
      <c r="G23" s="19" t="inlineStr">
        <is>
          <t>https://vivanteaj.com.br/wp-content/uploads/2025/02/2a-lista-de-credores-MFC-Industria.pdf</t>
        </is>
      </c>
      <c r="H23" t="inlineStr">
        <is>
          <t>p1 r10</t>
        </is>
      </c>
      <c r="I23" t="inlineStr">
        <is>
          <t>NO_DOCUMENT</t>
        </is>
      </c>
    </row>
    <row r="24">
      <c r="A24" t="inlineStr">
        <is>
          <t>CORDEIRO CABOS</t>
        </is>
      </c>
      <c r="B24" s="10" t="n">
        <v>2460647.75</v>
      </c>
      <c r="C24" t="inlineStr">
        <is>
          <t>MFC INDUSTRIA E COMÉRCIO LTDA - Vivante Gestão e Administração Judicial</t>
        </is>
      </c>
      <c r="D24" t="inlineStr">
        <is>
          <t>1003919-39.2024.8.26.0260</t>
        </is>
      </c>
      <c r="E24" t="inlineStr">
        <is>
          <t>UNKNOWN</t>
        </is>
      </c>
      <c r="F24" t="inlineStr">
        <is>
          <t>OK_NO_TOTALS</t>
        </is>
      </c>
      <c r="G24" s="19" t="inlineStr">
        <is>
          <t>https://vivanteaj.com.br/wp-content/uploads/2025/02/2a-lista-de-credores-MFC-Industria.pdf</t>
        </is>
      </c>
      <c r="H24" t="inlineStr">
        <is>
          <t>p1 r11</t>
        </is>
      </c>
      <c r="I24" t="inlineStr">
        <is>
          <t>NO_DOCUMENT</t>
        </is>
      </c>
    </row>
    <row r="25">
      <c r="A25" t="inlineStr">
        <is>
          <t>MANCINI INDUSTRIA</t>
        </is>
      </c>
      <c r="B25" s="10" t="n">
        <v>391236.48</v>
      </c>
      <c r="C25" t="inlineStr">
        <is>
          <t>MFC INDUSTRIA E COMÉRCIO LTDA - Vivante Gestão e Administração Judicial</t>
        </is>
      </c>
      <c r="D25" t="inlineStr">
        <is>
          <t>1003919-39.2024.8.26.0260</t>
        </is>
      </c>
      <c r="E25" t="inlineStr">
        <is>
          <t>UNKNOWN</t>
        </is>
      </c>
      <c r="F25" t="inlineStr">
        <is>
          <t>OK_NO_TOTALS</t>
        </is>
      </c>
      <c r="G25" s="19" t="inlineStr">
        <is>
          <t>https://vivanteaj.com.br/wp-content/uploads/2025/02/2a-lista-de-credores-MFC-Industria.pdf</t>
        </is>
      </c>
      <c r="H25" t="inlineStr">
        <is>
          <t>p1 r12</t>
        </is>
      </c>
      <c r="I25" t="inlineStr">
        <is>
          <t>NO_DOCUMENT</t>
        </is>
      </c>
    </row>
    <row r="26">
      <c r="A26" t="inlineStr">
        <is>
          <t>Room 602 Unit 3 Building 57 Jiangnanrenjia Village Danyang City Jiangsu Province, China</t>
        </is>
      </c>
      <c r="B26" s="10" t="n">
        <v>340160.49</v>
      </c>
      <c r="C26" t="inlineStr">
        <is>
          <t>JA SANTOS IMPORTAÇÃO E EXPORTAÇÃO DE FERRAMENTAS LTDA. (CONCEPT FERRAMENTAS) - Vivante Gestão e Administração Judicial</t>
        </is>
      </c>
      <c r="D26" t="inlineStr">
        <is>
          <t>1018313-46.2024.8.26.0100</t>
        </is>
      </c>
      <c r="E26" t="inlineStr">
        <is>
          <t>UNKNOWN</t>
        </is>
      </c>
      <c r="F26" t="inlineStr">
        <is>
          <t>OK</t>
        </is>
      </c>
      <c r="G26" s="19" t="inlineStr">
        <is>
          <t>https://vivanteaj.com.br/wp-content/uploads/2024/11/1a-lista-de-credores-JA-Santos.pdf</t>
        </is>
      </c>
      <c r="H26" t="inlineStr">
        <is>
          <t>p1 r28</t>
        </is>
      </c>
      <c r="I26" t="inlineStr">
        <is>
          <t>NO_DOCUMENT VALUE_COL:Valor</t>
        </is>
      </c>
    </row>
    <row r="27">
      <c r="A27" t="inlineStr">
        <is>
          <t>Room 602 Unit 3 Building 57 Jiangnanrenjia Village Danyang City Jiangsu Province, China</t>
        </is>
      </c>
      <c r="B27" s="10" t="n">
        <v>335632.3</v>
      </c>
      <c r="C27" t="inlineStr">
        <is>
          <t>JA SANTOS IMPORTAÇÃO E EXPORTAÇÃO DE FERRAMENTAS LTDA. (CONCEPT FERRAMENTAS) - Vivante Gestão e Administração Judicial</t>
        </is>
      </c>
      <c r="D27" t="inlineStr">
        <is>
          <t>1018313-46.2024.8.26.0100</t>
        </is>
      </c>
      <c r="E27" t="inlineStr">
        <is>
          <t>UNKNOWN</t>
        </is>
      </c>
      <c r="F27" t="inlineStr">
        <is>
          <t>OK</t>
        </is>
      </c>
      <c r="G27" s="19" t="inlineStr">
        <is>
          <t>https://vivanteaj.com.br/wp-content/uploads/2024/11/1a-lista-de-credores-JA-Santos.pdf</t>
        </is>
      </c>
      <c r="H27" t="inlineStr">
        <is>
          <t>p1 r29</t>
        </is>
      </c>
      <c r="I27" t="inlineStr">
        <is>
          <t>NO_DOCUMENT VALUE_COL:Valor</t>
        </is>
      </c>
    </row>
    <row r="28">
      <c r="A28" t="inlineStr">
        <is>
          <t>Room 301,4 Building 288 The Xinma Road, Ningbo China</t>
        </is>
      </c>
      <c r="B28" s="10" t="n">
        <v>333393.77</v>
      </c>
      <c r="C28" t="inlineStr">
        <is>
          <t>JA SANTOS IMPORTAÇÃO E EXPORTAÇÃO DE FERRAMENTAS LTDA. (CONCEPT FERRAMENTAS) - Vivante Gestão e Administração Judicial</t>
        </is>
      </c>
      <c r="D28" t="inlineStr">
        <is>
          <t>1018313-46.2024.8.26.0100</t>
        </is>
      </c>
      <c r="E28" t="inlineStr">
        <is>
          <t>UNKNOWN</t>
        </is>
      </c>
      <c r="F28" t="inlineStr">
        <is>
          <t>OK</t>
        </is>
      </c>
      <c r="G28" s="19" t="inlineStr">
        <is>
          <t>https://vivanteaj.com.br/wp-content/uploads/2024/11/1a-lista-de-credores-JA-Santos.pdf</t>
        </is>
      </c>
      <c r="H28" t="inlineStr">
        <is>
          <t>p1 r15</t>
        </is>
      </c>
      <c r="I28" t="inlineStr">
        <is>
          <t>NO_DOCUMENT VALUE_COL:Valor</t>
        </is>
      </c>
    </row>
    <row r="29">
      <c r="A29" t="inlineStr">
        <is>
          <t>Room 1101-1 Nº 527 Baoshan Road Beilun District , Ningbo China</t>
        </is>
      </c>
      <c r="B29" s="10" t="n">
        <v>329622.4</v>
      </c>
      <c r="C29" t="inlineStr">
        <is>
          <t>JA SANTOS IMPORTAÇÃO E EXPORTAÇÃO DE FERRAMENTAS LTDA. (CONCEPT FERRAMENTAS) - Vivante Gestão e Administração Judicial</t>
        </is>
      </c>
      <c r="D29" t="inlineStr">
        <is>
          <t>1018313-46.2024.8.26.0100</t>
        </is>
      </c>
      <c r="E29" t="inlineStr">
        <is>
          <t>UNKNOWN</t>
        </is>
      </c>
      <c r="F29" t="inlineStr">
        <is>
          <t>OK</t>
        </is>
      </c>
      <c r="G29" s="19" t="inlineStr">
        <is>
          <t>https://vivanteaj.com.br/wp-content/uploads/2024/11/1a-lista-de-credores-JA-Santos.pdf</t>
        </is>
      </c>
      <c r="H29" t="inlineStr">
        <is>
          <t>p1 r26</t>
        </is>
      </c>
      <c r="I29" t="inlineStr">
        <is>
          <t>NO_DOCUMENT VALUE_COL:Valor</t>
        </is>
      </c>
    </row>
    <row r="30">
      <c r="A30" t="inlineStr">
        <is>
          <t>Room 301,4 Building 288 The Xinma Road, Ningbo China</t>
        </is>
      </c>
      <c r="B30" s="10" t="n">
        <v>321567.19</v>
      </c>
      <c r="C30" t="inlineStr">
        <is>
          <t>JA SANTOS IMPORTAÇÃO E EXPORTAÇÃO DE FERRAMENTAS LTDA. (CONCEPT FERRAMENTAS) - Vivante Gestão e Administração Judicial</t>
        </is>
      </c>
      <c r="D30" t="inlineStr">
        <is>
          <t>1018313-46.2024.8.26.0100</t>
        </is>
      </c>
      <c r="E30" t="inlineStr">
        <is>
          <t>UNKNOWN</t>
        </is>
      </c>
      <c r="F30" t="inlineStr">
        <is>
          <t>OK</t>
        </is>
      </c>
      <c r="G30" s="19" t="inlineStr">
        <is>
          <t>https://vivanteaj.com.br/wp-content/uploads/2024/11/1a-lista-de-credores-JA-Santos.pdf</t>
        </is>
      </c>
      <c r="H30" t="inlineStr">
        <is>
          <t>p1 r24</t>
        </is>
      </c>
      <c r="I30" t="inlineStr">
        <is>
          <t>NO_DOCUMENT VALUE_COL:Valor</t>
        </is>
      </c>
    </row>
    <row r="31">
      <c r="A31" t="inlineStr">
        <is>
          <t>Room 301,4 Building 288 The Xinma Road, Ningbo China</t>
        </is>
      </c>
      <c r="B31" s="10" t="n">
        <v>318346.9</v>
      </c>
      <c r="C31" t="inlineStr">
        <is>
          <t>JA SANTOS IMPORTAÇÃO E EXPORTAÇÃO DE FERRAMENTAS LTDA. (CONCEPT FERRAMENTAS) - Vivante Gestão e Administração Judicial</t>
        </is>
      </c>
      <c r="D31" t="inlineStr">
        <is>
          <t>1018313-46.2024.8.26.0100</t>
        </is>
      </c>
      <c r="E31" t="inlineStr">
        <is>
          <t>UNKNOWN</t>
        </is>
      </c>
      <c r="F31" t="inlineStr">
        <is>
          <t>OK</t>
        </is>
      </c>
      <c r="G31" s="19" t="inlineStr">
        <is>
          <t>https://vivanteaj.com.br/wp-content/uploads/2024/11/1a-lista-de-credores-JA-Santos.pdf</t>
        </is>
      </c>
      <c r="H31" t="inlineStr">
        <is>
          <t>p1 r21</t>
        </is>
      </c>
      <c r="I31" t="inlineStr">
        <is>
          <t>NO_DOCUMENT VALUE_COL:Valor</t>
        </is>
      </c>
    </row>
    <row r="32">
      <c r="A32" t="inlineStr">
        <is>
          <t>Room 301,4 Building 288 The Xinma Road, Ningbo China</t>
        </is>
      </c>
      <c r="B32" s="10" t="n">
        <v>317286.44</v>
      </c>
      <c r="C32" t="inlineStr">
        <is>
          <t>JA SANTOS IMPORTAÇÃO E EXPORTAÇÃO DE FERRAMENTAS LTDA. (CONCEPT FERRAMENTAS) - Vivante Gestão e Administração Judicial</t>
        </is>
      </c>
      <c r="D32" t="inlineStr">
        <is>
          <t>1018313-46.2024.8.26.0100</t>
        </is>
      </c>
      <c r="E32" t="inlineStr">
        <is>
          <t>UNKNOWN</t>
        </is>
      </c>
      <c r="F32" t="inlineStr">
        <is>
          <t>OK</t>
        </is>
      </c>
      <c r="G32" s="19" t="inlineStr">
        <is>
          <t>https://vivanteaj.com.br/wp-content/uploads/2024/11/1a-lista-de-credores-JA-Santos.pdf</t>
        </is>
      </c>
      <c r="H32" t="inlineStr">
        <is>
          <t>p1 r23</t>
        </is>
      </c>
      <c r="I32" t="inlineStr">
        <is>
          <t>NO_DOCUMENT VALUE_COL:Valor</t>
        </is>
      </c>
    </row>
    <row r="33">
      <c r="A33" t="inlineStr">
        <is>
          <t>Room 301,4 Building 288 The Xinma Road, Ningbo China</t>
        </is>
      </c>
      <c r="B33" s="10" t="n">
        <v>316436.08</v>
      </c>
      <c r="C33" t="inlineStr">
        <is>
          <t>JA SANTOS IMPORTAÇÃO E EXPORTAÇÃO DE FERRAMENTAS LTDA. (CONCEPT FERRAMENTAS) - Vivante Gestão e Administração Judicial</t>
        </is>
      </c>
      <c r="D33" t="inlineStr">
        <is>
          <t>1018313-46.2024.8.26.0100</t>
        </is>
      </c>
      <c r="E33" t="inlineStr">
        <is>
          <t>UNKNOWN</t>
        </is>
      </c>
      <c r="F33" t="inlineStr">
        <is>
          <t>OK</t>
        </is>
      </c>
      <c r="G33" s="19" t="inlineStr">
        <is>
          <t>https://vivanteaj.com.br/wp-content/uploads/2024/11/1a-lista-de-credores-JA-Santos.pdf</t>
        </is>
      </c>
      <c r="H33" t="inlineStr">
        <is>
          <t>p1 r16</t>
        </is>
      </c>
      <c r="I33" t="inlineStr">
        <is>
          <t>NO_DOCUMENT VALUE_COL:Valor</t>
        </is>
      </c>
    </row>
    <row r="34">
      <c r="A34" t="inlineStr">
        <is>
          <t>Room 602 Unit 3 Building 57 Jiangnanrenjia Village Danyang City Jiangsu Province, China</t>
        </is>
      </c>
      <c r="B34" s="10" t="n">
        <v>308644.62</v>
      </c>
      <c r="C34" t="inlineStr">
        <is>
          <t>JA SANTOS IMPORTAÇÃO E EXPORTAÇÃO DE FERRAMENTAS LTDA. (CONCEPT FERRAMENTAS) - Vivante Gestão e Administração Judicial</t>
        </is>
      </c>
      <c r="D34" t="inlineStr">
        <is>
          <t>1018313-46.2024.8.26.0100</t>
        </is>
      </c>
      <c r="E34" t="inlineStr">
        <is>
          <t>UNKNOWN</t>
        </is>
      </c>
      <c r="F34" t="inlineStr">
        <is>
          <t>OK</t>
        </is>
      </c>
      <c r="G34" s="19" t="inlineStr">
        <is>
          <t>https://vivanteaj.com.br/wp-content/uploads/2024/11/1a-lista-de-credores-JA-Santos.pdf</t>
        </is>
      </c>
      <c r="H34" t="inlineStr">
        <is>
          <t>p1 r27</t>
        </is>
      </c>
      <c r="I34" t="inlineStr">
        <is>
          <t>NO_DOCUMENT VALUE_COL:Valor</t>
        </is>
      </c>
    </row>
    <row r="35">
      <c r="A35" t="inlineStr">
        <is>
          <t>Room 301,4 Building 288 The Xinma Road, Ningbo China</t>
        </is>
      </c>
      <c r="B35" s="10" t="n">
        <v>305263.82</v>
      </c>
      <c r="C35" t="inlineStr">
        <is>
          <t>JA SANTOS IMPORTAÇÃO E EXPORTAÇÃO DE FERRAMENTAS LTDA. (CONCEPT FERRAMENTAS) - Vivante Gestão e Administração Judicial</t>
        </is>
      </c>
      <c r="D35" t="inlineStr">
        <is>
          <t>1018313-46.2024.8.26.0100</t>
        </is>
      </c>
      <c r="E35" t="inlineStr">
        <is>
          <t>UNKNOWN</t>
        </is>
      </c>
      <c r="F35" t="inlineStr">
        <is>
          <t>OK</t>
        </is>
      </c>
      <c r="G35" s="19" t="inlineStr">
        <is>
          <t>https://vivanteaj.com.br/wp-content/uploads/2024/11/1a-lista-de-credores-JA-Santos.pdf</t>
        </is>
      </c>
      <c r="H35" t="inlineStr">
        <is>
          <t>p1 r18</t>
        </is>
      </c>
      <c r="I35" t="inlineStr">
        <is>
          <t>NO_DOCUMENT VALUE_COL:Valor</t>
        </is>
      </c>
    </row>
    <row r="36">
      <c r="A36" t="inlineStr">
        <is>
          <t>Room 301,4 Building 288 The Xinma Road, Ningbo China</t>
        </is>
      </c>
      <c r="B36" s="10" t="n">
        <v>302851.06</v>
      </c>
      <c r="C36" t="inlineStr">
        <is>
          <t>JA SANTOS IMPORTAÇÃO E EXPORTAÇÃO DE FERRAMENTAS LTDA. (CONCEPT FERRAMENTAS) - Vivante Gestão e Administração Judicial</t>
        </is>
      </c>
      <c r="D36" t="inlineStr">
        <is>
          <t>1018313-46.2024.8.26.0100</t>
        </is>
      </c>
      <c r="E36" t="inlineStr">
        <is>
          <t>UNKNOWN</t>
        </is>
      </c>
      <c r="F36" t="inlineStr">
        <is>
          <t>OK</t>
        </is>
      </c>
      <c r="G36" s="19" t="inlineStr">
        <is>
          <t>https://vivanteaj.com.br/wp-content/uploads/2024/11/1a-lista-de-credores-JA-Santos.pdf</t>
        </is>
      </c>
      <c r="H36" t="inlineStr">
        <is>
          <t>p1 r19</t>
        </is>
      </c>
      <c r="I36" t="inlineStr">
        <is>
          <t>NO_DOCUMENT VALUE_COL:Valor</t>
        </is>
      </c>
    </row>
    <row r="37">
      <c r="A37" t="inlineStr">
        <is>
          <t>Room 301,4 Building 288 The Xinma Road, Ningbo China</t>
        </is>
      </c>
      <c r="B37" s="10" t="n">
        <v>300345.59</v>
      </c>
      <c r="C37" t="inlineStr">
        <is>
          <t>JA SANTOS IMPORTAÇÃO E EXPORTAÇÃO DE FERRAMENTAS LTDA. (CONCEPT FERRAMENTAS) - Vivante Gestão e Administração Judicial</t>
        </is>
      </c>
      <c r="D37" t="inlineStr">
        <is>
          <t>1018313-46.2024.8.26.0100</t>
        </is>
      </c>
      <c r="E37" t="inlineStr">
        <is>
          <t>UNKNOWN</t>
        </is>
      </c>
      <c r="F37" t="inlineStr">
        <is>
          <t>OK</t>
        </is>
      </c>
      <c r="G37" s="19" t="inlineStr">
        <is>
          <t>https://vivanteaj.com.br/wp-content/uploads/2024/11/1a-lista-de-credores-JA-Santos.pdf</t>
        </is>
      </c>
      <c r="H37" t="inlineStr">
        <is>
          <t>p1 r20</t>
        </is>
      </c>
      <c r="I37" t="inlineStr">
        <is>
          <t>NO_DOCUMENT VALUE_COL:Valor</t>
        </is>
      </c>
    </row>
    <row r="38">
      <c r="A38" t="inlineStr">
        <is>
          <t>Room 602 Unit 3 Building 57 Jiangnanrenjia Village Danyang City Jiangsu Province, China</t>
        </is>
      </c>
      <c r="B38" s="10" t="n">
        <v>281238.08</v>
      </c>
      <c r="C38" t="inlineStr">
        <is>
          <t>JA SANTOS IMPORTAÇÃO E EXPORTAÇÃO DE FERRAMENTAS LTDA. (CONCEPT FERRAMENTAS) - Vivante Gestão e Administração Judicial</t>
        </is>
      </c>
      <c r="D38" t="inlineStr">
        <is>
          <t>1018313-46.2024.8.26.0100</t>
        </is>
      </c>
      <c r="E38" t="inlineStr">
        <is>
          <t>UNKNOWN</t>
        </is>
      </c>
      <c r="F38" t="inlineStr">
        <is>
          <t>OK</t>
        </is>
      </c>
      <c r="G38" s="19" t="inlineStr">
        <is>
          <t>https://vivanteaj.com.br/wp-content/uploads/2024/11/1a-lista-de-credores-JA-Santos.pdf</t>
        </is>
      </c>
      <c r="H38" t="inlineStr">
        <is>
          <t>p1 r30</t>
        </is>
      </c>
      <c r="I38" t="inlineStr">
        <is>
          <t>NO_DOCUMENT VALUE_COL:Valor</t>
        </is>
      </c>
    </row>
    <row r="39">
      <c r="A39" t="inlineStr">
        <is>
          <t>Room 602 Unit 3 Building 57 Jiangnanrenjia Village Danyang City Jiangsu Province, China</t>
        </is>
      </c>
      <c r="B39" s="10" t="n">
        <v>279870.63</v>
      </c>
      <c r="C39" t="inlineStr">
        <is>
          <t>JA SANTOS IMPORTAÇÃO E EXPORTAÇÃO DE FERRAMENTAS LTDA. (CONCEPT FERRAMENTAS) - Vivante Gestão e Administração Judicial</t>
        </is>
      </c>
      <c r="D39" t="inlineStr">
        <is>
          <t>1018313-46.2024.8.26.0100</t>
        </is>
      </c>
      <c r="E39" t="inlineStr">
        <is>
          <t>UNKNOWN</t>
        </is>
      </c>
      <c r="F39" t="inlineStr">
        <is>
          <t>OK</t>
        </is>
      </c>
      <c r="G39" s="19" t="inlineStr">
        <is>
          <t>https://vivanteaj.com.br/wp-content/uploads/2024/11/1a-lista-de-credores-JA-Santos.pdf</t>
        </is>
      </c>
      <c r="H39" t="inlineStr">
        <is>
          <t>p1 r34</t>
        </is>
      </c>
      <c r="I39" t="inlineStr">
        <is>
          <t>NO_DOCUMENT VALUE_COL:Valor</t>
        </is>
      </c>
    </row>
    <row r="40">
      <c r="A40" t="inlineStr">
        <is>
          <t>Room 602 Unit 3 Building 57 Jiangnanrenjia Village Danyang City Jiangsu Province, China</t>
        </is>
      </c>
      <c r="B40" s="10" t="n">
        <v>268908.79</v>
      </c>
      <c r="C40" t="inlineStr">
        <is>
          <t>JA SANTOS IMPORTAÇÃO E EXPORTAÇÃO DE FERRAMENTAS LTDA. (CONCEPT FERRAMENTAS) - Vivante Gestão e Administração Judicial</t>
        </is>
      </c>
      <c r="D40" t="inlineStr">
        <is>
          <t>1018313-46.2024.8.26.0100</t>
        </is>
      </c>
      <c r="E40" t="inlineStr">
        <is>
          <t>UNKNOWN</t>
        </is>
      </c>
      <c r="F40" t="inlineStr">
        <is>
          <t>OK</t>
        </is>
      </c>
      <c r="G40" s="19" t="inlineStr">
        <is>
          <t>https://vivanteaj.com.br/wp-content/uploads/2024/11/1a-lista-de-credores-JA-Santos.pdf</t>
        </is>
      </c>
      <c r="H40" t="inlineStr">
        <is>
          <t>p1 r31</t>
        </is>
      </c>
      <c r="I40" t="inlineStr">
        <is>
          <t>NO_DOCUMENT VALUE_COL:Valor</t>
        </is>
      </c>
    </row>
    <row r="41">
      <c r="A41" t="inlineStr">
        <is>
          <t>Room 301,4 Building 288 The Xinma Road, Ningbo China</t>
        </is>
      </c>
      <c r="B41" s="10" t="n">
        <v>263755.89</v>
      </c>
      <c r="C41" t="inlineStr">
        <is>
          <t>JA SANTOS IMPORTAÇÃO E EXPORTAÇÃO DE FERRAMENTAS LTDA. (CONCEPT FERRAMENTAS) - Vivante Gestão e Administração Judicial</t>
        </is>
      </c>
      <c r="D41" t="inlineStr">
        <is>
          <t>1018313-46.2024.8.26.0100</t>
        </is>
      </c>
      <c r="E41" t="inlineStr">
        <is>
          <t>UNKNOWN</t>
        </is>
      </c>
      <c r="F41" t="inlineStr">
        <is>
          <t>OK</t>
        </is>
      </c>
      <c r="G41" s="19" t="inlineStr">
        <is>
          <t>https://vivanteaj.com.br/wp-content/uploads/2024/11/1a-lista-de-credores-JA-Santos.pdf</t>
        </is>
      </c>
      <c r="H41" t="inlineStr">
        <is>
          <t>p1 r17</t>
        </is>
      </c>
      <c r="I41" t="inlineStr">
        <is>
          <t>NO_DOCUMENT VALUE_COL:Valor</t>
        </is>
      </c>
    </row>
    <row r="42">
      <c r="A42" t="inlineStr">
        <is>
          <t>Room 602 Unit 3 Building 57 Jiangnanrenjia Village Danyang City Jiangsu Province, China</t>
        </is>
      </c>
      <c r="B42" s="10" t="n">
        <v>259269.64</v>
      </c>
      <c r="C42" t="inlineStr">
        <is>
          <t>JA SANTOS IMPORTAÇÃO E EXPORTAÇÃO DE FERRAMENTAS LTDA. (CONCEPT FERRAMENTAS) - Vivante Gestão e Administração Judicial</t>
        </is>
      </c>
      <c r="D42" t="inlineStr">
        <is>
          <t>1018313-46.2024.8.26.0100</t>
        </is>
      </c>
      <c r="E42" t="inlineStr">
        <is>
          <t>UNKNOWN</t>
        </is>
      </c>
      <c r="F42" t="inlineStr">
        <is>
          <t>OK</t>
        </is>
      </c>
      <c r="G42" s="19" t="inlineStr">
        <is>
          <t>https://vivanteaj.com.br/wp-content/uploads/2024/11/1a-lista-de-credores-JA-Santos.pdf</t>
        </is>
      </c>
      <c r="H42" t="inlineStr">
        <is>
          <t>p1 r32</t>
        </is>
      </c>
      <c r="I42" t="inlineStr">
        <is>
          <t>NO_DOCUMENT VALUE_COL:Valor</t>
        </is>
      </c>
    </row>
    <row r="43">
      <c r="A43" t="inlineStr">
        <is>
          <t>Room 301,4 Building 288 The Xinma Road, Ningbo China</t>
        </is>
      </c>
      <c r="B43" s="10" t="n">
        <v>258280.57</v>
      </c>
      <c r="C43" t="inlineStr">
        <is>
          <t>JA SANTOS IMPORTAÇÃO E EXPORTAÇÃO DE FERRAMENTAS LTDA. (CONCEPT FERRAMENTAS) - Vivante Gestão e Administração Judicial</t>
        </is>
      </c>
      <c r="D43" t="inlineStr">
        <is>
          <t>1018313-46.2024.8.26.0100</t>
        </is>
      </c>
      <c r="E43" t="inlineStr">
        <is>
          <t>UNKNOWN</t>
        </is>
      </c>
      <c r="F43" t="inlineStr">
        <is>
          <t>OK</t>
        </is>
      </c>
      <c r="G43" s="19" t="inlineStr">
        <is>
          <t>https://vivanteaj.com.br/wp-content/uploads/2024/11/1a-lista-de-credores-JA-Santos.pdf</t>
        </is>
      </c>
      <c r="H43" t="inlineStr">
        <is>
          <t>p1 r22</t>
        </is>
      </c>
      <c r="I43" t="inlineStr">
        <is>
          <t>NO_DOCUMENT VALUE_COL:Valor</t>
        </is>
      </c>
    </row>
    <row r="44">
      <c r="A44" t="inlineStr">
        <is>
          <t>Room 602 Unit 3 Building 57 Jiangnanrenjia Village Danyang City Jiangsu Province, China</t>
        </is>
      </c>
      <c r="B44" s="10" t="n">
        <v>252259.78</v>
      </c>
      <c r="C44" t="inlineStr">
        <is>
          <t>JA SANTOS IMPORTAÇÃO E EXPORTAÇÃO DE FERRAMENTAS LTDA. (CONCEPT FERRAMENTAS) - Vivante Gestão e Administração Judicial</t>
        </is>
      </c>
      <c r="D44" t="inlineStr">
        <is>
          <t>1018313-46.2024.8.26.0100</t>
        </is>
      </c>
      <c r="E44" t="inlineStr">
        <is>
          <t>UNKNOWN</t>
        </is>
      </c>
      <c r="F44" t="inlineStr">
        <is>
          <t>OK</t>
        </is>
      </c>
      <c r="G44" s="19" t="inlineStr">
        <is>
          <t>https://vivanteaj.com.br/wp-content/uploads/2024/11/1a-lista-de-credores-JA-Santos.pdf</t>
        </is>
      </c>
      <c r="H44" t="inlineStr">
        <is>
          <t>p1 r33</t>
        </is>
      </c>
      <c r="I44" t="inlineStr">
        <is>
          <t>NO_DOCUMENT VALUE_COL:Valor</t>
        </is>
      </c>
    </row>
    <row r="45">
      <c r="A45" t="inlineStr">
        <is>
          <t>Room 301,4 Building 288 The Xinma Road, Ningbo China</t>
        </is>
      </c>
      <c r="B45" s="10" t="n">
        <v>251830.5</v>
      </c>
      <c r="C45" t="inlineStr">
        <is>
          <t>JA SANTOS IMPORTAÇÃO E EXPORTAÇÃO DE FERRAMENTAS LTDA. (CONCEPT FERRAMENTAS) - Vivante Gestão e Administração Judicial</t>
        </is>
      </c>
      <c r="D45" t="inlineStr">
        <is>
          <t>1018313-46.2024.8.26.0100</t>
        </is>
      </c>
      <c r="E45" t="inlineStr">
        <is>
          <t>UNKNOWN</t>
        </is>
      </c>
      <c r="F45" t="inlineStr">
        <is>
          <t>OK</t>
        </is>
      </c>
      <c r="G45" s="19" t="inlineStr">
        <is>
          <t>https://vivanteaj.com.br/wp-content/uploads/2024/11/1a-lista-de-credores-JA-Santos.pdf</t>
        </is>
      </c>
      <c r="H45" t="inlineStr">
        <is>
          <t>p1 r25</t>
        </is>
      </c>
      <c r="I45" t="inlineStr">
        <is>
          <t>NO_DOCUMENT VALUE_COL:Valor</t>
        </is>
      </c>
    </row>
    <row r="46">
      <c r="A46" t="inlineStr">
        <is>
          <t>planejamento: VIII.9 - Estima-se que a dívida atualizada é de milhões, trezentos e cinquenta e dois mil, novecentos reais e oitenta e quatro centavos). Frisa-se que de Recuperação Judicial, os credores quirografários que</t>
        </is>
      </c>
      <c r="B46" s="10" t="n">
        <v>11352965.84</v>
      </c>
      <c r="C46" t="inlineStr">
        <is>
          <t>GRUPO MADETEX - Vivante Gestão e Administração Judicial</t>
        </is>
      </c>
      <c r="D46" t="inlineStr">
        <is>
          <t>0810226-31.2023.8.20.5001</t>
        </is>
      </c>
      <c r="E46" t="inlineStr">
        <is>
          <t>QGC</t>
        </is>
      </c>
      <c r="F46" t="inlineStr">
        <is>
          <t>OK_NO_TOTALS</t>
        </is>
      </c>
      <c r="G46" s="19" t="inlineStr">
        <is>
          <t>https://vivanteaj.com.br/wp-content/uploads/2023/06/2o-Aditivo-ao-Plano-de-Recuperacao-Judicial.pdf</t>
        </is>
      </c>
      <c r="H46" t="inlineStr">
        <is>
          <t>p3 r1</t>
        </is>
      </c>
      <c r="I46" t="inlineStr">
        <is>
          <t>NO_DOCUMENT</t>
        </is>
      </c>
    </row>
    <row r="47">
      <c r="A47" t="inlineStr">
        <is>
          <t>Banco do Brasil S.A</t>
        </is>
      </c>
      <c r="B47" s="10" t="n">
        <v>1059408.98</v>
      </c>
      <c r="C47" t="inlineStr">
        <is>
          <t>insolvência</t>
        </is>
      </c>
      <c r="D47" t="inlineStr">
        <is>
          <t>0004984-95.2024.8.16.0153</t>
        </is>
      </c>
      <c r="E47" t="inlineStr">
        <is>
          <t>AJ_LIST</t>
        </is>
      </c>
      <c r="F47" t="inlineStr">
        <is>
          <t>OK_NO_TOTALS</t>
        </is>
      </c>
      <c r="G47" s="19" t="inlineStr">
        <is>
          <t>https://vtladm.com.br/wp-content/uploads/2025/05/06_Primeiro_Edital_Convocacao_Credores_Agile_Equipamentos_Odontologicos.pdf</t>
        </is>
      </c>
      <c r="H47" t="inlineStr">
        <is>
          <t>p2 r9</t>
        </is>
      </c>
      <c r="I47" t="inlineStr">
        <is>
          <t>NO_DOCUMENT</t>
        </is>
      </c>
    </row>
    <row r="48">
      <c r="A48" t="inlineStr">
        <is>
          <t>Geleia Real Comercio e II, alínea "c", da Lei nº 11.101/2005 deverão ser apresentados em autos apartados Distribuição Ltda</t>
        </is>
      </c>
      <c r="B48" s="10" t="n">
        <v>495700</v>
      </c>
      <c r="C48" t="inlineStr">
        <is>
          <t>insolvência</t>
        </is>
      </c>
      <c r="D48" t="inlineStr">
        <is>
          <t>0004984-95.2024.8.16.0153</t>
        </is>
      </c>
      <c r="E48" t="inlineStr">
        <is>
          <t>AJ_LIST</t>
        </is>
      </c>
      <c r="F48" t="inlineStr">
        <is>
          <t>OK_NO_TOTALS</t>
        </is>
      </c>
      <c r="G48" s="19" t="inlineStr">
        <is>
          <t>https://vtladm.com.br/wp-content/uploads/2025/05/06_Primeiro_Edital_Convocacao_Credores_Agile_Equipamentos_Odontologicos.pdf</t>
        </is>
      </c>
      <c r="H48" t="inlineStr">
        <is>
          <t>p2 r28</t>
        </is>
      </c>
      <c r="I48" t="inlineStr">
        <is>
          <t>NO_DOCUMENT</t>
        </is>
      </c>
    </row>
    <row r="49">
      <c r="A49" t="inlineStr">
        <is>
          <t>Delta Treinamento Ltda no prazo de 05 (cinco) dias, orçamento detalhado relacionado à Constatação Prévia</t>
        </is>
      </c>
      <c r="B49" s="10" t="n">
        <v>250000</v>
      </c>
      <c r="C49" t="inlineStr">
        <is>
          <t>insolvência</t>
        </is>
      </c>
      <c r="D49" t="inlineStr">
        <is>
          <t>0004984-95.2024.8.16.0153</t>
        </is>
      </c>
      <c r="E49" t="inlineStr">
        <is>
          <t>AJ_LIST</t>
        </is>
      </c>
      <c r="F49" t="inlineStr">
        <is>
          <t>OK_NO_TOTALS</t>
        </is>
      </c>
      <c r="G49" s="19" t="inlineStr">
        <is>
          <t>https://vtladm.com.br/wp-content/uploads/2025/05/06_Primeiro_Edital_Convocacao_Credores_Agile_Equipamentos_Odontologicos.pdf</t>
        </is>
      </c>
      <c r="H49" t="inlineStr">
        <is>
          <t>p2 r15</t>
        </is>
      </c>
      <c r="I49" t="inlineStr">
        <is>
          <t>NO_DOCUMENT</t>
        </is>
      </c>
    </row>
    <row r="50">
      <c r="A50" t="inlineStr">
        <is>
          <t>c) em atenção à Recomendação n° 141/2023 do CNJ, apresentar, Verde</t>
        </is>
      </c>
      <c r="B50" s="10" t="n">
        <v>201759.59</v>
      </c>
      <c r="C50" t="inlineStr">
        <is>
          <t>insolvência</t>
        </is>
      </c>
      <c r="D50" t="inlineStr">
        <is>
          <t>0004984-95.2024.8.16.0153</t>
        </is>
      </c>
      <c r="E50" t="inlineStr">
        <is>
          <t>AJ_LIST</t>
        </is>
      </c>
      <c r="F50" t="inlineStr">
        <is>
          <t>OK_NO_TOTALS</t>
        </is>
      </c>
      <c r="G50" s="19" t="inlineStr">
        <is>
          <t>https://vtladm.com.br/wp-content/uploads/2025/05/06_Primeiro_Edital_Convocacao_Credores_Agile_Equipamentos_Odontologicos.pdf</t>
        </is>
      </c>
      <c r="H50" t="inlineStr">
        <is>
          <t>p2 r13</t>
        </is>
      </c>
      <c r="I50" t="inlineStr">
        <is>
          <t>NO_DOCUMENT</t>
        </is>
      </c>
    </row>
    <row r="51">
      <c r="A51" t="inlineStr">
        <is>
          <t>N/A</t>
        </is>
      </c>
      <c r="B51" s="10" t="n">
        <v>500000</v>
      </c>
      <c r="C51" t="inlineStr">
        <is>
          <t>Plano de Recuperação Judicia</t>
        </is>
      </c>
      <c r="D51" t="inlineStr">
        <is>
          <t>1005755-09.2025.8.26.0132</t>
        </is>
      </c>
      <c r="E51" t="inlineStr">
        <is>
          <t>AJ_LIST</t>
        </is>
      </c>
      <c r="F51" t="inlineStr">
        <is>
          <t>OK_NO_TOTALS</t>
        </is>
      </c>
      <c r="G51" s="19" t="inlineStr">
        <is>
          <t>https://vtladm.com.br/wp-content/uploads/2025/08/09_Plano_Recuperacao_Judicial_Distribuidora_Frutas_Rumo_Novo.pdf</t>
        </is>
      </c>
      <c r="H51" t="inlineStr">
        <is>
          <t>p17 r2</t>
        </is>
      </c>
      <c r="I51" t="inlineStr">
        <is>
          <t>NO_DOCUMENT ALT_VALUE:R$5.000,00 ALT_VALUE:R$30.000,00 ALT_VALUE:R$100.000,00</t>
        </is>
      </c>
    </row>
    <row r="52">
      <c r="A52" t="inlineStr">
        <is>
          <t>VICUNHA TEXTIL S A</t>
        </is>
      </c>
      <c r="B52" s="10" t="n">
        <v>9653091.779999999</v>
      </c>
      <c r="C52" t="inlineStr">
        <is>
          <t>Marques Administrações Judiciais</t>
        </is>
      </c>
      <c r="D52" t="inlineStr">
        <is>
          <t>0012043-76.2016.8.16.0069</t>
        </is>
      </c>
      <c r="E52" t="inlineStr">
        <is>
          <t>AJ_LIST</t>
        </is>
      </c>
      <c r="F52" t="inlineStr">
        <is>
          <t>OK</t>
        </is>
      </c>
      <c r="G52" s="19" t="inlineStr">
        <is>
          <t>https://marquesadmjudicial.com.br/sgc/download.php?file=files/processo_documento/processo_documento16120907032024_1_.pdf&amp;nome=Relação Nominal de Credores da AJ Retificada - Classe III</t>
        </is>
      </c>
      <c r="H52" t="inlineStr">
        <is>
          <t>p5 r26</t>
        </is>
      </c>
      <c r="I52" t="inlineStr">
        <is>
          <t>NO_DOCUMENT</t>
        </is>
      </c>
    </row>
    <row r="53">
      <c r="A53" t="inlineStr">
        <is>
          <t>TEXTIL CANATIBA LTDA</t>
        </is>
      </c>
      <c r="B53" s="10" t="n">
        <v>6608625.56</v>
      </c>
      <c r="C53" t="inlineStr">
        <is>
          <t>Marques Administrações Judiciais</t>
        </is>
      </c>
      <c r="D53" t="inlineStr">
        <is>
          <t>0012043-76.2016.8.16.0069</t>
        </is>
      </c>
      <c r="E53" t="inlineStr">
        <is>
          <t>AJ_LIST</t>
        </is>
      </c>
      <c r="F53" t="inlineStr">
        <is>
          <t>OK</t>
        </is>
      </c>
      <c r="G53" s="19" t="inlineStr">
        <is>
          <t>https://marquesadmjudicial.com.br/sgc/download.php?file=files/processo_documento/processo_documento16120907032024_1_.pdf&amp;nome=Relação Nominal de Credores da AJ Retificada - Classe III</t>
        </is>
      </c>
      <c r="H53" t="inlineStr">
        <is>
          <t>p5 r19</t>
        </is>
      </c>
      <c r="I53" t="inlineStr">
        <is>
          <t>NO_DOCUMENT</t>
        </is>
      </c>
    </row>
    <row r="54">
      <c r="A54" t="inlineStr">
        <is>
          <t>SUL INVEST SECURITIZADORA S/A</t>
        </is>
      </c>
      <c r="B54" s="10" t="n">
        <v>2390512.3</v>
      </c>
      <c r="C54" t="inlineStr">
        <is>
          <t>Marques Administrações Judiciais</t>
        </is>
      </c>
      <c r="D54" t="inlineStr">
        <is>
          <t>0012043-76.2016.8.16.0069</t>
        </is>
      </c>
      <c r="E54" t="inlineStr">
        <is>
          <t>AJ_LIST</t>
        </is>
      </c>
      <c r="F54" t="inlineStr">
        <is>
          <t>OK</t>
        </is>
      </c>
      <c r="G54" s="19" t="inlineStr">
        <is>
          <t>https://marquesadmjudicial.com.br/sgc/download.php?file=files/processo_documento/processo_documento16120907032024_1_.pdf&amp;nome=Relação Nominal de Credores da AJ Retificada - Classe III</t>
        </is>
      </c>
      <c r="H54" t="inlineStr">
        <is>
          <t>p5 r13</t>
        </is>
      </c>
      <c r="I54" t="inlineStr">
        <is>
          <t>NO_DOCUMENT</t>
        </is>
      </c>
    </row>
    <row r="55">
      <c r="A55" t="inlineStr">
        <is>
          <t>GAVEA SECURITIZADORA SA</t>
        </is>
      </c>
      <c r="B55" s="10" t="n">
        <v>2028061.65</v>
      </c>
      <c r="C55" t="inlineStr">
        <is>
          <t>Marques Administrações Judiciais</t>
        </is>
      </c>
      <c r="D55" t="inlineStr">
        <is>
          <t>0012043-76.2016.8.16.0069</t>
        </is>
      </c>
      <c r="E55" t="inlineStr">
        <is>
          <t>AJ_LIST</t>
        </is>
      </c>
      <c r="F55" t="inlineStr">
        <is>
          <t>OK</t>
        </is>
      </c>
      <c r="G55" s="19" t="inlineStr">
        <is>
          <t>https://marquesadmjudicial.com.br/sgc/download.php?file=files/processo_documento/processo_documento16120907032024_1_.pdf&amp;nome=Relação Nominal de Credores da AJ Retificada - Classe III</t>
        </is>
      </c>
      <c r="H55" t="inlineStr">
        <is>
          <t>p3 r10</t>
        </is>
      </c>
      <c r="I55" t="inlineStr">
        <is>
          <t>NO_DOCUMENT</t>
        </is>
      </c>
    </row>
    <row r="56">
      <c r="A56" t="inlineStr">
        <is>
          <t>STATTUS JEANS INDUSTRIA E COMERCIO</t>
        </is>
      </c>
      <c r="B56" s="10" t="n">
        <v>1771457.58</v>
      </c>
      <c r="C56" t="inlineStr">
        <is>
          <t>Marques Administrações Judiciais</t>
        </is>
      </c>
      <c r="D56" t="inlineStr">
        <is>
          <t>0012043-76.2016.8.16.0069</t>
        </is>
      </c>
      <c r="E56" t="inlineStr">
        <is>
          <t>AJ_LIST</t>
        </is>
      </c>
      <c r="F56" t="inlineStr">
        <is>
          <t>OK</t>
        </is>
      </c>
      <c r="G56" s="19" t="inlineStr">
        <is>
          <t>https://marquesadmjudicial.com.br/sgc/download.php?file=files/processo_documento/processo_documento16120907032024_1_.pdf&amp;nome=Relação Nominal de Credores da AJ Retificada - Classe III</t>
        </is>
      </c>
      <c r="H56" t="inlineStr">
        <is>
          <t>p5 r11</t>
        </is>
      </c>
      <c r="I56" t="inlineStr">
        <is>
          <t>NO_DOCUMENT</t>
        </is>
      </c>
    </row>
    <row r="57">
      <c r="A57" t="inlineStr">
        <is>
          <t>ALTERO DESIGN IND E COM LTDA</t>
        </is>
      </c>
      <c r="B57" s="10" t="n">
        <v>1342907.54</v>
      </c>
      <c r="C57" t="inlineStr">
        <is>
          <t>Marques Administrações Judiciais</t>
        </is>
      </c>
      <c r="D57" t="inlineStr">
        <is>
          <t>0012043-76.2016.8.16.0069</t>
        </is>
      </c>
      <c r="E57" t="inlineStr">
        <is>
          <t>AJ_LIST</t>
        </is>
      </c>
      <c r="F57" t="inlineStr">
        <is>
          <t>OK</t>
        </is>
      </c>
      <c r="G57" s="19" t="inlineStr">
        <is>
          <t>https://marquesadmjudicial.com.br/sgc/download.php?file=files/processo_documento/processo_documento16120907032024_1_.pdf&amp;nome=Relação Nominal de Credores da AJ Retificada - Classe III</t>
        </is>
      </c>
      <c r="H57" t="inlineStr">
        <is>
          <t>p1 r6</t>
        </is>
      </c>
      <c r="I57" t="inlineStr">
        <is>
          <t>NO_DOCUMENT</t>
        </is>
      </c>
    </row>
    <row r="58">
      <c r="A58" t="inlineStr"/>
      <c r="B58" s="10" t="n">
        <v>1339611.41</v>
      </c>
      <c r="C58" t="inlineStr">
        <is>
          <t>Marques Administrações Judiciais</t>
        </is>
      </c>
      <c r="D58" t="inlineStr">
        <is>
          <t>0012043-76.2016.8.16.0069</t>
        </is>
      </c>
      <c r="E58" t="inlineStr">
        <is>
          <t>AJ_LIST</t>
        </is>
      </c>
      <c r="F58" t="inlineStr">
        <is>
          <t>OK</t>
        </is>
      </c>
      <c r="G58" s="19" t="inlineStr">
        <is>
          <t>https://marquesadmjudicial.com.br/sgc/download.php?file=files/processo_documento/processo_documento16120907032024_1_.pdf&amp;nome=Relação Nominal de Credores da AJ Retificada - Classe III</t>
        </is>
      </c>
      <c r="H58" t="inlineStr">
        <is>
          <t>p4 r18</t>
        </is>
      </c>
      <c r="I58" t="inlineStr">
        <is>
          <t>NO_DOCUMENT NAME_MISSING</t>
        </is>
      </c>
    </row>
    <row r="59">
      <c r="A59" t="inlineStr"/>
      <c r="B59" s="10" t="n">
        <v>1233391.71</v>
      </c>
      <c r="C59" t="inlineStr">
        <is>
          <t>Marques Administrações Judiciais</t>
        </is>
      </c>
      <c r="D59" t="inlineStr">
        <is>
          <t>0012043-76.2016.8.16.0069</t>
        </is>
      </c>
      <c r="E59" t="inlineStr">
        <is>
          <t>AJ_LIST</t>
        </is>
      </c>
      <c r="F59" t="inlineStr">
        <is>
          <t>OK</t>
        </is>
      </c>
      <c r="G59" s="19" t="inlineStr">
        <is>
          <t>https://marquesadmjudicial.com.br/sgc/download.php?file=files/processo_documento/processo_documento16120907032024_1_.pdf&amp;nome=Relação Nominal de Credores da AJ Retificada - Classe III</t>
        </is>
      </c>
      <c r="H59" t="inlineStr">
        <is>
          <t>p4 r30</t>
        </is>
      </c>
      <c r="I59" t="inlineStr">
        <is>
          <t>NO_DOCUMENT NAME_MISSING</t>
        </is>
      </c>
    </row>
    <row r="60">
      <c r="A60" t="inlineStr">
        <is>
          <t>A G DOS SANTOS LAVANDERIA</t>
        </is>
      </c>
      <c r="B60" s="10" t="n">
        <v>1173355.56</v>
      </c>
      <c r="C60" t="inlineStr">
        <is>
          <t>Marques Administrações Judiciais</t>
        </is>
      </c>
      <c r="D60" t="inlineStr">
        <is>
          <t>0012043-76.2016.8.16.0069</t>
        </is>
      </c>
      <c r="E60" t="inlineStr">
        <is>
          <t>AJ_LIST</t>
        </is>
      </c>
      <c r="F60" t="inlineStr">
        <is>
          <t>OK</t>
        </is>
      </c>
      <c r="G60" s="19" t="inlineStr">
        <is>
          <t>https://marquesadmjudicial.com.br/sgc/download.php?file=files/processo_documento/processo_documento16120907032024_1_.pdf&amp;nome=Relação Nominal de Credores da AJ Retificada - Classe III</t>
        </is>
      </c>
      <c r="H60" t="inlineStr">
        <is>
          <t>p1 r2</t>
        </is>
      </c>
      <c r="I60" t="inlineStr">
        <is>
          <t>NO_DOCUMENT</t>
        </is>
      </c>
    </row>
    <row r="61">
      <c r="A61" t="inlineStr">
        <is>
          <t>VICUNHA DISTRIBUIDORA DE PRODUTOS</t>
        </is>
      </c>
      <c r="B61" s="10" t="n">
        <v>1093746.69</v>
      </c>
      <c r="C61" t="inlineStr">
        <is>
          <t>Marques Administrações Judiciais</t>
        </is>
      </c>
      <c r="D61" t="inlineStr">
        <is>
          <t>0012043-76.2016.8.16.0069</t>
        </is>
      </c>
      <c r="E61" t="inlineStr">
        <is>
          <t>AJ_LIST</t>
        </is>
      </c>
      <c r="F61" t="inlineStr">
        <is>
          <t>OK</t>
        </is>
      </c>
      <c r="G61" s="19" t="inlineStr">
        <is>
          <t>https://marquesadmjudicial.com.br/sgc/download.php?file=files/processo_documento/processo_documento16120907032024_1_.pdf&amp;nome=Relação Nominal de Credores da AJ Retificada - Classe III</t>
        </is>
      </c>
      <c r="H61" t="inlineStr">
        <is>
          <t>p5 r25</t>
        </is>
      </c>
      <c r="I61" t="inlineStr">
        <is>
          <t>NO_DOCUMENT</t>
        </is>
      </c>
    </row>
    <row r="62">
      <c r="A62" t="inlineStr">
        <is>
          <t>FAM CRED</t>
        </is>
      </c>
      <c r="B62" s="10" t="n">
        <v>694430.76</v>
      </c>
      <c r="C62" t="inlineStr">
        <is>
          <t>Marques Administrações Judiciais</t>
        </is>
      </c>
      <c r="D62" t="inlineStr">
        <is>
          <t>0012043-76.2016.8.16.0069</t>
        </is>
      </c>
      <c r="E62" t="inlineStr">
        <is>
          <t>AJ_LIST</t>
        </is>
      </c>
      <c r="F62" t="inlineStr">
        <is>
          <t>OK</t>
        </is>
      </c>
      <c r="G62" s="19" t="inlineStr">
        <is>
          <t>https://marquesadmjudicial.com.br/sgc/download.php?file=files/processo_documento/processo_documento16120907032024_1_.pdf&amp;nome=Relação Nominal de Credores da AJ Retificada - Classe III</t>
        </is>
      </c>
      <c r="H62" t="inlineStr">
        <is>
          <t>p3 r6</t>
        </is>
      </c>
      <c r="I62" t="inlineStr">
        <is>
          <t>NO_DOCUMENT</t>
        </is>
      </c>
    </row>
    <row r="63">
      <c r="A63" t="inlineStr"/>
      <c r="B63" s="10" t="n">
        <v>629041.35</v>
      </c>
      <c r="C63" t="inlineStr">
        <is>
          <t>Marques Administrações Judiciais</t>
        </is>
      </c>
      <c r="D63" t="inlineStr">
        <is>
          <t>0012043-76.2016.8.16.0069</t>
        </is>
      </c>
      <c r="E63" t="inlineStr">
        <is>
          <t>AJ_LIST</t>
        </is>
      </c>
      <c r="F63" t="inlineStr">
        <is>
          <t>OK</t>
        </is>
      </c>
      <c r="G63" s="19" t="inlineStr">
        <is>
          <t>https://marquesadmjudicial.com.br/sgc/download.php?file=files/processo_documento/processo_documento16120907032024_1_.pdf&amp;nome=Relação Nominal de Credores da AJ Retificada - Classe III</t>
        </is>
      </c>
      <c r="H63" t="inlineStr">
        <is>
          <t>p4 r2</t>
        </is>
      </c>
      <c r="I63" t="inlineStr">
        <is>
          <t>NO_DOCUMENT NAME_MISSING</t>
        </is>
      </c>
    </row>
    <row r="64">
      <c r="A64" t="inlineStr">
        <is>
          <t>JOTTI INDUSTRIA DE CONFECCOES</t>
        </is>
      </c>
      <c r="B64" s="10" t="n">
        <v>580774.13</v>
      </c>
      <c r="C64" t="inlineStr">
        <is>
          <t>Marques Administrações Judiciais</t>
        </is>
      </c>
      <c r="D64" t="inlineStr">
        <is>
          <t>0012043-76.2016.8.16.0069</t>
        </is>
      </c>
      <c r="E64" t="inlineStr">
        <is>
          <t>AJ_LIST</t>
        </is>
      </c>
      <c r="F64" t="inlineStr">
        <is>
          <t>OK</t>
        </is>
      </c>
      <c r="G64" s="19" t="inlineStr">
        <is>
          <t>https://marquesadmjudicial.com.br/sgc/download.php?file=files/processo_documento/processo_documento16120907032024_1_.pdf&amp;nome=Relação Nominal de Credores da AJ Retificada - Classe III</t>
        </is>
      </c>
      <c r="H64" t="inlineStr">
        <is>
          <t>p3 r30</t>
        </is>
      </c>
      <c r="I64" t="inlineStr">
        <is>
          <t>NO_DOCUMENT</t>
        </is>
      </c>
    </row>
    <row r="65">
      <c r="A65" t="inlineStr">
        <is>
          <t>SUL INVEST FUNDO DE INVESTIMENTO</t>
        </is>
      </c>
      <c r="B65" s="10" t="n">
        <v>532617.84</v>
      </c>
      <c r="C65" t="inlineStr">
        <is>
          <t>Marques Administrações Judiciais</t>
        </is>
      </c>
      <c r="D65" t="inlineStr">
        <is>
          <t>0012043-76.2016.8.16.0069</t>
        </is>
      </c>
      <c r="E65" t="inlineStr">
        <is>
          <t>AJ_LIST</t>
        </is>
      </c>
      <c r="F65" t="inlineStr">
        <is>
          <t>OK</t>
        </is>
      </c>
      <c r="G65" s="19" t="inlineStr">
        <is>
          <t>https://marquesadmjudicial.com.br/sgc/download.php?file=files/processo_documento/processo_documento16120907032024_1_.pdf&amp;nome=Relação Nominal de Credores da AJ Retificada - Classe III</t>
        </is>
      </c>
      <c r="H65" t="inlineStr">
        <is>
          <t>p5 r12</t>
        </is>
      </c>
      <c r="I65" t="inlineStr">
        <is>
          <t>NO_DOCUMENT</t>
        </is>
      </c>
    </row>
    <row r="66">
      <c r="A66" t="inlineStr">
        <is>
          <t>VAGNER JOSE DE SOUZA CONFECC</t>
        </is>
      </c>
      <c r="B66" s="10" t="n">
        <v>520520.22</v>
      </c>
      <c r="C66" t="inlineStr">
        <is>
          <t>Marques Administrações Judiciais</t>
        </is>
      </c>
      <c r="D66" t="inlineStr">
        <is>
          <t>0012043-76.2016.8.16.0069</t>
        </is>
      </c>
      <c r="E66" t="inlineStr">
        <is>
          <t>AJ_LIST</t>
        </is>
      </c>
      <c r="F66" t="inlineStr">
        <is>
          <t>OK</t>
        </is>
      </c>
      <c r="G66" s="19" t="inlineStr">
        <is>
          <t>https://marquesadmjudicial.com.br/sgc/download.php?file=files/processo_documento/processo_documento16120907032024_1_.pdf&amp;nome=Relação Nominal de Credores da AJ Retificada - Classe III</t>
        </is>
      </c>
      <c r="H66" t="inlineStr">
        <is>
          <t>p5 r24</t>
        </is>
      </c>
      <c r="I66" t="inlineStr">
        <is>
          <t>NO_DOCUMENT</t>
        </is>
      </c>
    </row>
    <row r="67">
      <c r="A67" t="inlineStr"/>
      <c r="B67" s="10" t="n">
        <v>515814.31</v>
      </c>
      <c r="C67" t="inlineStr">
        <is>
          <t>Marques Administrações Judiciais</t>
        </is>
      </c>
      <c r="D67" t="inlineStr">
        <is>
          <t>0012043-76.2016.8.16.0069</t>
        </is>
      </c>
      <c r="E67" t="inlineStr">
        <is>
          <t>AJ_LIST</t>
        </is>
      </c>
      <c r="F67" t="inlineStr">
        <is>
          <t>OK</t>
        </is>
      </c>
      <c r="G67" s="19" t="inlineStr">
        <is>
          <t>https://marquesadmjudicial.com.br/sgc/download.php?file=files/processo_documento/processo_documento16120907032024_1_.pdf&amp;nome=Relação Nominal de Credores da AJ Retificada - Classe III</t>
        </is>
      </c>
      <c r="H67" t="inlineStr">
        <is>
          <t>p4 r20</t>
        </is>
      </c>
      <c r="I67" t="inlineStr">
        <is>
          <t>NO_DOCUMENT NAME_MISSING</t>
        </is>
      </c>
    </row>
    <row r="68">
      <c r="A68" t="inlineStr">
        <is>
          <t>KS FOMENTO</t>
        </is>
      </c>
      <c r="B68" s="10" t="n">
        <v>464520.34</v>
      </c>
      <c r="C68" t="inlineStr">
        <is>
          <t>Marques Administrações Judiciais</t>
        </is>
      </c>
      <c r="D68" t="inlineStr">
        <is>
          <t>0012043-76.2016.8.16.0069</t>
        </is>
      </c>
      <c r="E68" t="inlineStr">
        <is>
          <t>AJ_LIST</t>
        </is>
      </c>
      <c r="F68" t="inlineStr">
        <is>
          <t>OK</t>
        </is>
      </c>
      <c r="G68" s="19" t="inlineStr">
        <is>
          <t>https://marquesadmjudicial.com.br/sgc/download.php?file=files/processo_documento/processo_documento16120907032024_1_.pdf&amp;nome=Relação Nominal de Credores da AJ Retificada - Classe III</t>
        </is>
      </c>
      <c r="H68" t="inlineStr">
        <is>
          <t>p3 r33</t>
        </is>
      </c>
      <c r="I68" t="inlineStr">
        <is>
          <t>NO_DOCUMENT</t>
        </is>
      </c>
    </row>
    <row r="69">
      <c r="A69" t="inlineStr">
        <is>
          <t>KAHACHE EMPREENDIMENTOS</t>
        </is>
      </c>
      <c r="B69" s="10" t="n">
        <v>445683.64</v>
      </c>
      <c r="C69" t="inlineStr">
        <is>
          <t>Marques Administrações Judiciais</t>
        </is>
      </c>
      <c r="D69" t="inlineStr">
        <is>
          <t>0012043-76.2016.8.16.0069</t>
        </is>
      </c>
      <c r="E69" t="inlineStr">
        <is>
          <t>AJ_LIST</t>
        </is>
      </c>
      <c r="F69" t="inlineStr">
        <is>
          <t>OK</t>
        </is>
      </c>
      <c r="G69" s="19" t="inlineStr">
        <is>
          <t>https://marquesadmjudicial.com.br/sgc/download.php?file=files/processo_documento/processo_documento16120907032024_1_.pdf&amp;nome=Relação Nominal de Credores da AJ Retificada - Classe III</t>
        </is>
      </c>
      <c r="H69" t="inlineStr">
        <is>
          <t>p3 r32</t>
        </is>
      </c>
      <c r="I69" t="inlineStr">
        <is>
          <t>NO_DOCUMENT</t>
        </is>
      </c>
    </row>
    <row r="70">
      <c r="A70" t="inlineStr"/>
      <c r="B70" s="10" t="n">
        <v>439935.17</v>
      </c>
      <c r="C70" t="inlineStr">
        <is>
          <t>Marques Administrações Judiciais</t>
        </is>
      </c>
      <c r="D70" t="inlineStr">
        <is>
          <t>0012043-76.2016.8.16.0069</t>
        </is>
      </c>
      <c r="E70" t="inlineStr">
        <is>
          <t>AJ_LIST</t>
        </is>
      </c>
      <c r="F70" t="inlineStr">
        <is>
          <t>OK</t>
        </is>
      </c>
      <c r="G70" s="19" t="inlineStr">
        <is>
          <t>https://marquesadmjudicial.com.br/sgc/download.php?file=files/processo_documento/processo_documento16120907032024_1_.pdf&amp;nome=Relação Nominal de Credores da AJ Retificada - Classe III</t>
        </is>
      </c>
      <c r="H70" t="inlineStr">
        <is>
          <t>p4 r12</t>
        </is>
      </c>
      <c r="I70" t="inlineStr">
        <is>
          <t>NO_DOCUMENT NAME_MISSING</t>
        </is>
      </c>
    </row>
    <row r="71">
      <c r="A71" t="inlineStr">
        <is>
          <t>COOPERATIVA DE POUPANÇA E CRÉDITO DE LIVRE ADMISSÃO DA REGIÃO DE MARINGÁ - SICOOB METROPOLITANO</t>
        </is>
      </c>
      <c r="B71" s="10" t="n">
        <v>418265.04</v>
      </c>
      <c r="C71" t="inlineStr">
        <is>
          <t>Marques Administrações Judiciais</t>
        </is>
      </c>
      <c r="D71" t="inlineStr">
        <is>
          <t>0012043-76.2016.8.16.0069</t>
        </is>
      </c>
      <c r="E71" t="inlineStr">
        <is>
          <t>AJ_LIST</t>
        </is>
      </c>
      <c r="F71" t="inlineStr">
        <is>
          <t>OK</t>
        </is>
      </c>
      <c r="G71" s="19" t="inlineStr">
        <is>
          <t>https://marquesadmjudicial.com.br/sgc/download.php?file=files/processo_documento/processo_documento16120907032024_1_.pdf&amp;nome=Relação Nominal de Credores da AJ Retificada - Classe III</t>
        </is>
      </c>
      <c r="H71" t="inlineStr">
        <is>
          <t>p1 r25</t>
        </is>
      </c>
      <c r="I71" t="inlineStr">
        <is>
          <t>NO_DOCUMENT</t>
        </is>
      </c>
    </row>
    <row r="72">
      <c r="A72" t="inlineStr">
        <is>
          <t>JOSE ROBERTO BACARIN</t>
        </is>
      </c>
      <c r="B72" s="10" t="n">
        <v>406974.28</v>
      </c>
      <c r="C72" t="inlineStr">
        <is>
          <t>Marques Administrações Judiciais</t>
        </is>
      </c>
      <c r="D72" t="inlineStr">
        <is>
          <t>0012043-76.2016.8.16.0069</t>
        </is>
      </c>
      <c r="E72" t="inlineStr">
        <is>
          <t>AJ_LIST</t>
        </is>
      </c>
      <c r="F72" t="inlineStr">
        <is>
          <t>OK</t>
        </is>
      </c>
      <c r="G72" s="19" t="inlineStr">
        <is>
          <t>https://marquesadmjudicial.com.br/sgc/download.php?file=files/processo_documento/processo_documento16120907032024_1_.pdf&amp;nome=Relação Nominal de Credores da AJ Retificada - Classe III</t>
        </is>
      </c>
      <c r="H72" t="inlineStr">
        <is>
          <t>p3 r29</t>
        </is>
      </c>
      <c r="I72" t="inlineStr">
        <is>
          <t>NO_DOCUMENT</t>
        </is>
      </c>
    </row>
    <row r="73">
      <c r="A73" t="inlineStr">
        <is>
          <t>VIRTUAL AGE SOLUCOES EM TECNOLOGIA</t>
        </is>
      </c>
      <c r="B73" s="10" t="n">
        <v>403966.21</v>
      </c>
      <c r="C73" t="inlineStr">
        <is>
          <t>Marques Administrações Judiciais</t>
        </is>
      </c>
      <c r="D73" t="inlineStr">
        <is>
          <t>0012043-76.2016.8.16.0069</t>
        </is>
      </c>
      <c r="E73" t="inlineStr">
        <is>
          <t>AJ_LIST</t>
        </is>
      </c>
      <c r="F73" t="inlineStr">
        <is>
          <t>OK</t>
        </is>
      </c>
      <c r="G73" s="19" t="inlineStr">
        <is>
          <t>https://marquesadmjudicial.com.br/sgc/download.php?file=files/processo_documento/processo_documento16120907032024_1_.pdf&amp;nome=Relação Nominal de Credores da AJ Retificada - Classe III</t>
        </is>
      </c>
      <c r="H73" t="inlineStr">
        <is>
          <t>p5 r27</t>
        </is>
      </c>
      <c r="I73" t="inlineStr">
        <is>
          <t>NO_DOCUMENT</t>
        </is>
      </c>
    </row>
    <row r="74">
      <c r="A74" t="inlineStr">
        <is>
          <t>TUICIAL GRAFICA E EDITORA LTDA</t>
        </is>
      </c>
      <c r="B74" s="10" t="n">
        <v>367424.36</v>
      </c>
      <c r="C74" t="inlineStr">
        <is>
          <t>Marques Administrações Judiciais</t>
        </is>
      </c>
      <c r="D74" t="inlineStr">
        <is>
          <t>0012043-76.2016.8.16.0069</t>
        </is>
      </c>
      <c r="E74" t="inlineStr">
        <is>
          <t>AJ_LIST</t>
        </is>
      </c>
      <c r="F74" t="inlineStr">
        <is>
          <t>OK</t>
        </is>
      </c>
      <c r="G74" s="19" t="inlineStr">
        <is>
          <t>https://marquesadmjudicial.com.br/sgc/download.php?file=files/processo_documento/processo_documento16120907032024_1_.pdf&amp;nome=Relação Nominal de Credores da AJ Retificada - Classe III</t>
        </is>
      </c>
      <c r="H74" t="inlineStr">
        <is>
          <t>p5 r23</t>
        </is>
      </c>
      <c r="I74" t="inlineStr">
        <is>
          <t>NO_DOCUMENT</t>
        </is>
      </c>
    </row>
    <row r="75">
      <c r="A75" t="inlineStr"/>
      <c r="B75" s="10" t="n">
        <v>347565.46</v>
      </c>
      <c r="C75" t="inlineStr">
        <is>
          <t>Marques Administrações Judiciais</t>
        </is>
      </c>
      <c r="D75" t="inlineStr">
        <is>
          <t>0012043-76.2016.8.16.0069</t>
        </is>
      </c>
      <c r="E75" t="inlineStr">
        <is>
          <t>AJ_LIST</t>
        </is>
      </c>
      <c r="F75" t="inlineStr">
        <is>
          <t>OK</t>
        </is>
      </c>
      <c r="G75" s="19" t="inlineStr">
        <is>
          <t>https://marquesadmjudicial.com.br/sgc/download.php?file=files/processo_documento/processo_documento16120907032024_1_.pdf&amp;nome=Relação Nominal de Credores da AJ Retificada - Classe III</t>
        </is>
      </c>
      <c r="H75" t="inlineStr">
        <is>
          <t>p4 r24</t>
        </is>
      </c>
      <c r="I75" t="inlineStr">
        <is>
          <t>NO_DOCUMENT NAME_MISSING</t>
        </is>
      </c>
    </row>
    <row r="76">
      <c r="A76" t="inlineStr">
        <is>
          <t>ARMINDO SILVA LOPES</t>
        </is>
      </c>
      <c r="B76" s="10" t="n">
        <v>344703.18</v>
      </c>
      <c r="C76" t="inlineStr">
        <is>
          <t>Marques Administrações Judiciais</t>
        </is>
      </c>
      <c r="D76" t="inlineStr">
        <is>
          <t>0012043-76.2016.8.16.0069</t>
        </is>
      </c>
      <c r="E76" t="inlineStr">
        <is>
          <t>AJ_LIST</t>
        </is>
      </c>
      <c r="F76" t="inlineStr">
        <is>
          <t>OK</t>
        </is>
      </c>
      <c r="G76" s="19" t="inlineStr">
        <is>
          <t>https://marquesadmjudicial.com.br/sgc/download.php?file=files/processo_documento/processo_documento16120907032024_1_.pdf&amp;nome=Relação Nominal de Credores da AJ Retificada - Classe III</t>
        </is>
      </c>
      <c r="H76" t="inlineStr">
        <is>
          <t>p1 r10</t>
        </is>
      </c>
      <c r="I76" t="inlineStr">
        <is>
          <t>NO_DOCUMENT</t>
        </is>
      </c>
    </row>
    <row r="77">
      <c r="A77" t="inlineStr">
        <is>
          <t>CIANORTEX IND E COM DE ART</t>
        </is>
      </c>
      <c r="B77" s="10" t="n">
        <v>300000</v>
      </c>
      <c r="C77" t="inlineStr">
        <is>
          <t>Marques Administrações Judiciais</t>
        </is>
      </c>
      <c r="D77" t="inlineStr">
        <is>
          <t>0012043-76.2016.8.16.0069</t>
        </is>
      </c>
      <c r="E77" t="inlineStr">
        <is>
          <t>AJ_LIST</t>
        </is>
      </c>
      <c r="F77" t="inlineStr">
        <is>
          <t>OK</t>
        </is>
      </c>
      <c r="G77" s="19" t="inlineStr">
        <is>
          <t>https://marquesadmjudicial.com.br/sgc/download.php?file=files/processo_documento/processo_documento16120907032024_1_.pdf&amp;nome=Relação Nominal de Credores da AJ Retificada - Classe III</t>
        </is>
      </c>
      <c r="H77" t="inlineStr">
        <is>
          <t>p2 r4</t>
        </is>
      </c>
      <c r="I77" t="inlineStr">
        <is>
          <t>NO_DOCUMENT</t>
        </is>
      </c>
    </row>
    <row r="78">
      <c r="A78" t="inlineStr"/>
      <c r="B78" s="10" t="n">
        <v>289923.2</v>
      </c>
      <c r="C78" t="inlineStr">
        <is>
          <t>Marques Administrações Judiciais</t>
        </is>
      </c>
      <c r="D78" t="inlineStr">
        <is>
          <t>0012043-76.2016.8.16.0069</t>
        </is>
      </c>
      <c r="E78" t="inlineStr">
        <is>
          <t>AJ_LIST</t>
        </is>
      </c>
      <c r="F78" t="inlineStr">
        <is>
          <t>OK</t>
        </is>
      </c>
      <c r="G78" s="19" t="inlineStr">
        <is>
          <t>https://marquesadmjudicial.com.br/sgc/download.php?file=files/processo_documento/processo_documento16120907032024_1_.pdf&amp;nome=Relação Nominal de Credores da AJ Retificada - Classe III</t>
        </is>
      </c>
      <c r="H78" t="inlineStr">
        <is>
          <t>p4 r36</t>
        </is>
      </c>
      <c r="I78" t="inlineStr">
        <is>
          <t>NO_DOCUMENT NAME_MISSING</t>
        </is>
      </c>
    </row>
    <row r="79">
      <c r="A79" t="inlineStr">
        <is>
          <t>E M DA SILVA ITAUNA ME</t>
        </is>
      </c>
      <c r="B79" s="10" t="n">
        <v>267788.08</v>
      </c>
      <c r="C79" t="inlineStr">
        <is>
          <t>Marques Administrações Judiciais</t>
        </is>
      </c>
      <c r="D79" t="inlineStr">
        <is>
          <t>0012043-76.2016.8.16.0069</t>
        </is>
      </c>
      <c r="E79" t="inlineStr">
        <is>
          <t>AJ_LIST</t>
        </is>
      </c>
      <c r="F79" t="inlineStr">
        <is>
          <t>OK</t>
        </is>
      </c>
      <c r="G79" s="19" t="inlineStr">
        <is>
          <t>https://marquesadmjudicial.com.br/sgc/download.php?file=files/processo_documento/processo_documento16120907032024_1_.pdf&amp;nome=Relação Nominal de Credores da AJ Retificada - Classe III</t>
        </is>
      </c>
      <c r="H79" t="inlineStr">
        <is>
          <t>p2 r27</t>
        </is>
      </c>
      <c r="I79" t="inlineStr">
        <is>
          <t>NO_DOCUMENT</t>
        </is>
      </c>
    </row>
    <row r="80">
      <c r="A80" t="inlineStr">
        <is>
          <t>ASSOCIACAO DOS LOJISTAS DO SP MEGA MIX</t>
        </is>
      </c>
      <c r="B80" s="10" t="n">
        <v>229069.82</v>
      </c>
      <c r="C80" t="inlineStr">
        <is>
          <t>Marques Administrações Judiciais</t>
        </is>
      </c>
      <c r="D80" t="inlineStr">
        <is>
          <t>0012043-76.2016.8.16.0069</t>
        </is>
      </c>
      <c r="E80" t="inlineStr">
        <is>
          <t>AJ_LIST</t>
        </is>
      </c>
      <c r="F80" t="inlineStr">
        <is>
          <t>OK</t>
        </is>
      </c>
      <c r="G80" s="19" t="inlineStr">
        <is>
          <t>https://marquesadmjudicial.com.br/sgc/download.php?file=files/processo_documento/processo_documento16120907032024_1_.pdf&amp;nome=Relação Nominal de Credores da AJ Retificada - Classe III</t>
        </is>
      </c>
      <c r="H80" t="inlineStr">
        <is>
          <t>p1 r18</t>
        </is>
      </c>
      <c r="I80" t="inlineStr">
        <is>
          <t>NO_DOCUMENT</t>
        </is>
      </c>
    </row>
    <row r="81">
      <c r="A81" t="inlineStr">
        <is>
          <t>ASSOCIACAO DOS LOJISTAS DO MASTER SHOPPING ATACADISTA</t>
        </is>
      </c>
      <c r="B81" s="10" t="n">
        <v>219767.03</v>
      </c>
      <c r="C81" t="inlineStr">
        <is>
          <t>Marques Administrações Judiciais</t>
        </is>
      </c>
      <c r="D81" t="inlineStr">
        <is>
          <t>0012043-76.2016.8.16.0069</t>
        </is>
      </c>
      <c r="E81" t="inlineStr">
        <is>
          <t>AJ_LIST</t>
        </is>
      </c>
      <c r="F81" t="inlineStr">
        <is>
          <t>OK</t>
        </is>
      </c>
      <c r="G81" s="19" t="inlineStr">
        <is>
          <t>https://marquesadmjudicial.com.br/sgc/download.php?file=files/processo_documento/processo_documento16120907032024_1_.pdf&amp;nome=Relação Nominal de Credores da AJ Retificada - Classe III</t>
        </is>
      </c>
      <c r="H81" t="inlineStr">
        <is>
          <t>p1 r16</t>
        </is>
      </c>
      <c r="I81" t="inlineStr">
        <is>
          <t>NO_DOCUMENT</t>
        </is>
      </c>
    </row>
    <row r="82">
      <c r="A82" t="inlineStr"/>
      <c r="B82" s="10" t="n">
        <v>214741.55</v>
      </c>
      <c r="C82" t="inlineStr">
        <is>
          <t>Marques Administrações Judiciais</t>
        </is>
      </c>
      <c r="D82" t="inlineStr">
        <is>
          <t>0012043-76.2016.8.16.0069</t>
        </is>
      </c>
      <c r="E82" t="inlineStr">
        <is>
          <t>AJ_LIST</t>
        </is>
      </c>
      <c r="F82" t="inlineStr">
        <is>
          <t>OK</t>
        </is>
      </c>
      <c r="G82" s="19" t="inlineStr">
        <is>
          <t>https://marquesadmjudicial.com.br/sgc/download.php?file=files/processo_documento/processo_documento16120907032024_1_.pdf&amp;nome=Relação Nominal de Credores da AJ Retificada - Classe III</t>
        </is>
      </c>
      <c r="H82" t="inlineStr">
        <is>
          <t>p4 r33</t>
        </is>
      </c>
      <c r="I82" t="inlineStr">
        <is>
          <t>NO_DOCUMENT NAME_MISSING</t>
        </is>
      </c>
    </row>
    <row r="83">
      <c r="A83" t="inlineStr">
        <is>
          <t>BRUNO LEONARDO SANTOS MACHADO</t>
        </is>
      </c>
      <c r="B83" s="10" t="n">
        <v>213822.24</v>
      </c>
      <c r="C83" t="inlineStr">
        <is>
          <t>Marques Administrações Judiciais</t>
        </is>
      </c>
      <c r="D83" t="inlineStr">
        <is>
          <t>0012043-76.2016.8.16.0069</t>
        </is>
      </c>
      <c r="E83" t="inlineStr">
        <is>
          <t>AJ_LIST</t>
        </is>
      </c>
      <c r="F83" t="inlineStr">
        <is>
          <t>OK</t>
        </is>
      </c>
      <c r="G83" s="19" t="inlineStr">
        <is>
          <t>https://marquesadmjudicial.com.br/sgc/download.php?file=files/processo_documento/processo_documento16120907032024_1_.pdf&amp;nome=Relação Nominal de Credores da AJ Retificada - Classe III</t>
        </is>
      </c>
      <c r="H83" t="inlineStr">
        <is>
          <t>p1 r35</t>
        </is>
      </c>
      <c r="I83" t="inlineStr">
        <is>
          <t>NO_DOCUMENT</t>
        </is>
      </c>
    </row>
    <row r="84">
      <c r="A84" t="inlineStr">
        <is>
          <t>BENVENHO E CIA LTDA</t>
        </is>
      </c>
      <c r="B84" s="10" t="n">
        <v>212657.68</v>
      </c>
      <c r="C84" t="inlineStr">
        <is>
          <t>Marques Administrações Judiciais</t>
        </is>
      </c>
      <c r="D84" t="inlineStr">
        <is>
          <t>0012043-76.2016.8.16.0069</t>
        </is>
      </c>
      <c r="E84" t="inlineStr">
        <is>
          <t>AJ_LIST</t>
        </is>
      </c>
      <c r="F84" t="inlineStr">
        <is>
          <t>OK</t>
        </is>
      </c>
      <c r="G84" s="19" t="inlineStr">
        <is>
          <t>https://marquesadmjudicial.com.br/sgc/download.php?file=files/processo_documento/processo_documento16120907032024_1_.pdf&amp;nome=Relação Nominal de Credores da AJ Retificada - Classe III</t>
        </is>
      </c>
      <c r="H84" t="inlineStr">
        <is>
          <t>p1 r31</t>
        </is>
      </c>
      <c r="I84" t="inlineStr">
        <is>
          <t>NO_DOCUMENT</t>
        </is>
      </c>
    </row>
    <row r="85">
      <c r="A85" t="inlineStr"/>
      <c r="B85" s="10" t="n">
        <v>211304.29</v>
      </c>
      <c r="C85" t="inlineStr">
        <is>
          <t>Marques Administrações Judiciais</t>
        </is>
      </c>
      <c r="D85" t="inlineStr">
        <is>
          <t>0012043-76.2016.8.16.0069</t>
        </is>
      </c>
      <c r="E85" t="inlineStr">
        <is>
          <t>AJ_LIST</t>
        </is>
      </c>
      <c r="F85" t="inlineStr">
        <is>
          <t>OK</t>
        </is>
      </c>
      <c r="G85" s="19" t="inlineStr">
        <is>
          <t>https://marquesadmjudicial.com.br/sgc/download.php?file=files/processo_documento/processo_documento16120907032024_1_.pdf&amp;nome=Relação Nominal de Credores da AJ Retificada - Classe III</t>
        </is>
      </c>
      <c r="H85" t="inlineStr">
        <is>
          <t>p4 r19</t>
        </is>
      </c>
      <c r="I85" t="inlineStr">
        <is>
          <t>NO_DOCUMENT NAME_MISSING</t>
        </is>
      </c>
    </row>
    <row r="86">
      <c r="A86" t="inlineStr"/>
      <c r="B86" s="10" t="n">
        <v>204589.72</v>
      </c>
      <c r="C86" t="inlineStr">
        <is>
          <t>Marques Administrações Judiciais</t>
        </is>
      </c>
      <c r="D86" t="inlineStr">
        <is>
          <t>0012043-76.2016.8.16.0069</t>
        </is>
      </c>
      <c r="E86" t="inlineStr">
        <is>
          <t>AJ_LIST</t>
        </is>
      </c>
      <c r="F86" t="inlineStr">
        <is>
          <t>OK</t>
        </is>
      </c>
      <c r="G86" s="19" t="inlineStr">
        <is>
          <t>https://marquesadmjudicial.com.br/sgc/download.php?file=files/processo_documento/processo_documento16120907032024_1_.pdf&amp;nome=Relação Nominal de Credores da AJ Retificada - Classe III</t>
        </is>
      </c>
      <c r="H86" t="inlineStr">
        <is>
          <t>p4 r6</t>
        </is>
      </c>
      <c r="I86" t="inlineStr">
        <is>
          <t>NO_DOCUMENT NAME_MISSING</t>
        </is>
      </c>
    </row>
    <row r="87">
      <c r="A87" t="inlineStr">
        <is>
          <t>ANTONIO CARLOS COMIRAN</t>
        </is>
      </c>
      <c r="B87" s="10" t="n">
        <v>200322.96</v>
      </c>
      <c r="C87" t="inlineStr">
        <is>
          <t>Marques Administrações Judiciais</t>
        </is>
      </c>
      <c r="D87" t="inlineStr">
        <is>
          <t>0012043-76.2016.8.16.0069</t>
        </is>
      </c>
      <c r="E87" t="inlineStr">
        <is>
          <t>AJ_LIST</t>
        </is>
      </c>
      <c r="F87" t="inlineStr">
        <is>
          <t>OK</t>
        </is>
      </c>
      <c r="G87" s="19" t="inlineStr">
        <is>
          <t>https://marquesadmjudicial.com.br/sgc/download.php?file=files/processo_documento/processo_documento16120907032024_1_.pdf&amp;nome=Relação Nominal de Credores da AJ Retificada - Classe III</t>
        </is>
      </c>
      <c r="H87" t="inlineStr">
        <is>
          <t>p1 r9</t>
        </is>
      </c>
      <c r="I87" t="inlineStr">
        <is>
          <t>NO_DOCUMENT</t>
        </is>
      </c>
    </row>
    <row r="88">
      <c r="A88" t="inlineStr"/>
      <c r="B88" s="10" t="n">
        <v>1435011</v>
      </c>
      <c r="C88" t="inlineStr">
        <is>
          <t>E WORLDWIDE SEGURANÇA EIRELI</t>
        </is>
      </c>
      <c r="D88" t="inlineStr">
        <is>
          <t>1057555-04.2023.8.26.0114</t>
        </is>
      </c>
      <c r="E88" t="inlineStr">
        <is>
          <t>UNKNOWN</t>
        </is>
      </c>
      <c r="F88" t="inlineStr">
        <is>
          <t>OK</t>
        </is>
      </c>
      <c r="G88" s="19" t="inlineStr">
        <is>
          <t>https://vtladm.com.br/wp-content/uploads/2024/02/07-–-Plano-de-Recuperacao-Judicial-–-WWS-Services-e-Worldwide.pdf</t>
        </is>
      </c>
      <c r="H88" t="inlineStr">
        <is>
          <t>p78 r1</t>
        </is>
      </c>
      <c r="I88" t="inlineStr">
        <is>
          <t>NO_DOCUMENT NAME_MISSING</t>
        </is>
      </c>
    </row>
    <row r="89">
      <c r="A89" t="inlineStr"/>
      <c r="B89" s="10" t="n">
        <v>1027868.15</v>
      </c>
      <c r="C89" t="inlineStr">
        <is>
          <t>E WORLDWIDE SEGURANÇA EIRELI</t>
        </is>
      </c>
      <c r="D89" t="inlineStr">
        <is>
          <t>1057555-04.2023.8.26.0114</t>
        </is>
      </c>
      <c r="E89" t="inlineStr">
        <is>
          <t>UNKNOWN</t>
        </is>
      </c>
      <c r="F89" t="inlineStr">
        <is>
          <t>OK</t>
        </is>
      </c>
      <c r="G89" s="19" t="inlineStr">
        <is>
          <t>https://vtladm.com.br/wp-content/uploads/2024/02/07-–-Plano-de-Recuperacao-Judicial-–-WWS-Services-e-Worldwide.pdf</t>
        </is>
      </c>
      <c r="H89" t="inlineStr">
        <is>
          <t>p101 r1</t>
        </is>
      </c>
      <c r="I89" t="inlineStr">
        <is>
          <t>NO_DOCUMENT NAME_MISSING</t>
        </is>
      </c>
    </row>
    <row r="90">
      <c r="A90" t="inlineStr"/>
      <c r="B90" s="10" t="n">
        <v>1108360.96</v>
      </c>
      <c r="C90" t="inlineStr">
        <is>
          <t>Massa Falida de Blue Sol Energia Solar Ltda. e outros – VTL</t>
        </is>
      </c>
      <c r="D90" t="inlineStr">
        <is>
          <t>1000831-12.2024.8.26.0286</t>
        </is>
      </c>
      <c r="E90" t="inlineStr">
        <is>
          <t>AJ_LIST</t>
        </is>
      </c>
      <c r="F90" t="inlineStr">
        <is>
          <t>OK_NO_TOTALS</t>
        </is>
      </c>
      <c r="G90" s="19" t="inlineStr">
        <is>
          <t>https://vtladm.com.br/wp-content/uploads/2024/11/03-Edital-Decretacao-de-Falencia-e-Convocacao-de-Credores-Massa-Falida-de-Blue-Sol-Energia-Solar-Ltda-e-Outros.pdf</t>
        </is>
      </c>
      <c r="H90" t="inlineStr">
        <is>
          <t>p7 r4</t>
        </is>
      </c>
      <c r="I90" t="inlineStr">
        <is>
          <t>NO_DOCUMENT NAME_MISSING</t>
        </is>
      </c>
    </row>
    <row r="91">
      <c r="A91" t="inlineStr">
        <is>
          <t>SOLAR 2.932,90 ; LUZZ DISTRIBUIDORA</t>
        </is>
      </c>
      <c r="B91" s="10" t="n">
        <v>576376.5</v>
      </c>
      <c r="C91" t="inlineStr">
        <is>
          <t>Massa Falida de Blue Sol Energia Solar Ltda. e outros – VTL</t>
        </is>
      </c>
      <c r="D91" t="inlineStr">
        <is>
          <t>1000831-12.2024.8.26.0286</t>
        </is>
      </c>
      <c r="E91" t="inlineStr">
        <is>
          <t>AJ_LIST</t>
        </is>
      </c>
      <c r="F91" t="inlineStr">
        <is>
          <t>OK_NO_TOTALS</t>
        </is>
      </c>
      <c r="G91" s="19" t="inlineStr">
        <is>
          <t>https://vtladm.com.br/wp-content/uploads/2024/11/03-Edital-Decretacao-de-Falencia-e-Convocacao-de-Credores-Massa-Falida-de-Blue-Sol-Energia-Solar-Ltda-e-Outros.pdf</t>
        </is>
      </c>
      <c r="H91" t="inlineStr">
        <is>
          <t>p5 r9</t>
        </is>
      </c>
      <c r="I91" t="inlineStr">
        <is>
          <t>NO_DOCUMENT</t>
        </is>
      </c>
    </row>
    <row r="92">
      <c r="A92" t="inlineStr">
        <is>
          <t>PUBLICACOES P 648,00 ; ECORI ENERGIA</t>
        </is>
      </c>
      <c r="B92" s="10" t="n">
        <v>200076.73</v>
      </c>
      <c r="C92" t="inlineStr">
        <is>
          <t>Massa Falida de Blue Sol Energia Solar Ltda. e outros – VTL</t>
        </is>
      </c>
      <c r="D92" t="inlineStr">
        <is>
          <t>1000831-12.2024.8.26.0286</t>
        </is>
      </c>
      <c r="E92" t="inlineStr">
        <is>
          <t>AJ_LIST</t>
        </is>
      </c>
      <c r="F92" t="inlineStr">
        <is>
          <t>OK_NO_TOTALS</t>
        </is>
      </c>
      <c r="G92" s="19" t="inlineStr">
        <is>
          <t>https://vtladm.com.br/wp-content/uploads/2024/11/03-Edital-Decretacao-de-Falencia-e-Convocacao-de-Credores-Massa-Falida-de-Blue-Sol-Energia-Solar-Ltda-e-Outros.pdf</t>
        </is>
      </c>
      <c r="H92" t="inlineStr">
        <is>
          <t>p4 r27</t>
        </is>
      </c>
      <c r="I92" t="inlineStr">
        <is>
          <t>NO_DOCUMENT</t>
        </is>
      </c>
    </row>
    <row r="93">
      <c r="A93" t="inlineStr">
        <is>
          <t>Shopping Das Tintas Comercio</t>
        </is>
      </c>
      <c r="B93" s="10" t="n">
        <v>500000</v>
      </c>
      <c r="C93" t="inlineStr">
        <is>
          <t>Destro Comercio De Alimentos LTDA</t>
        </is>
      </c>
      <c r="D93" t="inlineStr">
        <is>
          <t>0000357-17.2024.8.16.0131</t>
        </is>
      </c>
      <c r="E93" t="inlineStr">
        <is>
          <t>AJ_LIST</t>
        </is>
      </c>
      <c r="F93" t="inlineStr">
        <is>
          <t>OK_NO_TOTALS</t>
        </is>
      </c>
      <c r="G93" s="19" t="inlineStr">
        <is>
          <t>https://marquesadmjudicial.com.br/sgc/download.php?file=files/processo_documento/processo_documento10074612042024_1_.pdf&amp;nome=2º Edital-Relação de Credores AJ e PRJ</t>
        </is>
      </c>
      <c r="H93" t="inlineStr">
        <is>
          <t>p2 r29</t>
        </is>
      </c>
      <c r="I93" t="inlineStr">
        <is>
          <t>NO_DOCUMENT</t>
        </is>
      </c>
    </row>
    <row r="94">
      <c r="A94" t="inlineStr">
        <is>
          <t>BDF Nivea Ltda</t>
        </is>
      </c>
      <c r="B94" s="10" t="n">
        <v>2761570.05</v>
      </c>
      <c r="C94" t="inlineStr">
        <is>
          <t>Marques Administrações Judiciais</t>
        </is>
      </c>
      <c r="D94" t="inlineStr">
        <is>
          <t>0005010-98.2023.8.16.0001</t>
        </is>
      </c>
      <c r="E94" t="inlineStr">
        <is>
          <t>AJ_LIST</t>
        </is>
      </c>
      <c r="F94" t="inlineStr">
        <is>
          <t>QUARANTINED</t>
        </is>
      </c>
      <c r="G94" s="19" t="inlineStr">
        <is>
          <t>https://marquesadmjudicial.com.br/sgc/download.php?file=files/processo_documento/processo_documento15293208032024_1_.pdf&amp;nome=Relação Nominal de Credores da AJ-Sintética</t>
        </is>
      </c>
      <c r="H94" t="inlineStr">
        <is>
          <t>p21 r10</t>
        </is>
      </c>
      <c r="I94" t="inlineStr">
        <is>
          <t>NO_DOCUMENT</t>
        </is>
      </c>
    </row>
    <row r="95">
      <c r="A95" t="inlineStr">
        <is>
          <t>Produtos De Higiene E Limpeza Ltda</t>
        </is>
      </c>
      <c r="B95" s="10" t="n">
        <v>1279487.98</v>
      </c>
      <c r="C95" t="inlineStr">
        <is>
          <t>Marques Administrações Judiciais</t>
        </is>
      </c>
      <c r="D95" t="inlineStr">
        <is>
          <t>0005010-98.2023.8.16.0001</t>
        </is>
      </c>
      <c r="E95" t="inlineStr">
        <is>
          <t>AJ_LIST</t>
        </is>
      </c>
      <c r="F95" t="inlineStr">
        <is>
          <t>QUARANTINED</t>
        </is>
      </c>
      <c r="G95" s="19" t="inlineStr">
        <is>
          <t>https://marquesadmjudicial.com.br/sgc/download.php?file=files/processo_documento/processo_documento15293208032024_1_.pdf&amp;nome=Relação Nominal de Credores da AJ-Sintética</t>
        </is>
      </c>
      <c r="H95" t="inlineStr">
        <is>
          <t>p25 r9</t>
        </is>
      </c>
      <c r="I95" t="inlineStr">
        <is>
          <t>NO_DOCUMENT</t>
        </is>
      </c>
    </row>
    <row r="96">
      <c r="A96" t="inlineStr">
        <is>
          <t>Ceras Johnson Ltda</t>
        </is>
      </c>
      <c r="B96" s="10" t="n">
        <v>676451.58</v>
      </c>
      <c r="C96" t="inlineStr">
        <is>
          <t>Marques Administrações Judiciais</t>
        </is>
      </c>
      <c r="D96" t="inlineStr">
        <is>
          <t>0005010-98.2023.8.16.0001</t>
        </is>
      </c>
      <c r="E96" t="inlineStr">
        <is>
          <t>AJ_LIST</t>
        </is>
      </c>
      <c r="F96" t="inlineStr">
        <is>
          <t>QUARANTINED</t>
        </is>
      </c>
      <c r="G96" s="19" t="inlineStr">
        <is>
          <t>https://marquesadmjudicial.com.br/sgc/download.php?file=files/processo_documento/processo_documento15293208032024_1_.pdf&amp;nome=Relação Nominal de Credores da AJ-Sintética</t>
        </is>
      </c>
      <c r="H96" t="inlineStr">
        <is>
          <t>p23 r4</t>
        </is>
      </c>
      <c r="I96" t="inlineStr">
        <is>
          <t>NO_DOCUMENT</t>
        </is>
      </c>
    </row>
    <row r="97">
      <c r="A97" t="inlineStr">
        <is>
          <t>Cremer S.A.</t>
        </is>
      </c>
      <c r="B97" s="10" t="n">
        <v>620888.58</v>
      </c>
      <c r="C97" t="inlineStr">
        <is>
          <t>Marques Administrações Judiciais</t>
        </is>
      </c>
      <c r="D97" t="inlineStr">
        <is>
          <t>0005010-98.2023.8.16.0001</t>
        </is>
      </c>
      <c r="E97" t="inlineStr">
        <is>
          <t>AJ_LIST</t>
        </is>
      </c>
      <c r="F97" t="inlineStr">
        <is>
          <t>QUARANTINED</t>
        </is>
      </c>
      <c r="G97" s="19" t="inlineStr">
        <is>
          <t>https://marquesadmjudicial.com.br/sgc/download.php?file=files/processo_documento/processo_documento15293208032024_1_.pdf&amp;nome=Relação Nominal de Credores da AJ-Sintética</t>
        </is>
      </c>
      <c r="H97" t="inlineStr">
        <is>
          <t>p24 r4</t>
        </is>
      </c>
      <c r="I97" t="inlineStr">
        <is>
          <t>NO_DOCUMENT</t>
        </is>
      </c>
    </row>
    <row r="98">
      <c r="A98" t="inlineStr">
        <is>
          <t>Latex Blowtex Ltda</t>
        </is>
      </c>
      <c r="B98" s="10" t="n">
        <v>327157.54</v>
      </c>
      <c r="C98" t="inlineStr">
        <is>
          <t>Marques Administrações Judiciais</t>
        </is>
      </c>
      <c r="D98" t="inlineStr">
        <is>
          <t>0005010-98.2023.8.16.0001</t>
        </is>
      </c>
      <c r="E98" t="inlineStr">
        <is>
          <t>AJ_LIST</t>
        </is>
      </c>
      <c r="F98" t="inlineStr">
        <is>
          <t>QUARANTINED</t>
        </is>
      </c>
      <c r="G98" s="19" t="inlineStr">
        <is>
          <t>https://marquesadmjudicial.com.br/sgc/download.php?file=files/processo_documento/processo_documento15293208032024_1_.pdf&amp;nome=Relação Nominal de Credores da AJ-Sintética</t>
        </is>
      </c>
      <c r="H98" t="inlineStr">
        <is>
          <t>p25 r4</t>
        </is>
      </c>
      <c r="I98" t="inlineStr">
        <is>
          <t>NO_DOCUMENT</t>
        </is>
      </c>
    </row>
    <row r="99">
      <c r="A99" t="inlineStr"/>
      <c r="B99" s="10" t="n">
        <v>735635.7</v>
      </c>
      <c r="C99" t="inlineStr">
        <is>
          <t>Empresa</t>
        </is>
      </c>
      <c r="D99" t="inlineStr">
        <is>
          <t>0873220-82.2023.8.12.0001</t>
        </is>
      </c>
      <c r="E99" t="inlineStr">
        <is>
          <t>QGC</t>
        </is>
      </c>
      <c r="F99" t="inlineStr">
        <is>
          <t>OK_NO_TOTALS</t>
        </is>
      </c>
      <c r="G99" s="19" t="inlineStr">
        <is>
          <t>https://realbrasil.com.br/wp-content/uploads/2024/05/11.-LISTA-DE-CREDORES-DO-AJ_QGC-.pdf</t>
        </is>
      </c>
      <c r="H99" t="inlineStr">
        <is>
          <t>p14 r3</t>
        </is>
      </c>
      <c r="I99" t="inlineStr">
        <is>
          <t>NO_DOCUMENT NAME_MISSING</t>
        </is>
      </c>
    </row>
    <row r="100">
      <c r="A100" t="inlineStr">
        <is>
          <t>crédito e garantias juros em</t>
        </is>
      </c>
      <c r="B100" s="10" t="n">
        <v>690538.45</v>
      </c>
      <c r="C100" t="inlineStr">
        <is>
          <t>Empresa</t>
        </is>
      </c>
      <c r="D100" t="inlineStr">
        <is>
          <t>0873220-82.2023.8.12.0001</t>
        </is>
      </c>
      <c r="E100" t="inlineStr">
        <is>
          <t>QGC</t>
        </is>
      </c>
      <c r="F100" t="inlineStr">
        <is>
          <t>OK_NO_TOTALS</t>
        </is>
      </c>
      <c r="G100" s="19" t="inlineStr">
        <is>
          <t>https://realbrasil.com.br/wp-content/uploads/2024/05/11.-LISTA-DE-CREDORES-DO-AJ_QGC-.pdf</t>
        </is>
      </c>
      <c r="H100" t="inlineStr">
        <is>
          <t>p26 r1</t>
        </is>
      </c>
      <c r="I100" t="inlineStr">
        <is>
          <t>NO_DOCUMENT</t>
        </is>
      </c>
    </row>
    <row r="101">
      <c r="A101" t="inlineStr"/>
      <c r="B101" s="10" t="n">
        <v>612014.36</v>
      </c>
      <c r="C101" t="inlineStr">
        <is>
          <t>Empresa</t>
        </is>
      </c>
      <c r="D101" t="inlineStr">
        <is>
          <t>0873220-82.2023.8.12.0001</t>
        </is>
      </c>
      <c r="E101" t="inlineStr">
        <is>
          <t>QGC</t>
        </is>
      </c>
      <c r="F101" t="inlineStr">
        <is>
          <t>OK_NO_TOTALS</t>
        </is>
      </c>
      <c r="G101" s="19" t="inlineStr">
        <is>
          <t>https://realbrasil.com.br/wp-content/uploads/2024/05/11.-LISTA-DE-CREDORES-DO-AJ_QGC-.pdf</t>
        </is>
      </c>
      <c r="H101" t="inlineStr">
        <is>
          <t>p26 r2</t>
        </is>
      </c>
      <c r="I101" t="inlineStr">
        <is>
          <t>NO_DOCUMENT NAME_MISSING</t>
        </is>
      </c>
    </row>
    <row r="102">
      <c r="A102" t="inlineStr"/>
      <c r="B102" s="10" t="n">
        <v>516368.96</v>
      </c>
      <c r="C102" t="inlineStr">
        <is>
          <t>Empresa</t>
        </is>
      </c>
      <c r="D102" t="inlineStr">
        <is>
          <t>0873220-82.2023.8.12.0001</t>
        </is>
      </c>
      <c r="E102" t="inlineStr">
        <is>
          <t>QGC</t>
        </is>
      </c>
      <c r="F102" t="inlineStr">
        <is>
          <t>OK_NO_TOTALS</t>
        </is>
      </c>
      <c r="G102" s="19" t="inlineStr">
        <is>
          <t>https://realbrasil.com.br/wp-content/uploads/2024/05/11.-LISTA-DE-CREDORES-DO-AJ_QGC-.pdf</t>
        </is>
      </c>
      <c r="H102" t="inlineStr">
        <is>
          <t>p14 r2</t>
        </is>
      </c>
      <c r="I102" t="inlineStr">
        <is>
          <t>NO_DOCUMENT NAME_MISSING</t>
        </is>
      </c>
    </row>
    <row r="103">
      <c r="A103" t="inlineStr">
        <is>
          <t>III. Cédula 5809431</t>
        </is>
      </c>
      <c r="B103" s="10" t="n">
        <v>516368.96</v>
      </c>
      <c r="C103" t="inlineStr">
        <is>
          <t>Empresa</t>
        </is>
      </c>
      <c r="D103" t="inlineStr">
        <is>
          <t>0873220-82.2023.8.12.0001</t>
        </is>
      </c>
      <c r="E103" t="inlineStr">
        <is>
          <t>QGC</t>
        </is>
      </c>
      <c r="F103" t="inlineStr">
        <is>
          <t>OK_NO_TOTALS</t>
        </is>
      </c>
      <c r="G103" s="19" t="inlineStr">
        <is>
          <t>https://realbrasil.com.br/wp-content/uploads/2024/05/11.-LISTA-DE-CREDORES-DO-AJ_QGC-.pdf</t>
        </is>
      </c>
      <c r="H103" t="inlineStr">
        <is>
          <t>p19 r2</t>
        </is>
      </c>
      <c r="I103" t="inlineStr">
        <is>
          <t>NO_DOCUMENT</t>
        </is>
      </c>
    </row>
    <row r="104">
      <c r="A104" t="inlineStr">
        <is>
          <t>qualquer</t>
        </is>
      </c>
      <c r="B104" s="10" t="n">
        <v>500000</v>
      </c>
      <c r="C104" t="inlineStr">
        <is>
          <t>Empresa</t>
        </is>
      </c>
      <c r="D104" t="inlineStr">
        <is>
          <t>0873220-82.2023.8.12.0001</t>
        </is>
      </c>
      <c r="E104" t="inlineStr">
        <is>
          <t>QGC</t>
        </is>
      </c>
      <c r="F104" t="inlineStr">
        <is>
          <t>OK_NO_TOTALS</t>
        </is>
      </c>
      <c r="G104" s="19" t="inlineStr">
        <is>
          <t>https://realbrasil.com.br/wp-content/uploads/2024/05/11.-LISTA-DE-CREDORES-DO-AJ_QGC-.pdf</t>
        </is>
      </c>
      <c r="H104" t="inlineStr">
        <is>
          <t>p19 r1</t>
        </is>
      </c>
      <c r="I104" t="inlineStr">
        <is>
          <t>NO_DOCUMENT</t>
        </is>
      </c>
    </row>
    <row r="105">
      <c r="A105" t="inlineStr"/>
      <c r="B105" s="10" t="n">
        <v>218782.21</v>
      </c>
      <c r="C105" t="inlineStr">
        <is>
          <t>Empresa</t>
        </is>
      </c>
      <c r="D105" t="inlineStr">
        <is>
          <t>0873220-82.2023.8.12.0001</t>
        </is>
      </c>
      <c r="E105" t="inlineStr">
        <is>
          <t>QGC</t>
        </is>
      </c>
      <c r="F105" t="inlineStr">
        <is>
          <t>OK_NO_TOTALS</t>
        </is>
      </c>
      <c r="G105" s="19" t="inlineStr">
        <is>
          <t>https://realbrasil.com.br/wp-content/uploads/2024/05/11.-LISTA-DE-CREDORES-DO-AJ_QGC-.pdf</t>
        </is>
      </c>
      <c r="H105" t="inlineStr">
        <is>
          <t>p14 r1</t>
        </is>
      </c>
      <c r="I105" t="inlineStr">
        <is>
          <t>NO_DOCUMENT NAME_MISSING</t>
        </is>
      </c>
    </row>
    <row r="106">
      <c r="A106" t="inlineStr">
        <is>
          <t>MARCO FABIO DOS SANTOS</t>
        </is>
      </c>
      <c r="B106" s="10" t="n">
        <v>3865000</v>
      </c>
      <c r="C106" t="inlineStr">
        <is>
          <t>e a opção de consulta às suas peças principais, sa</t>
        </is>
      </c>
      <c r="D106" t="inlineStr">
        <is>
          <t>5560721-64.2026.8.09.0120</t>
        </is>
      </c>
      <c r="E106" t="inlineStr">
        <is>
          <t>AJ_LIST</t>
        </is>
      </c>
      <c r="F106" t="inlineStr">
        <is>
          <t>OK_NO_TOTALS</t>
        </is>
      </c>
      <c r="G106" s="19" t="inlineStr">
        <is>
          <t>https://stenius.com.br/wp-content/uploads/2026/07/1°-EDITAL-RELACAO-DE-CREDORES-GRUPO-ALMEIDA.pdf</t>
        </is>
      </c>
      <c r="H106" t="inlineStr">
        <is>
          <t>p6 r1</t>
        </is>
      </c>
      <c r="I106" t="inlineStr">
        <is>
          <t>NO_DOCUMENT</t>
        </is>
      </c>
    </row>
    <row r="107">
      <c r="A107" t="inlineStr">
        <is>
          <t>AGROCASTRO PRODUTOS AGROPECUARIOS LTDA</t>
        </is>
      </c>
      <c r="B107" s="10" t="n">
        <v>3517726.51</v>
      </c>
      <c r="C107" t="inlineStr">
        <is>
          <t>e a opção de consulta às suas peças principais, sa</t>
        </is>
      </c>
      <c r="D107" t="inlineStr">
        <is>
          <t>5560721-64.2026.8.09.0120</t>
        </is>
      </c>
      <c r="E107" t="inlineStr">
        <is>
          <t>AJ_LIST</t>
        </is>
      </c>
      <c r="F107" t="inlineStr">
        <is>
          <t>OK_NO_TOTALS</t>
        </is>
      </c>
      <c r="G107" s="19" t="inlineStr">
        <is>
          <t>https://stenius.com.br/wp-content/uploads/2026/07/1°-EDITAL-RELACAO-DE-CREDORES-GRUPO-ALMEIDA.pdf</t>
        </is>
      </c>
      <c r="H107" t="inlineStr">
        <is>
          <t>p5 r4</t>
        </is>
      </c>
      <c r="I107" t="inlineStr">
        <is>
          <t>NO_DOCUMENT</t>
        </is>
      </c>
    </row>
    <row r="108">
      <c r="A108" t="inlineStr">
        <is>
          <t>AGROPAR COM DE PRODUTOS AGR LTDA (VERTISAL)</t>
        </is>
      </c>
      <c r="B108" s="10" t="n">
        <v>1400000</v>
      </c>
      <c r="C108" t="inlineStr">
        <is>
          <t>e a opção de consulta às suas peças principais, sa</t>
        </is>
      </c>
      <c r="D108" t="inlineStr">
        <is>
          <t>5560721-64.2026.8.09.0120</t>
        </is>
      </c>
      <c r="E108" t="inlineStr">
        <is>
          <t>AJ_LIST</t>
        </is>
      </c>
      <c r="F108" t="inlineStr">
        <is>
          <t>OK_NO_TOTALS</t>
        </is>
      </c>
      <c r="G108" s="19" t="inlineStr">
        <is>
          <t>https://stenius.com.br/wp-content/uploads/2026/07/1°-EDITAL-RELACAO-DE-CREDORES-GRUPO-ALMEIDA.pdf</t>
        </is>
      </c>
      <c r="H108" t="inlineStr">
        <is>
          <t>p5 r5</t>
        </is>
      </c>
      <c r="I108" t="inlineStr">
        <is>
          <t>NO_DOCUMENT</t>
        </is>
      </c>
    </row>
    <row r="109">
      <c r="A109" t="inlineStr">
        <is>
          <t>CARGIL TRANSBORDO</t>
        </is>
      </c>
      <c r="B109" s="10" t="n">
        <v>1000000</v>
      </c>
      <c r="C109" t="inlineStr">
        <is>
          <t>e a opção de consulta às suas peças principais, sa</t>
        </is>
      </c>
      <c r="D109" t="inlineStr">
        <is>
          <t>5560721-64.2026.8.09.0120</t>
        </is>
      </c>
      <c r="E109" t="inlineStr">
        <is>
          <t>AJ_LIST</t>
        </is>
      </c>
      <c r="F109" t="inlineStr">
        <is>
          <t>OK_NO_TOTALS</t>
        </is>
      </c>
      <c r="G109" s="19" t="inlineStr">
        <is>
          <t>https://stenius.com.br/wp-content/uploads/2026/07/1°-EDITAL-RELACAO-DE-CREDORES-GRUPO-ALMEIDA.pdf</t>
        </is>
      </c>
      <c r="H109" t="inlineStr">
        <is>
          <t>p5 r12</t>
        </is>
      </c>
      <c r="I109" t="inlineStr">
        <is>
          <t>NO_DOCUMENT</t>
        </is>
      </c>
    </row>
    <row r="110">
      <c r="A110" t="inlineStr">
        <is>
          <t>BANCO SANTANDER</t>
        </is>
      </c>
      <c r="B110" s="10" t="n">
        <v>950000</v>
      </c>
      <c r="C110" t="inlineStr">
        <is>
          <t>e a opção de consulta às suas peças principais, sa</t>
        </is>
      </c>
      <c r="D110" t="inlineStr">
        <is>
          <t>5560721-64.2026.8.09.0120</t>
        </is>
      </c>
      <c r="E110" t="inlineStr">
        <is>
          <t>AJ_LIST</t>
        </is>
      </c>
      <c r="F110" t="inlineStr">
        <is>
          <t>OK_NO_TOTALS</t>
        </is>
      </c>
      <c r="G110" s="19" t="inlineStr">
        <is>
          <t>https://stenius.com.br/wp-content/uploads/2026/07/1°-EDITAL-RELACAO-DE-CREDORES-GRUPO-ALMEIDA.pdf</t>
        </is>
      </c>
      <c r="H110" t="inlineStr">
        <is>
          <t>p5 r10</t>
        </is>
      </c>
      <c r="I110" t="inlineStr">
        <is>
          <t>NO_DOCUMENT</t>
        </is>
      </c>
    </row>
    <row r="111">
      <c r="A111" t="inlineStr">
        <is>
          <t>BIOFAS ENGENHARIA</t>
        </is>
      </c>
      <c r="B111" s="10" t="n">
        <v>850000</v>
      </c>
      <c r="C111" t="inlineStr">
        <is>
          <t>e a opção de consulta às suas peças principais, sa</t>
        </is>
      </c>
      <c r="D111" t="inlineStr">
        <is>
          <t>5560721-64.2026.8.09.0120</t>
        </is>
      </c>
      <c r="E111" t="inlineStr">
        <is>
          <t>AJ_LIST</t>
        </is>
      </c>
      <c r="F111" t="inlineStr">
        <is>
          <t>OK_NO_TOTALS</t>
        </is>
      </c>
      <c r="G111" s="19" t="inlineStr">
        <is>
          <t>https://stenius.com.br/wp-content/uploads/2026/07/1°-EDITAL-RELACAO-DE-CREDORES-GRUPO-ALMEIDA.pdf</t>
        </is>
      </c>
      <c r="H111" t="inlineStr">
        <is>
          <t>p5 r11</t>
        </is>
      </c>
      <c r="I111" t="inlineStr">
        <is>
          <t>NO_DOCUMENT</t>
        </is>
      </c>
    </row>
    <row r="112">
      <c r="A112" t="inlineStr">
        <is>
          <t>ILMA GUERREIRO DE MORAES</t>
        </is>
      </c>
      <c r="B112" s="10" t="n">
        <v>811000</v>
      </c>
      <c r="C112" t="inlineStr">
        <is>
          <t>e a opção de consulta às suas peças principais, sa</t>
        </is>
      </c>
      <c r="D112" t="inlineStr">
        <is>
          <t>5560721-64.2026.8.09.0120</t>
        </is>
      </c>
      <c r="E112" t="inlineStr">
        <is>
          <t>AJ_LIST</t>
        </is>
      </c>
      <c r="F112" t="inlineStr">
        <is>
          <t>OK_NO_TOTALS</t>
        </is>
      </c>
      <c r="G112" s="19" t="inlineStr">
        <is>
          <t>https://stenius.com.br/wp-content/uploads/2026/07/1°-EDITAL-RELACAO-DE-CREDORES-GRUPO-ALMEIDA.pdf</t>
        </is>
      </c>
      <c r="H112" t="inlineStr">
        <is>
          <t>p5 r15</t>
        </is>
      </c>
      <c r="I112" t="inlineStr">
        <is>
          <t>NO_DOCUMENT</t>
        </is>
      </c>
    </row>
    <row r="113">
      <c r="A113" t="inlineStr">
        <is>
          <t>JOÃO OSORIO DOS SANTOS PR</t>
        </is>
      </c>
      <c r="B113" s="10" t="n">
        <v>577756.62</v>
      </c>
      <c r="C113" t="inlineStr">
        <is>
          <t>e a opção de consulta às suas peças principais, sa</t>
        </is>
      </c>
      <c r="D113" t="inlineStr">
        <is>
          <t>5560721-64.2026.8.09.0120</t>
        </is>
      </c>
      <c r="E113" t="inlineStr">
        <is>
          <t>AJ_LIST</t>
        </is>
      </c>
      <c r="F113" t="inlineStr">
        <is>
          <t>OK_NO_TOTALS</t>
        </is>
      </c>
      <c r="G113" s="19" t="inlineStr">
        <is>
          <t>https://stenius.com.br/wp-content/uploads/2026/07/1°-EDITAL-RELACAO-DE-CREDORES-GRUPO-ALMEIDA.pdf</t>
        </is>
      </c>
      <c r="H113" t="inlineStr">
        <is>
          <t>p5 r17</t>
        </is>
      </c>
      <c r="I113" t="inlineStr">
        <is>
          <t>NO_DOCUMENT</t>
        </is>
      </c>
    </row>
    <row r="114">
      <c r="A114" t="inlineStr">
        <is>
          <t>ANDERSON MARQUES PEIXOTO</t>
        </is>
      </c>
      <c r="B114" s="10" t="n">
        <v>576000</v>
      </c>
      <c r="C114" t="inlineStr">
        <is>
          <t>e a opção de consulta às suas peças principais, sa</t>
        </is>
      </c>
      <c r="D114" t="inlineStr">
        <is>
          <t>5560721-64.2026.8.09.0120</t>
        </is>
      </c>
      <c r="E114" t="inlineStr">
        <is>
          <t>AJ_LIST</t>
        </is>
      </c>
      <c r="F114" t="inlineStr">
        <is>
          <t>OK_NO_TOTALS</t>
        </is>
      </c>
      <c r="G114" s="19" t="inlineStr">
        <is>
          <t>https://stenius.com.br/wp-content/uploads/2026/07/1°-EDITAL-RELACAO-DE-CREDORES-GRUPO-ALMEIDA.pdf</t>
        </is>
      </c>
      <c r="H114" t="inlineStr">
        <is>
          <t>p5 r7</t>
        </is>
      </c>
      <c r="I114" t="inlineStr">
        <is>
          <t>NO_DOCUMENT</t>
        </is>
      </c>
    </row>
    <row r="115">
      <c r="A115" t="inlineStr">
        <is>
          <t>LAZARO ROBERTO CRUVINEL</t>
        </is>
      </c>
      <c r="B115" s="10" t="n">
        <v>389980</v>
      </c>
      <c r="C115" t="inlineStr">
        <is>
          <t>e a opção de consulta às suas peças principais, sa</t>
        </is>
      </c>
      <c r="D115" t="inlineStr">
        <is>
          <t>5560721-64.2026.8.09.0120</t>
        </is>
      </c>
      <c r="E115" t="inlineStr">
        <is>
          <t>AJ_LIST</t>
        </is>
      </c>
      <c r="F115" t="inlineStr">
        <is>
          <t>OK_NO_TOTALS</t>
        </is>
      </c>
      <c r="G115" s="19" t="inlineStr">
        <is>
          <t>https://stenius.com.br/wp-content/uploads/2026/07/1°-EDITAL-RELACAO-DE-CREDORES-GRUPO-ALMEIDA.pdf</t>
        </is>
      </c>
      <c r="H115" t="inlineStr">
        <is>
          <t>p5 r20</t>
        </is>
      </c>
      <c r="I115" t="inlineStr">
        <is>
          <t>NO_DOCUMENT</t>
        </is>
      </c>
    </row>
    <row r="116">
      <c r="A116" t="inlineStr">
        <is>
          <t>JOSE PEREIRA NUNES (ZÉ PANCADA)</t>
        </is>
      </c>
      <c r="B116" s="10" t="n">
        <v>227862.01</v>
      </c>
      <c r="C116" t="inlineStr">
        <is>
          <t>e a opção de consulta às suas peças principais, sa</t>
        </is>
      </c>
      <c r="D116" t="inlineStr">
        <is>
          <t>5560721-64.2026.8.09.0120</t>
        </is>
      </c>
      <c r="E116" t="inlineStr">
        <is>
          <t>AJ_LIST</t>
        </is>
      </c>
      <c r="F116" t="inlineStr">
        <is>
          <t>OK_NO_TOTALS</t>
        </is>
      </c>
      <c r="G116" s="19" t="inlineStr">
        <is>
          <t>https://stenius.com.br/wp-content/uploads/2026/07/1°-EDITAL-RELACAO-DE-CREDORES-GRUPO-ALMEIDA.pdf</t>
        </is>
      </c>
      <c r="H116" t="inlineStr">
        <is>
          <t>p5 r19</t>
        </is>
      </c>
      <c r="I116" t="inlineStr">
        <is>
          <t>NO_DOCUMENT</t>
        </is>
      </c>
    </row>
    <row r="117">
      <c r="A117" t="inlineStr">
        <is>
          <t>VANILDO JOÃO PEDRINI</t>
        </is>
      </c>
      <c r="B117" s="10" t="n">
        <v>209200</v>
      </c>
      <c r="C117" t="inlineStr">
        <is>
          <t>e a opção de consulta às suas peças principais, sa</t>
        </is>
      </c>
      <c r="D117" t="inlineStr">
        <is>
          <t>5560721-64.2026.8.09.0120</t>
        </is>
      </c>
      <c r="E117" t="inlineStr">
        <is>
          <t>AJ_LIST</t>
        </is>
      </c>
      <c r="F117" t="inlineStr">
        <is>
          <t>OK_NO_TOTALS</t>
        </is>
      </c>
      <c r="G117" s="19" t="inlineStr">
        <is>
          <t>https://stenius.com.br/wp-content/uploads/2026/07/1°-EDITAL-RELACAO-DE-CREDORES-GRUPO-ALMEIDA.pdf</t>
        </is>
      </c>
      <c r="H117" t="inlineStr">
        <is>
          <t>p6 r9</t>
        </is>
      </c>
      <c r="I117" t="inlineStr">
        <is>
          <t>NO_DOCUMENT</t>
        </is>
      </c>
    </row>
    <row r="118">
      <c r="A118" t="inlineStr">
        <is>
          <t>AUTO MECANICA BOCADA</t>
        </is>
      </c>
      <c r="B118" s="10" t="n">
        <v>200000</v>
      </c>
      <c r="C118" t="inlineStr">
        <is>
          <t>e a opção de consulta às suas peças principais, sa</t>
        </is>
      </c>
      <c r="D118" t="inlineStr">
        <is>
          <t>5560721-64.2026.8.09.0120</t>
        </is>
      </c>
      <c r="E118" t="inlineStr">
        <is>
          <t>AJ_LIST</t>
        </is>
      </c>
      <c r="F118" t="inlineStr">
        <is>
          <t>OK_NO_TOTALS</t>
        </is>
      </c>
      <c r="G118" s="19" t="inlineStr">
        <is>
          <t>https://stenius.com.br/wp-content/uploads/2026/07/1°-EDITAL-RELACAO-DE-CREDORES-GRUPO-ALMEIDA.pdf</t>
        </is>
      </c>
      <c r="H118" t="inlineStr">
        <is>
          <t>p5 r8</t>
        </is>
      </c>
      <c r="I118" t="inlineStr">
        <is>
          <t>NO_DOCUMENT</t>
        </is>
      </c>
    </row>
    <row r="119">
      <c r="A119" t="inlineStr">
        <is>
          <t>PETROLEO BRASILEIRO S.A</t>
        </is>
      </c>
      <c r="B119" s="10" t="n">
        <v>9594676.4</v>
      </c>
      <c r="C119" t="inlineStr">
        <is>
          <t>ALPHATEC INOVAÇÃO EM INFRAESTRUTURA - Real Brasil Consultoria</t>
        </is>
      </c>
      <c r="D119" t="inlineStr">
        <is>
          <t>0010297-16.2019.8.19.0028</t>
        </is>
      </c>
      <c r="E119" t="inlineStr">
        <is>
          <t>AJ_LIST</t>
        </is>
      </c>
      <c r="F119" t="inlineStr">
        <is>
          <t>OK_NO_TOTALS</t>
        </is>
      </c>
      <c r="G119" s="19" t="inlineStr">
        <is>
          <t>https://realbrasil.com.br/wp-content/uploads/2022/09/LISTA-DE-CREDORES-DO-AJ_retificada.pdf</t>
        </is>
      </c>
      <c r="H119" t="inlineStr">
        <is>
          <t>p123 r3</t>
        </is>
      </c>
      <c r="I119" t="inlineStr">
        <is>
          <t>NO_DOCUMENT</t>
        </is>
      </c>
    </row>
    <row r="120">
      <c r="A120" t="inlineStr">
        <is>
          <t>ADM ADM. DE BENEFICIOS LTDA.</t>
        </is>
      </c>
      <c r="B120" s="10" t="n">
        <v>5144254.82</v>
      </c>
      <c r="C120" t="inlineStr">
        <is>
          <t>ALPHATEC INOVAÇÃO EM INFRAESTRUTURA - Real Brasil Consultoria</t>
        </is>
      </c>
      <c r="D120" t="inlineStr">
        <is>
          <t>0010297-16.2019.8.19.0028</t>
        </is>
      </c>
      <c r="E120" t="inlineStr">
        <is>
          <t>AJ_LIST</t>
        </is>
      </c>
      <c r="F120" t="inlineStr">
        <is>
          <t>OK_NO_TOTALS</t>
        </is>
      </c>
      <c r="G120" s="19" t="inlineStr">
        <is>
          <t>https://realbrasil.com.br/wp-content/uploads/2022/09/LISTA-DE-CREDORES-DO-AJ_retificada.pdf</t>
        </is>
      </c>
      <c r="H120" t="inlineStr">
        <is>
          <t>p119 r15</t>
        </is>
      </c>
      <c r="I120" t="inlineStr">
        <is>
          <t>NO_DOCUMENT</t>
        </is>
      </c>
    </row>
    <row r="121">
      <c r="A121" t="inlineStr">
        <is>
          <t>HYDRATIGHT</t>
        </is>
      </c>
      <c r="B121" s="10" t="n">
        <v>2863891.41</v>
      </c>
      <c r="C121" t="inlineStr">
        <is>
          <t>ALPHATEC INOVAÇÃO EM INFRAESTRUTURA - Real Brasil Consultoria</t>
        </is>
      </c>
      <c r="D121" t="inlineStr">
        <is>
          <t>0010297-16.2019.8.19.0028</t>
        </is>
      </c>
      <c r="E121" t="inlineStr">
        <is>
          <t>AJ_LIST</t>
        </is>
      </c>
      <c r="F121" t="inlineStr">
        <is>
          <t>OK_NO_TOTALS</t>
        </is>
      </c>
      <c r="G121" s="19" t="inlineStr">
        <is>
          <t>https://realbrasil.com.br/wp-content/uploads/2022/09/LISTA-DE-CREDORES-DO-AJ_retificada.pdf</t>
        </is>
      </c>
      <c r="H121" t="inlineStr">
        <is>
          <t>p121 r14</t>
        </is>
      </c>
      <c r="I121" t="inlineStr">
        <is>
          <t>NO_DOCUMENT</t>
        </is>
      </c>
    </row>
    <row r="122">
      <c r="A122" t="inlineStr">
        <is>
          <t>ROHR S A ESTRUTURAS TUBULARES</t>
        </is>
      </c>
      <c r="B122" s="10" t="n">
        <v>2615247.79</v>
      </c>
      <c r="C122" t="inlineStr">
        <is>
          <t>ALPHATEC INOVAÇÃO EM INFRAESTRUTURA - Real Brasil Consultoria</t>
        </is>
      </c>
      <c r="D122" t="inlineStr">
        <is>
          <t>0010297-16.2019.8.19.0028</t>
        </is>
      </c>
      <c r="E122" t="inlineStr">
        <is>
          <t>AJ_LIST</t>
        </is>
      </c>
      <c r="F122" t="inlineStr">
        <is>
          <t>OK_NO_TOTALS</t>
        </is>
      </c>
      <c r="G122" s="19" t="inlineStr">
        <is>
          <t>https://realbrasil.com.br/wp-content/uploads/2022/09/LISTA-DE-CREDORES-DO-AJ_retificada.pdf</t>
        </is>
      </c>
      <c r="H122" t="inlineStr">
        <is>
          <t>p123 r10</t>
        </is>
      </c>
      <c r="I122" t="inlineStr">
        <is>
          <t>NO_DOCUMENT</t>
        </is>
      </c>
    </row>
    <row r="123">
      <c r="A123" t="inlineStr">
        <is>
          <t>FAMA DE MACAÉ FOMENTO MERCANTIL</t>
        </is>
      </c>
      <c r="B123" s="10" t="n">
        <v>2495394.76</v>
      </c>
      <c r="C123" t="inlineStr">
        <is>
          <t>ALPHATEC INOVAÇÃO EM INFRAESTRUTURA - Real Brasil Consultoria</t>
        </is>
      </c>
      <c r="D123" t="inlineStr">
        <is>
          <t>0010297-16.2019.8.19.0028</t>
        </is>
      </c>
      <c r="E123" t="inlineStr">
        <is>
          <t>AJ_LIST</t>
        </is>
      </c>
      <c r="F123" t="inlineStr">
        <is>
          <t>OK_NO_TOTALS</t>
        </is>
      </c>
      <c r="G123" s="19" t="inlineStr">
        <is>
          <t>https://realbrasil.com.br/wp-content/uploads/2022/09/LISTA-DE-CREDORES-DO-AJ_retificada.pdf</t>
        </is>
      </c>
      <c r="H123" t="inlineStr">
        <is>
          <t>p121 r9</t>
        </is>
      </c>
      <c r="I123" t="inlineStr">
        <is>
          <t>NO_DOCUMENT</t>
        </is>
      </c>
    </row>
    <row r="124">
      <c r="A124" t="inlineStr">
        <is>
          <t>PRINER SERVIÇOS INDUSTRIAIS S.A</t>
        </is>
      </c>
      <c r="B124" s="10" t="n">
        <v>1840144.54</v>
      </c>
      <c r="C124" t="inlineStr">
        <is>
          <t>ALPHATEC INOVAÇÃO EM INFRAESTRUTURA - Real Brasil Consultoria</t>
        </is>
      </c>
      <c r="D124" t="inlineStr">
        <is>
          <t>0010297-16.2019.8.19.0028</t>
        </is>
      </c>
      <c r="E124" t="inlineStr">
        <is>
          <t>AJ_LIST</t>
        </is>
      </c>
      <c r="F124" t="inlineStr">
        <is>
          <t>OK_NO_TOTALS</t>
        </is>
      </c>
      <c r="G124" s="19" t="inlineStr">
        <is>
          <t>https://realbrasil.com.br/wp-content/uploads/2022/09/LISTA-DE-CREDORES-DO-AJ_retificada.pdf</t>
        </is>
      </c>
      <c r="H124" t="inlineStr">
        <is>
          <t>p123 r5</t>
        </is>
      </c>
      <c r="I124" t="inlineStr">
        <is>
          <t>NO_DOCUMENT</t>
        </is>
      </c>
    </row>
    <row r="125">
      <c r="A125" t="inlineStr">
        <is>
          <t>AMIL ASSISTENCIA MEDICA INTERNACIONALS/A</t>
        </is>
      </c>
      <c r="B125" s="10" t="n">
        <v>882557.52</v>
      </c>
      <c r="C125" t="inlineStr">
        <is>
          <t>ALPHATEC INOVAÇÃO EM INFRAESTRUTURA - Real Brasil Consultoria</t>
        </is>
      </c>
      <c r="D125" t="inlineStr">
        <is>
          <t>0010297-16.2019.8.19.0028</t>
        </is>
      </c>
      <c r="E125" t="inlineStr">
        <is>
          <t>AJ_LIST</t>
        </is>
      </c>
      <c r="F125" t="inlineStr">
        <is>
          <t>OK_NO_TOTALS</t>
        </is>
      </c>
      <c r="G125" s="19" t="inlineStr">
        <is>
          <t>https://realbrasil.com.br/wp-content/uploads/2022/09/LISTA-DE-CREDORES-DO-AJ_retificada.pdf</t>
        </is>
      </c>
      <c r="H125" t="inlineStr">
        <is>
          <t>p120 r4</t>
        </is>
      </c>
      <c r="I125" t="inlineStr">
        <is>
          <t>NO_DOCUMENT</t>
        </is>
      </c>
    </row>
    <row r="126">
      <c r="A126" t="inlineStr">
        <is>
          <t>LKL OLEO E GAS</t>
        </is>
      </c>
      <c r="B126" s="10" t="n">
        <v>630062.3199999999</v>
      </c>
      <c r="C126" t="inlineStr">
        <is>
          <t>ALPHATEC INOVAÇÃO EM INFRAESTRUTURA - Real Brasil Consultoria</t>
        </is>
      </c>
      <c r="D126" t="inlineStr">
        <is>
          <t>0010297-16.2019.8.19.0028</t>
        </is>
      </c>
      <c r="E126" t="inlineStr">
        <is>
          <t>AJ_LIST</t>
        </is>
      </c>
      <c r="F126" t="inlineStr">
        <is>
          <t>OK_NO_TOTALS</t>
        </is>
      </c>
      <c r="G126" s="19" t="inlineStr">
        <is>
          <t>https://realbrasil.com.br/wp-content/uploads/2022/09/LISTA-DE-CREDORES-DO-AJ_retificada.pdf</t>
        </is>
      </c>
      <c r="H126" t="inlineStr">
        <is>
          <t>p122 r6</t>
        </is>
      </c>
      <c r="I126" t="inlineStr">
        <is>
          <t>NO_DOCUMENT</t>
        </is>
      </c>
    </row>
    <row r="127">
      <c r="A127" t="inlineStr">
        <is>
          <t>MIC MONTAGENS INDUSTRIAIS E CIVIS LTDA</t>
        </is>
      </c>
      <c r="B127" s="10" t="n">
        <v>553219.6800000001</v>
      </c>
      <c r="C127" t="inlineStr">
        <is>
          <t>ALPHATEC INOVAÇÃO EM INFRAESTRUTURA - Real Brasil Consultoria</t>
        </is>
      </c>
      <c r="D127" t="inlineStr">
        <is>
          <t>0010297-16.2019.8.19.0028</t>
        </is>
      </c>
      <c r="E127" t="inlineStr">
        <is>
          <t>AJ_LIST</t>
        </is>
      </c>
      <c r="F127" t="inlineStr">
        <is>
          <t>OK_NO_TOTALS</t>
        </is>
      </c>
      <c r="G127" s="19" t="inlineStr">
        <is>
          <t>https://realbrasil.com.br/wp-content/uploads/2022/09/LISTA-DE-CREDORES-DO-AJ_retificada.pdf</t>
        </is>
      </c>
      <c r="H127" t="inlineStr">
        <is>
          <t>p122 r12</t>
        </is>
      </c>
      <c r="I127" t="inlineStr">
        <is>
          <t>NO_DOCUMENT</t>
        </is>
      </c>
    </row>
    <row r="128">
      <c r="A128" t="inlineStr">
        <is>
          <t>JOTUN BRASIL EXPORTAÇÃO, IMPORTAÇÃO E IND. DE TINTAS LTDA</t>
        </is>
      </c>
      <c r="B128" s="10" t="n">
        <v>371205.58</v>
      </c>
      <c r="C128" t="inlineStr">
        <is>
          <t>ALPHATEC INOVAÇÃO EM INFRAESTRUTURA - Real Brasil Consultoria</t>
        </is>
      </c>
      <c r="D128" t="inlineStr">
        <is>
          <t>0010297-16.2019.8.19.0028</t>
        </is>
      </c>
      <c r="E128" t="inlineStr">
        <is>
          <t>AJ_LIST</t>
        </is>
      </c>
      <c r="F128" t="inlineStr">
        <is>
          <t>OK_NO_TOTALS</t>
        </is>
      </c>
      <c r="G128" s="19" t="inlineStr">
        <is>
          <t>https://realbrasil.com.br/wp-content/uploads/2022/09/LISTA-DE-CREDORES-DO-AJ_retificada.pdf</t>
        </is>
      </c>
      <c r="H128" t="inlineStr">
        <is>
          <t>p122 r4</t>
        </is>
      </c>
      <c r="I128" t="inlineStr">
        <is>
          <t>NO_DOCUMENT</t>
        </is>
      </c>
    </row>
    <row r="129">
      <c r="A129" t="inlineStr">
        <is>
          <t>JEA INDUSTRIA METALURGICA LTDA</t>
        </is>
      </c>
      <c r="B129" s="10" t="n">
        <v>350027.42</v>
      </c>
      <c r="C129" t="inlineStr">
        <is>
          <t>ALPHATEC INOVAÇÃO EM INFRAESTRUTURA - Real Brasil Consultoria</t>
        </is>
      </c>
      <c r="D129" t="inlineStr">
        <is>
          <t>0010297-16.2019.8.19.0028</t>
        </is>
      </c>
      <c r="E129" t="inlineStr">
        <is>
          <t>AJ_LIST</t>
        </is>
      </c>
      <c r="F129" t="inlineStr">
        <is>
          <t>OK_NO_TOTALS</t>
        </is>
      </c>
      <c r="G129" s="19" t="inlineStr">
        <is>
          <t>https://realbrasil.com.br/wp-content/uploads/2022/09/LISTA-DE-CREDORES-DO-AJ_retificada.pdf</t>
        </is>
      </c>
      <c r="H129" t="inlineStr">
        <is>
          <t>p122 r2</t>
        </is>
      </c>
      <c r="I129" t="inlineStr">
        <is>
          <t>NO_DOCUMENT</t>
        </is>
      </c>
    </row>
    <row r="130">
      <c r="A130" t="inlineStr">
        <is>
          <t>MICROCITY COMPUTADORES E SISTEMA LTDA</t>
        </is>
      </c>
      <c r="B130" s="10" t="n">
        <v>230809.96</v>
      </c>
      <c r="C130" t="inlineStr">
        <is>
          <t>ALPHATEC INOVAÇÃO EM INFRAESTRUTURA - Real Brasil Consultoria</t>
        </is>
      </c>
      <c r="D130" t="inlineStr">
        <is>
          <t>0010297-16.2019.8.19.0028</t>
        </is>
      </c>
      <c r="E130" t="inlineStr">
        <is>
          <t>AJ_LIST</t>
        </is>
      </c>
      <c r="F130" t="inlineStr">
        <is>
          <t>OK_NO_TOTALS</t>
        </is>
      </c>
      <c r="G130" s="19" t="inlineStr">
        <is>
          <t>https://realbrasil.com.br/wp-content/uploads/2022/09/LISTA-DE-CREDORES-DO-AJ_retificada.pdf</t>
        </is>
      </c>
      <c r="H130" t="inlineStr">
        <is>
          <t>p122 r13</t>
        </is>
      </c>
      <c r="I130" t="inlineStr">
        <is>
          <t>NO_DOCUMENT</t>
        </is>
      </c>
    </row>
    <row r="131">
      <c r="A131" t="inlineStr">
        <is>
          <t>SINTIPICC/RJ</t>
        </is>
      </c>
      <c r="B131" s="10" t="n">
        <v>225749.55</v>
      </c>
      <c r="C131" t="inlineStr">
        <is>
          <t>ALPHATEC INOVAÇÃO EM INFRAESTRUTURA - Real Brasil Consultoria</t>
        </is>
      </c>
      <c r="D131" t="inlineStr">
        <is>
          <t>0010297-16.2019.8.19.0028</t>
        </is>
      </c>
      <c r="E131" t="inlineStr">
        <is>
          <t>AJ_LIST</t>
        </is>
      </c>
      <c r="F131" t="inlineStr">
        <is>
          <t>OK_NO_TOTALS</t>
        </is>
      </c>
      <c r="G131" s="19" t="inlineStr">
        <is>
          <t>https://realbrasil.com.br/wp-content/uploads/2022/09/LISTA-DE-CREDORES-DO-AJ_retificada.pdf</t>
        </is>
      </c>
      <c r="H131" t="inlineStr">
        <is>
          <t>p119 r13</t>
        </is>
      </c>
      <c r="I131" t="inlineStr">
        <is>
          <t>NO_DOCUMENT</t>
        </is>
      </c>
    </row>
    <row r="132">
      <c r="A132" t="inlineStr">
        <is>
          <t>BANCO DAYCOVAL</t>
        </is>
      </c>
      <c r="B132" s="10" t="n">
        <v>221000</v>
      </c>
      <c r="C132" t="inlineStr">
        <is>
          <t>ALPHATEC INOVAÇÃO EM INFRAESTRUTURA - Real Brasil Consultoria</t>
        </is>
      </c>
      <c r="D132" t="inlineStr">
        <is>
          <t>0010297-16.2019.8.19.0028</t>
        </is>
      </c>
      <c r="E132" t="inlineStr">
        <is>
          <t>AJ_LIST</t>
        </is>
      </c>
      <c r="F132" t="inlineStr">
        <is>
          <t>OK_NO_TOTALS</t>
        </is>
      </c>
      <c r="G132" s="19" t="inlineStr">
        <is>
          <t>https://realbrasil.com.br/wp-content/uploads/2022/09/LISTA-DE-CREDORES-DO-AJ_retificada.pdf</t>
        </is>
      </c>
      <c r="H132" t="inlineStr">
        <is>
          <t>p120 r9</t>
        </is>
      </c>
      <c r="I132" t="inlineStr">
        <is>
          <t>NO_DOCUMENT</t>
        </is>
      </c>
    </row>
    <row r="133">
      <c r="A133" t="inlineStr">
        <is>
          <t>BANCO DO BRASIL</t>
        </is>
      </c>
      <c r="B133" s="10" t="n">
        <v>450154.52</v>
      </c>
      <c r="C133" t="inlineStr">
        <is>
          <t>e informem eventuais créditos perante as devedoras, para divulgação aos demais interessa</t>
        </is>
      </c>
      <c r="D133" t="inlineStr">
        <is>
          <t>5164979-18.2026.8.09.0110</t>
        </is>
      </c>
      <c r="E133" t="inlineStr">
        <is>
          <t>DEBTOR_LIST</t>
        </is>
      </c>
      <c r="F133" t="inlineStr">
        <is>
          <t>OK_NO_TOTALS</t>
        </is>
      </c>
      <c r="G133" s="19" t="inlineStr">
        <is>
          <t>https://stenius.com.br/wp-content/uploads/2026/07/EDITAL-1-RELACAO-DE-CREDORES-GRUPO-GE.pdf</t>
        </is>
      </c>
      <c r="H133" t="inlineStr">
        <is>
          <t>p5 r5</t>
        </is>
      </c>
      <c r="I133" t="inlineStr">
        <is>
          <t>DOC_LEN_13</t>
        </is>
      </c>
    </row>
    <row r="134">
      <c r="A134" t="inlineStr">
        <is>
          <t>BANCO DO BRASIL</t>
        </is>
      </c>
      <c r="B134" s="10" t="n">
        <v>354919.4</v>
      </c>
      <c r="C134" t="inlineStr">
        <is>
          <t>e informem eventuais créditos perante as devedoras, para divulgação aos demais interessa</t>
        </is>
      </c>
      <c r="D134" t="inlineStr">
        <is>
          <t>5164979-18.2026.8.09.0110</t>
        </is>
      </c>
      <c r="E134" t="inlineStr">
        <is>
          <t>DEBTOR_LIST</t>
        </is>
      </c>
      <c r="F134" t="inlineStr">
        <is>
          <t>OK_NO_TOTALS</t>
        </is>
      </c>
      <c r="G134" s="19" t="inlineStr">
        <is>
          <t>https://stenius.com.br/wp-content/uploads/2026/07/EDITAL-1-RELACAO-DE-CREDORES-GRUPO-GE.pdf</t>
        </is>
      </c>
      <c r="H134" t="inlineStr">
        <is>
          <t>p5 r4</t>
        </is>
      </c>
      <c r="I134" t="inlineStr">
        <is>
          <t>DOC_LEN_13</t>
        </is>
      </c>
    </row>
    <row r="135">
      <c r="A135" t="inlineStr">
        <is>
          <t>BANCO DO BRASIL</t>
        </is>
      </c>
      <c r="B135" s="10" t="n">
        <v>268312.89</v>
      </c>
      <c r="C135" t="inlineStr">
        <is>
          <t>e informem eventuais créditos perante as devedoras, para divulgação aos demais interessa</t>
        </is>
      </c>
      <c r="D135" t="inlineStr">
        <is>
          <t>5164979-18.2026.8.09.0110</t>
        </is>
      </c>
      <c r="E135" t="inlineStr">
        <is>
          <t>DEBTOR_LIST</t>
        </is>
      </c>
      <c r="F135" t="inlineStr">
        <is>
          <t>OK_NO_TOTALS</t>
        </is>
      </c>
      <c r="G135" s="19" t="inlineStr">
        <is>
          <t>https://stenius.com.br/wp-content/uploads/2026/07/EDITAL-1-RELACAO-DE-CREDORES-GRUPO-GE.pdf</t>
        </is>
      </c>
      <c r="H135" t="inlineStr">
        <is>
          <t>p5 r7</t>
        </is>
      </c>
      <c r="I135" t="inlineStr">
        <is>
          <t>DOC_LEN_13</t>
        </is>
      </c>
    </row>
    <row r="136">
      <c r="A136" t="inlineStr">
        <is>
          <t>POSTO RODOVANA LTDA 2.813,47 PROPALMA ATACADISTA DE INSUMOS L C COMBUSTIVEIS LTDA 1.745,85</t>
        </is>
      </c>
      <c r="B136" s="10" t="n">
        <v>2506673.58</v>
      </c>
      <c r="C136" t="inlineStr">
        <is>
          <t>empresa</t>
        </is>
      </c>
      <c r="D136" t="inlineStr">
        <is>
          <t>6032681-62.2025.8.09.0051</t>
        </is>
      </c>
      <c r="E136" t="inlineStr">
        <is>
          <t>DEBTOR_LIST</t>
        </is>
      </c>
      <c r="F136" t="inlineStr">
        <is>
          <t>OK_NO_TOTALS</t>
        </is>
      </c>
      <c r="G136" s="19" t="inlineStr">
        <is>
          <t>https://stenius.com.br/wp-content/uploads/2026/03/Publicacao-Edital-Margil.pdf</t>
        </is>
      </c>
      <c r="H136" t="inlineStr">
        <is>
          <t>p6 r44</t>
        </is>
      </c>
      <c r="I136" t="inlineStr">
        <is>
          <t>NO_DOCUMENT</t>
        </is>
      </c>
    </row>
    <row r="137">
      <c r="A137" t="inlineStr">
        <is>
          <t>COOPERATIVA DE CREDITO DE LIVRE</t>
        </is>
      </c>
      <c r="B137" s="10" t="n">
        <v>1426586.64</v>
      </c>
      <c r="C137" t="inlineStr">
        <is>
          <t>empresa</t>
        </is>
      </c>
      <c r="D137" t="inlineStr">
        <is>
          <t>6032681-62.2025.8.09.0051</t>
        </is>
      </c>
      <c r="E137" t="inlineStr">
        <is>
          <t>DEBTOR_LIST</t>
        </is>
      </c>
      <c r="F137" t="inlineStr">
        <is>
          <t>OK_NO_TOTALS</t>
        </is>
      </c>
      <c r="G137" s="19" t="inlineStr">
        <is>
          <t>https://stenius.com.br/wp-content/uploads/2026/03/Publicacao-Edital-Margil.pdf</t>
        </is>
      </c>
      <c r="H137" t="inlineStr">
        <is>
          <t>p5 r5</t>
        </is>
      </c>
      <c r="I137" t="inlineStr">
        <is>
          <t>NO_DOCUMENT</t>
        </is>
      </c>
    </row>
    <row r="138">
      <c r="A138" t="inlineStr">
        <is>
          <t>BANCO BRADESCO S/A</t>
        </is>
      </c>
      <c r="B138" s="10" t="n">
        <v>925974.09</v>
      </c>
      <c r="C138" t="inlineStr">
        <is>
          <t>e Falência</t>
        </is>
      </c>
      <c r="D138" t="inlineStr">
        <is>
          <t>0841357-55.2016.8.12.0001</t>
        </is>
      </c>
      <c r="E138" t="inlineStr">
        <is>
          <t>AJ_LIST</t>
        </is>
      </c>
      <c r="F138" t="inlineStr">
        <is>
          <t>OK_NO_TOTALS</t>
        </is>
      </c>
      <c r="G138" s="19" t="inlineStr">
        <is>
          <t>https://realbrasil.com.br/wp-content/uploads/2025/09/3.QUADRO-GERAL-DE-CREDORES-RETIFICADO_RATEIO.pdf</t>
        </is>
      </c>
      <c r="H138" t="inlineStr">
        <is>
          <t>p5 r17</t>
        </is>
      </c>
      <c r="I138" t="inlineStr">
        <is>
          <t>NO_DOCUMENT</t>
        </is>
      </c>
    </row>
    <row r="139">
      <c r="A139" t="inlineStr">
        <is>
          <t>HÉLVIO CALDEIRA CARVALHO</t>
        </is>
      </c>
      <c r="B139" s="10" t="n">
        <v>468103.32</v>
      </c>
      <c r="C139" t="inlineStr">
        <is>
          <t>e Falência</t>
        </is>
      </c>
      <c r="D139" t="inlineStr">
        <is>
          <t>0841357-55.2016.8.12.0001</t>
        </is>
      </c>
      <c r="E139" t="inlineStr">
        <is>
          <t>AJ_LIST</t>
        </is>
      </c>
      <c r="F139" t="inlineStr">
        <is>
          <t>OK_NO_TOTALS</t>
        </is>
      </c>
      <c r="G139" s="19" t="inlineStr">
        <is>
          <t>https://realbrasil.com.br/wp-content/uploads/2025/09/3.QUADRO-GERAL-DE-CREDORES-RETIFICADO_RATEIO.pdf</t>
        </is>
      </c>
      <c r="H139" t="inlineStr">
        <is>
          <t>p5 r27</t>
        </is>
      </c>
      <c r="I139" t="inlineStr">
        <is>
          <t>NO_DOCUMENT</t>
        </is>
      </c>
    </row>
    <row r="140">
      <c r="A140" t="inlineStr">
        <is>
          <t>União Federal/Fazenda Nacional</t>
        </is>
      </c>
      <c r="B140" s="10" t="n">
        <v>255803635.85</v>
      </c>
      <c r="C140" t="inlineStr">
        <is>
          <t>Paragon Offshore - Real Brasil Consultoria</t>
        </is>
      </c>
      <c r="D140" t="inlineStr">
        <is>
          <t>0002888-23.2018.8.19.0028</t>
        </is>
      </c>
      <c r="E140" t="inlineStr">
        <is>
          <t>AJ_LIST</t>
        </is>
      </c>
      <c r="F140" t="inlineStr">
        <is>
          <t>QUARANTINED</t>
        </is>
      </c>
      <c r="G140" s="19" t="inlineStr">
        <is>
          <t>https://realbrasil.com.br/wp-content/uploads/2025/09/1.QUADRO-GERAL-DE-CREDORES_RETIFICADO.pdf</t>
        </is>
      </c>
      <c r="H140" t="inlineStr">
        <is>
          <t>p8 r19</t>
        </is>
      </c>
      <c r="I140" t="inlineStr">
        <is>
          <t>NO_DOCUMENT</t>
        </is>
      </c>
    </row>
    <row r="141">
      <c r="A141" t="inlineStr">
        <is>
          <t>União Federal/Fazenda Nacional</t>
        </is>
      </c>
      <c r="B141" s="10" t="n">
        <v>164969601.06</v>
      </c>
      <c r="C141" t="inlineStr">
        <is>
          <t>Paragon Offshore - Real Brasil Consultoria</t>
        </is>
      </c>
      <c r="D141" t="inlineStr">
        <is>
          <t>0002888-23.2018.8.19.0028</t>
        </is>
      </c>
      <c r="E141" t="inlineStr">
        <is>
          <t>AJ_LIST</t>
        </is>
      </c>
      <c r="F141" t="inlineStr">
        <is>
          <t>QUARANTINED</t>
        </is>
      </c>
      <c r="G141" s="19" t="inlineStr">
        <is>
          <t>https://realbrasil.com.br/wp-content/uploads/2025/09/1.QUADRO-GERAL-DE-CREDORES_RETIFICADO.pdf</t>
        </is>
      </c>
      <c r="H141" t="inlineStr">
        <is>
          <t>p8 r20</t>
        </is>
      </c>
      <c r="I141" t="inlineStr">
        <is>
          <t>NO_DOCUMENT</t>
        </is>
      </c>
    </row>
    <row r="142">
      <c r="A142" t="inlineStr">
        <is>
          <t>Carlos Henrique dos Santos Teles</t>
        </is>
      </c>
      <c r="B142" s="10" t="n">
        <v>856900</v>
      </c>
      <c r="C142" t="inlineStr">
        <is>
          <t>Paragon Offshore - Real Brasil Consultoria</t>
        </is>
      </c>
      <c r="D142" t="inlineStr">
        <is>
          <t>0002888-23.2018.8.19.0028</t>
        </is>
      </c>
      <c r="E142" t="inlineStr">
        <is>
          <t>AJ_LIST</t>
        </is>
      </c>
      <c r="F142" t="inlineStr">
        <is>
          <t>QUARANTINED</t>
        </is>
      </c>
      <c r="G142" s="19" t="inlineStr">
        <is>
          <t>https://realbrasil.com.br/wp-content/uploads/2025/09/1.QUADRO-GERAL-DE-CREDORES_RETIFICADO.pdf</t>
        </is>
      </c>
      <c r="H142" t="inlineStr">
        <is>
          <t>p8 r9</t>
        </is>
      </c>
      <c r="I142" t="inlineStr">
        <is>
          <t>NO_DOCUMENT</t>
        </is>
      </c>
    </row>
    <row r="143">
      <c r="A143" t="inlineStr">
        <is>
          <t>Joaquim de Andrade Bittencourt</t>
        </is>
      </c>
      <c r="B143" s="10" t="n">
        <v>660493.46</v>
      </c>
      <c r="C143" t="inlineStr">
        <is>
          <t>Paragon Offshore - Real Brasil Consultoria</t>
        </is>
      </c>
      <c r="D143" t="inlineStr">
        <is>
          <t>0002888-23.2018.8.19.0028</t>
        </is>
      </c>
      <c r="E143" t="inlineStr">
        <is>
          <t>AJ_LIST</t>
        </is>
      </c>
      <c r="F143" t="inlineStr">
        <is>
          <t>QUARANTINED</t>
        </is>
      </c>
      <c r="G143" s="19" t="inlineStr">
        <is>
          <t>https://realbrasil.com.br/wp-content/uploads/2025/09/1.QUADRO-GERAL-DE-CREDORES_RETIFICADO.pdf</t>
        </is>
      </c>
      <c r="H143" t="inlineStr">
        <is>
          <t>p8 r13</t>
        </is>
      </c>
      <c r="I143" t="inlineStr">
        <is>
          <t>NO_DOCUMENT</t>
        </is>
      </c>
    </row>
    <row r="144">
      <c r="A144" t="inlineStr">
        <is>
          <t>Bradesco Seguro S.A.</t>
        </is>
      </c>
      <c r="B144" s="10" t="n">
        <v>518317.76</v>
      </c>
      <c r="C144" t="inlineStr">
        <is>
          <t>Paragon Offshore - Real Brasil Consultoria</t>
        </is>
      </c>
      <c r="D144" t="inlineStr">
        <is>
          <t>0002888-23.2018.8.19.0028</t>
        </is>
      </c>
      <c r="E144" t="inlineStr">
        <is>
          <t>AJ_LIST</t>
        </is>
      </c>
      <c r="F144" t="inlineStr">
        <is>
          <t>QUARANTINED</t>
        </is>
      </c>
      <c r="G144" s="19" t="inlineStr">
        <is>
          <t>https://realbrasil.com.br/wp-content/uploads/2025/09/1.QUADRO-GERAL-DE-CREDORES_RETIFICADO.pdf</t>
        </is>
      </c>
      <c r="H144" t="inlineStr">
        <is>
          <t>p8 r8</t>
        </is>
      </c>
      <c r="I144" t="inlineStr">
        <is>
          <t>NO_DOCUMENT</t>
        </is>
      </c>
    </row>
    <row r="145">
      <c r="A145" t="inlineStr">
        <is>
          <t>Paulo Fernandes de Souza Félix</t>
        </is>
      </c>
      <c r="B145" s="10" t="n">
        <v>503625.55</v>
      </c>
      <c r="C145" t="inlineStr">
        <is>
          <t>Paragon Offshore - Real Brasil Consultoria</t>
        </is>
      </c>
      <c r="D145" t="inlineStr">
        <is>
          <t>0002888-23.2018.8.19.0028</t>
        </is>
      </c>
      <c r="E145" t="inlineStr">
        <is>
          <t>AJ_LIST</t>
        </is>
      </c>
      <c r="F145" t="inlineStr">
        <is>
          <t>QUARANTINED</t>
        </is>
      </c>
      <c r="G145" s="19" t="inlineStr">
        <is>
          <t>https://realbrasil.com.br/wp-content/uploads/2025/09/1.QUADRO-GERAL-DE-CREDORES_RETIFICADO.pdf</t>
        </is>
      </c>
      <c r="H145" t="inlineStr">
        <is>
          <t>p8 r15</t>
        </is>
      </c>
      <c r="I145" t="inlineStr">
        <is>
          <t>NO_DOCUMENT</t>
        </is>
      </c>
    </row>
    <row r="146">
      <c r="A146" t="inlineStr">
        <is>
          <t>Alexmar Cardoso dos Santos Oliveira</t>
        </is>
      </c>
      <c r="B146" s="10" t="n">
        <v>356900</v>
      </c>
      <c r="C146" t="inlineStr">
        <is>
          <t>Paragon Offshore - Real Brasil Consultoria</t>
        </is>
      </c>
      <c r="D146" t="inlineStr">
        <is>
          <t>0002888-23.2018.8.19.0028</t>
        </is>
      </c>
      <c r="E146" t="inlineStr">
        <is>
          <t>AJ_LIST</t>
        </is>
      </c>
      <c r="F146" t="inlineStr">
        <is>
          <t>QUARANTINED</t>
        </is>
      </c>
      <c r="G146" s="19" t="inlineStr">
        <is>
          <t>https://realbrasil.com.br/wp-content/uploads/2025/09/1.QUADRO-GERAL-DE-CREDORES_RETIFICADO.pdf</t>
        </is>
      </c>
      <c r="H146" t="inlineStr">
        <is>
          <t>p8 r6</t>
        </is>
      </c>
      <c r="I146" t="inlineStr">
        <is>
          <t>NO_DOCUMENT</t>
        </is>
      </c>
    </row>
    <row r="147">
      <c r="A147" t="inlineStr">
        <is>
          <t>Claudio da Silva Martins</t>
        </is>
      </c>
      <c r="B147" s="10" t="n">
        <v>356900</v>
      </c>
      <c r="C147" t="inlineStr">
        <is>
          <t>Paragon Offshore - Real Brasil Consultoria</t>
        </is>
      </c>
      <c r="D147" t="inlineStr">
        <is>
          <t>0002888-23.2018.8.19.0028</t>
        </is>
      </c>
      <c r="E147" t="inlineStr">
        <is>
          <t>AJ_LIST</t>
        </is>
      </c>
      <c r="F147" t="inlineStr">
        <is>
          <t>QUARANTINED</t>
        </is>
      </c>
      <c r="G147" s="19" t="inlineStr">
        <is>
          <t>https://realbrasil.com.br/wp-content/uploads/2025/09/1.QUADRO-GERAL-DE-CREDORES_RETIFICADO.pdf</t>
        </is>
      </c>
      <c r="H147" t="inlineStr">
        <is>
          <t>p8 r10</t>
        </is>
      </c>
      <c r="I147" t="inlineStr">
        <is>
          <t>NO_DOCUMENT</t>
        </is>
      </c>
    </row>
    <row r="148">
      <c r="A148" t="inlineStr">
        <is>
          <t>74. Os Recuperandos possuem, neste e sessenta centavos), distribuídos conforme decorrentes de habilitações, divergências</t>
        </is>
      </c>
      <c r="B148" s="10" t="n">
        <v>28778336.6</v>
      </c>
      <c r="C148" t="inlineStr">
        <is>
          <t>EURIPEDES BARSA</t>
        </is>
      </c>
      <c r="D148" t="inlineStr">
        <is>
          <t>1027680-14.2024.8.19.0003</t>
        </is>
      </c>
      <c r="E148" t="inlineStr">
        <is>
          <t>AJ_LIST</t>
        </is>
      </c>
      <c r="F148" t="inlineStr">
        <is>
          <t>OK_NO_TOTALS</t>
        </is>
      </c>
      <c r="G148" s="19" t="inlineStr">
        <is>
          <t>https://mpbadmjudicial.com.br/sgc/download.php?file=files/processo_documento/processo_documento10181913062025_1_.pdf&amp;nome=Plano de Recuperação Judicial</t>
        </is>
      </c>
      <c r="H148" t="inlineStr">
        <is>
          <t>p17 r1</t>
        </is>
      </c>
      <c r="I148" t="inlineStr">
        <is>
          <t>NO_DOCUMENT</t>
        </is>
      </c>
    </row>
    <row r="149">
      <c r="A149" t="inlineStr">
        <is>
          <t>WALDIR DE ASSIS LEMOS DE OLI- 06.265.738/0001- QUIROGRAFÁ- ANTONIO RIBEIRO SILVA VEIRA - LEMOS E ANDRADE 67 RIO ADVERTÊNCIA: Ficam advertidos os credores do prazo de 10 (dez)</t>
        </is>
      </c>
      <c r="B149" s="10" t="n">
        <v>351220.55</v>
      </c>
      <c r="C149" t="inlineStr">
        <is>
          <t>GRUPO UNIBRÁS, por seu representante legal Dr. STENIUS LACERDA BASTOS, faz sa</t>
        </is>
      </c>
      <c r="D149" t="inlineStr">
        <is>
          <t>5677250-87.2023.8.09.0051</t>
        </is>
      </c>
      <c r="E149" t="inlineStr">
        <is>
          <t>AJ_LIST</t>
        </is>
      </c>
      <c r="F149" t="inlineStr">
        <is>
          <t>OK_NO_TOTALS</t>
        </is>
      </c>
      <c r="G149" s="19" t="inlineStr">
        <is>
          <t>https://stenius.com.br/wp-content/uploads/2026/03/EDITAL-1-UNIBRAS.pdf</t>
        </is>
      </c>
      <c r="H149" t="inlineStr">
        <is>
          <t>p25 r5</t>
        </is>
      </c>
      <c r="I149" t="inlineStr">
        <is>
          <t>NO_DOCUMENT</t>
        </is>
      </c>
    </row>
    <row r="150">
      <c r="A150" t="inlineStr">
        <is>
          <t>CLASSE III - QUIROGRAFÁRIO, BANCO DO BRASIL S/A</t>
        </is>
      </c>
      <c r="B150" s="10" t="n">
        <v>4801638.85</v>
      </c>
      <c r="C150" t="inlineStr">
        <is>
          <t>Empresa</t>
        </is>
      </c>
      <c r="D150" t="inlineStr">
        <is>
          <t>1001363-82.2017.8.26.0301</t>
        </is>
      </c>
      <c r="E150" t="inlineStr">
        <is>
          <t>QGC</t>
        </is>
      </c>
      <c r="F150" t="inlineStr">
        <is>
          <t>OK_NO_TOTALS</t>
        </is>
      </c>
      <c r="G150" s="19" t="inlineStr">
        <is>
          <t>https://realbrasil.com.br/wp-content/uploads/2018/08/EDITAL-QGC_LISTA-DE-CREDORES-DO-AJ_AÇOCIC.pdf</t>
        </is>
      </c>
      <c r="H150" t="inlineStr">
        <is>
          <t>p1 r6</t>
        </is>
      </c>
      <c r="I150" t="inlineStr">
        <is>
          <t>NO_DOCUMENT</t>
        </is>
      </c>
    </row>
    <row r="151">
      <c r="A151" t="inlineStr">
        <is>
          <t>419/06, art. 4º Disponibilização: terça-feira, 14 de agosto de 2018 Diário da Justiça Eletrônico - Caderno Editais e Leilões São Paulo, Ano XI - Edição 2637 154 AMR IND COM DE PRODUTOS SIDERÚRGICOS LTDA</t>
        </is>
      </c>
      <c r="B151" s="10" t="n">
        <v>3356186.22</v>
      </c>
      <c r="C151" t="inlineStr">
        <is>
          <t>Empresa</t>
        </is>
      </c>
      <c r="D151" t="inlineStr">
        <is>
          <t>1001363-82.2017.8.26.0301</t>
        </is>
      </c>
      <c r="E151" t="inlineStr">
        <is>
          <t>QGC</t>
        </is>
      </c>
      <c r="F151" t="inlineStr">
        <is>
          <t>OK_NO_TOTALS</t>
        </is>
      </c>
      <c r="G151" s="19" t="inlineStr">
        <is>
          <t>https://realbrasil.com.br/wp-content/uploads/2018/08/EDITAL-QGC_LISTA-DE-CREDORES-DO-AJ_AÇOCIC.pdf</t>
        </is>
      </c>
      <c r="H151" t="inlineStr">
        <is>
          <t>p2 r1</t>
        </is>
      </c>
      <c r="I151" t="inlineStr">
        <is>
          <t>NO_DOCUMENT</t>
        </is>
      </c>
    </row>
    <row r="152">
      <c r="A152" t="inlineStr">
        <is>
          <t>CLASSE III - QUIROGRAFÁRIO, ACEBRAS FERRO E ACO LTDA</t>
        </is>
      </c>
      <c r="B152" s="10" t="n">
        <v>1212513.44</v>
      </c>
      <c r="C152" t="inlineStr">
        <is>
          <t>Empresa</t>
        </is>
      </c>
      <c r="D152" t="inlineStr">
        <is>
          <t>1001363-82.2017.8.26.0301</t>
        </is>
      </c>
      <c r="E152" t="inlineStr">
        <is>
          <t>QGC</t>
        </is>
      </c>
      <c r="F152" t="inlineStr">
        <is>
          <t>OK_NO_TOTALS</t>
        </is>
      </c>
      <c r="G152" s="19" t="inlineStr">
        <is>
          <t>https://realbrasil.com.br/wp-content/uploads/2018/08/EDITAL-QGC_LISTA-DE-CREDORES-DO-AJ_AÇOCIC.pdf</t>
        </is>
      </c>
      <c r="H152" t="inlineStr">
        <is>
          <t>p2 r3</t>
        </is>
      </c>
      <c r="I152" t="inlineStr">
        <is>
          <t>NO_DOCUMENT</t>
        </is>
      </c>
    </row>
    <row r="153">
      <c r="A153" t="inlineStr">
        <is>
          <t>CLASSE III - QUIROGRAFÁRIO, GV DO BRASIL IND E COM DE AÇO LTDA</t>
        </is>
      </c>
      <c r="B153" s="10" t="n">
        <v>566491.28</v>
      </c>
      <c r="C153" t="inlineStr">
        <is>
          <t>Empresa</t>
        </is>
      </c>
      <c r="D153" t="inlineStr">
        <is>
          <t>1001363-82.2017.8.26.0301</t>
        </is>
      </c>
      <c r="E153" t="inlineStr">
        <is>
          <t>QGC</t>
        </is>
      </c>
      <c r="F153" t="inlineStr">
        <is>
          <t>OK_NO_TOTALS</t>
        </is>
      </c>
      <c r="G153" s="19" t="inlineStr">
        <is>
          <t>https://realbrasil.com.br/wp-content/uploads/2018/08/EDITAL-QGC_LISTA-DE-CREDORES-DO-AJ_AÇOCIC.pdf</t>
        </is>
      </c>
      <c r="H153" t="inlineStr">
        <is>
          <t>p2 r4</t>
        </is>
      </c>
      <c r="I153" t="inlineStr">
        <is>
          <t>NO_DOCUMENT</t>
        </is>
      </c>
    </row>
    <row r="154">
      <c r="A154" t="inlineStr">
        <is>
          <t>CLASSE III -QUIROGRAFÁRIO, GERDAU AÇOS LONGOS S/A</t>
        </is>
      </c>
      <c r="B154" s="10" t="n">
        <v>451595.48</v>
      </c>
      <c r="C154" t="inlineStr">
        <is>
          <t>Empresa</t>
        </is>
      </c>
      <c r="D154" t="inlineStr">
        <is>
          <t>1001363-82.2017.8.26.0301</t>
        </is>
      </c>
      <c r="E154" t="inlineStr">
        <is>
          <t>QGC</t>
        </is>
      </c>
      <c r="F154" t="inlineStr">
        <is>
          <t>OK_NO_TOTALS</t>
        </is>
      </c>
      <c r="G154" s="19" t="inlineStr">
        <is>
          <t>https://realbrasil.com.br/wp-content/uploads/2018/08/EDITAL-QGC_LISTA-DE-CREDORES-DO-AJ_AÇOCIC.pdf</t>
        </is>
      </c>
      <c r="H154" t="inlineStr">
        <is>
          <t>p2 r5</t>
        </is>
      </c>
      <c r="I154" t="inlineStr">
        <is>
          <t>NO_DOCUMENT</t>
        </is>
      </c>
    </row>
    <row r="155">
      <c r="A155" t="inlineStr">
        <is>
          <t>719,00 CLASSE III ‐ QUIROGRAFÁRIO BANCO DO BRASIL</t>
        </is>
      </c>
      <c r="B155" s="10" t="n">
        <v>542472.85</v>
      </c>
      <c r="C155" t="inlineStr">
        <is>
          <t>Auto Posto Imperatriz - Real Brasil Consultoria</t>
        </is>
      </c>
      <c r="D155" t="inlineStr"/>
      <c r="E155" t="inlineStr">
        <is>
          <t>QGC</t>
        </is>
      </c>
      <c r="F155" t="inlineStr">
        <is>
          <t>OK_NO_TOTALS</t>
        </is>
      </c>
      <c r="G155" s="19" t="inlineStr">
        <is>
          <t>https://realbrasil.com.br/wp-content/uploads/2017/07/QGC-Imperatriz.pdf</t>
        </is>
      </c>
      <c r="H155" t="inlineStr">
        <is>
          <t>p2 r4</t>
        </is>
      </c>
      <c r="I155" t="inlineStr">
        <is>
          <t>NO_DOCUMENT</t>
        </is>
      </c>
    </row>
    <row r="156">
      <c r="A156" t="inlineStr">
        <is>
          <t>G DE PRADO (GILMAR GARBULHA)</t>
        </is>
      </c>
      <c r="B156" s="10" t="n">
        <v>500000</v>
      </c>
      <c r="C156" t="inlineStr">
        <is>
          <t>Auto Posto Imperatriz - Real Brasil Consultoria</t>
        </is>
      </c>
      <c r="D156" t="inlineStr"/>
      <c r="E156" t="inlineStr">
        <is>
          <t>QGC</t>
        </is>
      </c>
      <c r="F156" t="inlineStr">
        <is>
          <t>OK_NO_TOTALS</t>
        </is>
      </c>
      <c r="G156" s="19" t="inlineStr">
        <is>
          <t>https://realbrasil.com.br/wp-content/uploads/2017/07/QGC-Imperatriz.pdf</t>
        </is>
      </c>
      <c r="H156" t="inlineStr">
        <is>
          <t>p2 r7</t>
        </is>
      </c>
      <c r="I156" t="inlineStr">
        <is>
          <t>NO_DOCUMENT</t>
        </is>
      </c>
    </row>
    <row r="157">
      <c r="A157" t="inlineStr">
        <is>
          <t>000,00 CLASSE III ‐ QUIROGRAFÁRIO JOÃO CLAUDINEI FAVATO</t>
        </is>
      </c>
      <c r="B157" s="10" t="n">
        <v>241176</v>
      </c>
      <c r="C157" t="inlineStr">
        <is>
          <t>Auto Posto Imperatriz - Real Brasil Consultoria</t>
        </is>
      </c>
      <c r="D157" t="inlineStr"/>
      <c r="E157" t="inlineStr">
        <is>
          <t>QGC</t>
        </is>
      </c>
      <c r="F157" t="inlineStr">
        <is>
          <t>OK_NO_TOTALS</t>
        </is>
      </c>
      <c r="G157" s="19" t="inlineStr">
        <is>
          <t>https://realbrasil.com.br/wp-content/uploads/2017/07/QGC-Imperatriz.pdf</t>
        </is>
      </c>
      <c r="H157" t="inlineStr">
        <is>
          <t>p2 r8</t>
        </is>
      </c>
      <c r="I157" t="inlineStr">
        <is>
          <t>NO_DOCUMENT</t>
        </is>
      </c>
    </row>
    <row r="158">
      <c r="A158" t="inlineStr">
        <is>
          <t>Rua Barão de Melgaço, 3850 - Centro, Cuiabá CEP: 78.005-300</t>
        </is>
      </c>
      <c r="B158" s="10" t="n">
        <v>1769130.25</v>
      </c>
      <c r="C158" t="inlineStr">
        <is>
          <t>Grupo Radar - Radar Soluções Empresariais Ltda - Real Brasil Consultoria</t>
        </is>
      </c>
      <c r="D158" t="inlineStr">
        <is>
          <t>1000201-93.2017.8.11.0002</t>
        </is>
      </c>
      <c r="E158" t="inlineStr">
        <is>
          <t>UNKNOWN</t>
        </is>
      </c>
      <c r="F158" t="inlineStr">
        <is>
          <t>OK_NO_TOTALS</t>
        </is>
      </c>
      <c r="G158" s="19" t="inlineStr">
        <is>
          <t>https://realbrasil.com.br/wp-content/uploads/2017/05/Lista-de-Credores-radar.pdf</t>
        </is>
      </c>
      <c r="H158" t="inlineStr">
        <is>
          <t>p1 r9</t>
        </is>
      </c>
      <c r="I158" t="inlineStr">
        <is>
          <t>NO_DOCUMENT</t>
        </is>
      </c>
    </row>
    <row r="159">
      <c r="A159" t="inlineStr">
        <is>
          <t>Av.Couto Magalhaes, 2687 - Centro, Varzea Grande-MT CEP: 78.110-400</t>
        </is>
      </c>
      <c r="B159" s="10" t="n">
        <v>1656891.01</v>
      </c>
      <c r="C159" t="inlineStr">
        <is>
          <t>Grupo Radar - Radar Soluções Empresariais Ltda - Real Brasil Consultoria</t>
        </is>
      </c>
      <c r="D159" t="inlineStr">
        <is>
          <t>1000201-93.2017.8.11.0002</t>
        </is>
      </c>
      <c r="E159" t="inlineStr">
        <is>
          <t>UNKNOWN</t>
        </is>
      </c>
      <c r="F159" t="inlineStr">
        <is>
          <t>OK_NO_TOTALS</t>
        </is>
      </c>
      <c r="G159" s="19" t="inlineStr">
        <is>
          <t>https://realbrasil.com.br/wp-content/uploads/2017/05/Lista-de-Credores-radar.pdf</t>
        </is>
      </c>
      <c r="H159" t="inlineStr">
        <is>
          <t>p1 r7</t>
        </is>
      </c>
      <c r="I159" t="inlineStr">
        <is>
          <t>NO_DOCUMENT</t>
        </is>
      </c>
    </row>
    <row r="160">
      <c r="A160" t="inlineStr">
        <is>
          <t>Av.Couto Magalhaes, 1233 - Centro, Varzea Grande-MT CEP: 78.110-400</t>
        </is>
      </c>
      <c r="B160" s="10" t="n">
        <v>700782.12</v>
      </c>
      <c r="C160" t="inlineStr">
        <is>
          <t>Grupo Radar - Radar Soluções Empresariais Ltda - Real Brasil Consultoria</t>
        </is>
      </c>
      <c r="D160" t="inlineStr">
        <is>
          <t>1000201-93.2017.8.11.0002</t>
        </is>
      </c>
      <c r="E160" t="inlineStr">
        <is>
          <t>UNKNOWN</t>
        </is>
      </c>
      <c r="F160" t="inlineStr">
        <is>
          <t>OK_NO_TOTALS</t>
        </is>
      </c>
      <c r="G160" s="19" t="inlineStr">
        <is>
          <t>https://realbrasil.com.br/wp-content/uploads/2017/05/Lista-de-Credores-radar.pdf</t>
        </is>
      </c>
      <c r="H160" t="inlineStr">
        <is>
          <t>p1 r10</t>
        </is>
      </c>
      <c r="I160" t="inlineStr">
        <is>
          <t>NO_DOCUMENT</t>
        </is>
      </c>
    </row>
    <row r="161">
      <c r="A161" t="inlineStr">
        <is>
          <t>Av.Couto Magalhaes, 1200 - Centro, Varzea Grande-MT CEP: 78.110-400</t>
        </is>
      </c>
      <c r="B161" s="10" t="n">
        <v>633964.3199999999</v>
      </c>
      <c r="C161" t="inlineStr">
        <is>
          <t>Grupo Radar - Radar Soluções Empresariais Ltda - Real Brasil Consultoria</t>
        </is>
      </c>
      <c r="D161" t="inlineStr">
        <is>
          <t>1000201-93.2017.8.11.0002</t>
        </is>
      </c>
      <c r="E161" t="inlineStr">
        <is>
          <t>UNKNOWN</t>
        </is>
      </c>
      <c r="F161" t="inlineStr">
        <is>
          <t>OK_NO_TOTALS</t>
        </is>
      </c>
      <c r="G161" s="19" t="inlineStr">
        <is>
          <t>https://realbrasil.com.br/wp-content/uploads/2017/05/Lista-de-Credores-radar.pdf</t>
        </is>
      </c>
      <c r="H161" t="inlineStr">
        <is>
          <t>p1 r13</t>
        </is>
      </c>
      <c r="I161" t="inlineStr">
        <is>
          <t>NO_DOCUMENT</t>
        </is>
      </c>
    </row>
    <row r="162">
      <c r="A162" t="inlineStr">
        <is>
          <t>Av.Couto Magalhaes, 1233 - Centro, Varzea Grande-MT CEP: 78.110-400</t>
        </is>
      </c>
      <c r="B162" s="10" t="n">
        <v>472600.92</v>
      </c>
      <c r="C162" t="inlineStr">
        <is>
          <t>Grupo Radar - Radar Soluções Empresariais Ltda - Real Brasil Consultoria</t>
        </is>
      </c>
      <c r="D162" t="inlineStr">
        <is>
          <t>1000201-93.2017.8.11.0002</t>
        </is>
      </c>
      <c r="E162" t="inlineStr">
        <is>
          <t>UNKNOWN</t>
        </is>
      </c>
      <c r="F162" t="inlineStr">
        <is>
          <t>OK_NO_TOTALS</t>
        </is>
      </c>
      <c r="G162" s="19" t="inlineStr">
        <is>
          <t>https://realbrasil.com.br/wp-content/uploads/2017/05/Lista-de-Credores-radar.pdf</t>
        </is>
      </c>
      <c r="H162" t="inlineStr">
        <is>
          <t>p1 r12</t>
        </is>
      </c>
      <c r="I162" t="inlineStr">
        <is>
          <t>NO_DOCUMENT</t>
        </is>
      </c>
    </row>
    <row r="163">
      <c r="A163" t="inlineStr">
        <is>
          <t>Av. Tenente Coronel Duarte, 1003 - Centro, Cuiabá-MT CEP: 78.015-500</t>
        </is>
      </c>
      <c r="B163" s="10" t="n">
        <v>462674.24</v>
      </c>
      <c r="C163" t="inlineStr">
        <is>
          <t>Grupo Radar - Radar Soluções Empresariais Ltda - Real Brasil Consultoria</t>
        </is>
      </c>
      <c r="D163" t="inlineStr">
        <is>
          <t>1000201-93.2017.8.11.0002</t>
        </is>
      </c>
      <c r="E163" t="inlineStr">
        <is>
          <t>UNKNOWN</t>
        </is>
      </c>
      <c r="F163" t="inlineStr">
        <is>
          <t>OK_NO_TOTALS</t>
        </is>
      </c>
      <c r="G163" s="19" t="inlineStr">
        <is>
          <t>https://realbrasil.com.br/wp-content/uploads/2017/05/Lista-de-Credores-radar.pdf</t>
        </is>
      </c>
      <c r="H163" t="inlineStr">
        <is>
          <t>p1 r17</t>
        </is>
      </c>
      <c r="I163" t="inlineStr">
        <is>
          <t>NO_DOCUMENT</t>
        </is>
      </c>
    </row>
    <row r="164">
      <c r="A164" t="inlineStr">
        <is>
          <t>Av. Gonçalo Botelho Campos, 2090 - Cristo Rei, Varzea Grande-MT CEP: 78.110-002</t>
        </is>
      </c>
      <c r="B164" s="10" t="n">
        <v>364551.37</v>
      </c>
      <c r="C164" t="inlineStr">
        <is>
          <t>Grupo Radar - Radar Soluções Empresariais Ltda - Real Brasil Consultoria</t>
        </is>
      </c>
      <c r="D164" t="inlineStr">
        <is>
          <t>1000201-93.2017.8.11.0002</t>
        </is>
      </c>
      <c r="E164" t="inlineStr">
        <is>
          <t>UNKNOWN</t>
        </is>
      </c>
      <c r="F164" t="inlineStr">
        <is>
          <t>OK_NO_TOTALS</t>
        </is>
      </c>
      <c r="G164" s="19" t="inlineStr">
        <is>
          <t>https://realbrasil.com.br/wp-content/uploads/2017/05/Lista-de-Credores-radar.pdf</t>
        </is>
      </c>
      <c r="H164" t="inlineStr">
        <is>
          <t>p1 r4</t>
        </is>
      </c>
      <c r="I164" t="inlineStr">
        <is>
          <t>NO_DOCUMENT</t>
        </is>
      </c>
    </row>
    <row r="165">
      <c r="A165" t="inlineStr">
        <is>
          <t>Av. Gonçalo Botelho Campos, 2090 - Cristo Rei, Varzea Grande-MT CEP: 78.110-002</t>
        </is>
      </c>
      <c r="B165" s="10" t="n">
        <v>360538.94</v>
      </c>
      <c r="C165" t="inlineStr">
        <is>
          <t>Grupo Radar - Radar Soluções Empresariais Ltda - Real Brasil Consultoria</t>
        </is>
      </c>
      <c r="D165" t="inlineStr">
        <is>
          <t>1000201-93.2017.8.11.0002</t>
        </is>
      </c>
      <c r="E165" t="inlineStr">
        <is>
          <t>UNKNOWN</t>
        </is>
      </c>
      <c r="F165" t="inlineStr">
        <is>
          <t>OK_NO_TOTALS</t>
        </is>
      </c>
      <c r="G165" s="19" t="inlineStr">
        <is>
          <t>https://realbrasil.com.br/wp-content/uploads/2017/05/Lista-de-Credores-radar.pdf</t>
        </is>
      </c>
      <c r="H165" t="inlineStr">
        <is>
          <t>p1 r5</t>
        </is>
      </c>
      <c r="I165" t="inlineStr">
        <is>
          <t>NO_DOCUMENT</t>
        </is>
      </c>
    </row>
    <row r="166">
      <c r="A166" t="inlineStr">
        <is>
          <t>Av. Tenente Coronel Duarte, 1003 - Centro, Cuiabá-MT CEP: 78.015-500</t>
        </is>
      </c>
      <c r="B166" s="10" t="n">
        <v>354350.08</v>
      </c>
      <c r="C166" t="inlineStr">
        <is>
          <t>Grupo Radar - Radar Soluções Empresariais Ltda - Real Brasil Consultoria</t>
        </is>
      </c>
      <c r="D166" t="inlineStr">
        <is>
          <t>1000201-93.2017.8.11.0002</t>
        </is>
      </c>
      <c r="E166" t="inlineStr">
        <is>
          <t>UNKNOWN</t>
        </is>
      </c>
      <c r="F166" t="inlineStr">
        <is>
          <t>OK_NO_TOTALS</t>
        </is>
      </c>
      <c r="G166" s="19" t="inlineStr">
        <is>
          <t>https://realbrasil.com.br/wp-content/uploads/2017/05/Lista-de-Credores-radar.pdf</t>
        </is>
      </c>
      <c r="H166" t="inlineStr">
        <is>
          <t>p1 r19</t>
        </is>
      </c>
      <c r="I166" t="inlineStr">
        <is>
          <t>NO_DOCUMENT</t>
        </is>
      </c>
    </row>
    <row r="167">
      <c r="A167" t="inlineStr">
        <is>
          <t>Av. Gonçalo Botelho Campos, 2090 - Cristo Rei, Varzea Grande-MT CEP: 78.110-002</t>
        </is>
      </c>
      <c r="B167" s="10" t="n">
        <v>324441.59</v>
      </c>
      <c r="C167" t="inlineStr">
        <is>
          <t>Grupo Radar - Radar Soluções Empresariais Ltda - Real Brasil Consultoria</t>
        </is>
      </c>
      <c r="D167" t="inlineStr">
        <is>
          <t>1000201-93.2017.8.11.0002</t>
        </is>
      </c>
      <c r="E167" t="inlineStr">
        <is>
          <t>UNKNOWN</t>
        </is>
      </c>
      <c r="F167" t="inlineStr">
        <is>
          <t>OK_NO_TOTALS</t>
        </is>
      </c>
      <c r="G167" s="19" t="inlineStr">
        <is>
          <t>https://realbrasil.com.br/wp-content/uploads/2017/05/Lista-de-Credores-radar.pdf</t>
        </is>
      </c>
      <c r="H167" t="inlineStr">
        <is>
          <t>p1 r6</t>
        </is>
      </c>
      <c r="I167" t="inlineStr">
        <is>
          <t>NO_DOCUMENT</t>
        </is>
      </c>
    </row>
    <row r="168">
      <c r="A168" t="inlineStr">
        <is>
          <t>Av. Tenente Coronel Duarte, 1003 - Centro, Cuiabá-MT CEP: 78.015-500</t>
        </is>
      </c>
      <c r="B168" s="10" t="n">
        <v>303783.03</v>
      </c>
      <c r="C168" t="inlineStr">
        <is>
          <t>Grupo Radar - Radar Soluções Empresariais Ltda - Real Brasil Consultoria</t>
        </is>
      </c>
      <c r="D168" t="inlineStr">
        <is>
          <t>1000201-93.2017.8.11.0002</t>
        </is>
      </c>
      <c r="E168" t="inlineStr">
        <is>
          <t>UNKNOWN</t>
        </is>
      </c>
      <c r="F168" t="inlineStr">
        <is>
          <t>OK_NO_TOTALS</t>
        </is>
      </c>
      <c r="G168" s="19" t="inlineStr">
        <is>
          <t>https://realbrasil.com.br/wp-content/uploads/2017/05/Lista-de-Credores-radar.pdf</t>
        </is>
      </c>
      <c r="H168" t="inlineStr">
        <is>
          <t>p1 r18</t>
        </is>
      </c>
      <c r="I168" t="inlineStr">
        <is>
          <t>NO_DOCUMENT</t>
        </is>
      </c>
    </row>
    <row r="169">
      <c r="A169" t="inlineStr">
        <is>
          <t>Av. Hist. Rubens de Mendonça, 1731 - Alvorada, Cuiabá-MT CEP: 78050-000</t>
        </is>
      </c>
      <c r="B169" s="10" t="n">
        <v>269014.72</v>
      </c>
      <c r="C169" t="inlineStr">
        <is>
          <t>Grupo Radar - Radar Soluções Empresariais Ltda - Real Brasil Consultoria</t>
        </is>
      </c>
      <c r="D169" t="inlineStr">
        <is>
          <t>1000201-93.2017.8.11.0002</t>
        </is>
      </c>
      <c r="E169" t="inlineStr">
        <is>
          <t>UNKNOWN</t>
        </is>
      </c>
      <c r="F169" t="inlineStr">
        <is>
          <t>OK_NO_TOTALS</t>
        </is>
      </c>
      <c r="G169" s="19" t="inlineStr">
        <is>
          <t>https://realbrasil.com.br/wp-content/uploads/2017/05/Lista-de-Credores-radar.pdf</t>
        </is>
      </c>
      <c r="H169" t="inlineStr">
        <is>
          <t>p2 r4</t>
        </is>
      </c>
      <c r="I169" t="inlineStr">
        <is>
          <t>NO_DOCUMENT</t>
        </is>
      </c>
    </row>
    <row r="170">
      <c r="A170" t="inlineStr">
        <is>
          <t>Av.Couto Magalhaes, 322 - Centro, Varzea Grande-MT CEP: 78.110-400</t>
        </is>
      </c>
      <c r="B170" s="10" t="n">
        <v>240000</v>
      </c>
      <c r="C170" t="inlineStr">
        <is>
          <t>Grupo Radar - Radar Soluções Empresariais Ltda - Real Brasil Consultoria</t>
        </is>
      </c>
      <c r="D170" t="inlineStr">
        <is>
          <t>1000201-93.2017.8.11.0002</t>
        </is>
      </c>
      <c r="E170" t="inlineStr">
        <is>
          <t>UNKNOWN</t>
        </is>
      </c>
      <c r="F170" t="inlineStr">
        <is>
          <t>OK_NO_TOTALS</t>
        </is>
      </c>
      <c r="G170" s="19" t="inlineStr">
        <is>
          <t>https://realbrasil.com.br/wp-content/uploads/2017/05/Lista-de-Credores-radar.pdf</t>
        </is>
      </c>
      <c r="H170" t="inlineStr">
        <is>
          <t>p1 r28</t>
        </is>
      </c>
      <c r="I170" t="inlineStr">
        <is>
          <t>NO_DOCUMENT</t>
        </is>
      </c>
    </row>
    <row r="171">
      <c r="A171" t="inlineStr">
        <is>
          <t>Av. Brasilia, 146, Loja 410B, Shop 3 Americas - Jd das Americas, Cuiabá CEP: 78.060-601</t>
        </is>
      </c>
      <c r="B171" s="10" t="n">
        <v>200000</v>
      </c>
      <c r="C171" t="inlineStr">
        <is>
          <t>Grupo Radar - Radar Soluções Empresariais Ltda - Real Brasil Consultoria</t>
        </is>
      </c>
      <c r="D171" t="inlineStr">
        <is>
          <t>1000201-93.2017.8.11.0002</t>
        </is>
      </c>
      <c r="E171" t="inlineStr">
        <is>
          <t>UNKNOWN</t>
        </is>
      </c>
      <c r="F171" t="inlineStr">
        <is>
          <t>OK_NO_TOTALS</t>
        </is>
      </c>
      <c r="G171" s="19" t="inlineStr">
        <is>
          <t>https://realbrasil.com.br/wp-content/uploads/2017/05/Lista-de-Credores-radar.pdf</t>
        </is>
      </c>
      <c r="H171" t="inlineStr">
        <is>
          <t>p1 r29</t>
        </is>
      </c>
      <c r="I171" t="inlineStr">
        <is>
          <t>NO_DOCUMENT</t>
        </is>
      </c>
    </row>
    <row r="172">
      <c r="A172" t="inlineStr">
        <is>
          <t>00.000.000/0552-5</t>
        </is>
      </c>
      <c r="B172" s="10" t="n">
        <v>305574</v>
      </c>
      <c r="C172" t="inlineStr">
        <is>
          <t>Grupo Mastter - Real Brasil Consultoria</t>
        </is>
      </c>
      <c r="D172" t="inlineStr">
        <is>
          <t>0801893-91.2016.8.12.0011</t>
        </is>
      </c>
      <c r="E172" t="inlineStr">
        <is>
          <t>DEBTOR_LIST</t>
        </is>
      </c>
      <c r="F172" t="inlineStr">
        <is>
          <t>OK_NO_TOTALS</t>
        </is>
      </c>
      <c r="G172" s="19" t="inlineStr">
        <is>
          <t>https://realbrasil.com.br/wp-content/uploads/2017/05/Relação-de-Credores_-Mastter-1.pdf</t>
        </is>
      </c>
      <c r="H172" t="inlineStr">
        <is>
          <t>p9 r1</t>
        </is>
      </c>
      <c r="I172" t="inlineStr">
        <is>
          <t>NO_DOCUMENT ALT_VALUE:R$150.000,00 ALT_VALUE:R$4.166,67 ALT_VALUE:R$4.321,50 ALT_VALUE:R$8.488,17 ALT_VALUE:R$150.000,00</t>
        </is>
      </c>
    </row>
    <row r="173">
      <c r="A173" t="inlineStr">
        <is>
          <t>ALUTECH ALUMINIO TECNOLOGIA LTDA</t>
        </is>
      </c>
      <c r="B173" s="10" t="n">
        <v>13956683.87</v>
      </c>
      <c r="C173" t="inlineStr">
        <is>
          <t>SOCIEDADE RECICLYN COMERCIO E INDÚSTRIA DE METAIS LTDA</t>
        </is>
      </c>
      <c r="D173" t="inlineStr">
        <is>
          <t>0022066-39.2018.8.19.0001</t>
        </is>
      </c>
      <c r="E173" t="inlineStr">
        <is>
          <t>QGC</t>
        </is>
      </c>
      <c r="F173" t="inlineStr">
        <is>
          <t>OK</t>
        </is>
      </c>
      <c r="G173" s="19" t="inlineStr">
        <is>
          <t>https://inova-aj.com.br/wp-content/uploads/2021/08/Reciclyn-Quadro-Geral-de-Credores.xlsx.pdf</t>
        </is>
      </c>
      <c r="H173" t="inlineStr">
        <is>
          <t>p1 r5</t>
        </is>
      </c>
      <c r="I173" t="inlineStr">
        <is>
          <t>NO_DOCUMENT</t>
        </is>
      </c>
    </row>
    <row r="174">
      <c r="A174" t="inlineStr">
        <is>
          <t>DEPÓSITO DE METAIS SANJOENENSE LTDA</t>
        </is>
      </c>
      <c r="B174" s="10" t="n">
        <v>8115768.34</v>
      </c>
      <c r="C174" t="inlineStr">
        <is>
          <t>SOCIEDADE RECICLYN COMERCIO E INDÚSTRIA DE METAIS LTDA</t>
        </is>
      </c>
      <c r="D174" t="inlineStr">
        <is>
          <t>0022066-39.2018.8.19.0001</t>
        </is>
      </c>
      <c r="E174" t="inlineStr">
        <is>
          <t>QGC</t>
        </is>
      </c>
      <c r="F174" t="inlineStr">
        <is>
          <t>OK</t>
        </is>
      </c>
      <c r="G174" s="19" t="inlineStr">
        <is>
          <t>https://inova-aj.com.br/wp-content/uploads/2021/08/Reciclyn-Quadro-Geral-de-Credores.xlsx.pdf</t>
        </is>
      </c>
      <c r="H174" t="inlineStr">
        <is>
          <t>p1 r16</t>
        </is>
      </c>
      <c r="I174" t="inlineStr">
        <is>
          <t>NO_DOCUMENT</t>
        </is>
      </c>
    </row>
    <row r="175">
      <c r="A175" t="inlineStr">
        <is>
          <t>CMES COMERCIO DE METÁIS E LOGÍSTICA DO ESTADO DO ESPÍRITO SANTO LTDA</t>
        </is>
      </c>
      <c r="B175" s="10" t="n">
        <v>6174959</v>
      </c>
      <c r="C175" t="inlineStr">
        <is>
          <t>SOCIEDADE RECICLYN COMERCIO E INDÚSTRIA DE METAIS LTDA</t>
        </is>
      </c>
      <c r="D175" t="inlineStr">
        <is>
          <t>0022066-39.2018.8.19.0001</t>
        </is>
      </c>
      <c r="E175" t="inlineStr">
        <is>
          <t>QGC</t>
        </is>
      </c>
      <c r="F175" t="inlineStr">
        <is>
          <t>OK</t>
        </is>
      </c>
      <c r="G175" s="19" t="inlineStr">
        <is>
          <t>https://inova-aj.com.br/wp-content/uploads/2021/08/Reciclyn-Quadro-Geral-de-Credores.xlsx.pdf</t>
        </is>
      </c>
      <c r="H175" t="inlineStr">
        <is>
          <t>p1 r7</t>
        </is>
      </c>
      <c r="I175" t="inlineStr">
        <is>
          <t>NO_DOCUMENT</t>
        </is>
      </c>
    </row>
    <row r="176">
      <c r="A176" t="inlineStr">
        <is>
          <t>CMMG COMÉRCIO DE METAIS LTDA</t>
        </is>
      </c>
      <c r="B176" s="10" t="n">
        <v>4838400</v>
      </c>
      <c r="C176" t="inlineStr">
        <is>
          <t>SOCIEDADE RECICLYN COMERCIO E INDÚSTRIA DE METAIS LTDA</t>
        </is>
      </c>
      <c r="D176" t="inlineStr">
        <is>
          <t>0022066-39.2018.8.19.0001</t>
        </is>
      </c>
      <c r="E176" t="inlineStr">
        <is>
          <t>QGC</t>
        </is>
      </c>
      <c r="F176" t="inlineStr">
        <is>
          <t>OK</t>
        </is>
      </c>
      <c r="G176" s="19" t="inlineStr">
        <is>
          <t>https://inova-aj.com.br/wp-content/uploads/2021/08/Reciclyn-Quadro-Geral-de-Credores.xlsx.pdf</t>
        </is>
      </c>
      <c r="H176" t="inlineStr">
        <is>
          <t>p1 r8</t>
        </is>
      </c>
      <c r="I176" t="inlineStr">
        <is>
          <t>NO_DOCUMENT</t>
        </is>
      </c>
    </row>
    <row r="177">
      <c r="A177" t="inlineStr">
        <is>
          <t>RIO RECIBRÁS COMÉRCIO DE METÁIS RECICLÁVEIS LTDA</t>
        </is>
      </c>
      <c r="B177" s="10" t="n">
        <v>4134624.06</v>
      </c>
      <c r="C177" t="inlineStr">
        <is>
          <t>SOCIEDADE RECICLYN COMERCIO E INDÚSTRIA DE METAIS LTDA</t>
        </is>
      </c>
      <c r="D177" t="inlineStr">
        <is>
          <t>0022066-39.2018.8.19.0001</t>
        </is>
      </c>
      <c r="E177" t="inlineStr">
        <is>
          <t>QGC</t>
        </is>
      </c>
      <c r="F177" t="inlineStr">
        <is>
          <t>OK</t>
        </is>
      </c>
      <c r="G177" s="19" t="inlineStr">
        <is>
          <t>https://inova-aj.com.br/wp-content/uploads/2021/08/Reciclyn-Quadro-Geral-de-Credores.xlsx.pdf</t>
        </is>
      </c>
      <c r="H177" t="inlineStr">
        <is>
          <t>p1 r15</t>
        </is>
      </c>
      <c r="I177" t="inlineStr">
        <is>
          <t>NO_DOCUMENT</t>
        </is>
      </c>
    </row>
    <row r="178">
      <c r="A178" t="inlineStr">
        <is>
          <t>PPX INDÚSTRIA E COMÉRCIO DE ALUMÍNIO LTDA</t>
        </is>
      </c>
      <c r="B178" s="10" t="n">
        <v>3343839.98</v>
      </c>
      <c r="C178" t="inlineStr">
        <is>
          <t>SOCIEDADE RECICLYN COMERCIO E INDÚSTRIA DE METAIS LTDA</t>
        </is>
      </c>
      <c r="D178" t="inlineStr">
        <is>
          <t>0022066-39.2018.8.19.0001</t>
        </is>
      </c>
      <c r="E178" t="inlineStr">
        <is>
          <t>QGC</t>
        </is>
      </c>
      <c r="F178" t="inlineStr">
        <is>
          <t>OK</t>
        </is>
      </c>
      <c r="G178" s="19" t="inlineStr">
        <is>
          <t>https://inova-aj.com.br/wp-content/uploads/2021/08/Reciclyn-Quadro-Geral-de-Credores.xlsx.pdf</t>
        </is>
      </c>
      <c r="H178" t="inlineStr">
        <is>
          <t>p1 r14</t>
        </is>
      </c>
      <c r="I178" t="inlineStr">
        <is>
          <t>NO_DOCUMENT</t>
        </is>
      </c>
    </row>
    <row r="179">
      <c r="A179" t="inlineStr">
        <is>
          <t>CMSP COMÉRCIO DE METAIS LTDA</t>
        </is>
      </c>
      <c r="B179" s="10" t="n">
        <v>3066675.09</v>
      </c>
      <c r="C179" t="inlineStr">
        <is>
          <t>SOCIEDADE RECICLYN COMERCIO E INDÚSTRIA DE METAIS LTDA</t>
        </is>
      </c>
      <c r="D179" t="inlineStr">
        <is>
          <t>0022066-39.2018.8.19.0001</t>
        </is>
      </c>
      <c r="E179" t="inlineStr">
        <is>
          <t>QGC</t>
        </is>
      </c>
      <c r="F179" t="inlineStr">
        <is>
          <t>OK</t>
        </is>
      </c>
      <c r="G179" s="19" t="inlineStr">
        <is>
          <t>https://inova-aj.com.br/wp-content/uploads/2021/08/Reciclyn-Quadro-Geral-de-Credores.xlsx.pdf</t>
        </is>
      </c>
      <c r="H179" t="inlineStr">
        <is>
          <t>p1 r9</t>
        </is>
      </c>
      <c r="I179" t="inlineStr">
        <is>
          <t>NO_DOCUMENT</t>
        </is>
      </c>
    </row>
    <row r="180">
      <c r="A180" t="inlineStr">
        <is>
          <t>GUARANTÃ COMÉRCIO DE METAIS NÃO FERROSOS LTDA</t>
        </is>
      </c>
      <c r="B180" s="10" t="n">
        <v>2696882.5</v>
      </c>
      <c r="C180" t="inlineStr">
        <is>
          <t>SOCIEDADE RECICLYN COMERCIO E INDÚSTRIA DE METAIS LTDA</t>
        </is>
      </c>
      <c r="D180" t="inlineStr">
        <is>
          <t>0022066-39.2018.8.19.0001</t>
        </is>
      </c>
      <c r="E180" t="inlineStr">
        <is>
          <t>QGC</t>
        </is>
      </c>
      <c r="F180" t="inlineStr">
        <is>
          <t>OK</t>
        </is>
      </c>
      <c r="G180" s="19" t="inlineStr">
        <is>
          <t>https://inova-aj.com.br/wp-content/uploads/2021/08/Reciclyn-Quadro-Geral-de-Credores.xlsx.pdf</t>
        </is>
      </c>
      <c r="H180" t="inlineStr">
        <is>
          <t>p1 r11</t>
        </is>
      </c>
      <c r="I180" t="inlineStr">
        <is>
          <t>NO_DOCUMENT</t>
        </is>
      </c>
    </row>
    <row r="181">
      <c r="A181" t="inlineStr">
        <is>
          <t>MEXTRA ENGENHARIA EXTRATIVISTA DE METAIS EIRELI</t>
        </is>
      </c>
      <c r="B181" s="10" t="n">
        <v>1545779.6</v>
      </c>
      <c r="C181" t="inlineStr">
        <is>
          <t>SOCIEDADE RECICLYN COMERCIO E INDÚSTRIA DE METAIS LTDA</t>
        </is>
      </c>
      <c r="D181" t="inlineStr">
        <is>
          <t>0022066-39.2018.8.19.0001</t>
        </is>
      </c>
      <c r="E181" t="inlineStr">
        <is>
          <t>QGC</t>
        </is>
      </c>
      <c r="F181" t="inlineStr">
        <is>
          <t>OK</t>
        </is>
      </c>
      <c r="G181" s="19" t="inlineStr">
        <is>
          <t>https://inova-aj.com.br/wp-content/uploads/2021/08/Reciclyn-Quadro-Geral-de-Credores.xlsx.pdf</t>
        </is>
      </c>
      <c r="H181" t="inlineStr">
        <is>
          <t>p1 r12</t>
        </is>
      </c>
      <c r="I181" t="inlineStr">
        <is>
          <t>NO_DOCUMENT</t>
        </is>
      </c>
    </row>
    <row r="182">
      <c r="A182" t="inlineStr">
        <is>
          <t>CAPIUBA IMPORTADORA, EXPORTADORA E COMÉRCIO LTDA</t>
        </is>
      </c>
      <c r="B182" s="10" t="n">
        <v>980500</v>
      </c>
      <c r="C182" t="inlineStr">
        <is>
          <t>SOCIEDADE RECICLYN COMERCIO E INDÚSTRIA DE METAIS LTDA</t>
        </is>
      </c>
      <c r="D182" t="inlineStr">
        <is>
          <t>0022066-39.2018.8.19.0001</t>
        </is>
      </c>
      <c r="E182" t="inlineStr">
        <is>
          <t>QGC</t>
        </is>
      </c>
      <c r="F182" t="inlineStr">
        <is>
          <t>OK</t>
        </is>
      </c>
      <c r="G182" s="19" t="inlineStr">
        <is>
          <t>https://inova-aj.com.br/wp-content/uploads/2021/08/Reciclyn-Quadro-Geral-de-Credores.xlsx.pdf</t>
        </is>
      </c>
      <c r="H182" t="inlineStr">
        <is>
          <t>p1 r6</t>
        </is>
      </c>
      <c r="I182" t="inlineStr">
        <is>
          <t>NO_DOCUMENT</t>
        </is>
      </c>
    </row>
    <row r="183">
      <c r="A183" t="inlineStr">
        <is>
          <t>COMPANHIA FEDERAL DE FUNDIÇÃO</t>
        </is>
      </c>
      <c r="B183" s="10" t="n">
        <v>956190</v>
      </c>
      <c r="C183" t="inlineStr">
        <is>
          <t>SOCIEDADE RECICLYN COMERCIO E INDÚSTRIA DE METAIS LTDA</t>
        </is>
      </c>
      <c r="D183" t="inlineStr">
        <is>
          <t>0022066-39.2018.8.19.0001</t>
        </is>
      </c>
      <c r="E183" t="inlineStr">
        <is>
          <t>QGC</t>
        </is>
      </c>
      <c r="F183" t="inlineStr">
        <is>
          <t>OK</t>
        </is>
      </c>
      <c r="G183" s="19" t="inlineStr">
        <is>
          <t>https://inova-aj.com.br/wp-content/uploads/2021/08/Reciclyn-Quadro-Geral-de-Credores.xlsx.pdf</t>
        </is>
      </c>
      <c r="H183" t="inlineStr">
        <is>
          <t>p1 r10</t>
        </is>
      </c>
      <c r="I183" t="inlineStr">
        <is>
          <t>NO_DOCUMENT</t>
        </is>
      </c>
    </row>
    <row r="184">
      <c r="A184" t="inlineStr">
        <is>
          <t>NEWPET INDÚSTRIA E COMERCIO DE PLÁSTICOS</t>
        </is>
      </c>
      <c r="B184" s="10" t="n">
        <v>845021.51</v>
      </c>
      <c r="C184" t="inlineStr">
        <is>
          <t>SOCIEDADE RECICLYN COMERCIO E INDÚSTRIA DE METAIS LTDA</t>
        </is>
      </c>
      <c r="D184" t="inlineStr">
        <is>
          <t>0022066-39.2018.8.19.0001</t>
        </is>
      </c>
      <c r="E184" t="inlineStr">
        <is>
          <t>QGC</t>
        </is>
      </c>
      <c r="F184" t="inlineStr">
        <is>
          <t>OK</t>
        </is>
      </c>
      <c r="G184" s="19" t="inlineStr">
        <is>
          <t>https://inova-aj.com.br/wp-content/uploads/2021/08/Reciclyn-Quadro-Geral-de-Credores.xlsx.pdf</t>
        </is>
      </c>
      <c r="H184" t="inlineStr">
        <is>
          <t>p1 r13</t>
        </is>
      </c>
      <c r="I184" t="inlineStr">
        <is>
          <t>NO_DOCUMENT</t>
        </is>
      </c>
    </row>
    <row r="185">
      <c r="A185" t="inlineStr">
        <is>
          <t>BANCO BRADESCO S/A</t>
        </is>
      </c>
      <c r="B185" s="10" t="n">
        <v>3189088.46</v>
      </c>
      <c r="C185" t="inlineStr">
        <is>
          <t>Becap Comércio de Autopeças Ltda</t>
        </is>
      </c>
      <c r="D185" t="inlineStr">
        <is>
          <t>1039187-96.2017.8.26.0100</t>
        </is>
      </c>
      <c r="E185" t="inlineStr">
        <is>
          <t>QGC</t>
        </is>
      </c>
      <c r="F185" t="inlineStr">
        <is>
          <t>OK_NO_TOTALS</t>
        </is>
      </c>
      <c r="G185" s="19" t="inlineStr">
        <is>
          <t>https://violet-wolf-754008.hostingersite.com/wp-content/uploads/recuperacoes-judiciais/becap/CERTIDÃO-DE-PUBLICAÇÃO.pdf</t>
        </is>
      </c>
      <c r="H185" t="inlineStr">
        <is>
          <t>p1 r68</t>
        </is>
      </c>
      <c r="I185" t="inlineStr">
        <is>
          <t>NO_DOCUMENT</t>
        </is>
      </c>
    </row>
    <row r="186">
      <c r="A186" t="inlineStr">
        <is>
          <t>ITAÚ UNIBANCO</t>
        </is>
      </c>
      <c r="B186" s="10" t="n">
        <v>2905506.19</v>
      </c>
      <c r="C186" t="inlineStr">
        <is>
          <t>Becap Comércio de Autopeças Ltda</t>
        </is>
      </c>
      <c r="D186" t="inlineStr">
        <is>
          <t>1039187-96.2017.8.26.0100</t>
        </is>
      </c>
      <c r="E186" t="inlineStr">
        <is>
          <t>QGC</t>
        </is>
      </c>
      <c r="F186" t="inlineStr">
        <is>
          <t>OK_NO_TOTALS</t>
        </is>
      </c>
      <c r="G186" s="19" t="inlineStr">
        <is>
          <t>https://violet-wolf-754008.hostingersite.com/wp-content/uploads/recuperacoes-judiciais/becap/CERTIDÃO-DE-PUBLICAÇÃO.pdf</t>
        </is>
      </c>
      <c r="H186" t="inlineStr">
        <is>
          <t>p2 r43</t>
        </is>
      </c>
      <c r="I186" t="inlineStr">
        <is>
          <t>NO_DOCUMENT</t>
        </is>
      </c>
    </row>
    <row r="187">
      <c r="A187" t="inlineStr">
        <is>
          <t>ASIA FOMENTO MERCANTIL LTDA</t>
        </is>
      </c>
      <c r="B187" s="10" t="n">
        <v>1775063.33</v>
      </c>
      <c r="C187" t="inlineStr">
        <is>
          <t>Becap Comércio de Autopeças Ltda</t>
        </is>
      </c>
      <c r="D187" t="inlineStr">
        <is>
          <t>1039187-96.2017.8.26.0100</t>
        </is>
      </c>
      <c r="E187" t="inlineStr">
        <is>
          <t>QGC</t>
        </is>
      </c>
      <c r="F187" t="inlineStr">
        <is>
          <t>OK_NO_TOTALS</t>
        </is>
      </c>
      <c r="G187" s="19" t="inlineStr">
        <is>
          <t>https://violet-wolf-754008.hostingersite.com/wp-content/uploads/recuperacoes-judiciais/becap/CERTIDÃO-DE-PUBLICAÇÃO.pdf</t>
        </is>
      </c>
      <c r="H187" t="inlineStr">
        <is>
          <t>p1 r62</t>
        </is>
      </c>
      <c r="I187" t="inlineStr">
        <is>
          <t>NO_DOCUMENT</t>
        </is>
      </c>
    </row>
    <row r="188">
      <c r="A188" t="inlineStr">
        <is>
          <t>CREDIT BRASIL FOMENTO MERCANTIL S/A</t>
        </is>
      </c>
      <c r="B188" s="10" t="n">
        <v>1477873.11</v>
      </c>
      <c r="C188" t="inlineStr">
        <is>
          <t>Becap Comércio de Autopeças Ltda</t>
        </is>
      </c>
      <c r="D188" t="inlineStr">
        <is>
          <t>1039187-96.2017.8.26.0100</t>
        </is>
      </c>
      <c r="E188" t="inlineStr">
        <is>
          <t>QGC</t>
        </is>
      </c>
      <c r="F188" t="inlineStr">
        <is>
          <t>OK_NO_TOTALS</t>
        </is>
      </c>
      <c r="G188" s="19" t="inlineStr">
        <is>
          <t>https://violet-wolf-754008.hostingersite.com/wp-content/uploads/recuperacoes-judiciais/becap/CERTIDÃO-DE-PUBLICAÇÃO.pdf</t>
        </is>
      </c>
      <c r="H188" t="inlineStr">
        <is>
          <t>p1 r98</t>
        </is>
      </c>
      <c r="I188" t="inlineStr">
        <is>
          <t>NO_DOCUMENT</t>
        </is>
      </c>
    </row>
    <row r="189">
      <c r="A189" t="inlineStr">
        <is>
          <t>RENATO TAGLIACOSSI LOMBARDI</t>
        </is>
      </c>
      <c r="B189" s="10" t="n">
        <v>1225610.92</v>
      </c>
      <c r="C189" t="inlineStr">
        <is>
          <t>Becap Comércio de Autopeças Ltda</t>
        </is>
      </c>
      <c r="D189" t="inlineStr">
        <is>
          <t>1039187-96.2017.8.26.0100</t>
        </is>
      </c>
      <c r="E189" t="inlineStr">
        <is>
          <t>QGC</t>
        </is>
      </c>
      <c r="F189" t="inlineStr">
        <is>
          <t>OK_NO_TOTALS</t>
        </is>
      </c>
      <c r="G189" s="19" t="inlineStr">
        <is>
          <t>https://violet-wolf-754008.hostingersite.com/wp-content/uploads/recuperacoes-judiciais/becap/CERTIDÃO-DE-PUBLICAÇÃO.pdf</t>
        </is>
      </c>
      <c r="H189" t="inlineStr">
        <is>
          <t>p2 r107</t>
        </is>
      </c>
      <c r="I189" t="inlineStr">
        <is>
          <t>NO_DOCUMENT</t>
        </is>
      </c>
    </row>
    <row r="190">
      <c r="A190" t="inlineStr">
        <is>
          <t>COFIPE VEICULOS LTDA</t>
        </is>
      </c>
      <c r="B190" s="10" t="n">
        <v>1017740.52</v>
      </c>
      <c r="C190" t="inlineStr">
        <is>
          <t>Becap Comércio de Autopeças Ltda</t>
        </is>
      </c>
      <c r="D190" t="inlineStr">
        <is>
          <t>1039187-96.2017.8.26.0100</t>
        </is>
      </c>
      <c r="E190" t="inlineStr">
        <is>
          <t>QGC</t>
        </is>
      </c>
      <c r="F190" t="inlineStr">
        <is>
          <t>OK_NO_TOTALS</t>
        </is>
      </c>
      <c r="G190" s="19" t="inlineStr">
        <is>
          <t>https://violet-wolf-754008.hostingersite.com/wp-content/uploads/recuperacoes-judiciais/becap/CERTIDÃO-DE-PUBLICAÇÃO.pdf</t>
        </is>
      </c>
      <c r="H190" t="inlineStr">
        <is>
          <t>p1 r92</t>
        </is>
      </c>
      <c r="I190" t="inlineStr">
        <is>
          <t>NO_DOCUMENT</t>
        </is>
      </c>
    </row>
    <row r="191">
      <c r="A191" t="inlineStr">
        <is>
          <t>BANCO SANTANDER</t>
        </is>
      </c>
      <c r="B191" s="10" t="n">
        <v>997374.72</v>
      </c>
      <c r="C191" t="inlineStr">
        <is>
          <t>Becap Comércio de Autopeças Ltda</t>
        </is>
      </c>
      <c r="D191" t="inlineStr">
        <is>
          <t>1039187-96.2017.8.26.0100</t>
        </is>
      </c>
      <c r="E191" t="inlineStr">
        <is>
          <t>QGC</t>
        </is>
      </c>
      <c r="F191" t="inlineStr">
        <is>
          <t>OK_NO_TOTALS</t>
        </is>
      </c>
      <c r="G191" s="19" t="inlineStr">
        <is>
          <t>https://violet-wolf-754008.hostingersite.com/wp-content/uploads/recuperacoes-judiciais/becap/CERTIDÃO-DE-PUBLICAÇÃO.pdf</t>
        </is>
      </c>
      <c r="H191" t="inlineStr">
        <is>
          <t>p1 r72</t>
        </is>
      </c>
      <c r="I191" t="inlineStr">
        <is>
          <t>NO_DOCUMENT</t>
        </is>
      </c>
    </row>
    <row r="192">
      <c r="A192" t="inlineStr">
        <is>
          <t>VALEO SISTEMAS AUTOMOTIVOS LTDA</t>
        </is>
      </c>
      <c r="B192" s="10" t="n">
        <v>357793.72</v>
      </c>
      <c r="C192" t="inlineStr">
        <is>
          <t>Becap Comércio de Autopeças Ltda</t>
        </is>
      </c>
      <c r="D192" t="inlineStr">
        <is>
          <t>1039187-96.2017.8.26.0100</t>
        </is>
      </c>
      <c r="E192" t="inlineStr">
        <is>
          <t>QGC</t>
        </is>
      </c>
      <c r="F192" t="inlineStr">
        <is>
          <t>OK_NO_TOTALS</t>
        </is>
      </c>
      <c r="G192" s="19" t="inlineStr">
        <is>
          <t>https://violet-wolf-754008.hostingersite.com/wp-content/uploads/recuperacoes-judiciais/becap/CERTIDÃO-DE-PUBLICAÇÃO.pdf</t>
        </is>
      </c>
      <c r="H192" t="inlineStr">
        <is>
          <t>p3 r9</t>
        </is>
      </c>
      <c r="I192" t="inlineStr">
        <is>
          <t>NO_DOCUMENT</t>
        </is>
      </c>
    </row>
    <row r="193">
      <c r="A193" t="inlineStr">
        <is>
          <t>BANCO CNH INDUSTRIAL CAPITAL AS</t>
        </is>
      </c>
      <c r="B193" s="10" t="n">
        <v>331906.88</v>
      </c>
      <c r="C193" t="inlineStr">
        <is>
          <t>Becap Comércio de Autopeças Ltda</t>
        </is>
      </c>
      <c r="D193" t="inlineStr">
        <is>
          <t>1039187-96.2017.8.26.0100</t>
        </is>
      </c>
      <c r="E193" t="inlineStr">
        <is>
          <t>QGC</t>
        </is>
      </c>
      <c r="F193" t="inlineStr">
        <is>
          <t>OK_NO_TOTALS</t>
        </is>
      </c>
      <c r="G193" s="19" t="inlineStr">
        <is>
          <t>https://violet-wolf-754008.hostingersite.com/wp-content/uploads/recuperacoes-judiciais/becap/CERTIDÃO-DE-PUBLICAÇÃO.pdf</t>
        </is>
      </c>
      <c r="H193" t="inlineStr">
        <is>
          <t>p1 r69</t>
        </is>
      </c>
      <c r="I193" t="inlineStr">
        <is>
          <t>NO_DOCUMENT</t>
        </is>
      </c>
    </row>
    <row r="194">
      <c r="A194" t="inlineStr">
        <is>
          <t>MERCALF DIESEL LTDA</t>
        </is>
      </c>
      <c r="B194" s="10" t="n">
        <v>270724.6</v>
      </c>
      <c r="C194" t="inlineStr">
        <is>
          <t>Becap Comércio de Autopeças Ltda</t>
        </is>
      </c>
      <c r="D194" t="inlineStr">
        <is>
          <t>1039187-96.2017.8.26.0100</t>
        </is>
      </c>
      <c r="E194" t="inlineStr">
        <is>
          <t>QGC</t>
        </is>
      </c>
      <c r="F194" t="inlineStr">
        <is>
          <t>OK_NO_TOTALS</t>
        </is>
      </c>
      <c r="G194" s="19" t="inlineStr">
        <is>
          <t>https://violet-wolf-754008.hostingersite.com/wp-content/uploads/recuperacoes-judiciais/becap/CERTIDÃO-DE-PUBLICAÇÃO.pdf</t>
        </is>
      </c>
      <c r="H194" t="inlineStr">
        <is>
          <t>p2 r66</t>
        </is>
      </c>
      <c r="I194" t="inlineStr">
        <is>
          <t>NO_DOCUMENT</t>
        </is>
      </c>
    </row>
    <row r="195">
      <c r="A195" t="inlineStr">
        <is>
          <t>BANCO BRADESCO CARTÕES S/A</t>
        </is>
      </c>
      <c r="B195" s="10" t="n">
        <v>206300.63</v>
      </c>
      <c r="C195" t="inlineStr">
        <is>
          <t>Becap Comércio de Autopeças Ltda</t>
        </is>
      </c>
      <c r="D195" t="inlineStr">
        <is>
          <t>1039187-96.2017.8.26.0100</t>
        </is>
      </c>
      <c r="E195" t="inlineStr">
        <is>
          <t>QGC</t>
        </is>
      </c>
      <c r="F195" t="inlineStr">
        <is>
          <t>OK_NO_TOTALS</t>
        </is>
      </c>
      <c r="G195" s="19" t="inlineStr">
        <is>
          <t>https://violet-wolf-754008.hostingersite.com/wp-content/uploads/recuperacoes-judiciais/becap/CERTIDÃO-DE-PUBLICAÇÃO.pdf</t>
        </is>
      </c>
      <c r="H195" t="inlineStr">
        <is>
          <t>p1 r67</t>
        </is>
      </c>
      <c r="I195" t="inlineStr">
        <is>
          <t>NO_DOCUMENT</t>
        </is>
      </c>
    </row>
    <row r="196">
      <c r="A196" t="inlineStr">
        <is>
          <t>BANCO SAFRA S.A</t>
        </is>
      </c>
      <c r="B196" s="10" t="n">
        <v>200949.97</v>
      </c>
      <c r="C196" t="inlineStr">
        <is>
          <t>Becap Comércio de Autopeças Ltda</t>
        </is>
      </c>
      <c r="D196" t="inlineStr">
        <is>
          <t>1039187-96.2017.8.26.0100</t>
        </is>
      </c>
      <c r="E196" t="inlineStr">
        <is>
          <t>QGC</t>
        </is>
      </c>
      <c r="F196" t="inlineStr">
        <is>
          <t>OK_NO_TOTALS</t>
        </is>
      </c>
      <c r="G196" s="19" t="inlineStr">
        <is>
          <t>https://violet-wolf-754008.hostingersite.com/wp-content/uploads/recuperacoes-judiciais/becap/CERTIDÃO-DE-PUBLICAÇÃO.pdf</t>
        </is>
      </c>
      <c r="H196" t="inlineStr">
        <is>
          <t>p1 r71</t>
        </is>
      </c>
      <c r="I196" t="inlineStr">
        <is>
          <t>NO_DOCUMENT</t>
        </is>
      </c>
    </row>
    <row r="197">
      <c r="A197" t="inlineStr">
        <is>
          <t>CAIXA ECONOMICA FEDERAL Â¿</t>
        </is>
      </c>
      <c r="B197" s="10" t="n">
        <v>4369070.12</v>
      </c>
      <c r="C197" t="inlineStr">
        <is>
          <t>Grupo Officilab – Processo nº 0949160-58.2023.8.19.0001 – e-mail: admjudofficilab@inova-aj.com.br – INOVA</t>
        </is>
      </c>
      <c r="D197" t="inlineStr">
        <is>
          <t>0949160-58.2023.8.19.0001</t>
        </is>
      </c>
      <c r="E197" t="inlineStr">
        <is>
          <t>AJ_LIST</t>
        </is>
      </c>
      <c r="F197" t="inlineStr">
        <is>
          <t>OK_NO_TOTALS</t>
        </is>
      </c>
      <c r="G197" s="19" t="inlineStr">
        <is>
          <t>https://inova-aj.com.br/wp-content/uploads/2024/06/Officilab-Edital-Conjunto-Segunda-Relacao-de-Credores-e-REcebimento-do-PRJ-art.-7o-§-2o-e-art.-53-pu.pdf</t>
        </is>
      </c>
      <c r="H197" t="inlineStr">
        <is>
          <t>p1 r37</t>
        </is>
      </c>
      <c r="I197" t="inlineStr">
        <is>
          <t>NO_DOCUMENT</t>
        </is>
      </c>
    </row>
    <row r="198">
      <c r="A198" t="inlineStr">
        <is>
          <t>BANCO SANTANDER S.A. Â¿</t>
        </is>
      </c>
      <c r="B198" s="10" t="n">
        <v>2391364.2</v>
      </c>
      <c r="C198" t="inlineStr">
        <is>
          <t>Grupo Officilab – Processo nº 0949160-58.2023.8.19.0001 – e-mail: admjudofficilab@inova-aj.com.br – INOVA</t>
        </is>
      </c>
      <c r="D198" t="inlineStr">
        <is>
          <t>0949160-58.2023.8.19.0001</t>
        </is>
      </c>
      <c r="E198" t="inlineStr">
        <is>
          <t>AJ_LIST</t>
        </is>
      </c>
      <c r="F198" t="inlineStr">
        <is>
          <t>OK_NO_TOTALS</t>
        </is>
      </c>
      <c r="G198" s="19" t="inlineStr">
        <is>
          <t>https://inova-aj.com.br/wp-content/uploads/2024/06/Officilab-Edital-Conjunto-Segunda-Relacao-de-Credores-e-REcebimento-do-PRJ-art.-7o-§-2o-e-art.-53-pu.pdf</t>
        </is>
      </c>
      <c r="H198" t="inlineStr">
        <is>
          <t>p1 r31</t>
        </is>
      </c>
      <c r="I198" t="inlineStr">
        <is>
          <t>NO_DOCUMENT</t>
        </is>
      </c>
    </row>
    <row r="199">
      <c r="A199" t="inlineStr">
        <is>
          <t>BANCO SAFRA AS Â¿</t>
        </is>
      </c>
      <c r="B199" s="10" t="n">
        <v>1331361.38</v>
      </c>
      <c r="C199" t="inlineStr">
        <is>
          <t>Grupo Officilab – Processo nº 0949160-58.2023.8.19.0001 – e-mail: admjudofficilab@inova-aj.com.br – INOVA</t>
        </is>
      </c>
      <c r="D199" t="inlineStr">
        <is>
          <t>0949160-58.2023.8.19.0001</t>
        </is>
      </c>
      <c r="E199" t="inlineStr">
        <is>
          <t>AJ_LIST</t>
        </is>
      </c>
      <c r="F199" t="inlineStr">
        <is>
          <t>OK_NO_TOTALS</t>
        </is>
      </c>
      <c r="G199" s="19" t="inlineStr">
        <is>
          <t>https://inova-aj.com.br/wp-content/uploads/2024/06/Officilab-Edital-Conjunto-Segunda-Relacao-de-Credores-e-REcebimento-do-PRJ-art.-7o-§-2o-e-art.-53-pu.pdf</t>
        </is>
      </c>
      <c r="H199" t="inlineStr">
        <is>
          <t>p1 r30</t>
        </is>
      </c>
      <c r="I199" t="inlineStr">
        <is>
          <t>NO_DOCUMENT</t>
        </is>
      </c>
    </row>
    <row r="200">
      <c r="A200" t="inlineStr">
        <is>
          <t>AGENCIA DE FOMENTO DO ESTADO DO RIO DE JANEIRO S. A. Â¿</t>
        </is>
      </c>
      <c r="B200" s="10" t="n">
        <v>894240</v>
      </c>
      <c r="C200" t="inlineStr">
        <is>
          <t>Grupo Officilab – Processo nº 0949160-58.2023.8.19.0001 – e-mail: admjudofficilab@inova-aj.com.br – INOVA</t>
        </is>
      </c>
      <c r="D200" t="inlineStr">
        <is>
          <t>0949160-58.2023.8.19.0001</t>
        </is>
      </c>
      <c r="E200" t="inlineStr">
        <is>
          <t>AJ_LIST</t>
        </is>
      </c>
      <c r="F200" t="inlineStr">
        <is>
          <t>OK_NO_TOTALS</t>
        </is>
      </c>
      <c r="G200" s="19" t="inlineStr">
        <is>
          <t>https://inova-aj.com.br/wp-content/uploads/2024/06/Officilab-Edital-Conjunto-Segunda-Relacao-de-Credores-e-REcebimento-do-PRJ-art.-7o-§-2o-e-art.-53-pu.pdf</t>
        </is>
      </c>
      <c r="H200" t="inlineStr">
        <is>
          <t>p1 r18</t>
        </is>
      </c>
      <c r="I200" t="inlineStr">
        <is>
          <t>NO_DOCUMENT</t>
        </is>
      </c>
    </row>
    <row r="201">
      <c r="A201" t="inlineStr">
        <is>
          <t>BANCO BRADESCO S.A. Â¿</t>
        </is>
      </c>
      <c r="B201" s="10" t="n">
        <v>400000</v>
      </c>
      <c r="C201" t="inlineStr">
        <is>
          <t>Grupo Officilab – Processo nº 0949160-58.2023.8.19.0001 – e-mail: admjudofficilab@inova-aj.com.br – INOVA</t>
        </is>
      </c>
      <c r="D201" t="inlineStr">
        <is>
          <t>0949160-58.2023.8.19.0001</t>
        </is>
      </c>
      <c r="E201" t="inlineStr">
        <is>
          <t>AJ_LIST</t>
        </is>
      </c>
      <c r="F201" t="inlineStr">
        <is>
          <t>OK_NO_TOTALS</t>
        </is>
      </c>
      <c r="G201" s="19" t="inlineStr">
        <is>
          <t>https://inova-aj.com.br/wp-content/uploads/2024/06/Officilab-Edital-Conjunto-Segunda-Relacao-de-Credores-e-REcebimento-do-PRJ-art.-7o-§-2o-e-art.-53-pu.pdf</t>
        </is>
      </c>
      <c r="H201" t="inlineStr">
        <is>
          <t>p1 r29</t>
        </is>
      </c>
      <c r="I201" t="inlineStr">
        <is>
          <t>NO_DOCUMENT</t>
        </is>
      </c>
    </row>
    <row r="202">
      <c r="A202" t="inlineStr">
        <is>
          <t>GALENA Â¿</t>
        </is>
      </c>
      <c r="B202" s="10" t="n">
        <v>248504.57</v>
      </c>
      <c r="C202" t="inlineStr">
        <is>
          <t>Grupo Officilab – Processo nº 0949160-58.2023.8.19.0001 – e-mail: admjudofficilab@inova-aj.com.br – INOVA</t>
        </is>
      </c>
      <c r="D202" t="inlineStr">
        <is>
          <t>0949160-58.2023.8.19.0001</t>
        </is>
      </c>
      <c r="E202" t="inlineStr">
        <is>
          <t>AJ_LIST</t>
        </is>
      </c>
      <c r="F202" t="inlineStr">
        <is>
          <t>OK_NO_TOTALS</t>
        </is>
      </c>
      <c r="G202" s="19" t="inlineStr">
        <is>
          <t>https://inova-aj.com.br/wp-content/uploads/2024/06/Officilab-Edital-Conjunto-Segunda-Relacao-de-Credores-e-REcebimento-do-PRJ-art.-7o-§-2o-e-art.-53-pu.pdf</t>
        </is>
      </c>
      <c r="H202" t="inlineStr">
        <is>
          <t>p1 r56</t>
        </is>
      </c>
      <c r="I202" t="inlineStr">
        <is>
          <t>NO_DOCUMENT</t>
        </is>
      </c>
    </row>
    <row r="203">
      <c r="A203" t="inlineStr">
        <is>
          <t>FAGRON Â¿</t>
        </is>
      </c>
      <c r="B203" s="10" t="n">
        <v>245933.17</v>
      </c>
      <c r="C203" t="inlineStr">
        <is>
          <t>Grupo Officilab – Processo nº 0949160-58.2023.8.19.0001 – e-mail: admjudofficilab@inova-aj.com.br – INOVA</t>
        </is>
      </c>
      <c r="D203" t="inlineStr">
        <is>
          <t>0949160-58.2023.8.19.0001</t>
        </is>
      </c>
      <c r="E203" t="inlineStr">
        <is>
          <t>AJ_LIST</t>
        </is>
      </c>
      <c r="F203" t="inlineStr">
        <is>
          <t>OK_NO_TOTALS</t>
        </is>
      </c>
      <c r="G203" s="19" t="inlineStr">
        <is>
          <t>https://inova-aj.com.br/wp-content/uploads/2024/06/Officilab-Edital-Conjunto-Segunda-Relacao-de-Credores-e-REcebimento-do-PRJ-art.-7o-§-2o-e-art.-53-pu.pdf</t>
        </is>
      </c>
      <c r="H203" t="inlineStr">
        <is>
          <t>p1 r52</t>
        </is>
      </c>
      <c r="I203" t="inlineStr">
        <is>
          <t>NO_DOCUMENT</t>
        </is>
      </c>
    </row>
    <row r="204">
      <c r="A204" t="inlineStr">
        <is>
          <t>INFINITY PHARMA Â¿</t>
        </is>
      </c>
      <c r="B204" s="10" t="n">
        <v>213630.79</v>
      </c>
      <c r="C204" t="inlineStr">
        <is>
          <t>Grupo Officilab – Processo nº 0949160-58.2023.8.19.0001 – e-mail: admjudofficilab@inova-aj.com.br – INOVA</t>
        </is>
      </c>
      <c r="D204" t="inlineStr">
        <is>
          <t>0949160-58.2023.8.19.0001</t>
        </is>
      </c>
      <c r="E204" t="inlineStr">
        <is>
          <t>AJ_LIST</t>
        </is>
      </c>
      <c r="F204" t="inlineStr">
        <is>
          <t>OK_NO_TOTALS</t>
        </is>
      </c>
      <c r="G204" s="19" t="inlineStr">
        <is>
          <t>https://inova-aj.com.br/wp-content/uploads/2024/06/Officilab-Edital-Conjunto-Segunda-Relacao-de-Credores-e-REcebimento-do-PRJ-art.-7o-§-2o-e-art.-53-pu.pdf</t>
        </is>
      </c>
      <c r="H204" t="inlineStr">
        <is>
          <t>p1 r66</t>
        </is>
      </c>
      <c r="I204" t="inlineStr">
        <is>
          <t>NO_DOCUMENT</t>
        </is>
      </c>
    </row>
    <row r="205">
      <c r="A205" t="inlineStr">
        <is>
          <t>NTA - NOVAS TECNICAS DE ASFALTOS LTDA</t>
        </is>
      </c>
      <c r="B205" s="10" t="n">
        <v>2206827</v>
      </c>
      <c r="C205" t="inlineStr">
        <is>
          <t>EIT Engenharia S/A</t>
        </is>
      </c>
      <c r="D205" t="inlineStr">
        <is>
          <t>0035171-19.2017.8.26.0100</t>
        </is>
      </c>
      <c r="E205" t="inlineStr">
        <is>
          <t>QGC</t>
        </is>
      </c>
      <c r="F205" t="inlineStr">
        <is>
          <t>OK_NO_TOTALS</t>
        </is>
      </c>
      <c r="G205" s="19" t="inlineStr">
        <is>
          <t>https://violet-wolf-754008.hostingersite.com/wp-content/uploads/recuperacoes-judiciais/eit/2º-Edital-de-credores.pdf</t>
        </is>
      </c>
      <c r="H205" t="inlineStr">
        <is>
          <t>p7 r26</t>
        </is>
      </c>
      <c r="I205" t="inlineStr">
        <is>
          <t>NO_DOCUMENT</t>
        </is>
      </c>
    </row>
    <row r="206">
      <c r="A206" t="inlineStr">
        <is>
          <t>PEDREIRA SIQUEIRA LTDA</t>
        </is>
      </c>
      <c r="B206" s="10" t="n">
        <v>2188944.43</v>
      </c>
      <c r="C206" t="inlineStr">
        <is>
          <t>EIT Engenharia S/A</t>
        </is>
      </c>
      <c r="D206" t="inlineStr">
        <is>
          <t>0035171-19.2017.8.26.0100</t>
        </is>
      </c>
      <c r="E206" t="inlineStr">
        <is>
          <t>QGC</t>
        </is>
      </c>
      <c r="F206" t="inlineStr">
        <is>
          <t>OK_NO_TOTALS</t>
        </is>
      </c>
      <c r="G206" s="19" t="inlineStr">
        <is>
          <t>https://violet-wolf-754008.hostingersite.com/wp-content/uploads/recuperacoes-judiciais/eit/2º-Edital-de-credores.pdf</t>
        </is>
      </c>
      <c r="H206" t="inlineStr">
        <is>
          <t>p7 r43</t>
        </is>
      </c>
      <c r="I206" t="inlineStr">
        <is>
          <t>NO_DOCUMENT</t>
        </is>
      </c>
    </row>
    <row r="207">
      <c r="A207" t="inlineStr">
        <is>
          <t>METALURGICA VALENCA INDUSTRIA E COMERCIO</t>
        </is>
      </c>
      <c r="B207" s="10" t="n">
        <v>1957874.66</v>
      </c>
      <c r="C207" t="inlineStr">
        <is>
          <t>EIT Engenharia S/A</t>
        </is>
      </c>
      <c r="D207" t="inlineStr">
        <is>
          <t>0035171-19.2017.8.26.0100</t>
        </is>
      </c>
      <c r="E207" t="inlineStr">
        <is>
          <t>QGC</t>
        </is>
      </c>
      <c r="F207" t="inlineStr">
        <is>
          <t>OK_NO_TOTALS</t>
        </is>
      </c>
      <c r="G207" s="19" t="inlineStr">
        <is>
          <t>https://violet-wolf-754008.hostingersite.com/wp-content/uploads/recuperacoes-judiciais/eit/2º-Edital-de-credores.pdf</t>
        </is>
      </c>
      <c r="H207" t="inlineStr">
        <is>
          <t>p7 r13</t>
        </is>
      </c>
      <c r="I207" t="inlineStr">
        <is>
          <t>NO_DOCUMENT</t>
        </is>
      </c>
    </row>
    <row r="208">
      <c r="A208" t="inlineStr">
        <is>
          <t>SEOGA SANEAMENTO E CONSTRUCOES LTDA</t>
        </is>
      </c>
      <c r="B208" s="10" t="n">
        <v>1197239.43</v>
      </c>
      <c r="C208" t="inlineStr">
        <is>
          <t>EIT Engenharia S/A</t>
        </is>
      </c>
      <c r="D208" t="inlineStr">
        <is>
          <t>0035171-19.2017.8.26.0100</t>
        </is>
      </c>
      <c r="E208" t="inlineStr">
        <is>
          <t>QGC</t>
        </is>
      </c>
      <c r="F208" t="inlineStr">
        <is>
          <t>OK_NO_TOTALS</t>
        </is>
      </c>
      <c r="G208" s="19" t="inlineStr">
        <is>
          <t>https://violet-wolf-754008.hostingersite.com/wp-content/uploads/recuperacoes-judiciais/eit/2º-Edital-de-credores.pdf</t>
        </is>
      </c>
      <c r="H208" t="inlineStr">
        <is>
          <t>p7 r76</t>
        </is>
      </c>
      <c r="I208" t="inlineStr">
        <is>
          <t>NO_DOCUMENT</t>
        </is>
      </c>
    </row>
    <row r="209">
      <c r="A209" t="inlineStr">
        <is>
          <t>TAMOIO MINERACAO S/A</t>
        </is>
      </c>
      <c r="B209" s="10" t="n">
        <v>1029599.11</v>
      </c>
      <c r="C209" t="inlineStr">
        <is>
          <t>EIT Engenharia S/A</t>
        </is>
      </c>
      <c r="D209" t="inlineStr">
        <is>
          <t>0035171-19.2017.8.26.0100</t>
        </is>
      </c>
      <c r="E209" t="inlineStr">
        <is>
          <t>QGC</t>
        </is>
      </c>
      <c r="F209" t="inlineStr">
        <is>
          <t>OK_NO_TOTALS</t>
        </is>
      </c>
      <c r="G209" s="19" t="inlineStr">
        <is>
          <t>https://violet-wolf-754008.hostingersite.com/wp-content/uploads/recuperacoes-judiciais/eit/2º-Edital-de-credores.pdf</t>
        </is>
      </c>
      <c r="H209" t="inlineStr">
        <is>
          <t>p7 r98</t>
        </is>
      </c>
      <c r="I209" t="inlineStr">
        <is>
          <t>NO_DOCUMENT</t>
        </is>
      </c>
    </row>
    <row r="210">
      <c r="A210" t="inlineStr">
        <is>
          <t>GEOTECNIA E FUNDACOES ESTE LTDA</t>
        </is>
      </c>
      <c r="B210" s="10" t="n">
        <v>840859.49</v>
      </c>
      <c r="C210" t="inlineStr">
        <is>
          <t>EIT Engenharia S/A</t>
        </is>
      </c>
      <c r="D210" t="inlineStr">
        <is>
          <t>0035171-19.2017.8.26.0100</t>
        </is>
      </c>
      <c r="E210" t="inlineStr">
        <is>
          <t>QGC</t>
        </is>
      </c>
      <c r="F210" t="inlineStr">
        <is>
          <t>OK_NO_TOTALS</t>
        </is>
      </c>
      <c r="G210" s="19" t="inlineStr">
        <is>
          <t>https://violet-wolf-754008.hostingersite.com/wp-content/uploads/recuperacoes-judiciais/eit/2º-Edital-de-credores.pdf</t>
        </is>
      </c>
      <c r="H210" t="inlineStr">
        <is>
          <t>p6 r116</t>
        </is>
      </c>
      <c r="I210" t="inlineStr">
        <is>
          <t>NO_DOCUMENT</t>
        </is>
      </c>
    </row>
    <row r="211">
      <c r="A211" t="inlineStr">
        <is>
          <t>DEMOLIR SERVICOS DE DEMOLICAO LTDA</t>
        </is>
      </c>
      <c r="B211" s="10" t="n">
        <v>765301.86</v>
      </c>
      <c r="C211" t="inlineStr">
        <is>
          <t>EIT Engenharia S/A</t>
        </is>
      </c>
      <c r="D211" t="inlineStr">
        <is>
          <t>0035171-19.2017.8.26.0100</t>
        </is>
      </c>
      <c r="E211" t="inlineStr">
        <is>
          <t>QGC</t>
        </is>
      </c>
      <c r="F211" t="inlineStr">
        <is>
          <t>OK_NO_TOTALS</t>
        </is>
      </c>
      <c r="G211" s="19" t="inlineStr">
        <is>
          <t>https://violet-wolf-754008.hostingersite.com/wp-content/uploads/recuperacoes-judiciais/eit/2º-Edital-de-credores.pdf</t>
        </is>
      </c>
      <c r="H211" t="inlineStr">
        <is>
          <t>p6 r95</t>
        </is>
      </c>
      <c r="I211" t="inlineStr">
        <is>
          <t>NO_DOCUMENT</t>
        </is>
      </c>
    </row>
    <row r="212">
      <c r="A212" t="inlineStr">
        <is>
          <t>CONCRETO REDIMIX DO BRASIL SA</t>
        </is>
      </c>
      <c r="B212" s="10" t="n">
        <v>699452.4</v>
      </c>
      <c r="C212" t="inlineStr">
        <is>
          <t>EIT Engenharia S/A</t>
        </is>
      </c>
      <c r="D212" t="inlineStr">
        <is>
          <t>0035171-19.2017.8.26.0100</t>
        </is>
      </c>
      <c r="E212" t="inlineStr">
        <is>
          <t>QGC</t>
        </is>
      </c>
      <c r="F212" t="inlineStr">
        <is>
          <t>OK_NO_TOTALS</t>
        </is>
      </c>
      <c r="G212" s="19" t="inlineStr">
        <is>
          <t>https://violet-wolf-754008.hostingersite.com/wp-content/uploads/recuperacoes-judiciais/eit/2º-Edital-de-credores.pdf</t>
        </is>
      </c>
      <c r="H212" t="inlineStr">
        <is>
          <t>p6 r82</t>
        </is>
      </c>
      <c r="I212" t="inlineStr">
        <is>
          <t>NO_DOCUMENT</t>
        </is>
      </c>
    </row>
    <row r="213">
      <c r="A213" t="inlineStr">
        <is>
          <t>CONSTRUA COM DE MAT DE CONSTRUCAO EIRELI</t>
        </is>
      </c>
      <c r="B213" s="10" t="n">
        <v>663750</v>
      </c>
      <c r="C213" t="inlineStr">
        <is>
          <t>EIT Engenharia S/A</t>
        </is>
      </c>
      <c r="D213" t="inlineStr">
        <is>
          <t>0035171-19.2017.8.26.0100</t>
        </is>
      </c>
      <c r="E213" t="inlineStr">
        <is>
          <t>QGC</t>
        </is>
      </c>
      <c r="F213" t="inlineStr">
        <is>
          <t>OK_NO_TOTALS</t>
        </is>
      </c>
      <c r="G213" s="19" t="inlineStr">
        <is>
          <t>https://violet-wolf-754008.hostingersite.com/wp-content/uploads/recuperacoes-judiciais/eit/2º-Edital-de-credores.pdf</t>
        </is>
      </c>
      <c r="H213" t="inlineStr">
        <is>
          <t>p6 r87</t>
        </is>
      </c>
      <c r="I213" t="inlineStr">
        <is>
          <t>NO_DOCUMENT</t>
        </is>
      </c>
    </row>
    <row r="214">
      <c r="A214" t="inlineStr">
        <is>
          <t>ALITER CONSTRUCOES E SANEAMENTO LTDA</t>
        </is>
      </c>
      <c r="B214" s="10" t="n">
        <v>612956.9</v>
      </c>
      <c r="C214" t="inlineStr">
        <is>
          <t>EIT Engenharia S/A</t>
        </is>
      </c>
      <c r="D214" t="inlineStr">
        <is>
          <t>0035171-19.2017.8.26.0100</t>
        </is>
      </c>
      <c r="E214" t="inlineStr">
        <is>
          <t>QGC</t>
        </is>
      </c>
      <c r="F214" t="inlineStr">
        <is>
          <t>OK_NO_TOTALS</t>
        </is>
      </c>
      <c r="G214" s="19" t="inlineStr">
        <is>
          <t>https://violet-wolf-754008.hostingersite.com/wp-content/uploads/recuperacoes-judiciais/eit/2º-Edital-de-credores.pdf</t>
        </is>
      </c>
      <c r="H214" t="inlineStr">
        <is>
          <t>p6 r40</t>
        </is>
      </c>
      <c r="I214" t="inlineStr">
        <is>
          <t>NO_DOCUMENT</t>
        </is>
      </c>
    </row>
    <row r="215">
      <c r="A215" t="inlineStr">
        <is>
          <t>VILE ROMI ENGENHARIA LTDA</t>
        </is>
      </c>
      <c r="B215" s="10" t="n">
        <v>555858.1</v>
      </c>
      <c r="C215" t="inlineStr">
        <is>
          <t>EIT Engenharia S/A</t>
        </is>
      </c>
      <c r="D215" t="inlineStr">
        <is>
          <t>0035171-19.2017.8.26.0100</t>
        </is>
      </c>
      <c r="E215" t="inlineStr">
        <is>
          <t>QGC</t>
        </is>
      </c>
      <c r="F215" t="inlineStr">
        <is>
          <t>OK_NO_TOTALS</t>
        </is>
      </c>
      <c r="G215" s="19" t="inlineStr">
        <is>
          <t>https://violet-wolf-754008.hostingersite.com/wp-content/uploads/recuperacoes-judiciais/eit/2º-Edital-de-credores.pdf</t>
        </is>
      </c>
      <c r="H215" t="inlineStr">
        <is>
          <t>p7 r123</t>
        </is>
      </c>
      <c r="I215" t="inlineStr">
        <is>
          <t>NO_DOCUMENT</t>
        </is>
      </c>
    </row>
    <row r="216">
      <c r="A216" t="inlineStr">
        <is>
          <t>MANETONI DISTRIBUIDORA DE PRODUTOS SIDER</t>
        </is>
      </c>
      <c r="B216" s="10" t="n">
        <v>533367.9399999999</v>
      </c>
      <c r="C216" t="inlineStr">
        <is>
          <t>EIT Engenharia S/A</t>
        </is>
      </c>
      <c r="D216" t="inlineStr">
        <is>
          <t>0035171-19.2017.8.26.0100</t>
        </is>
      </c>
      <c r="E216" t="inlineStr">
        <is>
          <t>QGC</t>
        </is>
      </c>
      <c r="F216" t="inlineStr">
        <is>
          <t>OK_NO_TOTALS</t>
        </is>
      </c>
      <c r="G216" s="19" t="inlineStr">
        <is>
          <t>https://violet-wolf-754008.hostingersite.com/wp-content/uploads/recuperacoes-judiciais/eit/2º-Edital-de-credores.pdf</t>
        </is>
      </c>
      <c r="H216" t="inlineStr">
        <is>
          <t>p6 r159</t>
        </is>
      </c>
      <c r="I216" t="inlineStr">
        <is>
          <t>NO_DOCUMENT</t>
        </is>
      </c>
    </row>
    <row r="217">
      <c r="A217" t="inlineStr">
        <is>
          <t>IPE ENGENHARIA LTDA</t>
        </is>
      </c>
      <c r="B217" s="10" t="n">
        <v>532138.49</v>
      </c>
      <c r="C217" t="inlineStr">
        <is>
          <t>EIT Engenharia S/A</t>
        </is>
      </c>
      <c r="D217" t="inlineStr">
        <is>
          <t>0035171-19.2017.8.26.0100</t>
        </is>
      </c>
      <c r="E217" t="inlineStr">
        <is>
          <t>QGC</t>
        </is>
      </c>
      <c r="F217" t="inlineStr">
        <is>
          <t>OK_NO_TOTALS</t>
        </is>
      </c>
      <c r="G217" s="19" t="inlineStr">
        <is>
          <t>https://violet-wolf-754008.hostingersite.com/wp-content/uploads/recuperacoes-judiciais/eit/2º-Edital-de-credores.pdf</t>
        </is>
      </c>
      <c r="H217" t="inlineStr">
        <is>
          <t>p6 r139</t>
        </is>
      </c>
      <c r="I217" t="inlineStr">
        <is>
          <t>NO_DOCUMENT</t>
        </is>
      </c>
    </row>
    <row r="218">
      <c r="A218" t="inlineStr">
        <is>
          <t>BRADESCO SAUDE S/A</t>
        </is>
      </c>
      <c r="B218" s="10" t="n">
        <v>509922.28</v>
      </c>
      <c r="C218" t="inlineStr">
        <is>
          <t>EIT Engenharia S/A</t>
        </is>
      </c>
      <c r="D218" t="inlineStr">
        <is>
          <t>0035171-19.2017.8.26.0100</t>
        </is>
      </c>
      <c r="E218" t="inlineStr">
        <is>
          <t>QGC</t>
        </is>
      </c>
      <c r="F218" t="inlineStr">
        <is>
          <t>OK_NO_TOTALS</t>
        </is>
      </c>
      <c r="G218" s="19" t="inlineStr">
        <is>
          <t>https://violet-wolf-754008.hostingersite.com/wp-content/uploads/recuperacoes-judiciais/eit/2º-Edital-de-credores.pdf</t>
        </is>
      </c>
      <c r="H218" t="inlineStr">
        <is>
          <t>p6 r62</t>
        </is>
      </c>
      <c r="I218" t="inlineStr">
        <is>
          <t>NO_DOCUMENT</t>
        </is>
      </c>
    </row>
    <row r="219">
      <c r="A219" t="inlineStr">
        <is>
          <t>CAHPI CONSULTORIA E SERVICOS LTDA</t>
        </is>
      </c>
      <c r="B219" s="10" t="n">
        <v>484625.07</v>
      </c>
      <c r="C219" t="inlineStr">
        <is>
          <t>EIT Engenharia S/A</t>
        </is>
      </c>
      <c r="D219" t="inlineStr">
        <is>
          <t>0035171-19.2017.8.26.0100</t>
        </is>
      </c>
      <c r="E219" t="inlineStr">
        <is>
          <t>QGC</t>
        </is>
      </c>
      <c r="F219" t="inlineStr">
        <is>
          <t>OK_NO_TOTALS</t>
        </is>
      </c>
      <c r="G219" s="19" t="inlineStr">
        <is>
          <t>https://violet-wolf-754008.hostingersite.com/wp-content/uploads/recuperacoes-judiciais/eit/2º-Edital-de-credores.pdf</t>
        </is>
      </c>
      <c r="H219" t="inlineStr">
        <is>
          <t>p6 r67</t>
        </is>
      </c>
      <c r="I219" t="inlineStr">
        <is>
          <t>NO_DOCUMENT</t>
        </is>
      </c>
    </row>
    <row r="220">
      <c r="A220" t="inlineStr">
        <is>
          <t>RIOLOG MAQUINAS TRANSPORTES E LOGISTICAS</t>
        </is>
      </c>
      <c r="B220" s="10" t="n">
        <v>482343.47</v>
      </c>
      <c r="C220" t="inlineStr">
        <is>
          <t>EIT Engenharia S/A</t>
        </is>
      </c>
      <c r="D220" t="inlineStr">
        <is>
          <t>0035171-19.2017.8.26.0100</t>
        </is>
      </c>
      <c r="E220" t="inlineStr">
        <is>
          <t>QGC</t>
        </is>
      </c>
      <c r="F220" t="inlineStr">
        <is>
          <t>OK_NO_TOTALS</t>
        </is>
      </c>
      <c r="G220" s="19" t="inlineStr">
        <is>
          <t>https://violet-wolf-754008.hostingersite.com/wp-content/uploads/recuperacoes-judiciais/eit/2º-Edital-de-credores.pdf</t>
        </is>
      </c>
      <c r="H220" t="inlineStr">
        <is>
          <t>p7 r63</t>
        </is>
      </c>
      <c r="I220" t="inlineStr">
        <is>
          <t>NO_DOCUMENT</t>
        </is>
      </c>
    </row>
    <row r="221">
      <c r="A221" t="inlineStr">
        <is>
          <t>CVA VIGILANCIA E SEGURANCA LTDA</t>
        </is>
      </c>
      <c r="B221" s="10" t="n">
        <v>473965.93</v>
      </c>
      <c r="C221" t="inlineStr">
        <is>
          <t>EIT Engenharia S/A</t>
        </is>
      </c>
      <c r="D221" t="inlineStr">
        <is>
          <t>0035171-19.2017.8.26.0100</t>
        </is>
      </c>
      <c r="E221" t="inlineStr">
        <is>
          <t>QGC</t>
        </is>
      </c>
      <c r="F221" t="inlineStr">
        <is>
          <t>OK_NO_TOTALS</t>
        </is>
      </c>
      <c r="G221" s="19" t="inlineStr">
        <is>
          <t>https://violet-wolf-754008.hostingersite.com/wp-content/uploads/recuperacoes-judiciais/eit/2º-Edital-de-credores.pdf</t>
        </is>
      </c>
      <c r="H221" t="inlineStr">
        <is>
          <t>p6 r92</t>
        </is>
      </c>
      <c r="I221" t="inlineStr">
        <is>
          <t>NO_DOCUMENT</t>
        </is>
      </c>
    </row>
    <row r="222">
      <c r="A222" t="inlineStr">
        <is>
          <t>PETRA AGREGADOS RJ LTDA</t>
        </is>
      </c>
      <c r="B222" s="10" t="n">
        <v>464292.46</v>
      </c>
      <c r="C222" t="inlineStr">
        <is>
          <t>EIT Engenharia S/A</t>
        </is>
      </c>
      <c r="D222" t="inlineStr">
        <is>
          <t>0035171-19.2017.8.26.0100</t>
        </is>
      </c>
      <c r="E222" t="inlineStr">
        <is>
          <t>QGC</t>
        </is>
      </c>
      <c r="F222" t="inlineStr">
        <is>
          <t>OK_NO_TOTALS</t>
        </is>
      </c>
      <c r="G222" s="19" t="inlineStr">
        <is>
          <t>https://violet-wolf-754008.hostingersite.com/wp-content/uploads/recuperacoes-judiciais/eit/2º-Edital-de-credores.pdf</t>
        </is>
      </c>
      <c r="H222" t="inlineStr">
        <is>
          <t>p7 r46</t>
        </is>
      </c>
      <c r="I222" t="inlineStr">
        <is>
          <t>NO_DOCUMENT</t>
        </is>
      </c>
    </row>
    <row r="223">
      <c r="A223" t="inlineStr">
        <is>
          <t>LP PAVIMENTACAO LTDA</t>
        </is>
      </c>
      <c r="B223" s="10" t="n">
        <v>434586.24</v>
      </c>
      <c r="C223" t="inlineStr">
        <is>
          <t>EIT Engenharia S/A</t>
        </is>
      </c>
      <c r="D223" t="inlineStr">
        <is>
          <t>0035171-19.2017.8.26.0100</t>
        </is>
      </c>
      <c r="E223" t="inlineStr">
        <is>
          <t>QGC</t>
        </is>
      </c>
      <c r="F223" t="inlineStr">
        <is>
          <t>OK_NO_TOTALS</t>
        </is>
      </c>
      <c r="G223" s="19" t="inlineStr">
        <is>
          <t>https://violet-wolf-754008.hostingersite.com/wp-content/uploads/recuperacoes-judiciais/eit/2º-Edital-de-credores.pdf</t>
        </is>
      </c>
      <c r="H223" t="inlineStr">
        <is>
          <t>p6 r152</t>
        </is>
      </c>
      <c r="I223" t="inlineStr">
        <is>
          <t>NO_DOCUMENT</t>
        </is>
      </c>
    </row>
    <row r="224">
      <c r="A224" t="inlineStr">
        <is>
          <t>CONNECTTRANS TRANSPORTES DE CARGAS LOGIS</t>
        </is>
      </c>
      <c r="B224" s="10" t="n">
        <v>424126.86</v>
      </c>
      <c r="C224" t="inlineStr">
        <is>
          <t>EIT Engenharia S/A</t>
        </is>
      </c>
      <c r="D224" t="inlineStr">
        <is>
          <t>0035171-19.2017.8.26.0100</t>
        </is>
      </c>
      <c r="E224" t="inlineStr">
        <is>
          <t>QGC</t>
        </is>
      </c>
      <c r="F224" t="inlineStr">
        <is>
          <t>OK_NO_TOTALS</t>
        </is>
      </c>
      <c r="G224" s="19" t="inlineStr">
        <is>
          <t>https://violet-wolf-754008.hostingersite.com/wp-content/uploads/recuperacoes-judiciais/eit/2º-Edital-de-credores.pdf</t>
        </is>
      </c>
      <c r="H224" t="inlineStr">
        <is>
          <t>p6 r84</t>
        </is>
      </c>
      <c r="I224" t="inlineStr">
        <is>
          <t>NO_DOCUMENT</t>
        </is>
      </c>
    </row>
    <row r="225">
      <c r="A225" t="inlineStr">
        <is>
          <t>SERPEN SERVICOS E PROJETOS DE ENGENHARIA</t>
        </is>
      </c>
      <c r="B225" s="10" t="n">
        <v>408547.5</v>
      </c>
      <c r="C225" t="inlineStr">
        <is>
          <t>EIT Engenharia S/A</t>
        </is>
      </c>
      <c r="D225" t="inlineStr">
        <is>
          <t>0035171-19.2017.8.26.0100</t>
        </is>
      </c>
      <c r="E225" t="inlineStr">
        <is>
          <t>QGC</t>
        </is>
      </c>
      <c r="F225" t="inlineStr">
        <is>
          <t>OK_NO_TOTALS</t>
        </is>
      </c>
      <c r="G225" s="19" t="inlineStr">
        <is>
          <t>https://violet-wolf-754008.hostingersite.com/wp-content/uploads/recuperacoes-judiciais/eit/2º-Edital-de-credores.pdf</t>
        </is>
      </c>
      <c r="H225" t="inlineStr">
        <is>
          <t>p7 r78</t>
        </is>
      </c>
      <c r="I225" t="inlineStr">
        <is>
          <t>NO_DOCUMENT</t>
        </is>
      </c>
    </row>
    <row r="226">
      <c r="A226" t="inlineStr">
        <is>
          <t>UNIPETRO OURINHOS DISTRIBUIDORA DE PETRO</t>
        </is>
      </c>
      <c r="B226" s="10" t="n">
        <v>385426.35</v>
      </c>
      <c r="C226" t="inlineStr">
        <is>
          <t>EIT Engenharia S/A</t>
        </is>
      </c>
      <c r="D226" t="inlineStr">
        <is>
          <t>0035171-19.2017.8.26.0100</t>
        </is>
      </c>
      <c r="E226" t="inlineStr">
        <is>
          <t>QGC</t>
        </is>
      </c>
      <c r="F226" t="inlineStr">
        <is>
          <t>OK_NO_TOTALS</t>
        </is>
      </c>
      <c r="G226" s="19" t="inlineStr">
        <is>
          <t>https://violet-wolf-754008.hostingersite.com/wp-content/uploads/recuperacoes-judiciais/eit/2º-Edital-de-credores.pdf</t>
        </is>
      </c>
      <c r="H226" t="inlineStr">
        <is>
          <t>p7 r119</t>
        </is>
      </c>
      <c r="I226" t="inlineStr">
        <is>
          <t>NO_DOCUMENT</t>
        </is>
      </c>
    </row>
    <row r="227">
      <c r="A227" t="inlineStr">
        <is>
          <t>LAFARGE BRASIL S.A</t>
        </is>
      </c>
      <c r="B227" s="10" t="n">
        <v>371879.06</v>
      </c>
      <c r="C227" t="inlineStr">
        <is>
          <t>EIT Engenharia S/A</t>
        </is>
      </c>
      <c r="D227" t="inlineStr">
        <is>
          <t>0035171-19.2017.8.26.0100</t>
        </is>
      </c>
      <c r="E227" t="inlineStr">
        <is>
          <t>QGC</t>
        </is>
      </c>
      <c r="F227" t="inlineStr">
        <is>
          <t>OK_NO_TOTALS</t>
        </is>
      </c>
      <c r="G227" s="19" t="inlineStr">
        <is>
          <t>https://violet-wolf-754008.hostingersite.com/wp-content/uploads/recuperacoes-judiciais/eit/2º-Edital-de-credores.pdf</t>
        </is>
      </c>
      <c r="H227" t="inlineStr">
        <is>
          <t>p6 r147</t>
        </is>
      </c>
      <c r="I227" t="inlineStr">
        <is>
          <t>NO_DOCUMENT</t>
        </is>
      </c>
    </row>
    <row r="228">
      <c r="A228" t="inlineStr">
        <is>
          <t>L.A. FALCAO BAUER CENTRO TECNOLOGICO DE</t>
        </is>
      </c>
      <c r="B228" s="10" t="n">
        <v>370799.35</v>
      </c>
      <c r="C228" t="inlineStr">
        <is>
          <t>EIT Engenharia S/A</t>
        </is>
      </c>
      <c r="D228" t="inlineStr">
        <is>
          <t>0035171-19.2017.8.26.0100</t>
        </is>
      </c>
      <c r="E228" t="inlineStr">
        <is>
          <t>QGC</t>
        </is>
      </c>
      <c r="F228" t="inlineStr">
        <is>
          <t>OK_NO_TOTALS</t>
        </is>
      </c>
      <c r="G228" s="19" t="inlineStr">
        <is>
          <t>https://violet-wolf-754008.hostingersite.com/wp-content/uploads/recuperacoes-judiciais/eit/2º-Edital-de-credores.pdf</t>
        </is>
      </c>
      <c r="H228" t="inlineStr">
        <is>
          <t>p6 r146</t>
        </is>
      </c>
      <c r="I228" t="inlineStr">
        <is>
          <t>NO_DOCUMENT</t>
        </is>
      </c>
    </row>
    <row r="229">
      <c r="A229" t="inlineStr">
        <is>
          <t>ARC COMERCIO CONSTRUCAO E ADMINISTRACAO</t>
        </is>
      </c>
      <c r="B229" s="10" t="n">
        <v>370000</v>
      </c>
      <c r="C229" t="inlineStr">
        <is>
          <t>EIT Engenharia S/A</t>
        </is>
      </c>
      <c r="D229" t="inlineStr">
        <is>
          <t>0035171-19.2017.8.26.0100</t>
        </is>
      </c>
      <c r="E229" t="inlineStr">
        <is>
          <t>QGC</t>
        </is>
      </c>
      <c r="F229" t="inlineStr">
        <is>
          <t>OK_NO_TOTALS</t>
        </is>
      </c>
      <c r="G229" s="19" t="inlineStr">
        <is>
          <t>https://violet-wolf-754008.hostingersite.com/wp-content/uploads/recuperacoes-judiciais/eit/2º-Edital-de-credores.pdf</t>
        </is>
      </c>
      <c r="H229" t="inlineStr">
        <is>
          <t>p6 r45</t>
        </is>
      </c>
      <c r="I229" t="inlineStr">
        <is>
          <t>NO_DOCUMENT</t>
        </is>
      </c>
    </row>
    <row r="230">
      <c r="A230" t="inlineStr">
        <is>
          <t>GEOLOGUS ENGENHARIA LTDA</t>
        </is>
      </c>
      <c r="B230" s="10" t="n">
        <v>367285.1</v>
      </c>
      <c r="C230" t="inlineStr">
        <is>
          <t>EIT Engenharia S/A</t>
        </is>
      </c>
      <c r="D230" t="inlineStr">
        <is>
          <t>0035171-19.2017.8.26.0100</t>
        </is>
      </c>
      <c r="E230" t="inlineStr">
        <is>
          <t>QGC</t>
        </is>
      </c>
      <c r="F230" t="inlineStr">
        <is>
          <t>OK_NO_TOTALS</t>
        </is>
      </c>
      <c r="G230" s="19" t="inlineStr">
        <is>
          <t>https://violet-wolf-754008.hostingersite.com/wp-content/uploads/recuperacoes-judiciais/eit/2º-Edital-de-credores.pdf</t>
        </is>
      </c>
      <c r="H230" t="inlineStr">
        <is>
          <t>p6 r115</t>
        </is>
      </c>
      <c r="I230" t="inlineStr">
        <is>
          <t>NO_DOCUMENT</t>
        </is>
      </c>
    </row>
    <row r="231">
      <c r="A231" t="inlineStr">
        <is>
          <t>SITRAN COMERCIO E INDUSTRIA DE ELETRONIC</t>
        </is>
      </c>
      <c r="B231" s="10" t="n">
        <v>365777.58</v>
      </c>
      <c r="C231" t="inlineStr">
        <is>
          <t>EIT Engenharia S/A</t>
        </is>
      </c>
      <c r="D231" t="inlineStr">
        <is>
          <t>0035171-19.2017.8.26.0100</t>
        </is>
      </c>
      <c r="E231" t="inlineStr">
        <is>
          <t>QGC</t>
        </is>
      </c>
      <c r="F231" t="inlineStr">
        <is>
          <t>OK_NO_TOTALS</t>
        </is>
      </c>
      <c r="G231" s="19" t="inlineStr">
        <is>
          <t>https://violet-wolf-754008.hostingersite.com/wp-content/uploads/recuperacoes-judiciais/eit/2º-Edital-de-credores.pdf</t>
        </is>
      </c>
      <c r="H231" t="inlineStr">
        <is>
          <t>p7 r87</t>
        </is>
      </c>
      <c r="I231" t="inlineStr">
        <is>
          <t>NO_DOCUMENT</t>
        </is>
      </c>
    </row>
    <row r="232">
      <c r="A232" t="inlineStr">
        <is>
          <t>SANTINI TOPOGRAFIA LTDA</t>
        </is>
      </c>
      <c r="B232" s="10" t="n">
        <v>316935.72</v>
      </c>
      <c r="C232" t="inlineStr">
        <is>
          <t>EIT Engenharia S/A</t>
        </is>
      </c>
      <c r="D232" t="inlineStr">
        <is>
          <t>0035171-19.2017.8.26.0100</t>
        </is>
      </c>
      <c r="E232" t="inlineStr">
        <is>
          <t>QGC</t>
        </is>
      </c>
      <c r="F232" t="inlineStr">
        <is>
          <t>OK_NO_TOTALS</t>
        </is>
      </c>
      <c r="G232" s="19" t="inlineStr">
        <is>
          <t>https://violet-wolf-754008.hostingersite.com/wp-content/uploads/recuperacoes-judiciais/eit/2º-Edital-de-credores.pdf</t>
        </is>
      </c>
      <c r="H232" t="inlineStr">
        <is>
          <t>p7 r73</t>
        </is>
      </c>
      <c r="I232" t="inlineStr">
        <is>
          <t>NO_DOCUMENT</t>
        </is>
      </c>
    </row>
    <row r="233">
      <c r="A233" t="inlineStr">
        <is>
          <t>MAGE MINERACAO LTDA</t>
        </is>
      </c>
      <c r="B233" s="10" t="n">
        <v>285015.78</v>
      </c>
      <c r="C233" t="inlineStr">
        <is>
          <t>EIT Engenharia S/A</t>
        </is>
      </c>
      <c r="D233" t="inlineStr">
        <is>
          <t>0035171-19.2017.8.26.0100</t>
        </is>
      </c>
      <c r="E233" t="inlineStr">
        <is>
          <t>QGC</t>
        </is>
      </c>
      <c r="F233" t="inlineStr">
        <is>
          <t>OK_NO_TOTALS</t>
        </is>
      </c>
      <c r="G233" s="19" t="inlineStr">
        <is>
          <t>https://violet-wolf-754008.hostingersite.com/wp-content/uploads/recuperacoes-judiciais/eit/2º-Edital-de-credores.pdf</t>
        </is>
      </c>
      <c r="H233" t="inlineStr">
        <is>
          <t>p6 r158</t>
        </is>
      </c>
      <c r="I233" t="inlineStr">
        <is>
          <t>NO_DOCUMENT</t>
        </is>
      </c>
    </row>
    <row r="234">
      <c r="A234" t="inlineStr">
        <is>
          <t>ABS TRAFEGO E SINALIZACAO EIRELI</t>
        </is>
      </c>
      <c r="B234" s="10" t="n">
        <v>280473.41</v>
      </c>
      <c r="C234" t="inlineStr">
        <is>
          <t>EIT Engenharia S/A</t>
        </is>
      </c>
      <c r="D234" t="inlineStr">
        <is>
          <t>0035171-19.2017.8.26.0100</t>
        </is>
      </c>
      <c r="E234" t="inlineStr">
        <is>
          <t>QGC</t>
        </is>
      </c>
      <c r="F234" t="inlineStr">
        <is>
          <t>OK_NO_TOTALS</t>
        </is>
      </c>
      <c r="G234" s="19" t="inlineStr">
        <is>
          <t>https://violet-wolf-754008.hostingersite.com/wp-content/uploads/recuperacoes-judiciais/eit/2º-Edital-de-credores.pdf</t>
        </is>
      </c>
      <c r="H234" t="inlineStr">
        <is>
          <t>p6 r33</t>
        </is>
      </c>
      <c r="I234" t="inlineStr">
        <is>
          <t>NO_DOCUMENT</t>
        </is>
      </c>
    </row>
    <row r="235">
      <c r="A235" t="inlineStr">
        <is>
          <t>CONVEM MINERACAO LTDA</t>
        </is>
      </c>
      <c r="B235" s="10" t="n">
        <v>277164.86</v>
      </c>
      <c r="C235" t="inlineStr">
        <is>
          <t>EIT Engenharia S/A</t>
        </is>
      </c>
      <c r="D235" t="inlineStr">
        <is>
          <t>0035171-19.2017.8.26.0100</t>
        </is>
      </c>
      <c r="E235" t="inlineStr">
        <is>
          <t>QGC</t>
        </is>
      </c>
      <c r="F235" t="inlineStr">
        <is>
          <t>OK_NO_TOTALS</t>
        </is>
      </c>
      <c r="G235" s="19" t="inlineStr">
        <is>
          <t>https://violet-wolf-754008.hostingersite.com/wp-content/uploads/recuperacoes-judiciais/eit/2º-Edital-de-credores.pdf</t>
        </is>
      </c>
      <c r="H235" t="inlineStr">
        <is>
          <t>p6 r90</t>
        </is>
      </c>
      <c r="I235" t="inlineStr">
        <is>
          <t>NO_DOCUMENT</t>
        </is>
      </c>
    </row>
    <row r="236">
      <c r="A236" t="inlineStr">
        <is>
          <t>ACO SOLUCOES EM DRENAGEM LTDA</t>
        </is>
      </c>
      <c r="B236" s="10" t="n">
        <v>272537.52</v>
      </c>
      <c r="C236" t="inlineStr">
        <is>
          <t>EIT Engenharia S/A</t>
        </is>
      </c>
      <c r="D236" t="inlineStr">
        <is>
          <t>0035171-19.2017.8.26.0100</t>
        </is>
      </c>
      <c r="E236" t="inlineStr">
        <is>
          <t>QGC</t>
        </is>
      </c>
      <c r="F236" t="inlineStr">
        <is>
          <t>OK_NO_TOTALS</t>
        </is>
      </c>
      <c r="G236" s="19" t="inlineStr">
        <is>
          <t>https://violet-wolf-754008.hostingersite.com/wp-content/uploads/recuperacoes-judiciais/eit/2º-Edital-de-credores.pdf</t>
        </is>
      </c>
      <c r="H236" t="inlineStr">
        <is>
          <t>p6 r34</t>
        </is>
      </c>
      <c r="I236" t="inlineStr">
        <is>
          <t>NO_DOCUMENT</t>
        </is>
      </c>
    </row>
    <row r="237">
      <c r="A237" t="inlineStr">
        <is>
          <t>AUTO POSTO CRISTIANE LTDA</t>
        </is>
      </c>
      <c r="B237" s="10" t="n">
        <v>246526.04</v>
      </c>
      <c r="C237" t="inlineStr">
        <is>
          <t>EIT Engenharia S/A</t>
        </is>
      </c>
      <c r="D237" t="inlineStr">
        <is>
          <t>0035171-19.2017.8.26.0100</t>
        </is>
      </c>
      <c r="E237" t="inlineStr">
        <is>
          <t>QGC</t>
        </is>
      </c>
      <c r="F237" t="inlineStr">
        <is>
          <t>OK_NO_TOTALS</t>
        </is>
      </c>
      <c r="G237" s="19" t="inlineStr">
        <is>
          <t>https://violet-wolf-754008.hostingersite.com/wp-content/uploads/recuperacoes-judiciais/eit/2º-Edital-de-credores.pdf</t>
        </is>
      </c>
      <c r="H237" t="inlineStr">
        <is>
          <t>p6 r56</t>
        </is>
      </c>
      <c r="I237" t="inlineStr">
        <is>
          <t>NO_DOCUMENT</t>
        </is>
      </c>
    </row>
    <row r="238">
      <c r="A238" t="inlineStr">
        <is>
          <t>SUPERMIX CONCRETO S/A</t>
        </is>
      </c>
      <c r="B238" s="10" t="n">
        <v>240303.71</v>
      </c>
      <c r="C238" t="inlineStr">
        <is>
          <t>EIT Engenharia S/A</t>
        </is>
      </c>
      <c r="D238" t="inlineStr">
        <is>
          <t>0035171-19.2017.8.26.0100</t>
        </is>
      </c>
      <c r="E238" t="inlineStr">
        <is>
          <t>QGC</t>
        </is>
      </c>
      <c r="F238" t="inlineStr">
        <is>
          <t>OK_NO_TOTALS</t>
        </is>
      </c>
      <c r="G238" s="19" t="inlineStr">
        <is>
          <t>https://violet-wolf-754008.hostingersite.com/wp-content/uploads/recuperacoes-judiciais/eit/2º-Edital-de-credores.pdf</t>
        </is>
      </c>
      <c r="H238" t="inlineStr">
        <is>
          <t>p7 r96</t>
        </is>
      </c>
      <c r="I238" t="inlineStr">
        <is>
          <t>NO_DOCUMENT</t>
        </is>
      </c>
    </row>
    <row r="239">
      <c r="A239" t="inlineStr">
        <is>
          <t>MILLS ESTRUTURAS E SERVICOS DE ENGENHARI</t>
        </is>
      </c>
      <c r="B239" s="10" t="n">
        <v>229908.6</v>
      </c>
      <c r="C239" t="inlineStr">
        <is>
          <t>EIT Engenharia S/A</t>
        </is>
      </c>
      <c r="D239" t="inlineStr">
        <is>
          <t>0035171-19.2017.8.26.0100</t>
        </is>
      </c>
      <c r="E239" t="inlineStr">
        <is>
          <t>QGC</t>
        </is>
      </c>
      <c r="F239" t="inlineStr">
        <is>
          <t>OK_NO_TOTALS</t>
        </is>
      </c>
      <c r="G239" s="19" t="inlineStr">
        <is>
          <t>https://violet-wolf-754008.hostingersite.com/wp-content/uploads/recuperacoes-judiciais/eit/2º-Edital-de-credores.pdf</t>
        </is>
      </c>
      <c r="H239" t="inlineStr">
        <is>
          <t>p7 r15</t>
        </is>
      </c>
      <c r="I239" t="inlineStr">
        <is>
          <t>NO_DOCUMENT</t>
        </is>
      </c>
    </row>
    <row r="240">
      <c r="A240" t="inlineStr">
        <is>
          <t>SINDICATO DA INDUSTRIA DA CONSTRUCAO CIV</t>
        </is>
      </c>
      <c r="B240" s="10" t="n">
        <v>226943.99</v>
      </c>
      <c r="C240" t="inlineStr">
        <is>
          <t>EIT Engenharia S/A</t>
        </is>
      </c>
      <c r="D240" t="inlineStr">
        <is>
          <t>0035171-19.2017.8.26.0100</t>
        </is>
      </c>
      <c r="E240" t="inlineStr">
        <is>
          <t>QGC</t>
        </is>
      </c>
      <c r="F240" t="inlineStr">
        <is>
          <t>OK_NO_TOTALS</t>
        </is>
      </c>
      <c r="G240" s="19" t="inlineStr">
        <is>
          <t>https://violet-wolf-754008.hostingersite.com/wp-content/uploads/recuperacoes-judiciais/eit/2º-Edital-de-credores.pdf</t>
        </is>
      </c>
      <c r="H240" t="inlineStr">
        <is>
          <t>p7 r83</t>
        </is>
      </c>
      <c r="I240" t="inlineStr">
        <is>
          <t>NO_DOCUMENT</t>
        </is>
      </c>
    </row>
    <row r="241">
      <c r="A241" t="inlineStr">
        <is>
          <t>O SINDICATO TRAB IND CONST PES INT RJ</t>
        </is>
      </c>
      <c r="B241" s="10" t="n">
        <v>215005.16</v>
      </c>
      <c r="C241" t="inlineStr">
        <is>
          <t>EIT Engenharia S/A</t>
        </is>
      </c>
      <c r="D241" t="inlineStr">
        <is>
          <t>0035171-19.2017.8.26.0100</t>
        </is>
      </c>
      <c r="E241" t="inlineStr">
        <is>
          <t>QGC</t>
        </is>
      </c>
      <c r="F241" t="inlineStr">
        <is>
          <t>OK_NO_TOTALS</t>
        </is>
      </c>
      <c r="G241" s="19" t="inlineStr">
        <is>
          <t>https://violet-wolf-754008.hostingersite.com/wp-content/uploads/recuperacoes-judiciais/eit/2º-Edital-de-credores.pdf</t>
        </is>
      </c>
      <c r="H241" t="inlineStr">
        <is>
          <t>p7 r29</t>
        </is>
      </c>
      <c r="I241" t="inlineStr">
        <is>
          <t>NO_DOCUMENT</t>
        </is>
      </c>
    </row>
    <row r="242">
      <c r="A242" t="inlineStr">
        <is>
          <t>TRANA CONSTRUCOES LTDA</t>
        </is>
      </c>
      <c r="B242" s="10" t="n">
        <v>200000</v>
      </c>
      <c r="C242" t="inlineStr">
        <is>
          <t>EIT Engenharia S/A</t>
        </is>
      </c>
      <c r="D242" t="inlineStr">
        <is>
          <t>0035171-19.2017.8.26.0100</t>
        </is>
      </c>
      <c r="E242" t="inlineStr">
        <is>
          <t>QGC</t>
        </is>
      </c>
      <c r="F242" t="inlineStr">
        <is>
          <t>OK_NO_TOTALS</t>
        </is>
      </c>
      <c r="G242" s="19" t="inlineStr">
        <is>
          <t>https://violet-wolf-754008.hostingersite.com/wp-content/uploads/recuperacoes-judiciais/eit/2º-Edital-de-credores.pdf</t>
        </is>
      </c>
      <c r="H242" t="inlineStr">
        <is>
          <t>p7 r106</t>
        </is>
      </c>
      <c r="I242" t="inlineStr">
        <is>
          <t>NO_DOCUMENT</t>
        </is>
      </c>
    </row>
    <row r="243">
      <c r="A243" t="inlineStr">
        <is>
          <t>BANCO VOLVO</t>
        </is>
      </c>
      <c r="B243" s="10" t="n">
        <v>15967893.68</v>
      </c>
      <c r="C243" t="inlineStr">
        <is>
          <t>- Administração judicia</t>
        </is>
      </c>
      <c r="D243" t="inlineStr">
        <is>
          <t>1011783-19.2017.8.26.0602</t>
        </is>
      </c>
      <c r="E243" t="inlineStr">
        <is>
          <t>DEBTOR_LIST</t>
        </is>
      </c>
      <c r="F243" t="inlineStr">
        <is>
          <t>OK_NO_TOTALS</t>
        </is>
      </c>
      <c r="G243" s="19" t="inlineStr">
        <is>
          <t>https://violet-wolf-754008.hostingersite.com/wp-content/uploads/recuperacoes-judiciais/Ebramec/Embrac-1º-Edital-de-Credores.pdf</t>
        </is>
      </c>
      <c r="H243" t="inlineStr">
        <is>
          <t>p4 r16</t>
        </is>
      </c>
      <c r="I243" t="inlineStr">
        <is>
          <t>NO_DOCUMENT</t>
        </is>
      </c>
    </row>
    <row r="244">
      <c r="A244" t="inlineStr">
        <is>
          <t>BANCO SAFRA</t>
        </is>
      </c>
      <c r="B244" s="10" t="n">
        <v>9005285.77</v>
      </c>
      <c r="C244" t="inlineStr">
        <is>
          <t>- Administração judicia</t>
        </is>
      </c>
      <c r="D244" t="inlineStr">
        <is>
          <t>1011783-19.2017.8.26.0602</t>
        </is>
      </c>
      <c r="E244" t="inlineStr">
        <is>
          <t>DEBTOR_LIST</t>
        </is>
      </c>
      <c r="F244" t="inlineStr">
        <is>
          <t>OK_NO_TOTALS</t>
        </is>
      </c>
      <c r="G244" s="19" t="inlineStr">
        <is>
          <t>https://violet-wolf-754008.hostingersite.com/wp-content/uploads/recuperacoes-judiciais/Ebramec/Embrac-1º-Edital-de-Credores.pdf</t>
        </is>
      </c>
      <c r="H244" t="inlineStr">
        <is>
          <t>p4 r14</t>
        </is>
      </c>
      <c r="I244" t="inlineStr">
        <is>
          <t>NO_DOCUMENT</t>
        </is>
      </c>
    </row>
    <row r="245">
      <c r="A245" t="inlineStr">
        <is>
          <t>BANCO ITAU</t>
        </is>
      </c>
      <c r="B245" s="10" t="n">
        <v>8468174.59</v>
      </c>
      <c r="C245" t="inlineStr">
        <is>
          <t>- Administração judicia</t>
        </is>
      </c>
      <c r="D245" t="inlineStr">
        <is>
          <t>1011783-19.2017.8.26.0602</t>
        </is>
      </c>
      <c r="E245" t="inlineStr">
        <is>
          <t>DEBTOR_LIST</t>
        </is>
      </c>
      <c r="F245" t="inlineStr">
        <is>
          <t>OK_NO_TOTALS</t>
        </is>
      </c>
      <c r="G245" s="19" t="inlineStr">
        <is>
          <t>https://violet-wolf-754008.hostingersite.com/wp-content/uploads/recuperacoes-judiciais/Ebramec/Embrac-1º-Edital-de-Credores.pdf</t>
        </is>
      </c>
      <c r="H245" t="inlineStr">
        <is>
          <t>p4 r13</t>
        </is>
      </c>
      <c r="I245" t="inlineStr">
        <is>
          <t>NO_DOCUMENT</t>
        </is>
      </c>
    </row>
    <row r="246">
      <c r="A246" t="inlineStr">
        <is>
          <t>PACCAR FINANCIAL</t>
        </is>
      </c>
      <c r="B246" s="10" t="n">
        <v>8384223.64</v>
      </c>
      <c r="C246" t="inlineStr">
        <is>
          <t>- Administração judicia</t>
        </is>
      </c>
      <c r="D246" t="inlineStr">
        <is>
          <t>1011783-19.2017.8.26.0602</t>
        </is>
      </c>
      <c r="E246" t="inlineStr">
        <is>
          <t>DEBTOR_LIST</t>
        </is>
      </c>
      <c r="F246" t="inlineStr">
        <is>
          <t>OK_NO_TOTALS</t>
        </is>
      </c>
      <c r="G246" s="19" t="inlineStr">
        <is>
          <t>https://violet-wolf-754008.hostingersite.com/wp-content/uploads/recuperacoes-judiciais/Ebramec/Embrac-1º-Edital-de-Credores.pdf</t>
        </is>
      </c>
      <c r="H246" t="inlineStr">
        <is>
          <t>p4 r117</t>
        </is>
      </c>
      <c r="I246" t="inlineStr">
        <is>
          <t>NO_DOCUMENT</t>
        </is>
      </c>
    </row>
    <row r="247">
      <c r="A247" t="inlineStr">
        <is>
          <t>BANCO DO BRASIL S/A</t>
        </is>
      </c>
      <c r="B247" s="10" t="n">
        <v>8269971.58</v>
      </c>
      <c r="C247" t="inlineStr">
        <is>
          <t>- Administração judicia</t>
        </is>
      </c>
      <c r="D247" t="inlineStr">
        <is>
          <t>1011783-19.2017.8.26.0602</t>
        </is>
      </c>
      <c r="E247" t="inlineStr">
        <is>
          <t>DEBTOR_LIST</t>
        </is>
      </c>
      <c r="F247" t="inlineStr">
        <is>
          <t>OK_NO_TOTALS</t>
        </is>
      </c>
      <c r="G247" s="19" t="inlineStr">
        <is>
          <t>https://violet-wolf-754008.hostingersite.com/wp-content/uploads/recuperacoes-judiciais/Ebramec/Embrac-1º-Edital-de-Credores.pdf</t>
        </is>
      </c>
      <c r="H247" t="inlineStr">
        <is>
          <t>p4 r12</t>
        </is>
      </c>
      <c r="I247" t="inlineStr">
        <is>
          <t>NO_DOCUMENT</t>
        </is>
      </c>
    </row>
    <row r="248">
      <c r="A248" t="inlineStr">
        <is>
          <t>CAIXA ECONOMICA FEDERAL</t>
        </is>
      </c>
      <c r="B248" s="10" t="n">
        <v>3492996.6</v>
      </c>
      <c r="C248" t="inlineStr">
        <is>
          <t>- Administração judicia</t>
        </is>
      </c>
      <c r="D248" t="inlineStr">
        <is>
          <t>1011783-19.2017.8.26.0602</t>
        </is>
      </c>
      <c r="E248" t="inlineStr">
        <is>
          <t>DEBTOR_LIST</t>
        </is>
      </c>
      <c r="F248" t="inlineStr">
        <is>
          <t>OK_NO_TOTALS</t>
        </is>
      </c>
      <c r="G248" s="19" t="inlineStr">
        <is>
          <t>https://violet-wolf-754008.hostingersite.com/wp-content/uploads/recuperacoes-judiciais/Ebramec/Embrac-1º-Edital-de-Credores.pdf</t>
        </is>
      </c>
      <c r="H248" t="inlineStr">
        <is>
          <t>p4 r23</t>
        </is>
      </c>
      <c r="I248" t="inlineStr">
        <is>
          <t>NO_DOCUMENT</t>
        </is>
      </c>
    </row>
    <row r="249">
      <c r="A249" t="inlineStr">
        <is>
          <t>BANCO BRADESCO S.A</t>
        </is>
      </c>
      <c r="B249" s="10" t="n">
        <v>1481000</v>
      </c>
      <c r="C249" t="inlineStr">
        <is>
          <t>- Administração judicia</t>
        </is>
      </c>
      <c r="D249" t="inlineStr">
        <is>
          <t>1011783-19.2017.8.26.0602</t>
        </is>
      </c>
      <c r="E249" t="inlineStr">
        <is>
          <t>DEBTOR_LIST</t>
        </is>
      </c>
      <c r="F249" t="inlineStr">
        <is>
          <t>OK_NO_TOTALS</t>
        </is>
      </c>
      <c r="G249" s="19" t="inlineStr">
        <is>
          <t>https://violet-wolf-754008.hostingersite.com/wp-content/uploads/recuperacoes-judiciais/Ebramec/Embrac-1º-Edital-de-Credores.pdf</t>
        </is>
      </c>
      <c r="H249" t="inlineStr">
        <is>
          <t>p4 r10</t>
        </is>
      </c>
      <c r="I249" t="inlineStr">
        <is>
          <t>NO_DOCUMENT</t>
        </is>
      </c>
    </row>
    <row r="250">
      <c r="A250" t="inlineStr">
        <is>
          <t>GOODYEAR DO BRASIL</t>
        </is>
      </c>
      <c r="B250" s="10" t="n">
        <v>1454592.03</v>
      </c>
      <c r="C250" t="inlineStr">
        <is>
          <t>- Administração judicia</t>
        </is>
      </c>
      <c r="D250" t="inlineStr">
        <is>
          <t>1011783-19.2017.8.26.0602</t>
        </is>
      </c>
      <c r="E250" t="inlineStr">
        <is>
          <t>DEBTOR_LIST</t>
        </is>
      </c>
      <c r="F250" t="inlineStr">
        <is>
          <t>OK_NO_TOTALS</t>
        </is>
      </c>
      <c r="G250" s="19" t="inlineStr">
        <is>
          <t>https://violet-wolf-754008.hostingersite.com/wp-content/uploads/recuperacoes-judiciais/Ebramec/Embrac-1º-Edital-de-Credores.pdf</t>
        </is>
      </c>
      <c r="H250" t="inlineStr">
        <is>
          <t>p4 r74</t>
        </is>
      </c>
      <c r="I250" t="inlineStr">
        <is>
          <t>NO_DOCUMENT</t>
        </is>
      </c>
    </row>
    <row r="251">
      <c r="A251" t="inlineStr">
        <is>
          <t>BANCO DAYCOVAL</t>
        </is>
      </c>
      <c r="B251" s="10" t="n">
        <v>1376582.4</v>
      </c>
      <c r="C251" t="inlineStr">
        <is>
          <t>- Administração judicia</t>
        </is>
      </c>
      <c r="D251" t="inlineStr">
        <is>
          <t>1011783-19.2017.8.26.0602</t>
        </is>
      </c>
      <c r="E251" t="inlineStr">
        <is>
          <t>DEBTOR_LIST</t>
        </is>
      </c>
      <c r="F251" t="inlineStr">
        <is>
          <t>OK_NO_TOTALS</t>
        </is>
      </c>
      <c r="G251" s="19" t="inlineStr">
        <is>
          <t>https://violet-wolf-754008.hostingersite.com/wp-content/uploads/recuperacoes-judiciais/Ebramec/Embrac-1º-Edital-de-Credores.pdf</t>
        </is>
      </c>
      <c r="H251" t="inlineStr">
        <is>
          <t>p4 r11</t>
        </is>
      </c>
      <c r="I251" t="inlineStr">
        <is>
          <t>NO_DOCUMENT</t>
        </is>
      </c>
    </row>
    <row r="252">
      <c r="A252" t="inlineStr">
        <is>
          <t>BANCO SANTANDER</t>
        </is>
      </c>
      <c r="B252" s="10" t="n">
        <v>865640.27</v>
      </c>
      <c r="C252" t="inlineStr">
        <is>
          <t>- Administração judicia</t>
        </is>
      </c>
      <c r="D252" t="inlineStr">
        <is>
          <t>1011783-19.2017.8.26.0602</t>
        </is>
      </c>
      <c r="E252" t="inlineStr">
        <is>
          <t>DEBTOR_LIST</t>
        </is>
      </c>
      <c r="F252" t="inlineStr">
        <is>
          <t>OK_NO_TOTALS</t>
        </is>
      </c>
      <c r="G252" s="19" t="inlineStr">
        <is>
          <t>https://violet-wolf-754008.hostingersite.com/wp-content/uploads/recuperacoes-judiciais/Ebramec/Embrac-1º-Edital-de-Credores.pdf</t>
        </is>
      </c>
      <c r="H252" t="inlineStr">
        <is>
          <t>p4 r15</t>
        </is>
      </c>
      <c r="I252" t="inlineStr">
        <is>
          <t>NO_DOCUMENT</t>
        </is>
      </c>
    </row>
    <row r="253">
      <c r="A253" t="inlineStr">
        <is>
          <t>IPIRANGA PRODUTOS DE PETROLEO S.A</t>
        </is>
      </c>
      <c r="B253" s="10" t="n">
        <v>762831.5</v>
      </c>
      <c r="C253" t="inlineStr">
        <is>
          <t>- Administração judicia</t>
        </is>
      </c>
      <c r="D253" t="inlineStr">
        <is>
          <t>1011783-19.2017.8.26.0602</t>
        </is>
      </c>
      <c r="E253" t="inlineStr">
        <is>
          <t>DEBTOR_LIST</t>
        </is>
      </c>
      <c r="F253" t="inlineStr">
        <is>
          <t>OK_NO_TOTALS</t>
        </is>
      </c>
      <c r="G253" s="19" t="inlineStr">
        <is>
          <t>https://violet-wolf-754008.hostingersite.com/wp-content/uploads/recuperacoes-judiciais/Ebramec/Embrac-1º-Edital-de-Credores.pdf</t>
        </is>
      </c>
      <c r="H253" t="inlineStr">
        <is>
          <t>p4 r86</t>
        </is>
      </c>
      <c r="I253" t="inlineStr">
        <is>
          <t>NO_DOCUMENT</t>
        </is>
      </c>
    </row>
    <row r="254">
      <c r="A254" t="inlineStr">
        <is>
          <t>COMPANHIA BRAS. DE SOLUCOES E SERVICOS</t>
        </is>
      </c>
      <c r="B254" s="10" t="n">
        <v>624130.83</v>
      </c>
      <c r="C254" t="inlineStr">
        <is>
          <t>- Administração judicia</t>
        </is>
      </c>
      <c r="D254" t="inlineStr">
        <is>
          <t>1011783-19.2017.8.26.0602</t>
        </is>
      </c>
      <c r="E254" t="inlineStr">
        <is>
          <t>DEBTOR_LIST</t>
        </is>
      </c>
      <c r="F254" t="inlineStr">
        <is>
          <t>OK_NO_TOTALS</t>
        </is>
      </c>
      <c r="G254" s="19" t="inlineStr">
        <is>
          <t>https://violet-wolf-754008.hostingersite.com/wp-content/uploads/recuperacoes-judiciais/Ebramec/Embrac-1º-Edital-de-Credores.pdf</t>
        </is>
      </c>
      <c r="H254" t="inlineStr">
        <is>
          <t>p4 r42</t>
        </is>
      </c>
      <c r="I254" t="inlineStr">
        <is>
          <t>NO_DOCUMENT</t>
        </is>
      </c>
    </row>
    <row r="255">
      <c r="A255" t="inlineStr">
        <is>
          <t>IPIRANGA PRODUTOS DE PETROLEO S.A</t>
        </is>
      </c>
      <c r="B255" s="10" t="n">
        <v>520480.5</v>
      </c>
      <c r="C255" t="inlineStr">
        <is>
          <t>- Administração judicia</t>
        </is>
      </c>
      <c r="D255" t="inlineStr">
        <is>
          <t>1011783-19.2017.8.26.0602</t>
        </is>
      </c>
      <c r="E255" t="inlineStr">
        <is>
          <t>DEBTOR_LIST</t>
        </is>
      </c>
      <c r="F255" t="inlineStr">
        <is>
          <t>OK_NO_TOTALS</t>
        </is>
      </c>
      <c r="G255" s="19" t="inlineStr">
        <is>
          <t>https://violet-wolf-754008.hostingersite.com/wp-content/uploads/recuperacoes-judiciais/Ebramec/Embrac-1º-Edital-de-Credores.pdf</t>
        </is>
      </c>
      <c r="H255" t="inlineStr">
        <is>
          <t>p4 r85</t>
        </is>
      </c>
      <c r="I255" t="inlineStr">
        <is>
          <t>NO_DOCUMENT</t>
        </is>
      </c>
    </row>
    <row r="256">
      <c r="A256" t="inlineStr">
        <is>
          <t>TREVO POSTO DE SERVIÇOS LTDA</t>
        </is>
      </c>
      <c r="B256" s="10" t="n">
        <v>401374.04</v>
      </c>
      <c r="C256" t="inlineStr">
        <is>
          <t>- Administração judicia</t>
        </is>
      </c>
      <c r="D256" t="inlineStr">
        <is>
          <t>1011783-19.2017.8.26.0602</t>
        </is>
      </c>
      <c r="E256" t="inlineStr">
        <is>
          <t>DEBTOR_LIST</t>
        </is>
      </c>
      <c r="F256" t="inlineStr">
        <is>
          <t>OK_NO_TOTALS</t>
        </is>
      </c>
      <c r="G256" s="19" t="inlineStr">
        <is>
          <t>https://violet-wolf-754008.hostingersite.com/wp-content/uploads/recuperacoes-judiciais/Ebramec/Embrac-1º-Edital-de-Credores.pdf</t>
        </is>
      </c>
      <c r="H256" t="inlineStr">
        <is>
          <t>p5 r15</t>
        </is>
      </c>
      <c r="I256" t="inlineStr">
        <is>
          <t>NO_DOCUMENT</t>
        </is>
      </c>
    </row>
    <row r="257">
      <c r="A257" t="inlineStr">
        <is>
          <t>UNIBANCO AIG SEGUROS S/A</t>
        </is>
      </c>
      <c r="B257" s="10" t="n">
        <v>310054</v>
      </c>
      <c r="C257" t="inlineStr">
        <is>
          <t>- Administração judicia</t>
        </is>
      </c>
      <c r="D257" t="inlineStr">
        <is>
          <t>1011783-19.2017.8.26.0602</t>
        </is>
      </c>
      <c r="E257" t="inlineStr">
        <is>
          <t>DEBTOR_LIST</t>
        </is>
      </c>
      <c r="F257" t="inlineStr">
        <is>
          <t>OK_NO_TOTALS</t>
        </is>
      </c>
      <c r="G257" s="19" t="inlineStr">
        <is>
          <t>https://violet-wolf-754008.hostingersite.com/wp-content/uploads/recuperacoes-judiciais/Ebramec/Embrac-1º-Edital-de-Credores.pdf</t>
        </is>
      </c>
      <c r="H257" t="inlineStr">
        <is>
          <t>p5 r17</t>
        </is>
      </c>
      <c r="I257" t="inlineStr">
        <is>
          <t>NO_DOCUMENT</t>
        </is>
      </c>
    </row>
    <row r="258">
      <c r="A258" t="inlineStr">
        <is>
          <t>PETROBRAS DISTRIBUIDORA</t>
        </is>
      </c>
      <c r="B258" s="10" t="n">
        <v>269557</v>
      </c>
      <c r="C258" t="inlineStr">
        <is>
          <t>- Administração judicia</t>
        </is>
      </c>
      <c r="D258" t="inlineStr">
        <is>
          <t>1011783-19.2017.8.26.0602</t>
        </is>
      </c>
      <c r="E258" t="inlineStr">
        <is>
          <t>DEBTOR_LIST</t>
        </is>
      </c>
      <c r="F258" t="inlineStr">
        <is>
          <t>OK_NO_TOTALS</t>
        </is>
      </c>
      <c r="G258" s="19" t="inlineStr">
        <is>
          <t>https://violet-wolf-754008.hostingersite.com/wp-content/uploads/recuperacoes-judiciais/Ebramec/Embrac-1º-Edital-de-Credores.pdf</t>
        </is>
      </c>
      <c r="H258" t="inlineStr">
        <is>
          <t>p4 r123</t>
        </is>
      </c>
      <c r="I258" t="inlineStr">
        <is>
          <t>NO_DOCUMENT</t>
        </is>
      </c>
    </row>
    <row r="259">
      <c r="A259" t="inlineStr">
        <is>
          <t>PETROBRAS DISTRIBUIDORA SA</t>
        </is>
      </c>
      <c r="B259" s="10" t="n">
        <v>208694</v>
      </c>
      <c r="C259" t="inlineStr">
        <is>
          <t>- Administração judicia</t>
        </is>
      </c>
      <c r="D259" t="inlineStr">
        <is>
          <t>1011783-19.2017.8.26.0602</t>
        </is>
      </c>
      <c r="E259" t="inlineStr">
        <is>
          <t>DEBTOR_LIST</t>
        </is>
      </c>
      <c r="F259" t="inlineStr">
        <is>
          <t>OK_NO_TOTALS</t>
        </is>
      </c>
      <c r="G259" s="19" t="inlineStr">
        <is>
          <t>https://violet-wolf-754008.hostingersite.com/wp-content/uploads/recuperacoes-judiciais/Ebramec/Embrac-1º-Edital-de-Credores.pdf</t>
        </is>
      </c>
      <c r="H259" t="inlineStr">
        <is>
          <t>p4 r124</t>
        </is>
      </c>
      <c r="I259" t="inlineStr">
        <is>
          <t>NO_DOCUMENT</t>
        </is>
      </c>
    </row>
    <row r="260">
      <c r="A260" t="inlineStr">
        <is>
          <t>BANCO VOLVO S.A</t>
        </is>
      </c>
      <c r="B260" s="10" t="n">
        <v>2567246.53</v>
      </c>
      <c r="C260" t="inlineStr">
        <is>
          <t>EMBRAC EMPRESA</t>
        </is>
      </c>
      <c r="D260" t="inlineStr">
        <is>
          <t>1004204-09.2020.8.26.0604</t>
        </is>
      </c>
      <c r="E260" t="inlineStr">
        <is>
          <t>QGC</t>
        </is>
      </c>
      <c r="F260" t="inlineStr">
        <is>
          <t>OK_NO_TOTALS</t>
        </is>
      </c>
      <c r="G260" s="19" t="inlineStr">
        <is>
          <t>https://violet-wolf-754008.hostingersite.com/wp-content/uploads/recuperacoes-judiciais/Ebramec/2o-Edital-de-Credores.pdf</t>
        </is>
      </c>
      <c r="H260" t="inlineStr">
        <is>
          <t>p2 r21</t>
        </is>
      </c>
      <c r="I260" t="inlineStr">
        <is>
          <t>NO_DOCUMENT</t>
        </is>
      </c>
    </row>
    <row r="261">
      <c r="A261" t="inlineStr">
        <is>
          <t>BANCO VOLVO S.A</t>
        </is>
      </c>
      <c r="B261" s="10" t="n">
        <v>2567246.53</v>
      </c>
      <c r="C261" t="inlineStr">
        <is>
          <t>EMBRAC EMPRESA</t>
        </is>
      </c>
      <c r="D261" t="inlineStr">
        <is>
          <t>1004204-09.2020.8.26.0604</t>
        </is>
      </c>
      <c r="E261" t="inlineStr">
        <is>
          <t>QGC</t>
        </is>
      </c>
      <c r="F261" t="inlineStr">
        <is>
          <t>OK_NO_TOTALS</t>
        </is>
      </c>
      <c r="G261" s="19" t="inlineStr">
        <is>
          <t>https://violet-wolf-754008.hostingersite.com/wp-content/uploads/recuperacoes-judiciais/Ebramec/2o-Edital-de-Credores.pdf</t>
        </is>
      </c>
      <c r="H261" t="inlineStr">
        <is>
          <t>p6 r21</t>
        </is>
      </c>
      <c r="I261" t="inlineStr">
        <is>
          <t>NO_DOCUMENT</t>
        </is>
      </c>
    </row>
    <row r="262">
      <c r="A262" t="inlineStr">
        <is>
          <t>ITAÚ UNIBANCO S.A</t>
        </is>
      </c>
      <c r="B262" s="10" t="n">
        <v>2078082.96</v>
      </c>
      <c r="C262" t="inlineStr">
        <is>
          <t>EMBRAC EMPRESA</t>
        </is>
      </c>
      <c r="D262" t="inlineStr">
        <is>
          <t>1004204-09.2020.8.26.0604</t>
        </is>
      </c>
      <c r="E262" t="inlineStr">
        <is>
          <t>QGC</t>
        </is>
      </c>
      <c r="F262" t="inlineStr">
        <is>
          <t>OK_NO_TOTALS</t>
        </is>
      </c>
      <c r="G262" s="19" t="inlineStr">
        <is>
          <t>https://violet-wolf-754008.hostingersite.com/wp-content/uploads/recuperacoes-judiciais/Ebramec/2o-Edital-de-Credores.pdf</t>
        </is>
      </c>
      <c r="H262" t="inlineStr">
        <is>
          <t>p2 r52</t>
        </is>
      </c>
      <c r="I262" t="inlineStr">
        <is>
          <t>NO_DOCUMENT</t>
        </is>
      </c>
    </row>
    <row r="263">
      <c r="A263" t="inlineStr">
        <is>
          <t>ITAÚ UNIBANCO S.A</t>
        </is>
      </c>
      <c r="B263" s="10" t="n">
        <v>2078082.96</v>
      </c>
      <c r="C263" t="inlineStr">
        <is>
          <t>EMBRAC EMPRESA</t>
        </is>
      </c>
      <c r="D263" t="inlineStr">
        <is>
          <t>1004204-09.2020.8.26.0604</t>
        </is>
      </c>
      <c r="E263" t="inlineStr">
        <is>
          <t>QGC</t>
        </is>
      </c>
      <c r="F263" t="inlineStr">
        <is>
          <t>OK_NO_TOTALS</t>
        </is>
      </c>
      <c r="G263" s="19" t="inlineStr">
        <is>
          <t>https://violet-wolf-754008.hostingersite.com/wp-content/uploads/recuperacoes-judiciais/Ebramec/2o-Edital-de-Credores.pdf</t>
        </is>
      </c>
      <c r="H263" t="inlineStr">
        <is>
          <t>p6 r52</t>
        </is>
      </c>
      <c r="I263" t="inlineStr">
        <is>
          <t>NO_DOCUMENT</t>
        </is>
      </c>
    </row>
    <row r="264">
      <c r="A264" t="inlineStr">
        <is>
          <t>BANCO PACCAR S.A</t>
        </is>
      </c>
      <c r="B264" s="10" t="n">
        <v>1467668.06</v>
      </c>
      <c r="C264" t="inlineStr">
        <is>
          <t>EMBRAC EMPRESA</t>
        </is>
      </c>
      <c r="D264" t="inlineStr">
        <is>
          <t>1004204-09.2020.8.26.0604</t>
        </is>
      </c>
      <c r="E264" t="inlineStr">
        <is>
          <t>QGC</t>
        </is>
      </c>
      <c r="F264" t="inlineStr">
        <is>
          <t>OK_NO_TOTALS</t>
        </is>
      </c>
      <c r="G264" s="19" t="inlineStr">
        <is>
          <t>https://violet-wolf-754008.hostingersite.com/wp-content/uploads/recuperacoes-judiciais/Ebramec/2o-Edital-de-Credores.pdf</t>
        </is>
      </c>
      <c r="H264" t="inlineStr">
        <is>
          <t>p2 r20</t>
        </is>
      </c>
      <c r="I264" t="inlineStr">
        <is>
          <t>NO_DOCUMENT</t>
        </is>
      </c>
    </row>
    <row r="265">
      <c r="A265" t="inlineStr">
        <is>
          <t>BANCO PACCAR S.A</t>
        </is>
      </c>
      <c r="B265" s="10" t="n">
        <v>1467668.06</v>
      </c>
      <c r="C265" t="inlineStr">
        <is>
          <t>EMBRAC EMPRESA</t>
        </is>
      </c>
      <c r="D265" t="inlineStr">
        <is>
          <t>1004204-09.2020.8.26.0604</t>
        </is>
      </c>
      <c r="E265" t="inlineStr">
        <is>
          <t>QGC</t>
        </is>
      </c>
      <c r="F265" t="inlineStr">
        <is>
          <t>OK_NO_TOTALS</t>
        </is>
      </c>
      <c r="G265" s="19" t="inlineStr">
        <is>
          <t>https://violet-wolf-754008.hostingersite.com/wp-content/uploads/recuperacoes-judiciais/Ebramec/2o-Edital-de-Credores.pdf</t>
        </is>
      </c>
      <c r="H265" t="inlineStr">
        <is>
          <t>p6 r20</t>
        </is>
      </c>
      <c r="I265" t="inlineStr">
        <is>
          <t>NO_DOCUMENT</t>
        </is>
      </c>
    </row>
    <row r="266">
      <c r="A266" t="inlineStr">
        <is>
          <t>GOODYEAR DO BRASIL PRODUTOS DE BORRACHA LTDA</t>
        </is>
      </c>
      <c r="B266" s="10" t="n">
        <v>1454592.03</v>
      </c>
      <c r="C266" t="inlineStr">
        <is>
          <t>EMBRAC EMPRESA</t>
        </is>
      </c>
      <c r="D266" t="inlineStr">
        <is>
          <t>1004204-09.2020.8.26.0604</t>
        </is>
      </c>
      <c r="E266" t="inlineStr">
        <is>
          <t>QGC</t>
        </is>
      </c>
      <c r="F266" t="inlineStr">
        <is>
          <t>OK_NO_TOTALS</t>
        </is>
      </c>
      <c r="G266" s="19" t="inlineStr">
        <is>
          <t>https://violet-wolf-754008.hostingersite.com/wp-content/uploads/recuperacoes-judiciais/Ebramec/2o-Edital-de-Credores.pdf</t>
        </is>
      </c>
      <c r="H266" t="inlineStr">
        <is>
          <t>p2 r46</t>
        </is>
      </c>
      <c r="I266" t="inlineStr">
        <is>
          <t>NO_DOCUMENT</t>
        </is>
      </c>
    </row>
    <row r="267">
      <c r="A267" t="inlineStr">
        <is>
          <t>GOODYEAR DO BRASIL PRODUTOS DE BORRACHA LTDA</t>
        </is>
      </c>
      <c r="B267" s="10" t="n">
        <v>1454592.03</v>
      </c>
      <c r="C267" t="inlineStr">
        <is>
          <t>EMBRAC EMPRESA</t>
        </is>
      </c>
      <c r="D267" t="inlineStr">
        <is>
          <t>1004204-09.2020.8.26.0604</t>
        </is>
      </c>
      <c r="E267" t="inlineStr">
        <is>
          <t>QGC</t>
        </is>
      </c>
      <c r="F267" t="inlineStr">
        <is>
          <t>OK_NO_TOTALS</t>
        </is>
      </c>
      <c r="G267" s="19" t="inlineStr">
        <is>
          <t>https://violet-wolf-754008.hostingersite.com/wp-content/uploads/recuperacoes-judiciais/Ebramec/2o-Edital-de-Credores.pdf</t>
        </is>
      </c>
      <c r="H267" t="inlineStr">
        <is>
          <t>p6 r46</t>
        </is>
      </c>
      <c r="I267" t="inlineStr">
        <is>
          <t>NO_DOCUMENT</t>
        </is>
      </c>
    </row>
    <row r="268">
      <c r="A268" t="inlineStr">
        <is>
          <t>PETROBRAS DISTRIBUIDORA S.A</t>
        </is>
      </c>
      <c r="B268" s="10" t="n">
        <v>491986.1</v>
      </c>
      <c r="C268" t="inlineStr">
        <is>
          <t>EMBRAC EMPRESA</t>
        </is>
      </c>
      <c r="D268" t="inlineStr">
        <is>
          <t>1004204-09.2020.8.26.0604</t>
        </is>
      </c>
      <c r="E268" t="inlineStr">
        <is>
          <t>QGC</t>
        </is>
      </c>
      <c r="F268" t="inlineStr">
        <is>
          <t>OK_NO_TOTALS</t>
        </is>
      </c>
      <c r="G268" s="19" t="inlineStr">
        <is>
          <t>https://violet-wolf-754008.hostingersite.com/wp-content/uploads/recuperacoes-judiciais/Ebramec/2o-Edital-de-Credores.pdf</t>
        </is>
      </c>
      <c r="H268" t="inlineStr">
        <is>
          <t>p2 r69</t>
        </is>
      </c>
      <c r="I268" t="inlineStr">
        <is>
          <t>NO_DOCUMENT</t>
        </is>
      </c>
    </row>
    <row r="269">
      <c r="A269" t="inlineStr">
        <is>
          <t>PETROBRAS DISTRIBUIDORA S.A</t>
        </is>
      </c>
      <c r="B269" s="10" t="n">
        <v>491986.1</v>
      </c>
      <c r="C269" t="inlineStr">
        <is>
          <t>EMBRAC EMPRESA</t>
        </is>
      </c>
      <c r="D269" t="inlineStr">
        <is>
          <t>1004204-09.2020.8.26.0604</t>
        </is>
      </c>
      <c r="E269" t="inlineStr">
        <is>
          <t>QGC</t>
        </is>
      </c>
      <c r="F269" t="inlineStr">
        <is>
          <t>OK_NO_TOTALS</t>
        </is>
      </c>
      <c r="G269" s="19" t="inlineStr">
        <is>
          <t>https://violet-wolf-754008.hostingersite.com/wp-content/uploads/recuperacoes-judiciais/Ebramec/2o-Edital-de-Credores.pdf</t>
        </is>
      </c>
      <c r="H269" t="inlineStr">
        <is>
          <t>p6 r69</t>
        </is>
      </c>
      <c r="I269" t="inlineStr">
        <is>
          <t>NO_DOCUMENT</t>
        </is>
      </c>
    </row>
    <row r="270">
      <c r="A270" t="inlineStr">
        <is>
          <t>BANCO DO BRASIL S.A</t>
        </is>
      </c>
      <c r="B270" s="10" t="n">
        <v>422016.86</v>
      </c>
      <c r="C270" t="inlineStr">
        <is>
          <t>EMBRAC EMPRESA</t>
        </is>
      </c>
      <c r="D270" t="inlineStr">
        <is>
          <t>1004204-09.2020.8.26.0604</t>
        </is>
      </c>
      <c r="E270" t="inlineStr">
        <is>
          <t>QGC</t>
        </is>
      </c>
      <c r="F270" t="inlineStr">
        <is>
          <t>OK_NO_TOTALS</t>
        </is>
      </c>
      <c r="G270" s="19" t="inlineStr">
        <is>
          <t>https://violet-wolf-754008.hostingersite.com/wp-content/uploads/recuperacoes-judiciais/Ebramec/2o-Edital-de-Credores.pdf</t>
        </is>
      </c>
      <c r="H270" t="inlineStr">
        <is>
          <t>p2 r19</t>
        </is>
      </c>
      <c r="I270" t="inlineStr">
        <is>
          <t>NO_DOCUMENT</t>
        </is>
      </c>
    </row>
    <row r="271">
      <c r="A271" t="inlineStr">
        <is>
          <t>BANCO DO BRASIL S.A</t>
        </is>
      </c>
      <c r="B271" s="10" t="n">
        <v>422016.86</v>
      </c>
      <c r="C271" t="inlineStr">
        <is>
          <t>EMBRAC EMPRESA</t>
        </is>
      </c>
      <c r="D271" t="inlineStr">
        <is>
          <t>1004204-09.2020.8.26.0604</t>
        </is>
      </c>
      <c r="E271" t="inlineStr">
        <is>
          <t>QGC</t>
        </is>
      </c>
      <c r="F271" t="inlineStr">
        <is>
          <t>OK_NO_TOTALS</t>
        </is>
      </c>
      <c r="G271" s="19" t="inlineStr">
        <is>
          <t>https://violet-wolf-754008.hostingersite.com/wp-content/uploads/recuperacoes-judiciais/Ebramec/2o-Edital-de-Credores.pdf</t>
        </is>
      </c>
      <c r="H271" t="inlineStr">
        <is>
          <t>p6 r19</t>
        </is>
      </c>
      <c r="I271" t="inlineStr">
        <is>
          <t>NO_DOCUMENT</t>
        </is>
      </c>
    </row>
    <row r="272">
      <c r="A272" t="inlineStr">
        <is>
          <t>Espólio de Victor Mauricio Notrica</t>
        </is>
      </c>
      <c r="B272" s="10" t="n">
        <v>902775.13</v>
      </c>
      <c r="C272" t="inlineStr">
        <is>
          <t>SOCIEDADES COLÉGIO MIGUEL COUTO LTDA</t>
        </is>
      </c>
      <c r="D272" t="inlineStr">
        <is>
          <t>0020395-10.2020.8.19.0001</t>
        </is>
      </c>
      <c r="E272" t="inlineStr">
        <is>
          <t>AJ_LIST</t>
        </is>
      </c>
      <c r="F272" t="inlineStr">
        <is>
          <t>OK</t>
        </is>
      </c>
      <c r="G272" s="19" t="inlineStr">
        <is>
          <t>https://inova-aj.com.br/wp-content/uploads/2020/04/Relação-de-Credores-Grupo-Miguel-Couto-Art.-7º§2º-LRE.pdf</t>
        </is>
      </c>
      <c r="H272" t="inlineStr">
        <is>
          <t>p24 r19</t>
        </is>
      </c>
      <c r="I272" t="inlineStr">
        <is>
          <t>NO_DOCUMENT</t>
        </is>
      </c>
    </row>
    <row r="273">
      <c r="A273" t="inlineStr">
        <is>
          <t>Espólio de Octacilio Ribeiro Lessa</t>
        </is>
      </c>
      <c r="B273" s="10" t="n">
        <v>762353.52</v>
      </c>
      <c r="C273" t="inlineStr">
        <is>
          <t>SOCIEDADES COLÉGIO MIGUEL COUTO LTDA</t>
        </is>
      </c>
      <c r="D273" t="inlineStr">
        <is>
          <t>0020395-10.2020.8.19.0001</t>
        </is>
      </c>
      <c r="E273" t="inlineStr">
        <is>
          <t>AJ_LIST</t>
        </is>
      </c>
      <c r="F273" t="inlineStr">
        <is>
          <t>OK</t>
        </is>
      </c>
      <c r="G273" s="19" t="inlineStr">
        <is>
          <t>https://inova-aj.com.br/wp-content/uploads/2020/04/Relação-de-Credores-Grupo-Miguel-Couto-Art.-7º§2º-LRE.pdf</t>
        </is>
      </c>
      <c r="H273" t="inlineStr">
        <is>
          <t>p24 r17</t>
        </is>
      </c>
      <c r="I273" t="inlineStr">
        <is>
          <t>NO_DOCUMENT</t>
        </is>
      </c>
    </row>
    <row r="274">
      <c r="A274" t="inlineStr">
        <is>
          <t>Espólio de Rubem Domingues da Silva</t>
        </is>
      </c>
      <c r="B274" s="10" t="n">
        <v>760517.76</v>
      </c>
      <c r="C274" t="inlineStr">
        <is>
          <t>SOCIEDADES COLÉGIO MIGUEL COUTO LTDA</t>
        </is>
      </c>
      <c r="D274" t="inlineStr">
        <is>
          <t>0020395-10.2020.8.19.0001</t>
        </is>
      </c>
      <c r="E274" t="inlineStr">
        <is>
          <t>AJ_LIST</t>
        </is>
      </c>
      <c r="F274" t="inlineStr">
        <is>
          <t>OK</t>
        </is>
      </c>
      <c r="G274" s="19" t="inlineStr">
        <is>
          <t>https://inova-aj.com.br/wp-content/uploads/2020/04/Relação-de-Credores-Grupo-Miguel-Couto-Art.-7º§2º-LRE.pdf</t>
        </is>
      </c>
      <c r="H274" t="inlineStr">
        <is>
          <t>p24 r18</t>
        </is>
      </c>
      <c r="I274" t="inlineStr">
        <is>
          <t>NO_DOCUMENT</t>
        </is>
      </c>
    </row>
    <row r="275">
      <c r="A275" t="inlineStr">
        <is>
          <t>Fernando dos Santos Loureiro</t>
        </is>
      </c>
      <c r="B275" s="10" t="n">
        <v>540453.11</v>
      </c>
      <c r="C275" t="inlineStr">
        <is>
          <t>SOCIEDADES COLÉGIO MIGUEL COUTO LTDA</t>
        </is>
      </c>
      <c r="D275" t="inlineStr">
        <is>
          <t>0020395-10.2020.8.19.0001</t>
        </is>
      </c>
      <c r="E275" t="inlineStr">
        <is>
          <t>AJ_LIST</t>
        </is>
      </c>
      <c r="F275" t="inlineStr">
        <is>
          <t>OK</t>
        </is>
      </c>
      <c r="G275" s="19" t="inlineStr">
        <is>
          <t>https://inova-aj.com.br/wp-content/uploads/2020/04/Relação-de-Credores-Grupo-Miguel-Couto-Art.-7º§2º-LRE.pdf</t>
        </is>
      </c>
      <c r="H275" t="inlineStr">
        <is>
          <t>p24 r20</t>
        </is>
      </c>
      <c r="I275" t="inlineStr">
        <is>
          <t>NO_DOCUMENT</t>
        </is>
      </c>
    </row>
    <row r="276">
      <c r="A276" t="inlineStr">
        <is>
          <t>Vicente Lo Prete</t>
        </is>
      </c>
      <c r="B276" s="10" t="n">
        <v>484971.08</v>
      </c>
      <c r="C276" t="inlineStr">
        <is>
          <t>SOCIEDADES COLÉGIO MIGUEL COUTO LTDA</t>
        </is>
      </c>
      <c r="D276" t="inlineStr">
        <is>
          <t>0020395-10.2020.8.19.0001</t>
        </is>
      </c>
      <c r="E276" t="inlineStr">
        <is>
          <t>AJ_LIST</t>
        </is>
      </c>
      <c r="F276" t="inlineStr">
        <is>
          <t>OK</t>
        </is>
      </c>
      <c r="G276" s="19" t="inlineStr">
        <is>
          <t>https://inova-aj.com.br/wp-content/uploads/2020/04/Relação-de-Credores-Grupo-Miguel-Couto-Art.-7º§2º-LRE.pdf</t>
        </is>
      </c>
      <c r="H276" t="inlineStr">
        <is>
          <t>p25 r8</t>
        </is>
      </c>
      <c r="I276" t="inlineStr">
        <is>
          <t>NO_DOCUMENT</t>
        </is>
      </c>
    </row>
    <row r="277">
      <c r="A277" t="inlineStr">
        <is>
          <t>Espólio de Mauro Alvim Godoy</t>
        </is>
      </c>
      <c r="B277" s="10" t="n">
        <v>473029.48</v>
      </c>
      <c r="C277" t="inlineStr">
        <is>
          <t>SOCIEDADES COLÉGIO MIGUEL COUTO LTDA</t>
        </is>
      </c>
      <c r="D277" t="inlineStr">
        <is>
          <t>0020395-10.2020.8.19.0001</t>
        </is>
      </c>
      <c r="E277" t="inlineStr">
        <is>
          <t>AJ_LIST</t>
        </is>
      </c>
      <c r="F277" t="inlineStr">
        <is>
          <t>OK</t>
        </is>
      </c>
      <c r="G277" s="19" t="inlineStr">
        <is>
          <t>https://inova-aj.com.br/wp-content/uploads/2020/04/Relação-de-Credores-Grupo-Miguel-Couto-Art.-7º§2º-LRE.pdf</t>
        </is>
      </c>
      <c r="H277" t="inlineStr">
        <is>
          <t>p24 r16</t>
        </is>
      </c>
      <c r="I277" t="inlineStr">
        <is>
          <t>NO_DOCUMENT</t>
        </is>
      </c>
    </row>
    <row r="278">
      <c r="A278" t="inlineStr">
        <is>
          <t>John Erik Gustafson</t>
        </is>
      </c>
      <c r="B278" s="10" t="n">
        <v>473029.48</v>
      </c>
      <c r="C278" t="inlineStr">
        <is>
          <t>SOCIEDADES COLÉGIO MIGUEL COUTO LTDA</t>
        </is>
      </c>
      <c r="D278" t="inlineStr">
        <is>
          <t>0020395-10.2020.8.19.0001</t>
        </is>
      </c>
      <c r="E278" t="inlineStr">
        <is>
          <t>AJ_LIST</t>
        </is>
      </c>
      <c r="F278" t="inlineStr">
        <is>
          <t>OK</t>
        </is>
      </c>
      <c r="G278" s="19" t="inlineStr">
        <is>
          <t>https://inova-aj.com.br/wp-content/uploads/2020/04/Relação-de-Credores-Grupo-Miguel-Couto-Art.-7º§2º-LRE.pdf</t>
        </is>
      </c>
      <c r="H278" t="inlineStr">
        <is>
          <t>p24 r25</t>
        </is>
      </c>
      <c r="I278" t="inlineStr">
        <is>
          <t>NO_DOCUMENT</t>
        </is>
      </c>
    </row>
    <row r="279">
      <c r="A279" t="inlineStr">
        <is>
          <t>Vinicius Nunes da Silva</t>
        </is>
      </c>
      <c r="B279" s="10" t="n">
        <v>473029.48</v>
      </c>
      <c r="C279" t="inlineStr">
        <is>
          <t>SOCIEDADES COLÉGIO MIGUEL COUTO LTDA</t>
        </is>
      </c>
      <c r="D279" t="inlineStr">
        <is>
          <t>0020395-10.2020.8.19.0001</t>
        </is>
      </c>
      <c r="E279" t="inlineStr">
        <is>
          <t>AJ_LIST</t>
        </is>
      </c>
      <c r="F279" t="inlineStr">
        <is>
          <t>OK</t>
        </is>
      </c>
      <c r="G279" s="19" t="inlineStr">
        <is>
          <t>https://inova-aj.com.br/wp-content/uploads/2020/04/Relação-de-Credores-Grupo-Miguel-Couto-Art.-7º§2º-LRE.pdf</t>
        </is>
      </c>
      <c r="H279" t="inlineStr">
        <is>
          <t>p25 r10</t>
        </is>
      </c>
      <c r="I279" t="inlineStr">
        <is>
          <t>NO_DOCUMENT</t>
        </is>
      </c>
    </row>
    <row r="280">
      <c r="A280" t="inlineStr">
        <is>
          <t>Simel Serviços Contábeis Ltda</t>
        </is>
      </c>
      <c r="B280" s="10" t="n">
        <v>450394.44</v>
      </c>
      <c r="C280" t="inlineStr">
        <is>
          <t>SOCIEDADES COLÉGIO MIGUEL COUTO LTDA</t>
        </is>
      </c>
      <c r="D280" t="inlineStr">
        <is>
          <t>0020395-10.2020.8.19.0001</t>
        </is>
      </c>
      <c r="E280" t="inlineStr">
        <is>
          <t>AJ_LIST</t>
        </is>
      </c>
      <c r="F280" t="inlineStr">
        <is>
          <t>OK</t>
        </is>
      </c>
      <c r="G280" s="19" t="inlineStr">
        <is>
          <t>https://inova-aj.com.br/wp-content/uploads/2020/04/Relação-de-Credores-Grupo-Miguel-Couto-Art.-7º§2º-LRE.pdf</t>
        </is>
      </c>
      <c r="H280" t="inlineStr">
        <is>
          <t>p25 r1</t>
        </is>
      </c>
      <c r="I280" t="inlineStr">
        <is>
          <t>NO_DOCUMENT</t>
        </is>
      </c>
    </row>
    <row r="281">
      <c r="A281" t="inlineStr">
        <is>
          <t>Adelia Goldstein Maluhy Fernandes</t>
        </is>
      </c>
      <c r="B281" s="10" t="n">
        <v>434144.9</v>
      </c>
      <c r="C281" t="inlineStr">
        <is>
          <t>SOCIEDADES COLÉGIO MIGUEL COUTO LTDA</t>
        </is>
      </c>
      <c r="D281" t="inlineStr">
        <is>
          <t>0020395-10.2020.8.19.0001</t>
        </is>
      </c>
      <c r="E281" t="inlineStr">
        <is>
          <t>AJ_LIST</t>
        </is>
      </c>
      <c r="F281" t="inlineStr">
        <is>
          <t>OK</t>
        </is>
      </c>
      <c r="G281" s="19" t="inlineStr">
        <is>
          <t>https://inova-aj.com.br/wp-content/uploads/2020/04/Relação-de-Credores-Grupo-Miguel-Couto-Art.-7º§2º-LRE.pdf</t>
        </is>
      </c>
      <c r="H281" t="inlineStr">
        <is>
          <t>p24 r1</t>
        </is>
      </c>
      <c r="I281" t="inlineStr">
        <is>
          <t>NO_DOCUMENT</t>
        </is>
      </c>
    </row>
    <row r="282">
      <c r="A282" t="inlineStr">
        <is>
          <t>Espólio de Eduardo Lemos Goldstein</t>
        </is>
      </c>
      <c r="B282" s="10" t="n">
        <v>434144.9</v>
      </c>
      <c r="C282" t="inlineStr">
        <is>
          <t>SOCIEDADES COLÉGIO MIGUEL COUTO LTDA</t>
        </is>
      </c>
      <c r="D282" t="inlineStr">
        <is>
          <t>0020395-10.2020.8.19.0001</t>
        </is>
      </c>
      <c r="E282" t="inlineStr">
        <is>
          <t>AJ_LIST</t>
        </is>
      </c>
      <c r="F282" t="inlineStr">
        <is>
          <t>OK</t>
        </is>
      </c>
      <c r="G282" s="19" t="inlineStr">
        <is>
          <t>https://inova-aj.com.br/wp-content/uploads/2020/04/Relação-de-Credores-Grupo-Miguel-Couto-Art.-7º§2º-LRE.pdf</t>
        </is>
      </c>
      <c r="H282" t="inlineStr">
        <is>
          <t>p24 r15</t>
        </is>
      </c>
      <c r="I282" t="inlineStr">
        <is>
          <t>NO_DOCUMENT</t>
        </is>
      </c>
    </row>
    <row r="283">
      <c r="A283" t="inlineStr">
        <is>
          <t>GM Administradora de Imóveis</t>
        </is>
      </c>
      <c r="B283" s="10" t="n">
        <v>421700.66</v>
      </c>
      <c r="C283" t="inlineStr">
        <is>
          <t>SOCIEDADES COLÉGIO MIGUEL COUTO LTDA</t>
        </is>
      </c>
      <c r="D283" t="inlineStr">
        <is>
          <t>0020395-10.2020.8.19.0001</t>
        </is>
      </c>
      <c r="E283" t="inlineStr">
        <is>
          <t>AJ_LIST</t>
        </is>
      </c>
      <c r="F283" t="inlineStr">
        <is>
          <t>OK</t>
        </is>
      </c>
      <c r="G283" s="19" t="inlineStr">
        <is>
          <t>https://inova-aj.com.br/wp-content/uploads/2020/04/Relação-de-Credores-Grupo-Miguel-Couto-Art.-7º§2º-LRE.pdf</t>
        </is>
      </c>
      <c r="H283" t="inlineStr">
        <is>
          <t>p24 r23</t>
        </is>
      </c>
      <c r="I283" t="inlineStr">
        <is>
          <t>NO_DOCUMENT</t>
        </is>
      </c>
    </row>
    <row r="284">
      <c r="A284" t="inlineStr">
        <is>
          <t>Espólio de Mauro Alvim Godoy</t>
        </is>
      </c>
      <c r="B284" s="10" t="n">
        <v>404804.4</v>
      </c>
      <c r="C284" t="inlineStr">
        <is>
          <t>SOCIEDADES COLÉGIO MIGUEL COUTO LTDA</t>
        </is>
      </c>
      <c r="D284" t="inlineStr">
        <is>
          <t>0020395-10.2020.8.19.0001</t>
        </is>
      </c>
      <c r="E284" t="inlineStr">
        <is>
          <t>AJ_LIST</t>
        </is>
      </c>
      <c r="F284" t="inlineStr">
        <is>
          <t>OK</t>
        </is>
      </c>
      <c r="G284" s="19" t="inlineStr">
        <is>
          <t>https://inova-aj.com.br/wp-content/uploads/2020/04/Relação-de-Credores-Grupo-Miguel-Couto-Art.-7º§2º-LRE.pdf</t>
        </is>
      </c>
      <c r="H284" t="inlineStr">
        <is>
          <t>p10 r12</t>
        </is>
      </c>
      <c r="I284" t="inlineStr">
        <is>
          <t>NO_DOCUMENT</t>
        </is>
      </c>
    </row>
    <row r="285">
      <c r="A285" t="inlineStr">
        <is>
          <t>Espólio de Rubem Domingues da Silva</t>
        </is>
      </c>
      <c r="B285" s="10" t="n">
        <v>404804.4</v>
      </c>
      <c r="C285" t="inlineStr">
        <is>
          <t>SOCIEDADES COLÉGIO MIGUEL COUTO LTDA</t>
        </is>
      </c>
      <c r="D285" t="inlineStr">
        <is>
          <t>0020395-10.2020.8.19.0001</t>
        </is>
      </c>
      <c r="E285" t="inlineStr">
        <is>
          <t>AJ_LIST</t>
        </is>
      </c>
      <c r="F285" t="inlineStr">
        <is>
          <t>OK</t>
        </is>
      </c>
      <c r="G285" s="19" t="inlineStr">
        <is>
          <t>https://inova-aj.com.br/wp-content/uploads/2020/04/Relação-de-Credores-Grupo-Miguel-Couto-Art.-7º§2º-LRE.pdf</t>
        </is>
      </c>
      <c r="H285" t="inlineStr">
        <is>
          <t>p10 r14</t>
        </is>
      </c>
      <c r="I285" t="inlineStr">
        <is>
          <t>NO_DOCUMENT</t>
        </is>
      </c>
    </row>
    <row r="286">
      <c r="A286" t="inlineStr">
        <is>
          <t>John Erik Gustafson</t>
        </is>
      </c>
      <c r="B286" s="10" t="n">
        <v>404804.4</v>
      </c>
      <c r="C286" t="inlineStr">
        <is>
          <t>SOCIEDADES COLÉGIO MIGUEL COUTO LTDA</t>
        </is>
      </c>
      <c r="D286" t="inlineStr">
        <is>
          <t>0020395-10.2020.8.19.0001</t>
        </is>
      </c>
      <c r="E286" t="inlineStr">
        <is>
          <t>AJ_LIST</t>
        </is>
      </c>
      <c r="F286" t="inlineStr">
        <is>
          <t>OK</t>
        </is>
      </c>
      <c r="G286" s="19" t="inlineStr">
        <is>
          <t>https://inova-aj.com.br/wp-content/uploads/2020/04/Relação-de-Credores-Grupo-Miguel-Couto-Art.-7º§2º-LRE.pdf</t>
        </is>
      </c>
      <c r="H286" t="inlineStr">
        <is>
          <t>p10 r19</t>
        </is>
      </c>
      <c r="I286" t="inlineStr">
        <is>
          <t>NO_DOCUMENT</t>
        </is>
      </c>
    </row>
    <row r="287">
      <c r="A287" t="inlineStr">
        <is>
          <t>Vicente Lo Prete</t>
        </is>
      </c>
      <c r="B287" s="10" t="n">
        <v>404804.4</v>
      </c>
      <c r="C287" t="inlineStr">
        <is>
          <t>SOCIEDADES COLÉGIO MIGUEL COUTO LTDA</t>
        </is>
      </c>
      <c r="D287" t="inlineStr">
        <is>
          <t>0020395-10.2020.8.19.0001</t>
        </is>
      </c>
      <c r="E287" t="inlineStr">
        <is>
          <t>AJ_LIST</t>
        </is>
      </c>
      <c r="F287" t="inlineStr">
        <is>
          <t>OK</t>
        </is>
      </c>
      <c r="G287" s="19" t="inlineStr">
        <is>
          <t>https://inova-aj.com.br/wp-content/uploads/2020/04/Relação-de-Credores-Grupo-Miguel-Couto-Art.-7º§2º-LRE.pdf</t>
        </is>
      </c>
      <c r="H287" t="inlineStr">
        <is>
          <t>p10 r31</t>
        </is>
      </c>
      <c r="I287" t="inlineStr">
        <is>
          <t>NO_DOCUMENT</t>
        </is>
      </c>
    </row>
    <row r="288">
      <c r="A288" t="inlineStr">
        <is>
          <t>Vinicius Nunes da Silva</t>
        </is>
      </c>
      <c r="B288" s="10" t="n">
        <v>404804.4</v>
      </c>
      <c r="C288" t="inlineStr">
        <is>
          <t>SOCIEDADES COLÉGIO MIGUEL COUTO LTDA</t>
        </is>
      </c>
      <c r="D288" t="inlineStr">
        <is>
          <t>0020395-10.2020.8.19.0001</t>
        </is>
      </c>
      <c r="E288" t="inlineStr">
        <is>
          <t>AJ_LIST</t>
        </is>
      </c>
      <c r="F288" t="inlineStr">
        <is>
          <t>OK</t>
        </is>
      </c>
      <c r="G288" s="19" t="inlineStr">
        <is>
          <t>https://inova-aj.com.br/wp-content/uploads/2020/04/Relação-de-Credores-Grupo-Miguel-Couto-Art.-7º§2º-LRE.pdf</t>
        </is>
      </c>
      <c r="H288" t="inlineStr">
        <is>
          <t>p10 r32</t>
        </is>
      </c>
      <c r="I288" t="inlineStr">
        <is>
          <t>NO_DOCUMENT</t>
        </is>
      </c>
    </row>
    <row r="289">
      <c r="A289" t="inlineStr">
        <is>
          <t>Espólio de David Goldstein</t>
        </is>
      </c>
      <c r="B289" s="10" t="n">
        <v>395259.12</v>
      </c>
      <c r="C289" t="inlineStr">
        <is>
          <t>SOCIEDADES COLÉGIO MIGUEL COUTO LTDA</t>
        </is>
      </c>
      <c r="D289" t="inlineStr">
        <is>
          <t>0020395-10.2020.8.19.0001</t>
        </is>
      </c>
      <c r="E289" t="inlineStr">
        <is>
          <t>AJ_LIST</t>
        </is>
      </c>
      <c r="F289" t="inlineStr">
        <is>
          <t>OK</t>
        </is>
      </c>
      <c r="G289" s="19" t="inlineStr">
        <is>
          <t>https://inova-aj.com.br/wp-content/uploads/2020/04/Relação-de-Credores-Grupo-Miguel-Couto-Art.-7º§2º-LRE.pdf</t>
        </is>
      </c>
      <c r="H289" t="inlineStr">
        <is>
          <t>p24 r14</t>
        </is>
      </c>
      <c r="I289" t="inlineStr">
        <is>
          <t>NO_DOCUMENT</t>
        </is>
      </c>
    </row>
    <row r="290">
      <c r="A290" t="inlineStr">
        <is>
          <t>Leny de Almeida Andrade</t>
        </is>
      </c>
      <c r="B290" s="10" t="n">
        <v>380259.12</v>
      </c>
      <c r="C290" t="inlineStr">
        <is>
          <t>SOCIEDADES COLÉGIO MIGUEL COUTO LTDA</t>
        </is>
      </c>
      <c r="D290" t="inlineStr">
        <is>
          <t>0020395-10.2020.8.19.0001</t>
        </is>
      </c>
      <c r="E290" t="inlineStr">
        <is>
          <t>AJ_LIST</t>
        </is>
      </c>
      <c r="F290" t="inlineStr">
        <is>
          <t>OK</t>
        </is>
      </c>
      <c r="G290" s="19" t="inlineStr">
        <is>
          <t>https://inova-aj.com.br/wp-content/uploads/2020/04/Relação-de-Credores-Grupo-Miguel-Couto-Art.-7º§2º-LRE.pdf</t>
        </is>
      </c>
      <c r="H290" t="inlineStr">
        <is>
          <t>p24 r26</t>
        </is>
      </c>
      <c r="I290" t="inlineStr">
        <is>
          <t>NO_DOCUMENT</t>
        </is>
      </c>
    </row>
    <row r="291">
      <c r="A291" t="inlineStr">
        <is>
          <t>ESPÓLIO DE ANDRÉ LUIZ LOPES DA SILVA E ELIANA MARTA SALGADO RIBEIRO</t>
        </is>
      </c>
      <c r="B291" s="10" t="n">
        <v>351238.29</v>
      </c>
      <c r="C291" t="inlineStr">
        <is>
          <t>SOCIEDADES COLÉGIO MIGUEL COUTO LTDA</t>
        </is>
      </c>
      <c r="D291" t="inlineStr">
        <is>
          <t>0020395-10.2020.8.19.0001</t>
        </is>
      </c>
      <c r="E291" t="inlineStr">
        <is>
          <t>AJ_LIST</t>
        </is>
      </c>
      <c r="F291" t="inlineStr">
        <is>
          <t>OK</t>
        </is>
      </c>
      <c r="G291" s="19" t="inlineStr">
        <is>
          <t>https://inova-aj.com.br/wp-content/uploads/2020/04/Relação-de-Credores-Grupo-Miguel-Couto-Art.-7º§2º-LRE.pdf</t>
        </is>
      </c>
      <c r="H291" t="inlineStr">
        <is>
          <t>p24 r5</t>
        </is>
      </c>
      <c r="I291" t="inlineStr">
        <is>
          <t>NO_DOCUMENT</t>
        </is>
      </c>
    </row>
    <row r="292">
      <c r="A292" t="inlineStr">
        <is>
          <t>Cond.Edificio Albert Sabin</t>
        </is>
      </c>
      <c r="B292" s="10" t="n">
        <v>322548.66</v>
      </c>
      <c r="C292" t="inlineStr">
        <is>
          <t>SOCIEDADES COLÉGIO MIGUEL COUTO LTDA</t>
        </is>
      </c>
      <c r="D292" t="inlineStr">
        <is>
          <t>0020395-10.2020.8.19.0001</t>
        </is>
      </c>
      <c r="E292" t="inlineStr">
        <is>
          <t>AJ_LIST</t>
        </is>
      </c>
      <c r="F292" t="inlineStr">
        <is>
          <t>OK</t>
        </is>
      </c>
      <c r="G292" s="19" t="inlineStr">
        <is>
          <t>https://inova-aj.com.br/wp-content/uploads/2020/04/Relação-de-Credores-Grupo-Miguel-Couto-Art.-7º§2º-LRE.pdf</t>
        </is>
      </c>
      <c r="H292" t="inlineStr">
        <is>
          <t>p5 r31</t>
        </is>
      </c>
      <c r="I292" t="inlineStr">
        <is>
          <t>NO_DOCUMENT</t>
        </is>
      </c>
    </row>
    <row r="293">
      <c r="A293" t="inlineStr">
        <is>
          <t>Cedae - COMPANHIA ESTADUAL DE ÁGUAS E ESGOTO</t>
        </is>
      </c>
      <c r="B293" s="10" t="n">
        <v>244126.64</v>
      </c>
      <c r="C293" t="inlineStr">
        <is>
          <t>SOCIEDADES COLÉGIO MIGUEL COUTO LTDA</t>
        </is>
      </c>
      <c r="D293" t="inlineStr">
        <is>
          <t>0020395-10.2020.8.19.0001</t>
        </is>
      </c>
      <c r="E293" t="inlineStr">
        <is>
          <t>AJ_LIST</t>
        </is>
      </c>
      <c r="F293" t="inlineStr">
        <is>
          <t>OK</t>
        </is>
      </c>
      <c r="G293" s="19" t="inlineStr">
        <is>
          <t>https://inova-aj.com.br/wp-content/uploads/2020/04/Relação-de-Credores-Grupo-Miguel-Couto-Art.-7º§2º-LRE.pdf</t>
        </is>
      </c>
      <c r="H293" t="inlineStr">
        <is>
          <t>p24 r8</t>
        </is>
      </c>
      <c r="I293" t="inlineStr">
        <is>
          <t>NO_DOCUMENT</t>
        </is>
      </c>
    </row>
    <row r="294">
      <c r="A294" t="inlineStr">
        <is>
          <t>Zeny Sociedade de Advogados</t>
        </is>
      </c>
      <c r="B294" s="10" t="n">
        <v>220150</v>
      </c>
      <c r="C294" t="inlineStr">
        <is>
          <t>SOCIEDADES COLÉGIO MIGUEL COUTO LTDA</t>
        </is>
      </c>
      <c r="D294" t="inlineStr">
        <is>
          <t>0020395-10.2020.8.19.0001</t>
        </is>
      </c>
      <c r="E294" t="inlineStr">
        <is>
          <t>AJ_LIST</t>
        </is>
      </c>
      <c r="F294" t="inlineStr">
        <is>
          <t>OK</t>
        </is>
      </c>
      <c r="G294" s="19" t="inlineStr">
        <is>
          <t>https://inova-aj.com.br/wp-content/uploads/2020/04/Relação-de-Credores-Grupo-Miguel-Couto-Art.-7º§2º-LRE.pdf</t>
        </is>
      </c>
      <c r="H294" t="inlineStr">
        <is>
          <t>p25 r11</t>
        </is>
      </c>
      <c r="I294" t="inlineStr">
        <is>
          <t>NO_DOCUMENT</t>
        </is>
      </c>
    </row>
    <row r="295">
      <c r="A295" t="inlineStr">
        <is>
          <t>Overview Serviços Gráficos Eireli</t>
        </is>
      </c>
      <c r="B295" s="10" t="n">
        <v>202573.27</v>
      </c>
      <c r="C295" t="inlineStr">
        <is>
          <t>SOCIEDADES COLÉGIO MIGUEL COUTO LTDA</t>
        </is>
      </c>
      <c r="D295" t="inlineStr">
        <is>
          <t>0020395-10.2020.8.19.0001</t>
        </is>
      </c>
      <c r="E295" t="inlineStr">
        <is>
          <t>AJ_LIST</t>
        </is>
      </c>
      <c r="F295" t="inlineStr">
        <is>
          <t>OK</t>
        </is>
      </c>
      <c r="G295" s="19" t="inlineStr">
        <is>
          <t>https://inova-aj.com.br/wp-content/uploads/2020/04/Relação-de-Credores-Grupo-Miguel-Couto-Art.-7º§2º-LRE.pdf</t>
        </is>
      </c>
      <c r="H295" t="inlineStr">
        <is>
          <t>p13 r9</t>
        </is>
      </c>
      <c r="I295" t="inlineStr">
        <is>
          <t>NO_DOCUMENT</t>
        </is>
      </c>
    </row>
    <row r="296">
      <c r="A296" t="inlineStr">
        <is>
          <t>Espólio de Octacilio Ribeiro Lessa</t>
        </is>
      </c>
      <c r="B296" s="10" t="n">
        <v>202402.2</v>
      </c>
      <c r="C296" t="inlineStr">
        <is>
          <t>SOCIEDADES COLÉGIO MIGUEL COUTO LTDA</t>
        </is>
      </c>
      <c r="D296" t="inlineStr">
        <is>
          <t>0020395-10.2020.8.19.0001</t>
        </is>
      </c>
      <c r="E296" t="inlineStr">
        <is>
          <t>AJ_LIST</t>
        </is>
      </c>
      <c r="F296" t="inlineStr">
        <is>
          <t>OK</t>
        </is>
      </c>
      <c r="G296" s="19" t="inlineStr">
        <is>
          <t>https://inova-aj.com.br/wp-content/uploads/2020/04/Relação-de-Credores-Grupo-Miguel-Couto-Art.-7º§2º-LRE.pdf</t>
        </is>
      </c>
      <c r="H296" t="inlineStr">
        <is>
          <t>p10 r13</t>
        </is>
      </c>
      <c r="I296" t="inlineStr">
        <is>
          <t>NO_DOCUMENT</t>
        </is>
      </c>
    </row>
    <row r="297">
      <c r="A297" t="inlineStr">
        <is>
          <t>Leny de Almeida Andrade</t>
        </is>
      </c>
      <c r="B297" s="10" t="n">
        <v>202402.2</v>
      </c>
      <c r="C297" t="inlineStr">
        <is>
          <t>SOCIEDADES COLÉGIO MIGUEL COUTO LTDA</t>
        </is>
      </c>
      <c r="D297" t="inlineStr">
        <is>
          <t>0020395-10.2020.8.19.0001</t>
        </is>
      </c>
      <c r="E297" t="inlineStr">
        <is>
          <t>AJ_LIST</t>
        </is>
      </c>
      <c r="F297" t="inlineStr">
        <is>
          <t>OK</t>
        </is>
      </c>
      <c r="G297" s="19" t="inlineStr">
        <is>
          <t>https://inova-aj.com.br/wp-content/uploads/2020/04/Relação-de-Credores-Grupo-Miguel-Couto-Art.-7º§2º-LRE.pdf</t>
        </is>
      </c>
      <c r="H297" t="inlineStr">
        <is>
          <t>p10 r20</t>
        </is>
      </c>
      <c r="I297" t="inlineStr">
        <is>
          <t>NO_DOCUMENT</t>
        </is>
      </c>
    </row>
    <row r="298">
      <c r="A298" t="inlineStr"/>
      <c r="B298" s="10" t="n">
        <v>12271384.89</v>
      </c>
      <c r="C298" t="inlineStr">
        <is>
          <t>SOCIEDADES TECH-SCIENCE COSMÉTICOS INDÚSTRIA E COMÉRCIO LTDA</t>
        </is>
      </c>
      <c r="D298" t="inlineStr">
        <is>
          <t>1116156-84.2019.8.26.0100</t>
        </is>
      </c>
      <c r="E298" t="inlineStr">
        <is>
          <t>AJ_LIST</t>
        </is>
      </c>
      <c r="F298" t="inlineStr">
        <is>
          <t>OK</t>
        </is>
      </c>
      <c r="G298" s="19" t="inlineStr">
        <is>
          <t>https://inova-aj.com.br/wp-content/uploads/2020/02/Relacao-de-Credores.pdf</t>
        </is>
      </c>
      <c r="H298" t="inlineStr">
        <is>
          <t>p5 r36</t>
        </is>
      </c>
      <c r="I298" t="inlineStr">
        <is>
          <t>NO_DOCUMENT NAME_MISSING</t>
        </is>
      </c>
    </row>
    <row r="299">
      <c r="A299" t="inlineStr">
        <is>
          <t>Rinaldo Sganzela*</t>
        </is>
      </c>
      <c r="B299" s="10" t="n">
        <v>536321.66</v>
      </c>
      <c r="C299" t="inlineStr">
        <is>
          <t>SOCIEDADES TECH-SCIENCE COSMÉTICOS INDÚSTRIA E COMÉRCIO LTDA</t>
        </is>
      </c>
      <c r="D299" t="inlineStr">
        <is>
          <t>1116156-84.2019.8.26.0100</t>
        </is>
      </c>
      <c r="E299" t="inlineStr">
        <is>
          <t>AJ_LIST</t>
        </is>
      </c>
      <c r="F299" t="inlineStr">
        <is>
          <t>OK</t>
        </is>
      </c>
      <c r="G299" s="19" t="inlineStr">
        <is>
          <t>https://inova-aj.com.br/wp-content/uploads/2020/02/Relacao-de-Credores.pdf</t>
        </is>
      </c>
      <c r="H299" t="inlineStr">
        <is>
          <t>p3 r2</t>
        </is>
      </c>
      <c r="I299" t="inlineStr">
        <is>
          <t>NO_DOCUMENT</t>
        </is>
      </c>
    </row>
    <row r="300">
      <c r="A300" t="inlineStr">
        <is>
          <t>Banco Bradesco S/A</t>
        </is>
      </c>
      <c r="B300" s="10" t="n">
        <v>513250.73</v>
      </c>
      <c r="C300" t="inlineStr">
        <is>
          <t>SOCIEDADES TECH-SCIENCE COSMÉTICOS INDÚSTRIA E COMÉRCIO LTDA</t>
        </is>
      </c>
      <c r="D300" t="inlineStr">
        <is>
          <t>1116156-84.2019.8.26.0100</t>
        </is>
      </c>
      <c r="E300" t="inlineStr">
        <is>
          <t>AJ_LIST</t>
        </is>
      </c>
      <c r="F300" t="inlineStr">
        <is>
          <t>OK</t>
        </is>
      </c>
      <c r="G300" s="19" t="inlineStr">
        <is>
          <t>https://inova-aj.com.br/wp-content/uploads/2020/02/Relacao-de-Credores.pdf</t>
        </is>
      </c>
      <c r="H300" t="inlineStr">
        <is>
          <t>p3 r15</t>
        </is>
      </c>
      <c r="I300" t="inlineStr">
        <is>
          <t>NO_DOCUMENT</t>
        </is>
      </c>
    </row>
    <row r="301">
      <c r="A301" t="inlineStr">
        <is>
          <t>Rinaldo Sganzela*</t>
        </is>
      </c>
      <c r="B301" s="10" t="n">
        <v>342127.54</v>
      </c>
      <c r="C301" t="inlineStr">
        <is>
          <t>SOCIEDADES TECH-SCIENCE COSMÉTICOS INDÚSTRIA E COMÉRCIO LTDA</t>
        </is>
      </c>
      <c r="D301" t="inlineStr">
        <is>
          <t>1116156-84.2019.8.26.0100</t>
        </is>
      </c>
      <c r="E301" t="inlineStr">
        <is>
          <t>AJ_LIST</t>
        </is>
      </c>
      <c r="F301" t="inlineStr">
        <is>
          <t>OK</t>
        </is>
      </c>
      <c r="G301" s="19" t="inlineStr">
        <is>
          <t>https://inova-aj.com.br/wp-content/uploads/2020/02/Relacao-de-Credores.pdf</t>
        </is>
      </c>
      <c r="H301" t="inlineStr">
        <is>
          <t>p3 r20</t>
        </is>
      </c>
      <c r="I301" t="inlineStr">
        <is>
          <t>NO_DOCUMENT</t>
        </is>
      </c>
    </row>
    <row r="302">
      <c r="A302" t="inlineStr">
        <is>
          <t>Banco Santander S/A</t>
        </is>
      </c>
      <c r="B302" s="10" t="n">
        <v>243410.47</v>
      </c>
      <c r="C302" t="inlineStr">
        <is>
          <t>SOCIEDADES TECH-SCIENCE COSMÉTICOS INDÚSTRIA E COMÉRCIO LTDA</t>
        </is>
      </c>
      <c r="D302" t="inlineStr">
        <is>
          <t>1116156-84.2019.8.26.0100</t>
        </is>
      </c>
      <c r="E302" t="inlineStr">
        <is>
          <t>AJ_LIST</t>
        </is>
      </c>
      <c r="F302" t="inlineStr">
        <is>
          <t>OK</t>
        </is>
      </c>
      <c r="G302" s="19" t="inlineStr">
        <is>
          <t>https://inova-aj.com.br/wp-content/uploads/2020/02/Relacao-de-Credores.pdf</t>
        </is>
      </c>
      <c r="H302" t="inlineStr">
        <is>
          <t>p3 r18</t>
        </is>
      </c>
      <c r="I302" t="inlineStr">
        <is>
          <t>NO_DOCUMENT</t>
        </is>
      </c>
    </row>
    <row r="303">
      <c r="A303" t="inlineStr">
        <is>
          <t>ATOMEX IND REPR ASS E COM DE LIGAS E MET</t>
        </is>
      </c>
      <c r="B303" s="10" t="n">
        <v>2280190.5</v>
      </c>
      <c r="C303" t="inlineStr">
        <is>
          <t>Companhia Federal de Fundição – Processo nº 0141112-22.2018.8.19.0001 – e-mail: admjudcff@inova-aj.com.br – INOVA</t>
        </is>
      </c>
      <c r="D303" t="inlineStr">
        <is>
          <t>0141112-22.2018.8.19.0001</t>
        </is>
      </c>
      <c r="E303" t="inlineStr">
        <is>
          <t>AJ_LIST</t>
        </is>
      </c>
      <c r="F303" t="inlineStr">
        <is>
          <t>OK</t>
        </is>
      </c>
      <c r="G303" s="19" t="inlineStr">
        <is>
          <t>https://inova-aj.com.br/wp-content/uploads/2018/11/Relação-de-Credores-Grupo-CFF-Art.-7º-§2º-LRE-RETIFICADA.pdf</t>
        </is>
      </c>
      <c r="H303" t="inlineStr">
        <is>
          <t>p4 r15</t>
        </is>
      </c>
      <c r="I303" t="inlineStr">
        <is>
          <t>NO_DOCUMENT</t>
        </is>
      </c>
    </row>
    <row r="304">
      <c r="A304" t="inlineStr">
        <is>
          <t>GUARANTA COMERCIO DE METAIS NAO FERROSOS</t>
        </is>
      </c>
      <c r="B304" s="10" t="n">
        <v>1550000</v>
      </c>
      <c r="C304" t="inlineStr">
        <is>
          <t>Companhia Federal de Fundição – Processo nº 0141112-22.2018.8.19.0001 – e-mail: admjudcff@inova-aj.com.br – INOVA</t>
        </is>
      </c>
      <c r="D304" t="inlineStr">
        <is>
          <t>0141112-22.2018.8.19.0001</t>
        </is>
      </c>
      <c r="E304" t="inlineStr">
        <is>
          <t>AJ_LIST</t>
        </is>
      </c>
      <c r="F304" t="inlineStr">
        <is>
          <t>OK</t>
        </is>
      </c>
      <c r="G304" s="19" t="inlineStr">
        <is>
          <t>https://inova-aj.com.br/wp-content/uploads/2018/11/Relação-de-Credores-Grupo-CFF-Art.-7º-§2º-LRE-RETIFICADA.pdf</t>
        </is>
      </c>
      <c r="H304" t="inlineStr">
        <is>
          <t>p6 r10</t>
        </is>
      </c>
      <c r="I304" t="inlineStr">
        <is>
          <t>NO_DOCUMENT</t>
        </is>
      </c>
    </row>
    <row r="305">
      <c r="A305" t="inlineStr">
        <is>
          <t>BANCO DO BRASIL</t>
        </is>
      </c>
      <c r="B305" s="10" t="n">
        <v>1230587.22</v>
      </c>
      <c r="C305" t="inlineStr">
        <is>
          <t>Companhia Federal de Fundição – Processo nº 0141112-22.2018.8.19.0001 – e-mail: admjudcff@inova-aj.com.br – INOVA</t>
        </is>
      </c>
      <c r="D305" t="inlineStr">
        <is>
          <t>0141112-22.2018.8.19.0001</t>
        </is>
      </c>
      <c r="E305" t="inlineStr">
        <is>
          <t>AJ_LIST</t>
        </is>
      </c>
      <c r="F305" t="inlineStr">
        <is>
          <t>OK</t>
        </is>
      </c>
      <c r="G305" s="19" t="inlineStr">
        <is>
          <t>https://inova-aj.com.br/wp-content/uploads/2018/11/Relação-de-Credores-Grupo-CFF-Art.-7º-§2º-LRE-RETIFICADA.pdf</t>
        </is>
      </c>
      <c r="H305" t="inlineStr">
        <is>
          <t>p4 r18</t>
        </is>
      </c>
      <c r="I305" t="inlineStr">
        <is>
          <t>NO_DOCUMENT</t>
        </is>
      </c>
    </row>
    <row r="306">
      <c r="A306" t="inlineStr">
        <is>
          <t>SUPERPESA INDUSTRIAL LTDA.</t>
        </is>
      </c>
      <c r="B306" s="10" t="n">
        <v>998313.71</v>
      </c>
      <c r="C306" t="inlineStr">
        <is>
          <t>Companhia Federal de Fundição – Processo nº 0141112-22.2018.8.19.0001 – e-mail: admjudcff@inova-aj.com.br – INOVA</t>
        </is>
      </c>
      <c r="D306" t="inlineStr">
        <is>
          <t>0141112-22.2018.8.19.0001</t>
        </is>
      </c>
      <c r="E306" t="inlineStr">
        <is>
          <t>AJ_LIST</t>
        </is>
      </c>
      <c r="F306" t="inlineStr">
        <is>
          <t>OK</t>
        </is>
      </c>
      <c r="G306" s="19" t="inlineStr">
        <is>
          <t>https://inova-aj.com.br/wp-content/uploads/2018/11/Relação-de-Credores-Grupo-CFF-Art.-7º-§2º-LRE-RETIFICADA.pdf</t>
        </is>
      </c>
      <c r="H306" t="inlineStr">
        <is>
          <t>p8 r21</t>
        </is>
      </c>
      <c r="I306" t="inlineStr">
        <is>
          <t>NO_DOCUMENT</t>
        </is>
      </c>
    </row>
    <row r="307">
      <c r="A307" t="inlineStr">
        <is>
          <t>BANCO BRADESCO</t>
        </is>
      </c>
      <c r="B307" s="10" t="n">
        <v>900870.09</v>
      </c>
      <c r="C307" t="inlineStr">
        <is>
          <t>Companhia Federal de Fundição – Processo nº 0141112-22.2018.8.19.0001 – e-mail: admjudcff@inova-aj.com.br – INOVA</t>
        </is>
      </c>
      <c r="D307" t="inlineStr">
        <is>
          <t>0141112-22.2018.8.19.0001</t>
        </is>
      </c>
      <c r="E307" t="inlineStr">
        <is>
          <t>AJ_LIST</t>
        </is>
      </c>
      <c r="F307" t="inlineStr">
        <is>
          <t>OK</t>
        </is>
      </c>
      <c r="G307" s="19" t="inlineStr">
        <is>
          <t>https://inova-aj.com.br/wp-content/uploads/2018/11/Relação-de-Credores-Grupo-CFF-Art.-7º-§2º-LRE-RETIFICADA.pdf</t>
        </is>
      </c>
      <c r="H307" t="inlineStr">
        <is>
          <t>p4 r17</t>
        </is>
      </c>
      <c r="I307" t="inlineStr">
        <is>
          <t>NO_DOCUMENT</t>
        </is>
      </c>
    </row>
    <row r="308">
      <c r="A308" t="inlineStr">
        <is>
          <t>BANCO ITAÚ</t>
        </is>
      </c>
      <c r="B308" s="10" t="n">
        <v>782480.8199999999</v>
      </c>
      <c r="C308" t="inlineStr">
        <is>
          <t>Companhia Federal de Fundição – Processo nº 0141112-22.2018.8.19.0001 – e-mail: admjudcff@inova-aj.com.br – INOVA</t>
        </is>
      </c>
      <c r="D308" t="inlineStr">
        <is>
          <t>0141112-22.2018.8.19.0001</t>
        </is>
      </c>
      <c r="E308" t="inlineStr">
        <is>
          <t>AJ_LIST</t>
        </is>
      </c>
      <c r="F308" t="inlineStr">
        <is>
          <t>OK</t>
        </is>
      </c>
      <c r="G308" s="19" t="inlineStr">
        <is>
          <t>https://inova-aj.com.br/wp-content/uploads/2018/11/Relação-de-Credores-Grupo-CFF-Art.-7º-§2º-LRE-RETIFICADA.pdf</t>
        </is>
      </c>
      <c r="H308" t="inlineStr">
        <is>
          <t>p5 r1</t>
        </is>
      </c>
      <c r="I308" t="inlineStr">
        <is>
          <t>NO_DOCUMENT</t>
        </is>
      </c>
    </row>
    <row r="309">
      <c r="A309" t="inlineStr"/>
      <c r="B309" s="10" t="n">
        <v>587610.97</v>
      </c>
      <c r="C309" t="inlineStr">
        <is>
          <t>Companhia Federal de Fundição – Processo nº 0141112-22.2018.8.19.0001 – e-mail: admjudcff@inova-aj.com.br – INOVA</t>
        </is>
      </c>
      <c r="D309" t="inlineStr">
        <is>
          <t>0141112-22.2018.8.19.0001</t>
        </is>
      </c>
      <c r="E309" t="inlineStr">
        <is>
          <t>AJ_LIST</t>
        </is>
      </c>
      <c r="F309" t="inlineStr">
        <is>
          <t>OK</t>
        </is>
      </c>
      <c r="G309" s="19" t="inlineStr">
        <is>
          <t>https://inova-aj.com.br/wp-content/uploads/2018/11/Relação-de-Credores-Grupo-CFF-Art.-7º-§2º-LRE-RETIFICADA.pdf</t>
        </is>
      </c>
      <c r="H309" t="inlineStr">
        <is>
          <t>p8 r10</t>
        </is>
      </c>
      <c r="I309" t="inlineStr">
        <is>
          <t>NO_DOCUMENT NAME_MISSING</t>
        </is>
      </c>
    </row>
    <row r="310">
      <c r="A310" t="inlineStr">
        <is>
          <t>BANCO SANTANDER</t>
        </is>
      </c>
      <c r="B310" s="10" t="n">
        <v>507721.28</v>
      </c>
      <c r="C310" t="inlineStr">
        <is>
          <t>Companhia Federal de Fundição – Processo nº 0141112-22.2018.8.19.0001 – e-mail: admjudcff@inova-aj.com.br – INOVA</t>
        </is>
      </c>
      <c r="D310" t="inlineStr">
        <is>
          <t>0141112-22.2018.8.19.0001</t>
        </is>
      </c>
      <c r="E310" t="inlineStr">
        <is>
          <t>AJ_LIST</t>
        </is>
      </c>
      <c r="F310" t="inlineStr">
        <is>
          <t>OK</t>
        </is>
      </c>
      <c r="G310" s="19" t="inlineStr">
        <is>
          <t>https://inova-aj.com.br/wp-content/uploads/2018/11/Relação-de-Credores-Grupo-CFF-Art.-7º-§2º-LRE-RETIFICADA.pdf</t>
        </is>
      </c>
      <c r="H310" t="inlineStr">
        <is>
          <t>p5 r2</t>
        </is>
      </c>
      <c r="I310" t="inlineStr">
        <is>
          <t>NO_DOCUMENT</t>
        </is>
      </c>
    </row>
    <row r="311">
      <c r="A311" t="inlineStr">
        <is>
          <t>CENTRO DE DISTRIBUICAO DE PROD METALICOS</t>
        </is>
      </c>
      <c r="B311" s="10" t="n">
        <v>482412</v>
      </c>
      <c r="C311" t="inlineStr">
        <is>
          <t>Companhia Federal de Fundição – Processo nº 0141112-22.2018.8.19.0001 – e-mail: admjudcff@inova-aj.com.br – INOVA</t>
        </is>
      </c>
      <c r="D311" t="inlineStr">
        <is>
          <t>0141112-22.2018.8.19.0001</t>
        </is>
      </c>
      <c r="E311" t="inlineStr">
        <is>
          <t>AJ_LIST</t>
        </is>
      </c>
      <c r="F311" t="inlineStr">
        <is>
          <t>OK</t>
        </is>
      </c>
      <c r="G311" s="19" t="inlineStr">
        <is>
          <t>https://inova-aj.com.br/wp-content/uploads/2018/11/Relação-de-Credores-Grupo-CFF-Art.-7º-§2º-LRE-RETIFICADA.pdf</t>
        </is>
      </c>
      <c r="H311" t="inlineStr">
        <is>
          <t>p5 r9</t>
        </is>
      </c>
      <c r="I311" t="inlineStr">
        <is>
          <t>NO_DOCUMENT</t>
        </is>
      </c>
    </row>
    <row r="312">
      <c r="A312" t="inlineStr">
        <is>
          <t>ALUTECH ALUMINIO TECNOLOGIA LTDA</t>
        </is>
      </c>
      <c r="B312" s="10" t="n">
        <v>450000</v>
      </c>
      <c r="C312" t="inlineStr">
        <is>
          <t>Companhia Federal de Fundição – Processo nº 0141112-22.2018.8.19.0001 – e-mail: admjudcff@inova-aj.com.br – INOVA</t>
        </is>
      </c>
      <c r="D312" t="inlineStr">
        <is>
          <t>0141112-22.2018.8.19.0001</t>
        </is>
      </c>
      <c r="E312" t="inlineStr">
        <is>
          <t>AJ_LIST</t>
        </is>
      </c>
      <c r="F312" t="inlineStr">
        <is>
          <t>OK</t>
        </is>
      </c>
      <c r="G312" s="19" t="inlineStr">
        <is>
          <t>https://inova-aj.com.br/wp-content/uploads/2018/11/Relação-de-Credores-Grupo-CFF-Art.-7º-§2º-LRE-RETIFICADA.pdf</t>
        </is>
      </c>
      <c r="H312" t="inlineStr">
        <is>
          <t>p4 r12</t>
        </is>
      </c>
      <c r="I312" t="inlineStr">
        <is>
          <t>NO_DOCUMENT</t>
        </is>
      </c>
    </row>
    <row r="313">
      <c r="A313" t="inlineStr">
        <is>
          <t>MINISTÉRIO PUBLICO DO ESTADO DO RIO DE JANEIRO</t>
        </is>
      </c>
      <c r="B313" s="10" t="n">
        <v>392000</v>
      </c>
      <c r="C313" t="inlineStr">
        <is>
          <t>Companhia Federal de Fundição – Processo nº 0141112-22.2018.8.19.0001 – e-mail: admjudcff@inova-aj.com.br – INOVA</t>
        </is>
      </c>
      <c r="D313" t="inlineStr">
        <is>
          <t>0141112-22.2018.8.19.0001</t>
        </is>
      </c>
      <c r="E313" t="inlineStr">
        <is>
          <t>AJ_LIST</t>
        </is>
      </c>
      <c r="F313" t="inlineStr">
        <is>
          <t>OK</t>
        </is>
      </c>
      <c r="G313" s="19" t="inlineStr">
        <is>
          <t>https://inova-aj.com.br/wp-content/uploads/2018/11/Relação-de-Credores-Grupo-CFF-Art.-7º-§2º-LRE-RETIFICADA.pdf</t>
        </is>
      </c>
      <c r="H313" t="inlineStr">
        <is>
          <t>p7 r19</t>
        </is>
      </c>
      <c r="I313" t="inlineStr">
        <is>
          <t>NO_DOCUMENT</t>
        </is>
      </c>
    </row>
    <row r="314">
      <c r="A314" t="inlineStr">
        <is>
          <t>RIO RECIBRAS COM . DE METAIS RECICLAVEIS</t>
        </is>
      </c>
      <c r="B314" s="10" t="n">
        <v>259600</v>
      </c>
      <c r="C314" t="inlineStr">
        <is>
          <t>Companhia Federal de Fundição – Processo nº 0141112-22.2018.8.19.0001 – e-mail: admjudcff@inova-aj.com.br – INOVA</t>
        </is>
      </c>
      <c r="D314" t="inlineStr">
        <is>
          <t>0141112-22.2018.8.19.0001</t>
        </is>
      </c>
      <c r="E314" t="inlineStr">
        <is>
          <t>AJ_LIST</t>
        </is>
      </c>
      <c r="F314" t="inlineStr">
        <is>
          <t>OK</t>
        </is>
      </c>
      <c r="G314" s="19" t="inlineStr">
        <is>
          <t>https://inova-aj.com.br/wp-content/uploads/2018/11/Relação-de-Credores-Grupo-CFF-Art.-7º-§2º-LRE-RETIFICADA.pdf</t>
        </is>
      </c>
      <c r="H314" t="inlineStr">
        <is>
          <t>p8 r12</t>
        </is>
      </c>
      <c r="I314" t="inlineStr">
        <is>
          <t>NO_DOCUMENT</t>
        </is>
      </c>
    </row>
    <row r="315">
      <c r="A315" t="inlineStr">
        <is>
          <t>MEXTRA ENGENHARIA EXTRATIVA DE METAIS EI</t>
        </is>
      </c>
      <c r="B315" s="10" t="n">
        <v>200000</v>
      </c>
      <c r="C315" t="inlineStr">
        <is>
          <t>Companhia Federal de Fundição – Processo nº 0141112-22.2018.8.19.0001 – e-mail: admjudcff@inova-aj.com.br – INOVA</t>
        </is>
      </c>
      <c r="D315" t="inlineStr">
        <is>
          <t>0141112-22.2018.8.19.0001</t>
        </is>
      </c>
      <c r="E315" t="inlineStr">
        <is>
          <t>AJ_LIST</t>
        </is>
      </c>
      <c r="F315" t="inlineStr">
        <is>
          <t>OK</t>
        </is>
      </c>
      <c r="G315" s="19" t="inlineStr">
        <is>
          <t>https://inova-aj.com.br/wp-content/uploads/2018/11/Relação-de-Credores-Grupo-CFF-Art.-7º-§2º-LRE-RETIFICADA.pdf</t>
        </is>
      </c>
      <c r="H315" t="inlineStr">
        <is>
          <t>p7 r17</t>
        </is>
      </c>
      <c r="I315" t="inlineStr">
        <is>
          <t>NO_DOCUMENT</t>
        </is>
      </c>
    </row>
    <row r="316">
      <c r="A316" t="inlineStr"/>
      <c r="B316" s="10" t="n">
        <v>17886128.62</v>
      </c>
      <c r="C316" t="inlineStr">
        <is>
          <t>MAGAZINE SA</t>
        </is>
      </c>
      <c r="D316" t="inlineStr">
        <is>
          <t>5074883-62.2023.8.21.0001</t>
        </is>
      </c>
      <c r="E316" t="inlineStr">
        <is>
          <t>AJ_LIST</t>
        </is>
      </c>
      <c r="F316" t="inlineStr">
        <is>
          <t>OK_NO_TOTALS</t>
        </is>
      </c>
      <c r="G316" s="19" t="inlineStr">
        <is>
          <t>https://rlg-aj.com.br/wp-content/uploads/2023/05/Relacao-de-Credores-do-art.-7o-§2o-da-Lei-n.o-11.101-de-2005-Lojas-Aldo.pdf</t>
        </is>
      </c>
      <c r="H316" t="inlineStr">
        <is>
          <t>p2 r3</t>
        </is>
      </c>
      <c r="I316" t="inlineStr">
        <is>
          <t>NO_DOCUMENT NAME_MISSING</t>
        </is>
      </c>
    </row>
    <row r="317">
      <c r="A317" t="inlineStr">
        <is>
          <t>LILIANA KIAMILOF</t>
        </is>
      </c>
      <c r="B317" s="10" t="n">
        <v>3355870.56</v>
      </c>
      <c r="C317" t="inlineStr">
        <is>
          <t>MAGAZINE SA</t>
        </is>
      </c>
      <c r="D317" t="inlineStr">
        <is>
          <t>5074883-62.2023.8.21.0001</t>
        </is>
      </c>
      <c r="E317" t="inlineStr">
        <is>
          <t>AJ_LIST</t>
        </is>
      </c>
      <c r="F317" t="inlineStr">
        <is>
          <t>OK_NO_TOTALS</t>
        </is>
      </c>
      <c r="G317" s="19" t="inlineStr">
        <is>
          <t>https://rlg-aj.com.br/wp-content/uploads/2023/05/Relacao-de-Credores-do-art.-7o-§2o-da-Lei-n.o-11.101-de-2005-Lojas-Aldo.pdf</t>
        </is>
      </c>
      <c r="H317" t="inlineStr">
        <is>
          <t>p4 r70</t>
        </is>
      </c>
      <c r="I317" t="inlineStr">
        <is>
          <t>NO_DOCUMENT ALT_VALUE:R$3.352.124,07</t>
        </is>
      </c>
    </row>
    <row r="318">
      <c r="A318" t="inlineStr">
        <is>
          <t>BANCO BRADESCO S.A.</t>
        </is>
      </c>
      <c r="B318" s="10" t="n">
        <v>2111244.46</v>
      </c>
      <c r="C318" t="inlineStr">
        <is>
          <t>MAGAZINE SA</t>
        </is>
      </c>
      <c r="D318" t="inlineStr">
        <is>
          <t>5074883-62.2023.8.21.0001</t>
        </is>
      </c>
      <c r="E318" t="inlineStr">
        <is>
          <t>AJ_LIST</t>
        </is>
      </c>
      <c r="F318" t="inlineStr">
        <is>
          <t>OK_NO_TOTALS</t>
        </is>
      </c>
      <c r="G318" s="19" t="inlineStr">
        <is>
          <t>https://rlg-aj.com.br/wp-content/uploads/2023/05/Relacao-de-Credores-do-art.-7o-§2o-da-Lei-n.o-11.101-de-2005-Lojas-Aldo.pdf</t>
        </is>
      </c>
      <c r="H318" t="inlineStr">
        <is>
          <t>p4 r36</t>
        </is>
      </c>
      <c r="I318" t="inlineStr">
        <is>
          <t>NO_DOCUMENT ALT_VALUE:R$2.099.184,95</t>
        </is>
      </c>
    </row>
    <row r="319">
      <c r="A319" t="inlineStr">
        <is>
          <t>BANCO ABC BRASIL S.A.</t>
        </is>
      </c>
      <c r="B319" s="10" t="n">
        <v>2097529.1</v>
      </c>
      <c r="C319" t="inlineStr">
        <is>
          <t>MAGAZINE SA</t>
        </is>
      </c>
      <c r="D319" t="inlineStr">
        <is>
          <t>5074883-62.2023.8.21.0001</t>
        </is>
      </c>
      <c r="E319" t="inlineStr">
        <is>
          <t>AJ_LIST</t>
        </is>
      </c>
      <c r="F319" t="inlineStr">
        <is>
          <t>OK_NO_TOTALS</t>
        </is>
      </c>
      <c r="G319" s="19" t="inlineStr">
        <is>
          <t>https://rlg-aj.com.br/wp-content/uploads/2023/05/Relacao-de-Credores-do-art.-7o-§2o-da-Lei-n.o-11.101-de-2005-Lojas-Aldo.pdf</t>
        </is>
      </c>
      <c r="H319" t="inlineStr">
        <is>
          <t>p4 r35</t>
        </is>
      </c>
      <c r="I319" t="inlineStr">
        <is>
          <t>NO_DOCUMENT ALT_VALUE:R$2.588.769,15</t>
        </is>
      </c>
    </row>
    <row r="320">
      <c r="A320" t="inlineStr">
        <is>
          <t>BANCO SENFF S.A.</t>
        </is>
      </c>
      <c r="B320" s="10" t="n">
        <v>1581913.68</v>
      </c>
      <c r="C320" t="inlineStr">
        <is>
          <t>MAGAZINE SA</t>
        </is>
      </c>
      <c r="D320" t="inlineStr">
        <is>
          <t>5074883-62.2023.8.21.0001</t>
        </is>
      </c>
      <c r="E320" t="inlineStr">
        <is>
          <t>AJ_LIST</t>
        </is>
      </c>
      <c r="F320" t="inlineStr">
        <is>
          <t>OK_NO_TOTALS</t>
        </is>
      </c>
      <c r="G320" s="19" t="inlineStr">
        <is>
          <t>https://rlg-aj.com.br/wp-content/uploads/2023/05/Relacao-de-Credores-do-art.-7o-§2o-da-Lei-n.o-11.101-de-2005-Lojas-Aldo.pdf</t>
        </is>
      </c>
      <c r="H320" t="inlineStr">
        <is>
          <t>p4 r39</t>
        </is>
      </c>
      <c r="I320" t="inlineStr">
        <is>
          <t>NO_DOCUMENT ALT_VALUE:R$2.642.859,87</t>
        </is>
      </c>
    </row>
    <row r="321">
      <c r="A321" t="inlineStr">
        <is>
          <t>SENFFNET INSTITUICAO DE PAGAMENTO LTDA</t>
        </is>
      </c>
      <c r="B321" s="10" t="n">
        <v>1024346.47</v>
      </c>
      <c r="C321" t="inlineStr">
        <is>
          <t>MAGAZINE SA</t>
        </is>
      </c>
      <c r="D321" t="inlineStr">
        <is>
          <t>5074883-62.2023.8.21.0001</t>
        </is>
      </c>
      <c r="E321" t="inlineStr">
        <is>
          <t>AJ_LIST</t>
        </is>
      </c>
      <c r="F321" t="inlineStr">
        <is>
          <t>OK_NO_TOTALS</t>
        </is>
      </c>
      <c r="G321" s="19" t="inlineStr">
        <is>
          <t>https://rlg-aj.com.br/wp-content/uploads/2023/05/Relacao-de-Credores-do-art.-7o-§2o-da-Lei-n.o-11.101-de-2005-Lojas-Aldo.pdf</t>
        </is>
      </c>
      <c r="H321" t="inlineStr">
        <is>
          <t>p4 r40</t>
        </is>
      </c>
      <c r="I321" t="inlineStr">
        <is>
          <t>NO_DOCUMENT</t>
        </is>
      </c>
    </row>
    <row r="322">
      <c r="A322" t="inlineStr">
        <is>
          <t>MAR QUENTE CONFECCOES LTDA</t>
        </is>
      </c>
      <c r="B322" s="10" t="n">
        <v>735808.49</v>
      </c>
      <c r="C322" t="inlineStr">
        <is>
          <t>MAGAZINE SA</t>
        </is>
      </c>
      <c r="D322" t="inlineStr">
        <is>
          <t>5074883-62.2023.8.21.0001</t>
        </is>
      </c>
      <c r="E322" t="inlineStr">
        <is>
          <t>AJ_LIST</t>
        </is>
      </c>
      <c r="F322" t="inlineStr">
        <is>
          <t>OK_NO_TOTALS</t>
        </is>
      </c>
      <c r="G322" s="19" t="inlineStr">
        <is>
          <t>https://rlg-aj.com.br/wp-content/uploads/2023/05/Relacao-de-Credores-do-art.-7o-§2o-da-Lei-n.o-11.101-de-2005-Lojas-Aldo.pdf</t>
        </is>
      </c>
      <c r="H322" t="inlineStr">
        <is>
          <t>p4 r72</t>
        </is>
      </c>
      <c r="I322" t="inlineStr">
        <is>
          <t>NO_DOCUMENT ALT_VALUE:R$735.808,49</t>
        </is>
      </c>
    </row>
    <row r="323">
      <c r="A323" t="inlineStr">
        <is>
          <t>TEXTIL BRASIL IMPORT. E EXPORT. DE ARTIGOS DO VESTUARIO LTDA</t>
        </is>
      </c>
      <c r="B323" s="10" t="n">
        <v>625762.3</v>
      </c>
      <c r="C323" t="inlineStr">
        <is>
          <t>MAGAZINE SA</t>
        </is>
      </c>
      <c r="D323" t="inlineStr">
        <is>
          <t>5074883-62.2023.8.21.0001</t>
        </is>
      </c>
      <c r="E323" t="inlineStr">
        <is>
          <t>AJ_LIST</t>
        </is>
      </c>
      <c r="F323" t="inlineStr">
        <is>
          <t>OK_NO_TOTALS</t>
        </is>
      </c>
      <c r="G323" s="19" t="inlineStr">
        <is>
          <t>https://rlg-aj.com.br/wp-content/uploads/2023/05/Relacao-de-Credores-do-art.-7o-§2o-da-Lei-n.o-11.101-de-2005-Lojas-Aldo.pdf</t>
        </is>
      </c>
      <c r="H323" t="inlineStr">
        <is>
          <t>p4 r95</t>
        </is>
      </c>
      <c r="I323" t="inlineStr">
        <is>
          <t>NO_DOCUMENT ALT_VALUE:R$625.762,30</t>
        </is>
      </c>
    </row>
    <row r="324">
      <c r="A324" t="inlineStr">
        <is>
          <t>SEA BRAZIL IMPORTACAO E EXPORTACAO LTDA</t>
        </is>
      </c>
      <c r="B324" s="10" t="n">
        <v>585347.64</v>
      </c>
      <c r="C324" t="inlineStr">
        <is>
          <t>MAGAZINE SA</t>
        </is>
      </c>
      <c r="D324" t="inlineStr">
        <is>
          <t>5074883-62.2023.8.21.0001</t>
        </is>
      </c>
      <c r="E324" t="inlineStr">
        <is>
          <t>AJ_LIST</t>
        </is>
      </c>
      <c r="F324" t="inlineStr">
        <is>
          <t>OK_NO_TOTALS</t>
        </is>
      </c>
      <c r="G324" s="19" t="inlineStr">
        <is>
          <t>https://rlg-aj.com.br/wp-content/uploads/2023/05/Relacao-de-Credores-do-art.-7o-§2o-da-Lei-n.o-11.101-de-2005-Lojas-Aldo.pdf</t>
        </is>
      </c>
      <c r="H324" t="inlineStr">
        <is>
          <t>p4 r93</t>
        </is>
      </c>
      <c r="I324" t="inlineStr">
        <is>
          <t>NO_DOCUMENT ALT_VALUE:R$585.347,64</t>
        </is>
      </c>
    </row>
    <row r="325">
      <c r="A325" t="inlineStr">
        <is>
          <t>SEA SURF IMPORTACAO E EXPORTACAO LTDA</t>
        </is>
      </c>
      <c r="B325" s="10" t="n">
        <v>560310.3</v>
      </c>
      <c r="C325" t="inlineStr">
        <is>
          <t>MAGAZINE SA</t>
        </is>
      </c>
      <c r="D325" t="inlineStr">
        <is>
          <t>5074883-62.2023.8.21.0001</t>
        </is>
      </c>
      <c r="E325" t="inlineStr">
        <is>
          <t>AJ_LIST</t>
        </is>
      </c>
      <c r="F325" t="inlineStr">
        <is>
          <t>OK_NO_TOTALS</t>
        </is>
      </c>
      <c r="G325" s="19" t="inlineStr">
        <is>
          <t>https://rlg-aj.com.br/wp-content/uploads/2023/05/Relacao-de-Credores-do-art.-7o-§2o-da-Lei-n.o-11.101-de-2005-Lojas-Aldo.pdf</t>
        </is>
      </c>
      <c r="H325" t="inlineStr">
        <is>
          <t>p4 r94</t>
        </is>
      </c>
      <c r="I325" t="inlineStr">
        <is>
          <t>NO_DOCUMENT ALT_VALUE:R$560.310,30</t>
        </is>
      </c>
    </row>
    <row r="326">
      <c r="A326" t="inlineStr">
        <is>
          <t>BANCO DO ESTADO DO RIO GRANDE DO SUL S.A.</t>
        </is>
      </c>
      <c r="B326" s="10" t="n">
        <v>537746.16</v>
      </c>
      <c r="C326" t="inlineStr">
        <is>
          <t>MAGAZINE SA</t>
        </is>
      </c>
      <c r="D326" t="inlineStr">
        <is>
          <t>5074883-62.2023.8.21.0001</t>
        </is>
      </c>
      <c r="E326" t="inlineStr">
        <is>
          <t>AJ_LIST</t>
        </is>
      </c>
      <c r="F326" t="inlineStr">
        <is>
          <t>OK_NO_TOTALS</t>
        </is>
      </c>
      <c r="G326" s="19" t="inlineStr">
        <is>
          <t>https://rlg-aj.com.br/wp-content/uploads/2023/05/Relacao-de-Credores-do-art.-7o-§2o-da-Lei-n.o-11.101-de-2005-Lojas-Aldo.pdf</t>
        </is>
      </c>
      <c r="H326" t="inlineStr">
        <is>
          <t>p4 r38</t>
        </is>
      </c>
      <c r="I326" t="inlineStr">
        <is>
          <t>NO_DOCUMENT ALT_VALUE:R$1.280.219,60</t>
        </is>
      </c>
    </row>
    <row r="327">
      <c r="A327" t="inlineStr">
        <is>
          <t>PAMPAS BRASILEIRO COMERCIAL LTDA</t>
        </is>
      </c>
      <c r="B327" s="10" t="n">
        <v>363983.1</v>
      </c>
      <c r="C327" t="inlineStr">
        <is>
          <t>MAGAZINE SA</t>
        </is>
      </c>
      <c r="D327" t="inlineStr">
        <is>
          <t>5074883-62.2023.8.21.0001</t>
        </is>
      </c>
      <c r="E327" t="inlineStr">
        <is>
          <t>AJ_LIST</t>
        </is>
      </c>
      <c r="F327" t="inlineStr">
        <is>
          <t>OK_NO_TOTALS</t>
        </is>
      </c>
      <c r="G327" s="19" t="inlineStr">
        <is>
          <t>https://rlg-aj.com.br/wp-content/uploads/2023/05/Relacao-de-Credores-do-art.-7o-§2o-da-Lei-n.o-11.101-de-2005-Lojas-Aldo.pdf</t>
        </is>
      </c>
      <c r="H327" t="inlineStr">
        <is>
          <t>p4 r81</t>
        </is>
      </c>
      <c r="I327" t="inlineStr">
        <is>
          <t>NO_DOCUMENT ALT_VALUE:R$363.983,10</t>
        </is>
      </c>
    </row>
    <row r="328">
      <c r="A328" t="inlineStr">
        <is>
          <t>BANCO DAYCOVAL S.A.</t>
        </is>
      </c>
      <c r="B328" s="10" t="n">
        <v>298486.51</v>
      </c>
      <c r="C328" t="inlineStr">
        <is>
          <t>MAGAZINE SA</t>
        </is>
      </c>
      <c r="D328" t="inlineStr">
        <is>
          <t>5074883-62.2023.8.21.0001</t>
        </is>
      </c>
      <c r="E328" t="inlineStr">
        <is>
          <t>AJ_LIST</t>
        </is>
      </c>
      <c r="F328" t="inlineStr">
        <is>
          <t>OK_NO_TOTALS</t>
        </is>
      </c>
      <c r="G328" s="19" t="inlineStr">
        <is>
          <t>https://rlg-aj.com.br/wp-content/uploads/2023/05/Relacao-de-Credores-do-art.-7o-§2o-da-Lei-n.o-11.101-de-2005-Lojas-Aldo.pdf</t>
        </is>
      </c>
      <c r="H328" t="inlineStr">
        <is>
          <t>p4 r37</t>
        </is>
      </c>
      <c r="I328" t="inlineStr">
        <is>
          <t>NO_DOCUMENT ALT_VALUE:R$298.486,51</t>
        </is>
      </c>
    </row>
    <row r="329">
      <c r="A329" t="inlineStr">
        <is>
          <t>FLUXO CONFECCAO LTDA</t>
        </is>
      </c>
      <c r="B329" s="10" t="n">
        <v>246318.48</v>
      </c>
      <c r="C329" t="inlineStr">
        <is>
          <t>MAGAZINE SA</t>
        </is>
      </c>
      <c r="D329" t="inlineStr">
        <is>
          <t>5074883-62.2023.8.21.0001</t>
        </is>
      </c>
      <c r="E329" t="inlineStr">
        <is>
          <t>AJ_LIST</t>
        </is>
      </c>
      <c r="F329" t="inlineStr">
        <is>
          <t>OK_NO_TOTALS</t>
        </is>
      </c>
      <c r="G329" s="19" t="inlineStr">
        <is>
          <t>https://rlg-aj.com.br/wp-content/uploads/2023/05/Relacao-de-Credores-do-art.-7o-§2o-da-Lei-n.o-11.101-de-2005-Lojas-Aldo.pdf</t>
        </is>
      </c>
      <c r="H329" t="inlineStr">
        <is>
          <t>p4 r59</t>
        </is>
      </c>
      <c r="I329" t="inlineStr">
        <is>
          <t>NO_DOCUMENT ALT_VALUE:R$246.318,48</t>
        </is>
      </c>
    </row>
    <row r="330">
      <c r="A330" t="inlineStr">
        <is>
          <t>ALTOMAX COM. DE MEIAS E COBERTORES, IMPORT. E EXPORT. LTDA</t>
        </is>
      </c>
      <c r="B330" s="10" t="n">
        <v>226610.78</v>
      </c>
      <c r="C330" t="inlineStr">
        <is>
          <t>MAGAZINE SA</t>
        </is>
      </c>
      <c r="D330" t="inlineStr">
        <is>
          <t>5074883-62.2023.8.21.0001</t>
        </is>
      </c>
      <c r="E330" t="inlineStr">
        <is>
          <t>AJ_LIST</t>
        </is>
      </c>
      <c r="F330" t="inlineStr">
        <is>
          <t>OK_NO_TOTALS</t>
        </is>
      </c>
      <c r="G330" s="19" t="inlineStr">
        <is>
          <t>https://rlg-aj.com.br/wp-content/uploads/2023/05/Relacao-de-Credores-do-art.-7o-§2o-da-Lei-n.o-11.101-de-2005-Lojas-Aldo.pdf</t>
        </is>
      </c>
      <c r="H330" t="inlineStr">
        <is>
          <t>p4 r33</t>
        </is>
      </c>
      <c r="I330" t="inlineStr">
        <is>
          <t>NO_DOCUMENT ALT_VALUE:R$226.579,20</t>
        </is>
      </c>
    </row>
    <row r="331">
      <c r="A331" t="inlineStr">
        <is>
          <t>RADICAL STYLE INDUSTRIA E COMERCIO DE CONFECCOES LTDA</t>
        </is>
      </c>
      <c r="B331" s="10" t="n">
        <v>217449.3</v>
      </c>
      <c r="C331" t="inlineStr">
        <is>
          <t>MAGAZINE SA</t>
        </is>
      </c>
      <c r="D331" t="inlineStr">
        <is>
          <t>5074883-62.2023.8.21.0001</t>
        </is>
      </c>
      <c r="E331" t="inlineStr">
        <is>
          <t>AJ_LIST</t>
        </is>
      </c>
      <c r="F331" t="inlineStr">
        <is>
          <t>OK_NO_TOTALS</t>
        </is>
      </c>
      <c r="G331" s="19" t="inlineStr">
        <is>
          <t>https://rlg-aj.com.br/wp-content/uploads/2023/05/Relacao-de-Credores-do-art.-7o-§2o-da-Lei-n.o-11.101-de-2005-Lojas-Aldo.pdf</t>
        </is>
      </c>
      <c r="H331" t="inlineStr">
        <is>
          <t>p4 r84</t>
        </is>
      </c>
      <c r="I331" t="inlineStr">
        <is>
          <t>NO_DOCUMENT ALT_VALUE:R$217.090,05</t>
        </is>
      </c>
    </row>
    <row r="332">
      <c r="A332" t="inlineStr">
        <is>
          <t>MARCO TEXTIL IND. E COM. DE ARTIGOS DE VESTUARIO LTDA</t>
        </is>
      </c>
      <c r="B332" s="10" t="n">
        <v>210970.7</v>
      </c>
      <c r="C332" t="inlineStr">
        <is>
          <t>MAGAZINE SA</t>
        </is>
      </c>
      <c r="D332" t="inlineStr">
        <is>
          <t>5074883-62.2023.8.21.0001</t>
        </is>
      </c>
      <c r="E332" t="inlineStr">
        <is>
          <t>AJ_LIST</t>
        </is>
      </c>
      <c r="F332" t="inlineStr">
        <is>
          <t>OK_NO_TOTALS</t>
        </is>
      </c>
      <c r="G332" s="19" t="inlineStr">
        <is>
          <t>https://rlg-aj.com.br/wp-content/uploads/2023/05/Relacao-de-Credores-do-art.-7o-§2o-da-Lei-n.o-11.101-de-2005-Lojas-Aldo.pdf</t>
        </is>
      </c>
      <c r="H332" t="inlineStr">
        <is>
          <t>p4 r73</t>
        </is>
      </c>
      <c r="I332" t="inlineStr">
        <is>
          <t>NO_DOCUMENT ALT_VALUE:R$210.391,87</t>
        </is>
      </c>
    </row>
    <row r="333">
      <c r="A333" t="inlineStr">
        <is>
          <t>Banco Bradesco S.A.</t>
        </is>
      </c>
      <c r="B333" s="10" t="n">
        <v>4292447.73</v>
      </c>
      <c r="C333" t="inlineStr">
        <is>
          <t>Grupo Madeireira Madefus - RLG-AJ</t>
        </is>
      </c>
      <c r="D333" t="inlineStr">
        <is>
          <t>5008630-83.2025.8.24.0019</t>
        </is>
      </c>
      <c r="E333" t="inlineStr">
        <is>
          <t>AJ_LIST</t>
        </is>
      </c>
      <c r="F333" t="inlineStr">
        <is>
          <t>OK</t>
        </is>
      </c>
      <c r="G333" s="19" t="inlineStr">
        <is>
          <t>https://rlg-aj.com.br/wp-content/uploads/2026/02/2a-Lista-de-Credores-Relacao-Completa-Artigo-7o-Paragrafo-2-da-Lei-11.101-de-2005-Madefus.pdf</t>
        </is>
      </c>
      <c r="H333" t="inlineStr">
        <is>
          <t>p2 r1</t>
        </is>
      </c>
      <c r="I333" t="inlineStr">
        <is>
          <t>NO_DOCUMENT ALT_VALUE:R$4.292.447,73</t>
        </is>
      </c>
    </row>
    <row r="334">
      <c r="A334" t="inlineStr">
        <is>
          <t>Márcio Athayde Barros</t>
        </is>
      </c>
      <c r="B334" s="10" t="n">
        <v>750000</v>
      </c>
      <c r="C334" t="inlineStr">
        <is>
          <t>Grupo Madeireira Madefus - RLG-AJ</t>
        </is>
      </c>
      <c r="D334" t="inlineStr">
        <is>
          <t>5008630-83.2025.8.24.0019</t>
        </is>
      </c>
      <c r="E334" t="inlineStr">
        <is>
          <t>AJ_LIST</t>
        </is>
      </c>
      <c r="F334" t="inlineStr">
        <is>
          <t>OK</t>
        </is>
      </c>
      <c r="G334" s="19" t="inlineStr">
        <is>
          <t>https://rlg-aj.com.br/wp-content/uploads/2026/02/2a-Lista-de-Credores-Relacao-Completa-Artigo-7o-Paragrafo-2-da-Lei-11.101-de-2005-Madefus.pdf</t>
        </is>
      </c>
      <c r="H334" t="inlineStr">
        <is>
          <t>p2 r6</t>
        </is>
      </c>
      <c r="I334" t="inlineStr">
        <is>
          <t>NO_DOCUMENT ALT_VALUE:R$750.000,00</t>
        </is>
      </c>
    </row>
    <row r="335">
      <c r="A335" t="inlineStr">
        <is>
          <t>Ricardo Clair Basso</t>
        </is>
      </c>
      <c r="B335" s="10" t="n">
        <v>750000</v>
      </c>
      <c r="C335" t="inlineStr">
        <is>
          <t>Grupo Madeireira Madefus - RLG-AJ</t>
        </is>
      </c>
      <c r="D335" t="inlineStr">
        <is>
          <t>5008630-83.2025.8.24.0019</t>
        </is>
      </c>
      <c r="E335" t="inlineStr">
        <is>
          <t>AJ_LIST</t>
        </is>
      </c>
      <c r="F335" t="inlineStr">
        <is>
          <t>OK</t>
        </is>
      </c>
      <c r="G335" s="19" t="inlineStr">
        <is>
          <t>https://rlg-aj.com.br/wp-content/uploads/2026/02/2a-Lista-de-Credores-Relacao-Completa-Artigo-7o-Paragrafo-2-da-Lei-11.101-de-2005-Madefus.pdf</t>
        </is>
      </c>
      <c r="H335" t="inlineStr">
        <is>
          <t>p2 r7</t>
        </is>
      </c>
      <c r="I335" t="inlineStr">
        <is>
          <t>NO_DOCUMENT ALT_VALUE:R$750.000,00</t>
        </is>
      </c>
    </row>
    <row r="336">
      <c r="A336" t="inlineStr">
        <is>
          <t>BANCO DAYCOVAL S.A</t>
        </is>
      </c>
      <c r="B336" s="10" t="n">
        <v>6957930.68</v>
      </c>
      <c r="C336" t="inlineStr">
        <is>
          <t>- Administração Judicia</t>
        </is>
      </c>
      <c r="D336" t="inlineStr">
        <is>
          <t>1035775-55.2020.8.26.0100</t>
        </is>
      </c>
      <c r="E336" t="inlineStr">
        <is>
          <t>QGC</t>
        </is>
      </c>
      <c r="F336" t="inlineStr">
        <is>
          <t>OK_NO_TOTALS</t>
        </is>
      </c>
      <c r="G336" s="19" t="inlineStr">
        <is>
          <t>https://violet-wolf-754008.hostingersite.com/wp-content/uploads/recuperacoes-judiciais/Grupo-bem/2º-Edital-Grupo-Bem.pdf</t>
        </is>
      </c>
      <c r="H336" t="inlineStr">
        <is>
          <t>p11 r46</t>
        </is>
      </c>
      <c r="I336" t="inlineStr">
        <is>
          <t>NO_DOCUMENT</t>
        </is>
      </c>
    </row>
    <row r="337">
      <c r="A337" t="inlineStr">
        <is>
          <t>BANCO DO BRASIL S.A</t>
        </is>
      </c>
      <c r="B337" s="10" t="n">
        <v>2982452.63</v>
      </c>
      <c r="C337" t="inlineStr">
        <is>
          <t>- Administração Judicia</t>
        </is>
      </c>
      <c r="D337" t="inlineStr">
        <is>
          <t>1035775-55.2020.8.26.0100</t>
        </is>
      </c>
      <c r="E337" t="inlineStr">
        <is>
          <t>QGC</t>
        </is>
      </c>
      <c r="F337" t="inlineStr">
        <is>
          <t>OK_NO_TOTALS</t>
        </is>
      </c>
      <c r="G337" s="19" t="inlineStr">
        <is>
          <t>https://violet-wolf-754008.hostingersite.com/wp-content/uploads/recuperacoes-judiciais/Grupo-bem/2º-Edital-Grupo-Bem.pdf</t>
        </is>
      </c>
      <c r="H337" t="inlineStr">
        <is>
          <t>p7 r29</t>
        </is>
      </c>
      <c r="I337" t="inlineStr">
        <is>
          <t>NO_DOCUMENT</t>
        </is>
      </c>
    </row>
    <row r="338">
      <c r="A338" t="inlineStr">
        <is>
          <t>BANCO SANTANDER (BRASIL) S.A</t>
        </is>
      </c>
      <c r="B338" s="10" t="n">
        <v>2710590.39</v>
      </c>
      <c r="C338" t="inlineStr">
        <is>
          <t>- Administração Judicia</t>
        </is>
      </c>
      <c r="D338" t="inlineStr">
        <is>
          <t>1035775-55.2020.8.26.0100</t>
        </is>
      </c>
      <c r="E338" t="inlineStr">
        <is>
          <t>QGC</t>
        </is>
      </c>
      <c r="F338" t="inlineStr">
        <is>
          <t>OK_NO_TOTALS</t>
        </is>
      </c>
      <c r="G338" s="19" t="inlineStr">
        <is>
          <t>https://violet-wolf-754008.hostingersite.com/wp-content/uploads/recuperacoes-judiciais/Grupo-bem/2º-Edital-Grupo-Bem.pdf</t>
        </is>
      </c>
      <c r="H338" t="inlineStr">
        <is>
          <t>p11 r47</t>
        </is>
      </c>
      <c r="I338" t="inlineStr">
        <is>
          <t>NO_DOCUMENT</t>
        </is>
      </c>
    </row>
    <row r="339">
      <c r="A339" t="inlineStr">
        <is>
          <t>LUMIAR HEALTH BUILDERS EQUIPAMENTOS HOSPITALARES LTDA</t>
        </is>
      </c>
      <c r="B339" s="10" t="n">
        <v>2511638.17</v>
      </c>
      <c r="C339" t="inlineStr">
        <is>
          <t>- Administração Judicia</t>
        </is>
      </c>
      <c r="D339" t="inlineStr">
        <is>
          <t>1035775-55.2020.8.26.0100</t>
        </is>
      </c>
      <c r="E339" t="inlineStr">
        <is>
          <t>QGC</t>
        </is>
      </c>
      <c r="F339" t="inlineStr">
        <is>
          <t>OK_NO_TOTALS</t>
        </is>
      </c>
      <c r="G339" s="19" t="inlineStr">
        <is>
          <t>https://violet-wolf-754008.hostingersite.com/wp-content/uploads/recuperacoes-judiciais/Grupo-bem/2º-Edital-Grupo-Bem.pdf</t>
        </is>
      </c>
      <c r="H339" t="inlineStr">
        <is>
          <t>p12 r22</t>
        </is>
      </c>
      <c r="I339" t="inlineStr">
        <is>
          <t>NO_DOCUMENT</t>
        </is>
      </c>
    </row>
    <row r="340">
      <c r="A340" t="inlineStr">
        <is>
          <t>SALESFORCE INC</t>
        </is>
      </c>
      <c r="B340" s="10" t="n">
        <v>723501.29</v>
      </c>
      <c r="C340" t="inlineStr">
        <is>
          <t>- Administração Judicia</t>
        </is>
      </c>
      <c r="D340" t="inlineStr">
        <is>
          <t>1035775-55.2020.8.26.0100</t>
        </is>
      </c>
      <c r="E340" t="inlineStr">
        <is>
          <t>QGC</t>
        </is>
      </c>
      <c r="F340" t="inlineStr">
        <is>
          <t>OK_NO_TOTALS</t>
        </is>
      </c>
      <c r="G340" s="19" t="inlineStr">
        <is>
          <t>https://violet-wolf-754008.hostingersite.com/wp-content/uploads/recuperacoes-judiciais/Grupo-bem/2º-Edital-Grupo-Bem.pdf</t>
        </is>
      </c>
      <c r="H340" t="inlineStr">
        <is>
          <t>p9 r21</t>
        </is>
      </c>
      <c r="I340" t="inlineStr">
        <is>
          <t>NO_DOCUMENT</t>
        </is>
      </c>
    </row>
    <row r="341">
      <c r="A341" t="inlineStr">
        <is>
          <t>HARPIA CONSULTORIA EM TECNOLOGIA DA INFO</t>
        </is>
      </c>
      <c r="B341" s="10" t="n">
        <v>722613.1899999999</v>
      </c>
      <c r="C341" t="inlineStr">
        <is>
          <t>- Administração Judicia</t>
        </is>
      </c>
      <c r="D341" t="inlineStr">
        <is>
          <t>1035775-55.2020.8.26.0100</t>
        </is>
      </c>
      <c r="E341" t="inlineStr">
        <is>
          <t>QGC</t>
        </is>
      </c>
      <c r="F341" t="inlineStr">
        <is>
          <t>OK_NO_TOTALS</t>
        </is>
      </c>
      <c r="G341" s="19" t="inlineStr">
        <is>
          <t>https://violet-wolf-754008.hostingersite.com/wp-content/uploads/recuperacoes-judiciais/Grupo-bem/2º-Edital-Grupo-Bem.pdf</t>
        </is>
      </c>
      <c r="H341" t="inlineStr">
        <is>
          <t>p9 r14</t>
        </is>
      </c>
      <c r="I341" t="inlineStr">
        <is>
          <t>NO_DOCUMENT</t>
        </is>
      </c>
    </row>
    <row r="342">
      <c r="A342" t="inlineStr">
        <is>
          <t>ELFA MEDICAMENTOS S.A</t>
        </is>
      </c>
      <c r="B342" s="10" t="n">
        <v>598189.05</v>
      </c>
      <c r="C342" t="inlineStr">
        <is>
          <t>- Administração Judicia</t>
        </is>
      </c>
      <c r="D342" t="inlineStr">
        <is>
          <t>1035775-55.2020.8.26.0100</t>
        </is>
      </c>
      <c r="E342" t="inlineStr">
        <is>
          <t>QGC</t>
        </is>
      </c>
      <c r="F342" t="inlineStr">
        <is>
          <t>OK_NO_TOTALS</t>
        </is>
      </c>
      <c r="G342" s="19" t="inlineStr">
        <is>
          <t>https://violet-wolf-754008.hostingersite.com/wp-content/uploads/recuperacoes-judiciais/Grupo-bem/2º-Edital-Grupo-Bem.pdf</t>
        </is>
      </c>
      <c r="H342" t="inlineStr">
        <is>
          <t>p11 r70</t>
        </is>
      </c>
      <c r="I342" t="inlineStr">
        <is>
          <t>NO_DOCUMENT</t>
        </is>
      </c>
    </row>
    <row r="343">
      <c r="A343" t="inlineStr">
        <is>
          <t>CENTURYLINK COMUNICACOES DO BRASIL LTDA</t>
        </is>
      </c>
      <c r="B343" s="10" t="n">
        <v>578708.03</v>
      </c>
      <c r="C343" t="inlineStr">
        <is>
          <t>- Administração Judicia</t>
        </is>
      </c>
      <c r="D343" t="inlineStr">
        <is>
          <t>1035775-55.2020.8.26.0100</t>
        </is>
      </c>
      <c r="E343" t="inlineStr">
        <is>
          <t>QGC</t>
        </is>
      </c>
      <c r="F343" t="inlineStr">
        <is>
          <t>OK_NO_TOTALS</t>
        </is>
      </c>
      <c r="G343" s="19" t="inlineStr">
        <is>
          <t>https://violet-wolf-754008.hostingersite.com/wp-content/uploads/recuperacoes-judiciais/Grupo-bem/2º-Edital-Grupo-Bem.pdf</t>
        </is>
      </c>
      <c r="H343" t="inlineStr">
        <is>
          <t>p4 r2</t>
        </is>
      </c>
      <c r="I343" t="inlineStr">
        <is>
          <t>NO_DOCUMENT</t>
        </is>
      </c>
    </row>
    <row r="344">
      <c r="A344" t="inlineStr">
        <is>
          <t>BANCO BRADESCO S.A</t>
        </is>
      </c>
      <c r="B344" s="10" t="n">
        <v>499241.66</v>
      </c>
      <c r="C344" t="inlineStr">
        <is>
          <t>- Administração Judicia</t>
        </is>
      </c>
      <c r="D344" t="inlineStr">
        <is>
          <t>1035775-55.2020.8.26.0100</t>
        </is>
      </c>
      <c r="E344" t="inlineStr">
        <is>
          <t>QGC</t>
        </is>
      </c>
      <c r="F344" t="inlineStr">
        <is>
          <t>OK_NO_TOTALS</t>
        </is>
      </c>
      <c r="G344" s="19" t="inlineStr">
        <is>
          <t>https://violet-wolf-754008.hostingersite.com/wp-content/uploads/recuperacoes-judiciais/Grupo-bem/2º-Edital-Grupo-Bem.pdf</t>
        </is>
      </c>
      <c r="H344" t="inlineStr">
        <is>
          <t>p11 r45</t>
        </is>
      </c>
      <c r="I344" t="inlineStr">
        <is>
          <t>NO_DOCUMENT</t>
        </is>
      </c>
    </row>
    <row r="345">
      <c r="A345" t="inlineStr">
        <is>
          <t>SANTA CATARINA OXIGENIO E GASES</t>
        </is>
      </c>
      <c r="B345" s="10" t="n">
        <v>423461.14</v>
      </c>
      <c r="C345" t="inlineStr">
        <is>
          <t>- Administração Judicia</t>
        </is>
      </c>
      <c r="D345" t="inlineStr">
        <is>
          <t>1035775-55.2020.8.26.0100</t>
        </is>
      </c>
      <c r="E345" t="inlineStr">
        <is>
          <t>QGC</t>
        </is>
      </c>
      <c r="F345" t="inlineStr">
        <is>
          <t>OK_NO_TOTALS</t>
        </is>
      </c>
      <c r="G345" s="19" t="inlineStr">
        <is>
          <t>https://violet-wolf-754008.hostingersite.com/wp-content/uploads/recuperacoes-judiciais/Grupo-bem/2º-Edital-Grupo-Bem.pdf</t>
        </is>
      </c>
      <c r="H345" t="inlineStr">
        <is>
          <t>p12 r42</t>
        </is>
      </c>
      <c r="I345" t="inlineStr">
        <is>
          <t>NO_DOCUMENT</t>
        </is>
      </c>
    </row>
    <row r="346">
      <c r="A346" t="inlineStr">
        <is>
          <t>AIR LIQUIDE BRASIL LTDA</t>
        </is>
      </c>
      <c r="B346" s="10" t="n">
        <v>345218.37</v>
      </c>
      <c r="C346" t="inlineStr">
        <is>
          <t>- Administração Judicia</t>
        </is>
      </c>
      <c r="D346" t="inlineStr">
        <is>
          <t>1035775-55.2020.8.26.0100</t>
        </is>
      </c>
      <c r="E346" t="inlineStr">
        <is>
          <t>QGC</t>
        </is>
      </c>
      <c r="F346" t="inlineStr">
        <is>
          <t>OK_NO_TOTALS</t>
        </is>
      </c>
      <c r="G346" s="19" t="inlineStr">
        <is>
          <t>https://violet-wolf-754008.hostingersite.com/wp-content/uploads/recuperacoes-judiciais/Grupo-bem/2º-Edital-Grupo-Bem.pdf</t>
        </is>
      </c>
      <c r="H346" t="inlineStr">
        <is>
          <t>p11 r40</t>
        </is>
      </c>
      <c r="I346" t="inlineStr">
        <is>
          <t>NO_DOCUMENT</t>
        </is>
      </c>
    </row>
    <row r="347">
      <c r="A347" t="inlineStr">
        <is>
          <t>COMERCIAL CIRURGICA RIOCLARENSE LTDA</t>
        </is>
      </c>
      <c r="B347" s="10" t="n">
        <v>344626.94</v>
      </c>
      <c r="C347" t="inlineStr">
        <is>
          <t>- Administração Judicia</t>
        </is>
      </c>
      <c r="D347" t="inlineStr">
        <is>
          <t>1035775-55.2020.8.26.0100</t>
        </is>
      </c>
      <c r="E347" t="inlineStr">
        <is>
          <t>QGC</t>
        </is>
      </c>
      <c r="F347" t="inlineStr">
        <is>
          <t>OK_NO_TOTALS</t>
        </is>
      </c>
      <c r="G347" s="19" t="inlineStr">
        <is>
          <t>https://violet-wolf-754008.hostingersite.com/wp-content/uploads/recuperacoes-judiciais/Grupo-bem/2º-Edital-Grupo-Bem.pdf</t>
        </is>
      </c>
      <c r="H347" t="inlineStr">
        <is>
          <t>p11 r59</t>
        </is>
      </c>
      <c r="I347" t="inlineStr">
        <is>
          <t>NO_DOCUMENT</t>
        </is>
      </c>
    </row>
    <row r="348">
      <c r="A348" t="inlineStr">
        <is>
          <t>COMERCIAL COMMED PRODUTOS HOSPITALARES LTDA</t>
        </is>
      </c>
      <c r="B348" s="10" t="n">
        <v>287713.86</v>
      </c>
      <c r="C348" t="inlineStr">
        <is>
          <t>- Administração Judicia</t>
        </is>
      </c>
      <c r="D348" t="inlineStr">
        <is>
          <t>1035775-55.2020.8.26.0100</t>
        </is>
      </c>
      <c r="E348" t="inlineStr">
        <is>
          <t>QGC</t>
        </is>
      </c>
      <c r="F348" t="inlineStr">
        <is>
          <t>OK_NO_TOTALS</t>
        </is>
      </c>
      <c r="G348" s="19" t="inlineStr">
        <is>
          <t>https://violet-wolf-754008.hostingersite.com/wp-content/uploads/recuperacoes-judiciais/Grupo-bem/2º-Edital-Grupo-Bem.pdf</t>
        </is>
      </c>
      <c r="H348" t="inlineStr">
        <is>
          <t>p11 r60</t>
        </is>
      </c>
      <c r="I348" t="inlineStr">
        <is>
          <t>NO_DOCUMENT</t>
        </is>
      </c>
    </row>
    <row r="349">
      <c r="A349" t="inlineStr">
        <is>
          <t>BELINUTRI DISTRIBUIDORA DE MEDICAMENTOS LTDA</t>
        </is>
      </c>
      <c r="B349" s="10" t="n">
        <v>255235.14</v>
      </c>
      <c r="C349" t="inlineStr">
        <is>
          <t>- Administração Judicia</t>
        </is>
      </c>
      <c r="D349" t="inlineStr">
        <is>
          <t>1035775-55.2020.8.26.0100</t>
        </is>
      </c>
      <c r="E349" t="inlineStr">
        <is>
          <t>QGC</t>
        </is>
      </c>
      <c r="F349" t="inlineStr">
        <is>
          <t>OK_NO_TOTALS</t>
        </is>
      </c>
      <c r="G349" s="19" t="inlineStr">
        <is>
          <t>https://violet-wolf-754008.hostingersite.com/wp-content/uploads/recuperacoes-judiciais/Grupo-bem/2º-Edital-Grupo-Bem.pdf</t>
        </is>
      </c>
      <c r="H349" t="inlineStr">
        <is>
          <t>p11 r49</t>
        </is>
      </c>
      <c r="I349" t="inlineStr">
        <is>
          <t>NO_DOCUMENT</t>
        </is>
      </c>
    </row>
    <row r="350">
      <c r="A350" t="inlineStr">
        <is>
          <t>VICTOR MUCCIOLO CABERNITE</t>
        </is>
      </c>
      <c r="B350" s="10" t="n">
        <v>210022.96</v>
      </c>
      <c r="C350" t="inlineStr">
        <is>
          <t>- Administração Judicia</t>
        </is>
      </c>
      <c r="D350" t="inlineStr">
        <is>
          <t>1035775-55.2020.8.26.0100</t>
        </is>
      </c>
      <c r="E350" t="inlineStr">
        <is>
          <t>QGC</t>
        </is>
      </c>
      <c r="F350" t="inlineStr">
        <is>
          <t>OK_NO_TOTALS</t>
        </is>
      </c>
      <c r="G350" s="19" t="inlineStr">
        <is>
          <t>https://violet-wolf-754008.hostingersite.com/wp-content/uploads/recuperacoes-judiciais/Grupo-bem/2º-Edital-Grupo-Bem.pdf</t>
        </is>
      </c>
      <c r="H350" t="inlineStr">
        <is>
          <t>p12 r49</t>
        </is>
      </c>
      <c r="I350" t="inlineStr">
        <is>
          <t>NO_DOCUMENT</t>
        </is>
      </c>
    </row>
    <row r="351">
      <c r="A351" t="inlineStr">
        <is>
          <t>ALOCAMA LOCACAO DE MOVEIS LTDA</t>
        </is>
      </c>
      <c r="B351" s="10" t="n">
        <v>202639.5</v>
      </c>
      <c r="C351" t="inlineStr">
        <is>
          <t>- Administração Judicia</t>
        </is>
      </c>
      <c r="D351" t="inlineStr">
        <is>
          <t>1035775-55.2020.8.26.0100</t>
        </is>
      </c>
      <c r="E351" t="inlineStr">
        <is>
          <t>QGC</t>
        </is>
      </c>
      <c r="F351" t="inlineStr">
        <is>
          <t>OK_NO_TOTALS</t>
        </is>
      </c>
      <c r="G351" s="19" t="inlineStr">
        <is>
          <t>https://violet-wolf-754008.hostingersite.com/wp-content/uploads/recuperacoes-judiciais/Grupo-bem/2º-Edital-Grupo-Bem.pdf</t>
        </is>
      </c>
      <c r="H351" t="inlineStr">
        <is>
          <t>p11 r42</t>
        </is>
      </c>
      <c r="I351" t="inlineStr">
        <is>
          <t>NO_DOCUMENT</t>
        </is>
      </c>
    </row>
    <row r="352">
      <c r="A352" t="inlineStr">
        <is>
          <t>Banco Bradesco S.A</t>
        </is>
      </c>
      <c r="B352" s="10" t="n">
        <v>1597563.19</v>
      </c>
      <c r="C352" t="inlineStr">
        <is>
          <t>CLÁUDIA CONFECÇÕES UNIFORMES PROFISSIONAIS LTDA</t>
        </is>
      </c>
      <c r="D352" t="inlineStr">
        <is>
          <t>1000021-46.2023.8.26.0359</t>
        </is>
      </c>
      <c r="E352" t="inlineStr">
        <is>
          <t>DEBTOR_LIST</t>
        </is>
      </c>
      <c r="F352" t="inlineStr">
        <is>
          <t>OK_NO_TOTALS</t>
        </is>
      </c>
      <c r="G352" s="19" t="inlineStr">
        <is>
          <t>https://violet-wolf-754008.hostingersite.com/wp-content/uploads/2024/06/1o-Edital-de-Credores.pdf</t>
        </is>
      </c>
      <c r="H352" t="inlineStr">
        <is>
          <t>p10 r1</t>
        </is>
      </c>
      <c r="I352" t="inlineStr">
        <is>
          <t>NO_DOCUMENT</t>
        </is>
      </c>
    </row>
    <row r="353">
      <c r="A353" t="inlineStr">
        <is>
          <t>Caixa Econômica Federal</t>
        </is>
      </c>
      <c r="B353" s="10" t="n">
        <v>450473.84</v>
      </c>
      <c r="C353" t="inlineStr">
        <is>
          <t>CLÁUDIA CONFECÇÕES UNIFORMES PROFISSIONAIS LTDA</t>
        </is>
      </c>
      <c r="D353" t="inlineStr">
        <is>
          <t>1000021-46.2023.8.26.0359</t>
        </is>
      </c>
      <c r="E353" t="inlineStr">
        <is>
          <t>DEBTOR_LIST</t>
        </is>
      </c>
      <c r="F353" t="inlineStr">
        <is>
          <t>OK_NO_TOTALS</t>
        </is>
      </c>
      <c r="G353" s="19" t="inlineStr">
        <is>
          <t>https://violet-wolf-754008.hostingersite.com/wp-content/uploads/2024/06/1o-Edital-de-Credores.pdf</t>
        </is>
      </c>
      <c r="H353" t="inlineStr">
        <is>
          <t>p10 r3</t>
        </is>
      </c>
      <c r="I353" t="inlineStr">
        <is>
          <t>NO_DOCUMENT</t>
        </is>
      </c>
    </row>
    <row r="354">
      <c r="A354" t="inlineStr">
        <is>
          <t>Cooperativa de Crédito, Poupança e Investimento Rio Paraná - SICREDI Rio Paraná</t>
        </is>
      </c>
      <c r="B354" s="10" t="n">
        <v>411488.5</v>
      </c>
      <c r="C354" t="inlineStr">
        <is>
          <t>CLÁUDIA CONFECÇÕES UNIFORMES PROFISSIONAIS LTDA</t>
        </is>
      </c>
      <c r="D354" t="inlineStr">
        <is>
          <t>1000021-46.2023.8.26.0359</t>
        </is>
      </c>
      <c r="E354" t="inlineStr">
        <is>
          <t>DEBTOR_LIST</t>
        </is>
      </c>
      <c r="F354" t="inlineStr">
        <is>
          <t>OK_NO_TOTALS</t>
        </is>
      </c>
      <c r="G354" s="19" t="inlineStr">
        <is>
          <t>https://violet-wolf-754008.hostingersite.com/wp-content/uploads/2024/06/1o-Edital-de-Credores.pdf</t>
        </is>
      </c>
      <c r="H354" t="inlineStr">
        <is>
          <t>p10 r6</t>
        </is>
      </c>
      <c r="I354" t="inlineStr">
        <is>
          <t>NO_DOCUMENT</t>
        </is>
      </c>
    </row>
    <row r="355">
      <c r="A355" t="inlineStr">
        <is>
          <t>Banco do Brasil S.A</t>
        </is>
      </c>
      <c r="B355" s="10" t="n">
        <v>319626.4</v>
      </c>
      <c r="C355" t="inlineStr">
        <is>
          <t>CLÁUDIA CONFECÇÕES UNIFORMES PROFISSIONAIS LTDA</t>
        </is>
      </c>
      <c r="D355" t="inlineStr">
        <is>
          <t>1000021-46.2023.8.26.0359</t>
        </is>
      </c>
      <c r="E355" t="inlineStr">
        <is>
          <t>DEBTOR_LIST</t>
        </is>
      </c>
      <c r="F355" t="inlineStr">
        <is>
          <t>OK_NO_TOTALS</t>
        </is>
      </c>
      <c r="G355" s="19" t="inlineStr">
        <is>
          <t>https://violet-wolf-754008.hostingersite.com/wp-content/uploads/2024/06/1o-Edital-de-Credores.pdf</t>
        </is>
      </c>
      <c r="H355" t="inlineStr">
        <is>
          <t>p10 r2</t>
        </is>
      </c>
      <c r="I355" t="inlineStr">
        <is>
          <t>NO_DOCUMENT</t>
        </is>
      </c>
    </row>
    <row r="356">
      <c r="A356" t="inlineStr">
        <is>
          <t>BANCO Itaú</t>
        </is>
      </c>
      <c r="B356" s="10" t="n">
        <v>683049.8100000001</v>
      </c>
      <c r="C356" t="inlineStr">
        <is>
          <t>EVER TON FPS IMPORTAÇÃO E EXPORTAÇÃO LTDA</t>
        </is>
      </c>
      <c r="D356" t="inlineStr">
        <is>
          <t>1054969-12.2018.8.26.0100</t>
        </is>
      </c>
      <c r="E356" t="inlineStr">
        <is>
          <t>QGC</t>
        </is>
      </c>
      <c r="F356" t="inlineStr">
        <is>
          <t>OK_NO_TOTALS</t>
        </is>
      </c>
      <c r="G356" s="19" t="inlineStr">
        <is>
          <t>https://violet-wolf-754008.hostingersite.com/wp-content/uploads/recuperacoes-judiciais/ever-ton/1º-edital.pdf</t>
        </is>
      </c>
      <c r="H356" t="inlineStr">
        <is>
          <t>p4 r52</t>
        </is>
      </c>
      <c r="I356" t="inlineStr">
        <is>
          <t>NO_DOCUMENT</t>
        </is>
      </c>
    </row>
    <row r="357">
      <c r="A357" t="inlineStr">
        <is>
          <t>METISA- METALURGICA TIMBOENSE S/A</t>
        </is>
      </c>
      <c r="B357" s="10" t="n">
        <v>351547.58</v>
      </c>
      <c r="C357" t="inlineStr">
        <is>
          <t>EVER TON FPS IMPORTAÇÃO E EXPORTAÇÃO LTDA</t>
        </is>
      </c>
      <c r="D357" t="inlineStr">
        <is>
          <t>1054969-12.2018.8.26.0100</t>
        </is>
      </c>
      <c r="E357" t="inlineStr">
        <is>
          <t>QGC</t>
        </is>
      </c>
      <c r="F357" t="inlineStr">
        <is>
          <t>OK_NO_TOTALS</t>
        </is>
      </c>
      <c r="G357" s="19" t="inlineStr">
        <is>
          <t>https://violet-wolf-754008.hostingersite.com/wp-content/uploads/recuperacoes-judiciais/ever-ton/1º-edital.pdf</t>
        </is>
      </c>
      <c r="H357" t="inlineStr">
        <is>
          <t>p4 r88</t>
        </is>
      </c>
      <c r="I357" t="inlineStr">
        <is>
          <t>NO_DOCUMENT</t>
        </is>
      </c>
    </row>
    <row r="358">
      <c r="A358" t="inlineStr">
        <is>
          <t>OXFER INDUSTR E COM DE FERRO E AÇO LTDA</t>
        </is>
      </c>
      <c r="B358" s="10" t="n">
        <v>315846.58</v>
      </c>
      <c r="C358" t="inlineStr">
        <is>
          <t>EVER TON FPS IMPORTAÇÃO E EXPORTAÇÃO LTDA</t>
        </is>
      </c>
      <c r="D358" t="inlineStr">
        <is>
          <t>1054969-12.2018.8.26.0100</t>
        </is>
      </c>
      <c r="E358" t="inlineStr">
        <is>
          <t>QGC</t>
        </is>
      </c>
      <c r="F358" t="inlineStr">
        <is>
          <t>OK_NO_TOTALS</t>
        </is>
      </c>
      <c r="G358" s="19" t="inlineStr">
        <is>
          <t>https://violet-wolf-754008.hostingersite.com/wp-content/uploads/recuperacoes-judiciais/ever-ton/1º-edital.pdf</t>
        </is>
      </c>
      <c r="H358" t="inlineStr">
        <is>
          <t>p4 r12</t>
        </is>
      </c>
      <c r="I358" t="inlineStr">
        <is>
          <t>NO_DOCUMENT</t>
        </is>
      </c>
    </row>
    <row r="359">
      <c r="A359" t="inlineStr">
        <is>
          <t>EULER CARNEIRO MIRANDA</t>
        </is>
      </c>
      <c r="B359" s="10" t="n">
        <v>255000</v>
      </c>
      <c r="C359" t="inlineStr">
        <is>
          <t>EVER TON FPS IMPORTAÇÃO E EXPORTAÇÃO LTDA</t>
        </is>
      </c>
      <c r="D359" t="inlineStr">
        <is>
          <t>1054969-12.2018.8.26.0100</t>
        </is>
      </c>
      <c r="E359" t="inlineStr">
        <is>
          <t>QGC</t>
        </is>
      </c>
      <c r="F359" t="inlineStr">
        <is>
          <t>OK_NO_TOTALS</t>
        </is>
      </c>
      <c r="G359" s="19" t="inlineStr">
        <is>
          <t>https://violet-wolf-754008.hostingersite.com/wp-content/uploads/recuperacoes-judiciais/ever-ton/1º-edital.pdf</t>
        </is>
      </c>
      <c r="H359" t="inlineStr">
        <is>
          <t>p4 r98</t>
        </is>
      </c>
      <c r="I359" t="inlineStr">
        <is>
          <t>NO_DOCUMENT</t>
        </is>
      </c>
    </row>
    <row r="360">
      <c r="A360" t="inlineStr">
        <is>
          <t>LIMPATECH SERVIÇOS E CONSTRUÇÕES LTDA</t>
        </is>
      </c>
      <c r="B360" s="10" t="n">
        <v>2762421.03</v>
      </c>
      <c r="C360" t="inlineStr">
        <is>
          <t>SOCIEDADES ENGETÉCNICA SERVIÇOS E CONSTRUÇÕES LTDA</t>
        </is>
      </c>
      <c r="D360" t="inlineStr">
        <is>
          <t>0024643-24.2017.8.19.0001</t>
        </is>
      </c>
      <c r="E360" t="inlineStr">
        <is>
          <t>QGC</t>
        </is>
      </c>
      <c r="F360" t="inlineStr">
        <is>
          <t>OK</t>
        </is>
      </c>
      <c r="G360" s="19" t="inlineStr">
        <is>
          <t>https://inova-aj.com.br/wp-content/uploads/2022/06/QGC-Engetecnica-e-Construtora-Zadar-Homologado.pdf</t>
        </is>
      </c>
      <c r="H360" t="inlineStr">
        <is>
          <t>p33 r8</t>
        </is>
      </c>
      <c r="I360" t="inlineStr">
        <is>
          <t>NO_DOCUMENT ALT_VALUE:R$2.762.421,03</t>
        </is>
      </c>
    </row>
    <row r="361">
      <c r="A361" t="inlineStr">
        <is>
          <t>MRSB ENGENHARIA E CONSULTORIA LTDA</t>
        </is>
      </c>
      <c r="B361" s="10" t="n">
        <v>1810406.03</v>
      </c>
      <c r="C361" t="inlineStr">
        <is>
          <t>SOCIEDADES ENGETÉCNICA SERVIÇOS E CONSTRUÇÕES LTDA</t>
        </is>
      </c>
      <c r="D361" t="inlineStr">
        <is>
          <t>0024643-24.2017.8.19.0001</t>
        </is>
      </c>
      <c r="E361" t="inlineStr">
        <is>
          <t>QGC</t>
        </is>
      </c>
      <c r="F361" t="inlineStr">
        <is>
          <t>OK</t>
        </is>
      </c>
      <c r="G361" s="19" t="inlineStr">
        <is>
          <t>https://inova-aj.com.br/wp-content/uploads/2022/06/QGC-Engetecnica-e-Construtora-Zadar-Homologado.pdf</t>
        </is>
      </c>
      <c r="H361" t="inlineStr">
        <is>
          <t>p9 r8</t>
        </is>
      </c>
      <c r="I361" t="inlineStr">
        <is>
          <t>NO_DOCUMENT ALT_VALUE:R$715.768,42</t>
        </is>
      </c>
    </row>
    <row r="362">
      <c r="A362" t="inlineStr">
        <is>
          <t>NEC LATIN AMERICA S.A. cedeu seus créditos para COMPANHIA BRASILEIRA DE SECURITIZAÇÃO FINANCEIRA S/A – BRAFIN ‐ d. Fls. 14836</t>
        </is>
      </c>
      <c r="B362" s="10" t="n">
        <v>1439081.13</v>
      </c>
      <c r="C362" t="inlineStr">
        <is>
          <t>SOCIEDADES ENGETÉCNICA SERVIÇOS E CONSTRUÇÕES LTDA</t>
        </is>
      </c>
      <c r="D362" t="inlineStr">
        <is>
          <t>0024643-24.2017.8.19.0001</t>
        </is>
      </c>
      <c r="E362" t="inlineStr">
        <is>
          <t>QGC</t>
        </is>
      </c>
      <c r="F362" t="inlineStr">
        <is>
          <t>OK</t>
        </is>
      </c>
      <c r="G362" s="19" t="inlineStr">
        <is>
          <t>https://inova-aj.com.br/wp-content/uploads/2022/06/QGC-Engetecnica-e-Construtora-Zadar-Homologado.pdf</t>
        </is>
      </c>
      <c r="H362" t="inlineStr">
        <is>
          <t>p34 r17</t>
        </is>
      </c>
      <c r="I362" t="inlineStr">
        <is>
          <t>NO_DOCUMENT ALT_VALUE:R$1.439.081,13</t>
        </is>
      </c>
    </row>
    <row r="363">
      <c r="A363" t="inlineStr">
        <is>
          <t>NEC LATIN AMERICA S.A. cedeu seus créditos para COMPANHIA BRASILEIRA DE SECURITIZAÇÃO FINANCEIRA S/A – BRAFIN ‐ d. Fls. 14836</t>
        </is>
      </c>
      <c r="B363" s="10" t="n">
        <v>1382646.58</v>
      </c>
      <c r="C363" t="inlineStr">
        <is>
          <t>SOCIEDADES ENGETÉCNICA SERVIÇOS E CONSTRUÇÕES LTDA</t>
        </is>
      </c>
      <c r="D363" t="inlineStr">
        <is>
          <t>0024643-24.2017.8.19.0001</t>
        </is>
      </c>
      <c r="E363" t="inlineStr">
        <is>
          <t>QGC</t>
        </is>
      </c>
      <c r="F363" t="inlineStr">
        <is>
          <t>OK</t>
        </is>
      </c>
      <c r="G363" s="19" t="inlineStr">
        <is>
          <t>https://inova-aj.com.br/wp-content/uploads/2022/06/QGC-Engetecnica-e-Construtora-Zadar-Homologado.pdf</t>
        </is>
      </c>
      <c r="H363" t="inlineStr">
        <is>
          <t>p9 r11</t>
        </is>
      </c>
      <c r="I363" t="inlineStr">
        <is>
          <t>NO_DOCUMENT ALT_VALUE:R$1.382.646,58</t>
        </is>
      </c>
    </row>
    <row r="364">
      <c r="A364" t="inlineStr">
        <is>
          <t>PHILIPS LIGHTING ILUMINACAO LTDA (atualmente denominado Signify Iluminação Brasil Ltda) cedeu seus créditos para COMPANHIA BRASILEIRA DE SECURITIZAÇÃO FINANCEIRA S/A – BRAFIN ‐ d. Fls.</t>
        </is>
      </c>
      <c r="B364" s="10" t="n">
        <v>1300723.4</v>
      </c>
      <c r="C364" t="inlineStr">
        <is>
          <t>SOCIEDADES ENGETÉCNICA SERVIÇOS E CONSTRUÇÕES LTDA</t>
        </is>
      </c>
      <c r="D364" t="inlineStr">
        <is>
          <t>0024643-24.2017.8.19.0001</t>
        </is>
      </c>
      <c r="E364" t="inlineStr">
        <is>
          <t>QGC</t>
        </is>
      </c>
      <c r="F364" t="inlineStr">
        <is>
          <t>OK</t>
        </is>
      </c>
      <c r="G364" s="19" t="inlineStr">
        <is>
          <t>https://inova-aj.com.br/wp-content/uploads/2022/06/QGC-Engetecnica-e-Construtora-Zadar-Homologado.pdf</t>
        </is>
      </c>
      <c r="H364" t="inlineStr">
        <is>
          <t>p35 r19</t>
        </is>
      </c>
      <c r="I364" t="inlineStr">
        <is>
          <t>NO_DOCUMENT ALT_VALUE:R$1.300.723,40</t>
        </is>
      </c>
    </row>
    <row r="365">
      <c r="A365" t="inlineStr">
        <is>
          <t>PHILIPS LIGHTING ILUMINACAO LTDA (atualmente denominado Signify Iluminação Brasil Ltda) cedeu seus créditos para COMPANHIA BRASILEIRA DE SECURITIZAÇÃO FINANCEIRA S/A – BRAFIN ‐ d. Fls.</t>
        </is>
      </c>
      <c r="B365" s="10" t="n">
        <v>1249714.64</v>
      </c>
      <c r="C365" t="inlineStr">
        <is>
          <t>SOCIEDADES ENGETÉCNICA SERVIÇOS E CONSTRUÇÕES LTDA</t>
        </is>
      </c>
      <c r="D365" t="inlineStr">
        <is>
          <t>0024643-24.2017.8.19.0001</t>
        </is>
      </c>
      <c r="E365" t="inlineStr">
        <is>
          <t>QGC</t>
        </is>
      </c>
      <c r="F365" t="inlineStr">
        <is>
          <t>OK</t>
        </is>
      </c>
      <c r="G365" s="19" t="inlineStr">
        <is>
          <t>https://inova-aj.com.br/wp-content/uploads/2022/06/QGC-Engetecnica-e-Construtora-Zadar-Homologado.pdf</t>
        </is>
      </c>
      <c r="H365" t="inlineStr">
        <is>
          <t>p11 r2</t>
        </is>
      </c>
      <c r="I365" t="inlineStr">
        <is>
          <t>NO_DOCUMENT ALT_VALUE:R$1.249.714,64</t>
        </is>
      </c>
    </row>
    <row r="366">
      <c r="A366" t="inlineStr">
        <is>
          <t>SOBA ESTRUTURAS E SERVIÇOS LTDA</t>
        </is>
      </c>
      <c r="B366" s="10" t="n">
        <v>1037128.22</v>
      </c>
      <c r="C366" t="inlineStr">
        <is>
          <t>SOCIEDADES ENGETÉCNICA SERVIÇOS E CONSTRUÇÕES LTDA</t>
        </is>
      </c>
      <c r="D366" t="inlineStr">
        <is>
          <t>0024643-24.2017.8.19.0001</t>
        </is>
      </c>
      <c r="E366" t="inlineStr">
        <is>
          <t>QGC</t>
        </is>
      </c>
      <c r="F366" t="inlineStr">
        <is>
          <t>OK</t>
        </is>
      </c>
      <c r="G366" s="19" t="inlineStr">
        <is>
          <t>https://inova-aj.com.br/wp-content/uploads/2022/06/QGC-Engetecnica-e-Construtora-Zadar-Homologado.pdf</t>
        </is>
      </c>
      <c r="H366" t="inlineStr">
        <is>
          <t>p12 r13</t>
        </is>
      </c>
      <c r="I366" t="inlineStr">
        <is>
          <t>NO_DOCUMENT ALT_VALUE:R$1.037.128,22</t>
        </is>
      </c>
    </row>
    <row r="367">
      <c r="A367" t="inlineStr">
        <is>
          <t>MRSB ENGENHARIA E CONSULTORIA LTDA</t>
        </is>
      </c>
      <c r="B367" s="10" t="n">
        <v>791469.08</v>
      </c>
      <c r="C367" t="inlineStr">
        <is>
          <t>SOCIEDADES ENGETÉCNICA SERVIÇOS E CONSTRUÇÕES LTDA</t>
        </is>
      </c>
      <c r="D367" t="inlineStr">
        <is>
          <t>0024643-24.2017.8.19.0001</t>
        </is>
      </c>
      <c r="E367" t="inlineStr">
        <is>
          <t>QGC</t>
        </is>
      </c>
      <c r="F367" t="inlineStr">
        <is>
          <t>OK</t>
        </is>
      </c>
      <c r="G367" s="19" t="inlineStr">
        <is>
          <t>https://inova-aj.com.br/wp-content/uploads/2022/06/QGC-Engetecnica-e-Construtora-Zadar-Homologado.pdf</t>
        </is>
      </c>
      <c r="H367" t="inlineStr">
        <is>
          <t>p34 r10</t>
        </is>
      </c>
      <c r="I367" t="inlineStr">
        <is>
          <t>NO_DOCUMENT ALT_VALUE:R$791.469,08</t>
        </is>
      </c>
    </row>
    <row r="368">
      <c r="A368" t="inlineStr">
        <is>
          <t>ACELETRICA COMERCIO &amp; REPRESENTACOES LTDA.</t>
        </is>
      </c>
      <c r="B368" s="10" t="n">
        <v>775123.65</v>
      </c>
      <c r="C368" t="inlineStr">
        <is>
          <t>SOCIEDADES ENGETÉCNICA SERVIÇOS E CONSTRUÇÕES LTDA</t>
        </is>
      </c>
      <c r="D368" t="inlineStr">
        <is>
          <t>0024643-24.2017.8.19.0001</t>
        </is>
      </c>
      <c r="E368" t="inlineStr">
        <is>
          <t>QGC</t>
        </is>
      </c>
      <c r="F368" t="inlineStr">
        <is>
          <t>OK</t>
        </is>
      </c>
      <c r="G368" s="19" t="inlineStr">
        <is>
          <t>https://inova-aj.com.br/wp-content/uploads/2022/06/QGC-Engetecnica-e-Construtora-Zadar-Homologado.pdf</t>
        </is>
      </c>
      <c r="H368" t="inlineStr">
        <is>
          <t>p1 r2</t>
        </is>
      </c>
      <c r="I368" t="inlineStr">
        <is>
          <t>NO_DOCUMENT ALT_VALUE:R$774.524,70</t>
        </is>
      </c>
    </row>
    <row r="369">
      <c r="A369" t="inlineStr">
        <is>
          <t>ARSENAL TERRAPLENAGEM LTDA</t>
        </is>
      </c>
      <c r="B369" s="10" t="n">
        <v>540263.4399999999</v>
      </c>
      <c r="C369" t="inlineStr">
        <is>
          <t>SOCIEDADES ENGETÉCNICA SERVIÇOS E CONSTRUÇÕES LTDA</t>
        </is>
      </c>
      <c r="D369" t="inlineStr">
        <is>
          <t>0024643-24.2017.8.19.0001</t>
        </is>
      </c>
      <c r="E369" t="inlineStr">
        <is>
          <t>QGC</t>
        </is>
      </c>
      <c r="F369" t="inlineStr">
        <is>
          <t>OK</t>
        </is>
      </c>
      <c r="G369" s="19" t="inlineStr">
        <is>
          <t>https://inova-aj.com.br/wp-content/uploads/2022/06/QGC-Engetecnica-e-Construtora-Zadar-Homologado.pdf</t>
        </is>
      </c>
      <c r="H369" t="inlineStr">
        <is>
          <t>p2 r7</t>
        </is>
      </c>
      <c r="I369" t="inlineStr">
        <is>
          <t>NO_DOCUMENT ALT_VALUE:R$540.263,44</t>
        </is>
      </c>
    </row>
    <row r="370">
      <c r="A370" t="inlineStr">
        <is>
          <t>SOLVE SERVICOS LTDA ‐ ME</t>
        </is>
      </c>
      <c r="B370" s="10" t="n">
        <v>528068.4300000001</v>
      </c>
      <c r="C370" t="inlineStr">
        <is>
          <t>SOCIEDADES ENGETÉCNICA SERVIÇOS E CONSTRUÇÕES LTDA</t>
        </is>
      </c>
      <c r="D370" t="inlineStr">
        <is>
          <t>0024643-24.2017.8.19.0001</t>
        </is>
      </c>
      <c r="E370" t="inlineStr">
        <is>
          <t>QGC</t>
        </is>
      </c>
      <c r="F370" t="inlineStr">
        <is>
          <t>OK</t>
        </is>
      </c>
      <c r="G370" s="19" t="inlineStr">
        <is>
          <t>https://inova-aj.com.br/wp-content/uploads/2022/06/QGC-Engetecnica-e-Construtora-Zadar-Homologado.pdf</t>
        </is>
      </c>
      <c r="H370" t="inlineStr">
        <is>
          <t>p38 r2</t>
        </is>
      </c>
      <c r="I370" t="inlineStr">
        <is>
          <t>NO_DOCUMENT ALT_VALUE:R$528.068,43</t>
        </is>
      </c>
    </row>
    <row r="371">
      <c r="A371" t="inlineStr">
        <is>
          <t>I. MARIZ LOCADORA DE VEÍCULOS LTDA.</t>
        </is>
      </c>
      <c r="B371" s="10" t="n">
        <v>483093.39</v>
      </c>
      <c r="C371" t="inlineStr">
        <is>
          <t>SOCIEDADES ENGETÉCNICA SERVIÇOS E CONSTRUÇÕES LTDA</t>
        </is>
      </c>
      <c r="D371" t="inlineStr">
        <is>
          <t>0024643-24.2017.8.19.0001</t>
        </is>
      </c>
      <c r="E371" t="inlineStr">
        <is>
          <t>QGC</t>
        </is>
      </c>
      <c r="F371" t="inlineStr">
        <is>
          <t>OK</t>
        </is>
      </c>
      <c r="G371" s="19" t="inlineStr">
        <is>
          <t>https://inova-aj.com.br/wp-content/uploads/2022/06/QGC-Engetecnica-e-Construtora-Zadar-Homologado.pdf</t>
        </is>
      </c>
      <c r="H371" t="inlineStr">
        <is>
          <t>p32 r1</t>
        </is>
      </c>
      <c r="I371" t="inlineStr">
        <is>
          <t>NO_DOCUMENT ALT_VALUE:R$2.900,00</t>
        </is>
      </c>
    </row>
    <row r="372">
      <c r="A372" t="inlineStr">
        <is>
          <t>MILLS ESTRUTURAS E SERVICOS DE ENGENHARIA S/A</t>
        </is>
      </c>
      <c r="B372" s="10" t="n">
        <v>477336.71</v>
      </c>
      <c r="C372" t="inlineStr">
        <is>
          <t>SOCIEDADES ENGETÉCNICA SERVIÇOS E CONSTRUÇÕES LTDA</t>
        </is>
      </c>
      <c r="D372" t="inlineStr">
        <is>
          <t>0024643-24.2017.8.19.0001</t>
        </is>
      </c>
      <c r="E372" t="inlineStr">
        <is>
          <t>QGC</t>
        </is>
      </c>
      <c r="F372" t="inlineStr">
        <is>
          <t>OK</t>
        </is>
      </c>
      <c r="G372" s="19" t="inlineStr">
        <is>
          <t>https://inova-aj.com.br/wp-content/uploads/2022/06/QGC-Engetecnica-e-Construtora-Zadar-Homologado.pdf</t>
        </is>
      </c>
      <c r="H372" t="inlineStr">
        <is>
          <t>p9 r4</t>
        </is>
      </c>
      <c r="I372" t="inlineStr">
        <is>
          <t>NO_DOCUMENT ALT_VALUE:R$435.680,74</t>
        </is>
      </c>
    </row>
    <row r="373">
      <c r="A373" t="inlineStr">
        <is>
          <t>ALPHA 3 ENGENHARIA E SANEAMENTO LTDA</t>
        </is>
      </c>
      <c r="B373" s="10" t="n">
        <v>468978.37</v>
      </c>
      <c r="C373" t="inlineStr">
        <is>
          <t>SOCIEDADES ENGETÉCNICA SERVIÇOS E CONSTRUÇÕES LTDA</t>
        </is>
      </c>
      <c r="D373" t="inlineStr">
        <is>
          <t>0024643-24.2017.8.19.0001</t>
        </is>
      </c>
      <c r="E373" t="inlineStr">
        <is>
          <t>QGC</t>
        </is>
      </c>
      <c r="F373" t="inlineStr">
        <is>
          <t>OK</t>
        </is>
      </c>
      <c r="G373" s="19" t="inlineStr">
        <is>
          <t>https://inova-aj.com.br/wp-content/uploads/2022/06/QGC-Engetecnica-e-Construtora-Zadar-Homologado.pdf</t>
        </is>
      </c>
      <c r="H373" t="inlineStr">
        <is>
          <t>p27 r16</t>
        </is>
      </c>
      <c r="I373" t="inlineStr">
        <is>
          <t>NO_DOCUMENT ALT_VALUE:R$468.978,37</t>
        </is>
      </c>
    </row>
    <row r="374">
      <c r="A374" t="inlineStr">
        <is>
          <t>SEGALIN MONTAGENS DE ESTRUTURAS ‐ EIRELI ‐ EPP</t>
        </is>
      </c>
      <c r="B374" s="10" t="n">
        <v>459222.96</v>
      </c>
      <c r="C374" t="inlineStr">
        <is>
          <t>SOCIEDADES ENGETÉCNICA SERVIÇOS E CONSTRUÇÕES LTDA</t>
        </is>
      </c>
      <c r="D374" t="inlineStr">
        <is>
          <t>0024643-24.2017.8.19.0001</t>
        </is>
      </c>
      <c r="E374" t="inlineStr">
        <is>
          <t>QGC</t>
        </is>
      </c>
      <c r="F374" t="inlineStr">
        <is>
          <t>OK</t>
        </is>
      </c>
      <c r="G374" s="19" t="inlineStr">
        <is>
          <t>https://inova-aj.com.br/wp-content/uploads/2022/06/QGC-Engetecnica-e-Construtora-Zadar-Homologado.pdf</t>
        </is>
      </c>
      <c r="H374" t="inlineStr">
        <is>
          <t>p12 r5</t>
        </is>
      </c>
      <c r="I374" t="inlineStr">
        <is>
          <t>NO_DOCUMENT ALT_VALUE:R$253.462,13</t>
        </is>
      </c>
    </row>
    <row r="375">
      <c r="A375" t="inlineStr">
        <is>
          <t>GLOBOMIX SERVICOS DE CONCRETAGEM LTDA</t>
        </is>
      </c>
      <c r="B375" s="10" t="n">
        <v>446603.8</v>
      </c>
      <c r="C375" t="inlineStr">
        <is>
          <t>SOCIEDADES ENGETÉCNICA SERVIÇOS E CONSTRUÇÕES LTDA</t>
        </is>
      </c>
      <c r="D375" t="inlineStr">
        <is>
          <t>0024643-24.2017.8.19.0001</t>
        </is>
      </c>
      <c r="E375" t="inlineStr">
        <is>
          <t>QGC</t>
        </is>
      </c>
      <c r="F375" t="inlineStr">
        <is>
          <t>OK</t>
        </is>
      </c>
      <c r="G375" s="19" t="inlineStr">
        <is>
          <t>https://inova-aj.com.br/wp-content/uploads/2022/06/QGC-Engetecnica-e-Construtora-Zadar-Homologado.pdf</t>
        </is>
      </c>
      <c r="H375" t="inlineStr">
        <is>
          <t>p31 r18</t>
        </is>
      </c>
      <c r="I375" t="inlineStr">
        <is>
          <t>NO_DOCUMENT ALT_VALUE:R$446.603,80</t>
        </is>
      </c>
    </row>
    <row r="376">
      <c r="A376" t="inlineStr">
        <is>
          <t>VILE ROMI ENGENHARIA LTDA</t>
        </is>
      </c>
      <c r="B376" s="10" t="n">
        <v>444607.61</v>
      </c>
      <c r="C376" t="inlineStr">
        <is>
          <t>SOCIEDADES ENGETÉCNICA SERVIÇOS E CONSTRUÇÕES LTDA</t>
        </is>
      </c>
      <c r="D376" t="inlineStr">
        <is>
          <t>0024643-24.2017.8.19.0001</t>
        </is>
      </c>
      <c r="E376" t="inlineStr">
        <is>
          <t>QGC</t>
        </is>
      </c>
      <c r="F376" t="inlineStr">
        <is>
          <t>OK</t>
        </is>
      </c>
      <c r="G376" s="19" t="inlineStr">
        <is>
          <t>https://inova-aj.com.br/wp-content/uploads/2022/06/QGC-Engetecnica-e-Construtora-Zadar-Homologado.pdf</t>
        </is>
      </c>
      <c r="H376" t="inlineStr">
        <is>
          <t>p39 r19</t>
        </is>
      </c>
      <c r="I376" t="inlineStr">
        <is>
          <t>NO_DOCUMENT ALT_VALUE:R$444.607,61</t>
        </is>
      </c>
    </row>
    <row r="377">
      <c r="A377" t="inlineStr">
        <is>
          <t>PETROBRAS DISTRIBUIDORA S A</t>
        </is>
      </c>
      <c r="B377" s="10" t="n">
        <v>435985.2</v>
      </c>
      <c r="C377" t="inlineStr">
        <is>
          <t>SOCIEDADES ENGETÉCNICA SERVIÇOS E CONSTRUÇÕES LTDA</t>
        </is>
      </c>
      <c r="D377" t="inlineStr">
        <is>
          <t>0024643-24.2017.8.19.0001</t>
        </is>
      </c>
      <c r="E377" t="inlineStr">
        <is>
          <t>QGC</t>
        </is>
      </c>
      <c r="F377" t="inlineStr">
        <is>
          <t>OK</t>
        </is>
      </c>
      <c r="G377" s="19" t="inlineStr">
        <is>
          <t>https://inova-aj.com.br/wp-content/uploads/2022/06/QGC-Engetecnica-e-Construtora-Zadar-Homologado.pdf</t>
        </is>
      </c>
      <c r="H377" t="inlineStr">
        <is>
          <t>p35 r18</t>
        </is>
      </c>
      <c r="I377" t="inlineStr">
        <is>
          <t>NO_DOCUMENT ALT_VALUE:R$38.195,86</t>
        </is>
      </c>
    </row>
    <row r="378">
      <c r="A378" t="inlineStr">
        <is>
          <t>SH FORMAS ANDAIMES E ESCORAMENTOS LTDA</t>
        </is>
      </c>
      <c r="B378" s="10" t="n">
        <v>432434.47</v>
      </c>
      <c r="C378" t="inlineStr">
        <is>
          <t>SOCIEDADES ENGETÉCNICA SERVIÇOS E CONSTRUÇÕES LTDA</t>
        </is>
      </c>
      <c r="D378" t="inlineStr">
        <is>
          <t>0024643-24.2017.8.19.0001</t>
        </is>
      </c>
      <c r="E378" t="inlineStr">
        <is>
          <t>QGC</t>
        </is>
      </c>
      <c r="F378" t="inlineStr">
        <is>
          <t>OK</t>
        </is>
      </c>
      <c r="G378" s="19" t="inlineStr">
        <is>
          <t>https://inova-aj.com.br/wp-content/uploads/2022/06/QGC-Engetecnica-e-Construtora-Zadar-Homologado.pdf</t>
        </is>
      </c>
      <c r="H378" t="inlineStr">
        <is>
          <t>p12 r10</t>
        </is>
      </c>
      <c r="I378" t="inlineStr">
        <is>
          <t>NO_DOCUMENT ALT_VALUE:R$308.763,98</t>
        </is>
      </c>
    </row>
    <row r="379">
      <c r="A379" t="inlineStr">
        <is>
          <t>SOBERANA LOCACAO DE MAQUINAS E EQUIPAMENTOS LTDA ‐ EPP</t>
        </is>
      </c>
      <c r="B379" s="10" t="n">
        <v>409558.34</v>
      </c>
      <c r="C379" t="inlineStr">
        <is>
          <t>SOCIEDADES ENGETÉCNICA SERVIÇOS E CONSTRUÇÕES LTDA</t>
        </is>
      </c>
      <c r="D379" t="inlineStr">
        <is>
          <t>0024643-24.2017.8.19.0001</t>
        </is>
      </c>
      <c r="E379" t="inlineStr">
        <is>
          <t>QGC</t>
        </is>
      </c>
      <c r="F379" t="inlineStr">
        <is>
          <t>OK</t>
        </is>
      </c>
      <c r="G379" s="19" t="inlineStr">
        <is>
          <t>https://inova-aj.com.br/wp-content/uploads/2022/06/QGC-Engetecnica-e-Construtora-Zadar-Homologado.pdf</t>
        </is>
      </c>
      <c r="H379" t="inlineStr">
        <is>
          <t>p37 r21</t>
        </is>
      </c>
      <c r="I379" t="inlineStr">
        <is>
          <t>NO_DOCUMENT ALT_VALUE:R$409.558,34</t>
        </is>
      </c>
    </row>
    <row r="380">
      <c r="A380" t="inlineStr">
        <is>
          <t>EDURIC COMERCIO E INDUSTRIA DE ARTEFATOS DE CIMENTO LTDA</t>
        </is>
      </c>
      <c r="B380" s="10" t="n">
        <v>397591.49</v>
      </c>
      <c r="C380" t="inlineStr">
        <is>
          <t>SOCIEDADES ENGETÉCNICA SERVIÇOS E CONSTRUÇÕES LTDA</t>
        </is>
      </c>
      <c r="D380" t="inlineStr">
        <is>
          <t>0024643-24.2017.8.19.0001</t>
        </is>
      </c>
      <c r="E380" t="inlineStr">
        <is>
          <t>QGC</t>
        </is>
      </c>
      <c r="F380" t="inlineStr">
        <is>
          <t>OK</t>
        </is>
      </c>
      <c r="G380" s="19" t="inlineStr">
        <is>
          <t>https://inova-aj.com.br/wp-content/uploads/2022/06/QGC-Engetecnica-e-Construtora-Zadar-Homologado.pdf</t>
        </is>
      </c>
      <c r="H380" t="inlineStr">
        <is>
          <t>p30 r9</t>
        </is>
      </c>
      <c r="I380" t="inlineStr">
        <is>
          <t>NO_DOCUMENT ALT_VALUE:R$397.591,49</t>
        </is>
      </c>
    </row>
    <row r="381">
      <c r="A381" t="inlineStr">
        <is>
          <t>PETRA AGREGADOS RJ LTDA.</t>
        </is>
      </c>
      <c r="B381" s="10" t="n">
        <v>373979.49</v>
      </c>
      <c r="C381" t="inlineStr">
        <is>
          <t>SOCIEDADES ENGETÉCNICA SERVIÇOS E CONSTRUÇÕES LTDA</t>
        </is>
      </c>
      <c r="D381" t="inlineStr">
        <is>
          <t>0024643-24.2017.8.19.0001</t>
        </is>
      </c>
      <c r="E381" t="inlineStr">
        <is>
          <t>QGC</t>
        </is>
      </c>
      <c r="F381" t="inlineStr">
        <is>
          <t>OK</t>
        </is>
      </c>
      <c r="G381" s="19" t="inlineStr">
        <is>
          <t>https://inova-aj.com.br/wp-content/uploads/2022/06/QGC-Engetecnica-e-Construtora-Zadar-Homologado.pdf</t>
        </is>
      </c>
      <c r="H381" t="inlineStr">
        <is>
          <t>p35 r17</t>
        </is>
      </c>
      <c r="I381" t="inlineStr">
        <is>
          <t>NO_DOCUMENT ALT_VALUE:R$355.051,74</t>
        </is>
      </c>
    </row>
    <row r="382">
      <c r="A382" t="inlineStr">
        <is>
          <t>J C &amp; B TOPOGRAFIA DE PRECISAO LTDA</t>
        </is>
      </c>
      <c r="B382" s="10" t="n">
        <v>362151.36</v>
      </c>
      <c r="C382" t="inlineStr">
        <is>
          <t>SOCIEDADES ENGETÉCNICA SERVIÇOS E CONSTRUÇÕES LTDA</t>
        </is>
      </c>
      <c r="D382" t="inlineStr">
        <is>
          <t>0024643-24.2017.8.19.0001</t>
        </is>
      </c>
      <c r="E382" t="inlineStr">
        <is>
          <t>QGC</t>
        </is>
      </c>
      <c r="F382" t="inlineStr">
        <is>
          <t>OK</t>
        </is>
      </c>
      <c r="G382" s="19" t="inlineStr">
        <is>
          <t>https://inova-aj.com.br/wp-content/uploads/2022/06/QGC-Engetecnica-e-Construtora-Zadar-Homologado.pdf</t>
        </is>
      </c>
      <c r="H382" t="inlineStr">
        <is>
          <t>p32 r14</t>
        </is>
      </c>
      <c r="I382" t="inlineStr">
        <is>
          <t>NO_DOCUMENT ALT_VALUE:R$347.315,00</t>
        </is>
      </c>
    </row>
    <row r="383">
      <c r="A383" t="inlineStr">
        <is>
          <t>VOTORANTIM SIDERÚRGICA S/A.</t>
        </is>
      </c>
      <c r="B383" s="10" t="n">
        <v>361981.33</v>
      </c>
      <c r="C383" t="inlineStr">
        <is>
          <t>SOCIEDADES ENGETÉCNICA SERVIÇOS E CONSTRUÇÕES LTDA</t>
        </is>
      </c>
      <c r="D383" t="inlineStr">
        <is>
          <t>0024643-24.2017.8.19.0001</t>
        </is>
      </c>
      <c r="E383" t="inlineStr">
        <is>
          <t>QGC</t>
        </is>
      </c>
      <c r="F383" t="inlineStr">
        <is>
          <t>OK</t>
        </is>
      </c>
      <c r="G383" s="19" t="inlineStr">
        <is>
          <t>https://inova-aj.com.br/wp-content/uploads/2022/06/QGC-Engetecnica-e-Construtora-Zadar-Homologado.pdf</t>
        </is>
      </c>
      <c r="H383" t="inlineStr">
        <is>
          <t>p39 r24</t>
        </is>
      </c>
      <c r="I383" t="inlineStr">
        <is>
          <t>NO_DOCUMENT ALT_VALUE:R$361.981,33</t>
        </is>
      </c>
    </row>
    <row r="384">
      <c r="A384" t="inlineStr">
        <is>
          <t>GE ILUMINACAO DO BRASIL COMERCIO DE LAMPADAS LTDA.</t>
        </is>
      </c>
      <c r="B384" s="10" t="n">
        <v>353001.61</v>
      </c>
      <c r="C384" t="inlineStr">
        <is>
          <t>SOCIEDADES ENGETÉCNICA SERVIÇOS E CONSTRUÇÕES LTDA</t>
        </is>
      </c>
      <c r="D384" t="inlineStr">
        <is>
          <t>0024643-24.2017.8.19.0001</t>
        </is>
      </c>
      <c r="E384" t="inlineStr">
        <is>
          <t>QGC</t>
        </is>
      </c>
      <c r="F384" t="inlineStr">
        <is>
          <t>OK</t>
        </is>
      </c>
      <c r="G384" s="19" t="inlineStr">
        <is>
          <t>https://inova-aj.com.br/wp-content/uploads/2022/06/QGC-Engetecnica-e-Construtora-Zadar-Homologado.pdf</t>
        </is>
      </c>
      <c r="H384" t="inlineStr">
        <is>
          <t>p5 r17</t>
        </is>
      </c>
      <c r="I384" t="inlineStr">
        <is>
          <t>NO_DOCUMENT ALT_VALUE:R$353.001,61</t>
        </is>
      </c>
    </row>
    <row r="385">
      <c r="A385" t="inlineStr">
        <is>
          <t>IRMÃOS FISCHER S.A. INDÚSTRIA E COMÉRCIO</t>
        </is>
      </c>
      <c r="B385" s="10" t="n">
        <v>337277.1</v>
      </c>
      <c r="C385" t="inlineStr">
        <is>
          <t>SOCIEDADES ENGETÉCNICA SERVIÇOS E CONSTRUÇÕES LTDA</t>
        </is>
      </c>
      <c r="D385" t="inlineStr">
        <is>
          <t>0024643-24.2017.8.19.0001</t>
        </is>
      </c>
      <c r="E385" t="inlineStr">
        <is>
          <t>QGC</t>
        </is>
      </c>
      <c r="F385" t="inlineStr">
        <is>
          <t>OK</t>
        </is>
      </c>
      <c r="G385" s="19" t="inlineStr">
        <is>
          <t>https://inova-aj.com.br/wp-content/uploads/2022/06/QGC-Engetecnica-e-Construtora-Zadar-Homologado.pdf</t>
        </is>
      </c>
      <c r="H385" t="inlineStr">
        <is>
          <t>p32 r9</t>
        </is>
      </c>
      <c r="I385" t="inlineStr">
        <is>
          <t>NO_DOCUMENT ALT_VALUE:R$337.277,10</t>
        </is>
      </c>
    </row>
    <row r="386">
      <c r="A386" t="inlineStr">
        <is>
          <t>Engetécnica Serviços e Construções Ltda</t>
        </is>
      </c>
      <c r="B386" s="10" t="n">
        <v>330138.76</v>
      </c>
      <c r="C386" t="inlineStr">
        <is>
          <t>SOCIEDADES ENGETÉCNICA SERVIÇOS E CONSTRUÇÕES LTDA</t>
        </is>
      </c>
      <c r="D386" t="inlineStr">
        <is>
          <t>0024643-24.2017.8.19.0001</t>
        </is>
      </c>
      <c r="E386" t="inlineStr">
        <is>
          <t>QGC</t>
        </is>
      </c>
      <c r="F386" t="inlineStr">
        <is>
          <t>OK</t>
        </is>
      </c>
      <c r="G386" s="19" t="inlineStr">
        <is>
          <t>https://inova-aj.com.br/wp-content/uploads/2022/06/QGC-Engetecnica-e-Construtora-Zadar-Homologado.pdf</t>
        </is>
      </c>
      <c r="H386" t="inlineStr">
        <is>
          <t>p7 r14</t>
        </is>
      </c>
      <c r="I386" t="inlineStr">
        <is>
          <t>NO_DOCUMENT ALT_VALUE:R$330.138,76</t>
        </is>
      </c>
    </row>
    <row r="387">
      <c r="A387" t="inlineStr">
        <is>
          <t>NOVA FAMA 188 LOCAÇÃO E TRANSPORTES LTDA</t>
        </is>
      </c>
      <c r="B387" s="10" t="n">
        <v>318964.91</v>
      </c>
      <c r="C387" t="inlineStr">
        <is>
          <t>SOCIEDADES ENGETÉCNICA SERVIÇOS E CONSTRUÇÕES LTDA</t>
        </is>
      </c>
      <c r="D387" t="inlineStr">
        <is>
          <t>0024643-24.2017.8.19.0001</t>
        </is>
      </c>
      <c r="E387" t="inlineStr">
        <is>
          <t>QGC</t>
        </is>
      </c>
      <c r="F387" t="inlineStr">
        <is>
          <t>OK</t>
        </is>
      </c>
      <c r="G387" s="19" t="inlineStr">
        <is>
          <t>https://inova-aj.com.br/wp-content/uploads/2022/06/QGC-Engetecnica-e-Construtora-Zadar-Homologado.pdf</t>
        </is>
      </c>
      <c r="H387" t="inlineStr">
        <is>
          <t>p34 r23</t>
        </is>
      </c>
      <c r="I387" t="inlineStr">
        <is>
          <t>NO_DOCUMENT ALT_VALUE:R$318.964,91</t>
        </is>
      </c>
    </row>
    <row r="388">
      <c r="A388" t="inlineStr">
        <is>
          <t>LOCGUEL LOCADORA DE EQUIPAMENTOS PARA CONST LTDA</t>
        </is>
      </c>
      <c r="B388" s="10" t="n">
        <v>313807.58</v>
      </c>
      <c r="C388" t="inlineStr">
        <is>
          <t>SOCIEDADES ENGETÉCNICA SERVIÇOS E CONSTRUÇÕES LTDA</t>
        </is>
      </c>
      <c r="D388" t="inlineStr">
        <is>
          <t>0024643-24.2017.8.19.0001</t>
        </is>
      </c>
      <c r="E388" t="inlineStr">
        <is>
          <t>QGC</t>
        </is>
      </c>
      <c r="F388" t="inlineStr">
        <is>
          <t>OK</t>
        </is>
      </c>
      <c r="G388" s="19" t="inlineStr">
        <is>
          <t>https://inova-aj.com.br/wp-content/uploads/2022/06/QGC-Engetecnica-e-Construtora-Zadar-Homologado.pdf</t>
        </is>
      </c>
      <c r="H388" t="inlineStr">
        <is>
          <t>p33 r11</t>
        </is>
      </c>
      <c r="I388" t="inlineStr">
        <is>
          <t>NO_DOCUMENT ALT_VALUE:R$248.631,05</t>
        </is>
      </c>
    </row>
    <row r="389">
      <c r="A389" t="inlineStr">
        <is>
          <t>Limpatech Serviços e Construções Ltda</t>
        </is>
      </c>
      <c r="B389" s="10" t="n">
        <v>293366.6</v>
      </c>
      <c r="C389" t="inlineStr">
        <is>
          <t>SOCIEDADES ENGETÉCNICA SERVIÇOS E CONSTRUÇÕES LTDA</t>
        </is>
      </c>
      <c r="D389" t="inlineStr">
        <is>
          <t>0024643-24.2017.8.19.0001</t>
        </is>
      </c>
      <c r="E389" t="inlineStr">
        <is>
          <t>QGC</t>
        </is>
      </c>
      <c r="F389" t="inlineStr">
        <is>
          <t>OK</t>
        </is>
      </c>
      <c r="G389" s="19" t="inlineStr">
        <is>
          <t>https://inova-aj.com.br/wp-content/uploads/2022/06/QGC-Engetecnica-e-Construtora-Zadar-Homologado.pdf</t>
        </is>
      </c>
      <c r="H389" t="inlineStr">
        <is>
          <t>p8 r5</t>
        </is>
      </c>
      <c r="I389" t="inlineStr">
        <is>
          <t>NO_DOCUMENT ALT_VALUE:R$293.366,60</t>
        </is>
      </c>
    </row>
    <row r="390">
      <c r="A390" t="inlineStr">
        <is>
          <t>CASSOL PRE FABRICADOS LTDA</t>
        </is>
      </c>
      <c r="B390" s="10" t="n">
        <v>287355</v>
      </c>
      <c r="C390" t="inlineStr">
        <is>
          <t>SOCIEDADES ENGETÉCNICA SERVIÇOS E CONSTRUÇÕES LTDA</t>
        </is>
      </c>
      <c r="D390" t="inlineStr">
        <is>
          <t>0024643-24.2017.8.19.0001</t>
        </is>
      </c>
      <c r="E390" t="inlineStr">
        <is>
          <t>QGC</t>
        </is>
      </c>
      <c r="F390" t="inlineStr">
        <is>
          <t>OK</t>
        </is>
      </c>
      <c r="G390" s="19" t="inlineStr">
        <is>
          <t>https://inova-aj.com.br/wp-content/uploads/2022/06/QGC-Engetecnica-e-Construtora-Zadar-Homologado.pdf</t>
        </is>
      </c>
      <c r="H390" t="inlineStr">
        <is>
          <t>p29 r3</t>
        </is>
      </c>
      <c r="I390" t="inlineStr">
        <is>
          <t>NO_DOCUMENT ALT_VALUE:R$287.355,00</t>
        </is>
      </c>
    </row>
    <row r="391">
      <c r="A391" t="inlineStr">
        <is>
          <t>SEROBRITA MINERAÇÃO LTDA</t>
        </is>
      </c>
      <c r="B391" s="10" t="n">
        <v>277758.93</v>
      </c>
      <c r="C391" t="inlineStr">
        <is>
          <t>SOCIEDADES ENGETÉCNICA SERVIÇOS E CONSTRUÇÕES LTDA</t>
        </is>
      </c>
      <c r="D391" t="inlineStr">
        <is>
          <t>0024643-24.2017.8.19.0001</t>
        </is>
      </c>
      <c r="E391" t="inlineStr">
        <is>
          <t>QGC</t>
        </is>
      </c>
      <c r="F391" t="inlineStr">
        <is>
          <t>OK</t>
        </is>
      </c>
      <c r="G391" s="19" t="inlineStr">
        <is>
          <t>https://inova-aj.com.br/wp-content/uploads/2022/06/QGC-Engetecnica-e-Construtora-Zadar-Homologado.pdf</t>
        </is>
      </c>
      <c r="H391" t="inlineStr">
        <is>
          <t>p37 r11</t>
        </is>
      </c>
      <c r="I391" t="inlineStr">
        <is>
          <t>NO_DOCUMENT ALT_VALUE:R$277.758,93</t>
        </is>
      </c>
    </row>
    <row r="392">
      <c r="A392" t="inlineStr">
        <is>
          <t>JAM ENGENHARIA S.A</t>
        </is>
      </c>
      <c r="B392" s="10" t="n">
        <v>262912.57</v>
      </c>
      <c r="C392" t="inlineStr">
        <is>
          <t>SOCIEDADES ENGETÉCNICA SERVIÇOS E CONSTRUÇÕES LTDA</t>
        </is>
      </c>
      <c r="D392" t="inlineStr">
        <is>
          <t>0024643-24.2017.8.19.0001</t>
        </is>
      </c>
      <c r="E392" t="inlineStr">
        <is>
          <t>QGC</t>
        </is>
      </c>
      <c r="F392" t="inlineStr">
        <is>
          <t>OK</t>
        </is>
      </c>
      <c r="G392" s="19" t="inlineStr">
        <is>
          <t>https://inova-aj.com.br/wp-content/uploads/2022/06/QGC-Engetecnica-e-Construtora-Zadar-Homologado.pdf</t>
        </is>
      </c>
      <c r="H392" t="inlineStr">
        <is>
          <t>p32 r15</t>
        </is>
      </c>
      <c r="I392" t="inlineStr">
        <is>
          <t>NO_DOCUMENT ALT_VALUE:R$262.912,57</t>
        </is>
      </c>
    </row>
    <row r="393">
      <c r="A393" t="inlineStr">
        <is>
          <t>SH FORMAS ANDAIMES E ESCORAMENTOS LTDA</t>
        </is>
      </c>
      <c r="B393" s="10" t="n">
        <v>262060.68</v>
      </c>
      <c r="C393" t="inlineStr">
        <is>
          <t>SOCIEDADES ENGETÉCNICA SERVIÇOS E CONSTRUÇÕES LTDA</t>
        </is>
      </c>
      <c r="D393" t="inlineStr">
        <is>
          <t>0024643-24.2017.8.19.0001</t>
        </is>
      </c>
      <c r="E393" t="inlineStr">
        <is>
          <t>QGC</t>
        </is>
      </c>
      <c r="F393" t="inlineStr">
        <is>
          <t>OK</t>
        </is>
      </c>
      <c r="G393" s="19" t="inlineStr">
        <is>
          <t>https://inova-aj.com.br/wp-content/uploads/2022/06/QGC-Engetecnica-e-Construtora-Zadar-Homologado.pdf</t>
        </is>
      </c>
      <c r="H393" t="inlineStr">
        <is>
          <t>p37 r14</t>
        </is>
      </c>
      <c r="I393" t="inlineStr">
        <is>
          <t>NO_DOCUMENT ALT_VALUE:R$138.367,67</t>
        </is>
      </c>
    </row>
    <row r="394">
      <c r="A394" t="inlineStr">
        <is>
          <t>PONTO FORTE SEGURANÇA E VIGILANCIA LTDA</t>
        </is>
      </c>
      <c r="B394" s="10" t="n">
        <v>256789.02</v>
      </c>
      <c r="C394" t="inlineStr">
        <is>
          <t>SOCIEDADES ENGETÉCNICA SERVIÇOS E CONSTRUÇÕES LTDA</t>
        </is>
      </c>
      <c r="D394" t="inlineStr">
        <is>
          <t>0024643-24.2017.8.19.0001</t>
        </is>
      </c>
      <c r="E394" t="inlineStr">
        <is>
          <t>QGC</t>
        </is>
      </c>
      <c r="F394" t="inlineStr">
        <is>
          <t>OK</t>
        </is>
      </c>
      <c r="G394" s="19" t="inlineStr">
        <is>
          <t>https://inova-aj.com.br/wp-content/uploads/2022/06/QGC-Engetecnica-e-Construtora-Zadar-Homologado.pdf</t>
        </is>
      </c>
      <c r="H394" t="inlineStr">
        <is>
          <t>p36 r5</t>
        </is>
      </c>
      <c r="I394" t="inlineStr">
        <is>
          <t>NO_DOCUMENT ALT_VALUE:R$189.100,80</t>
        </is>
      </c>
    </row>
    <row r="395">
      <c r="A395" t="inlineStr">
        <is>
          <t>Engetécnica Serviços e Construções Ltda</t>
        </is>
      </c>
      <c r="B395" s="10" t="n">
        <v>255414.24</v>
      </c>
      <c r="C395" t="inlineStr">
        <is>
          <t>SOCIEDADES ENGETÉCNICA SERVIÇOS E CONSTRUÇÕES LTDA</t>
        </is>
      </c>
      <c r="D395" t="inlineStr">
        <is>
          <t>0024643-24.2017.8.19.0001</t>
        </is>
      </c>
      <c r="E395" t="inlineStr">
        <is>
          <t>QGC</t>
        </is>
      </c>
      <c r="F395" t="inlineStr">
        <is>
          <t>OK</t>
        </is>
      </c>
      <c r="G395" s="19" t="inlineStr">
        <is>
          <t>https://inova-aj.com.br/wp-content/uploads/2022/06/QGC-Engetecnica-e-Construtora-Zadar-Homologado.pdf</t>
        </is>
      </c>
      <c r="H395" t="inlineStr">
        <is>
          <t>p3 r8</t>
        </is>
      </c>
      <c r="I395" t="inlineStr">
        <is>
          <t>NO_DOCUMENT ALT_VALUE:R$249.078,93</t>
        </is>
      </c>
    </row>
    <row r="396">
      <c r="A396" t="inlineStr">
        <is>
          <t>Consórcio Onda Azul</t>
        </is>
      </c>
      <c r="B396" s="10" t="n">
        <v>252602.27</v>
      </c>
      <c r="C396" t="inlineStr">
        <is>
          <t>SOCIEDADES ENGETÉCNICA SERVIÇOS E CONSTRUÇÕES LTDA</t>
        </is>
      </c>
      <c r="D396" t="inlineStr">
        <is>
          <t>0024643-24.2017.8.19.0001</t>
        </is>
      </c>
      <c r="E396" t="inlineStr">
        <is>
          <t>QGC</t>
        </is>
      </c>
      <c r="F396" t="inlineStr">
        <is>
          <t>OK</t>
        </is>
      </c>
      <c r="G396" s="19" t="inlineStr">
        <is>
          <t>https://inova-aj.com.br/wp-content/uploads/2022/06/QGC-Engetecnica-e-Construtora-Zadar-Homologado.pdf</t>
        </is>
      </c>
      <c r="H396" t="inlineStr">
        <is>
          <t>p7 r5</t>
        </is>
      </c>
      <c r="I396" t="inlineStr">
        <is>
          <t>NO_DOCUMENT ALT_VALUE:R$252.602,27</t>
        </is>
      </c>
    </row>
    <row r="397">
      <c r="A397" t="inlineStr">
        <is>
          <t>MIL GERADORES</t>
        </is>
      </c>
      <c r="B397" s="10" t="n">
        <v>250299.37</v>
      </c>
      <c r="C397" t="inlineStr">
        <is>
          <t>SOCIEDADES ENGETÉCNICA SERVIÇOS E CONSTRUÇÕES LTDA</t>
        </is>
      </c>
      <c r="D397" t="inlineStr">
        <is>
          <t>0024643-24.2017.8.19.0001</t>
        </is>
      </c>
      <c r="E397" t="inlineStr">
        <is>
          <t>QGC</t>
        </is>
      </c>
      <c r="F397" t="inlineStr">
        <is>
          <t>OK</t>
        </is>
      </c>
      <c r="G397" s="19" t="inlineStr">
        <is>
          <t>https://inova-aj.com.br/wp-content/uploads/2022/06/QGC-Engetecnica-e-Construtora-Zadar-Homologado.pdf</t>
        </is>
      </c>
      <c r="H397" t="inlineStr">
        <is>
          <t>p9 r3</t>
        </is>
      </c>
      <c r="I397" t="inlineStr">
        <is>
          <t>NO_DOCUMENT ALT_VALUE:R$243.949,35</t>
        </is>
      </c>
    </row>
    <row r="398">
      <c r="A398" t="inlineStr">
        <is>
          <t>MILLS ESTRUTURAS E SERVICOS DE ENGENHARIA S/A</t>
        </is>
      </c>
      <c r="B398" s="10" t="n">
        <v>241951.44</v>
      </c>
      <c r="C398" t="inlineStr">
        <is>
          <t>SOCIEDADES ENGETÉCNICA SERVIÇOS E CONSTRUÇÕES LTDA</t>
        </is>
      </c>
      <c r="D398" t="inlineStr">
        <is>
          <t>0024643-24.2017.8.19.0001</t>
        </is>
      </c>
      <c r="E398" t="inlineStr">
        <is>
          <t>QGC</t>
        </is>
      </c>
      <c r="F398" t="inlineStr">
        <is>
          <t>OK</t>
        </is>
      </c>
      <c r="G398" s="19" t="inlineStr">
        <is>
          <t>https://inova-aj.com.br/wp-content/uploads/2022/06/QGC-Engetecnica-e-Construtora-Zadar-Homologado.pdf</t>
        </is>
      </c>
      <c r="H398" t="inlineStr">
        <is>
          <t>p34 r6</t>
        </is>
      </c>
      <c r="I398" t="inlineStr">
        <is>
          <t>NO_DOCUMENT ALT_VALUE:R$220.500,00</t>
        </is>
      </c>
    </row>
    <row r="399">
      <c r="A399" t="inlineStr">
        <is>
          <t>CEREAIS BRAMIL LTDA</t>
        </is>
      </c>
      <c r="B399" s="10" t="n">
        <v>231650.8</v>
      </c>
      <c r="C399" t="inlineStr">
        <is>
          <t>SOCIEDADES ENGETÉCNICA SERVIÇOS E CONSTRUÇÕES LTDA</t>
        </is>
      </c>
      <c r="D399" t="inlineStr">
        <is>
          <t>0024643-24.2017.8.19.0001</t>
        </is>
      </c>
      <c r="E399" t="inlineStr">
        <is>
          <t>QGC</t>
        </is>
      </c>
      <c r="F399" t="inlineStr">
        <is>
          <t>OK</t>
        </is>
      </c>
      <c r="G399" s="19" t="inlineStr">
        <is>
          <t>https://inova-aj.com.br/wp-content/uploads/2022/06/QGC-Engetecnica-e-Construtora-Zadar-Homologado.pdf</t>
        </is>
      </c>
      <c r="H399" t="inlineStr">
        <is>
          <t>p29 r10</t>
        </is>
      </c>
      <c r="I399" t="inlineStr">
        <is>
          <t>NO_DOCUMENT ALT_VALUE:R$231.650,80</t>
        </is>
      </c>
    </row>
    <row r="400">
      <c r="A400" t="inlineStr">
        <is>
          <t>MANCHESTER DISTRIBUIDORA DE FERRO E ACO</t>
        </is>
      </c>
      <c r="B400" s="10" t="n">
        <v>227356.5</v>
      </c>
      <c r="C400" t="inlineStr">
        <is>
          <t>SOCIEDADES ENGETÉCNICA SERVIÇOS E CONSTRUÇÕES LTDA</t>
        </is>
      </c>
      <c r="D400" t="inlineStr">
        <is>
          <t>0024643-24.2017.8.19.0001</t>
        </is>
      </c>
      <c r="E400" t="inlineStr">
        <is>
          <t>QGC</t>
        </is>
      </c>
      <c r="F400" t="inlineStr">
        <is>
          <t>OK</t>
        </is>
      </c>
      <c r="G400" s="19" t="inlineStr">
        <is>
          <t>https://inova-aj.com.br/wp-content/uploads/2022/06/QGC-Engetecnica-e-Construtora-Zadar-Homologado.pdf</t>
        </is>
      </c>
      <c r="H400" t="inlineStr">
        <is>
          <t>p33 r22</t>
        </is>
      </c>
      <c r="I400" t="inlineStr">
        <is>
          <t>NO_DOCUMENT ALT_VALUE:R$227.356,50</t>
        </is>
      </c>
    </row>
    <row r="401">
      <c r="A401" t="inlineStr">
        <is>
          <t>ELETROMIL COMERCIAL LTDA</t>
        </is>
      </c>
      <c r="B401" s="10" t="n">
        <v>219438.05</v>
      </c>
      <c r="C401" t="inlineStr">
        <is>
          <t>SOCIEDADES ENGETÉCNICA SERVIÇOS E CONSTRUÇÕES LTDA</t>
        </is>
      </c>
      <c r="D401" t="inlineStr">
        <is>
          <t>0024643-24.2017.8.19.0001</t>
        </is>
      </c>
      <c r="E401" t="inlineStr">
        <is>
          <t>QGC</t>
        </is>
      </c>
      <c r="F401" t="inlineStr">
        <is>
          <t>OK</t>
        </is>
      </c>
      <c r="G401" s="19" t="inlineStr">
        <is>
          <t>https://inova-aj.com.br/wp-content/uploads/2022/06/QGC-Engetecnica-e-Construtora-Zadar-Homologado.pdf</t>
        </is>
      </c>
      <c r="H401" t="inlineStr">
        <is>
          <t>p30 r12</t>
        </is>
      </c>
      <c r="I401" t="inlineStr">
        <is>
          <t>NO_DOCUMENT ALT_VALUE:R$219.438,05</t>
        </is>
      </c>
    </row>
    <row r="402">
      <c r="A402" t="inlineStr">
        <is>
          <t>PAVIBLOCO PRÉ‐MOLDADOS EM CONCRETO EIRELI</t>
        </is>
      </c>
      <c r="B402" s="10" t="n">
        <v>218010.41</v>
      </c>
      <c r="C402" t="inlineStr">
        <is>
          <t>SOCIEDADES ENGETÉCNICA SERVIÇOS E CONSTRUÇÕES LTDA</t>
        </is>
      </c>
      <c r="D402" t="inlineStr">
        <is>
          <t>0024643-24.2017.8.19.0001</t>
        </is>
      </c>
      <c r="E402" t="inlineStr">
        <is>
          <t>QGC</t>
        </is>
      </c>
      <c r="F402" t="inlineStr">
        <is>
          <t>OK</t>
        </is>
      </c>
      <c r="G402" s="19" t="inlineStr">
        <is>
          <t>https://inova-aj.com.br/wp-content/uploads/2022/06/QGC-Engetecnica-e-Construtora-Zadar-Homologado.pdf</t>
        </is>
      </c>
      <c r="H402" t="inlineStr">
        <is>
          <t>p35 r14</t>
        </is>
      </c>
      <c r="I402" t="inlineStr">
        <is>
          <t>NO_DOCUMENT ALT_VALUE:R$216.956,00</t>
        </is>
      </c>
    </row>
    <row r="403">
      <c r="A403" t="inlineStr">
        <is>
          <t>I. MARIZ LOCADORA DE VEÍCULOS LTDA.</t>
        </is>
      </c>
      <c r="B403" s="10" t="n">
        <v>212935.26</v>
      </c>
      <c r="C403" t="inlineStr">
        <is>
          <t>SOCIEDADES ENGETÉCNICA SERVIÇOS E CONSTRUÇÕES LTDA</t>
        </is>
      </c>
      <c r="D403" t="inlineStr">
        <is>
          <t>0024643-24.2017.8.19.0001</t>
        </is>
      </c>
      <c r="E403" t="inlineStr">
        <is>
          <t>QGC</t>
        </is>
      </c>
      <c r="F403" t="inlineStr">
        <is>
          <t>OK</t>
        </is>
      </c>
      <c r="G403" s="19" t="inlineStr">
        <is>
          <t>https://inova-aj.com.br/wp-content/uploads/2022/06/QGC-Engetecnica-e-Construtora-Zadar-Homologado.pdf</t>
        </is>
      </c>
      <c r="H403" t="inlineStr">
        <is>
          <t>p6 r11</t>
        </is>
      </c>
      <c r="I403" t="inlineStr">
        <is>
          <t>NO_DOCUMENT ALT_VALUE:R$212.935,26</t>
        </is>
      </c>
    </row>
    <row r="404">
      <c r="A404" t="inlineStr">
        <is>
          <t>MXE CONSTRUÇÕES INDUSTRIA E COMÉRCIO EIRELI‐</t>
        </is>
      </c>
      <c r="B404" s="10" t="n">
        <v>208493.59</v>
      </c>
      <c r="C404" t="inlineStr">
        <is>
          <t>SOCIEDADES ENGETÉCNICA SERVIÇOS E CONSTRUÇÕES LTDA</t>
        </is>
      </c>
      <c r="D404" t="inlineStr">
        <is>
          <t>0024643-24.2017.8.19.0001</t>
        </is>
      </c>
      <c r="E404" t="inlineStr">
        <is>
          <t>QGC</t>
        </is>
      </c>
      <c r="F404" t="inlineStr">
        <is>
          <t>OK</t>
        </is>
      </c>
      <c r="G404" s="19" t="inlineStr">
        <is>
          <t>https://inova-aj.com.br/wp-content/uploads/2022/06/QGC-Engetecnica-e-Construtora-Zadar-Homologado.pdf</t>
        </is>
      </c>
      <c r="H404" t="inlineStr">
        <is>
          <t>p34 r15</t>
        </is>
      </c>
      <c r="I404" t="inlineStr">
        <is>
          <t>NO_DOCUMENT ALT_VALUE:R$208.493,59</t>
        </is>
      </c>
    </row>
    <row r="405">
      <c r="A405" t="inlineStr">
        <is>
          <t>SEL EMPREITEIRA LTDA</t>
        </is>
      </c>
      <c r="B405" s="10" t="n">
        <v>207607.67</v>
      </c>
      <c r="C405" t="inlineStr">
        <is>
          <t>SOCIEDADES ENGETÉCNICA SERVIÇOS E CONSTRUÇÕES LTDA</t>
        </is>
      </c>
      <c r="D405" t="inlineStr">
        <is>
          <t>0024643-24.2017.8.19.0001</t>
        </is>
      </c>
      <c r="E405" t="inlineStr">
        <is>
          <t>QGC</t>
        </is>
      </c>
      <c r="F405" t="inlineStr">
        <is>
          <t>OK</t>
        </is>
      </c>
      <c r="G405" s="19" t="inlineStr">
        <is>
          <t>https://inova-aj.com.br/wp-content/uploads/2022/06/QGC-Engetecnica-e-Construtora-Zadar-Homologado.pdf</t>
        </is>
      </c>
      <c r="H405" t="inlineStr">
        <is>
          <t>p37 r9</t>
        </is>
      </c>
      <c r="I405" t="inlineStr">
        <is>
          <t>NO_DOCUMENT ALT_VALUE:R$207.607,67</t>
        </is>
      </c>
    </row>
    <row r="406">
      <c r="A406" t="inlineStr">
        <is>
          <t>EMPRESA BRAS DE TECNOLOGIA E ADMIN DE CONVENIOS HAAG S.A.</t>
        </is>
      </c>
      <c r="B406" s="10" t="n">
        <v>201635.03</v>
      </c>
      <c r="C406" t="inlineStr">
        <is>
          <t>SOCIEDADES ENGETÉCNICA SERVIÇOS E CONSTRUÇÕES LTDA</t>
        </is>
      </c>
      <c r="D406" t="inlineStr">
        <is>
          <t>0024643-24.2017.8.19.0001</t>
        </is>
      </c>
      <c r="E406" t="inlineStr">
        <is>
          <t>QGC</t>
        </is>
      </c>
      <c r="F406" t="inlineStr">
        <is>
          <t>OK</t>
        </is>
      </c>
      <c r="G406" s="19" t="inlineStr">
        <is>
          <t>https://inova-aj.com.br/wp-content/uploads/2022/06/QGC-Engetecnica-e-Construtora-Zadar-Homologado.pdf</t>
        </is>
      </c>
      <c r="H406" t="inlineStr">
        <is>
          <t>p30 r15</t>
        </is>
      </c>
      <c r="I406" t="inlineStr">
        <is>
          <t>NO_DOCUMENT ALT_VALUE:R$201.635,03</t>
        </is>
      </c>
    </row>
    <row r="407">
      <c r="A407" t="inlineStr">
        <is>
          <t>MASTER SERVIÇOS DE VIGILANCIA E ZELADORIA</t>
        </is>
      </c>
      <c r="B407" s="10" t="n">
        <v>201156.45</v>
      </c>
      <c r="C407" t="inlineStr">
        <is>
          <t>SOCIEDADES ENGETÉCNICA SERVIÇOS E CONSTRUÇÕES LTDA</t>
        </is>
      </c>
      <c r="D407" t="inlineStr">
        <is>
          <t>0024643-24.2017.8.19.0001</t>
        </is>
      </c>
      <c r="E407" t="inlineStr">
        <is>
          <t>QGC</t>
        </is>
      </c>
      <c r="F407" t="inlineStr">
        <is>
          <t>OK</t>
        </is>
      </c>
      <c r="G407" s="19" t="inlineStr">
        <is>
          <t>https://inova-aj.com.br/wp-content/uploads/2022/06/QGC-Engetecnica-e-Construtora-Zadar-Homologado.pdf</t>
        </is>
      </c>
      <c r="H407" t="inlineStr">
        <is>
          <t>p33 r27</t>
        </is>
      </c>
      <c r="I407" t="inlineStr">
        <is>
          <t>NO_DOCUMENT ALT_VALUE:R$201.156,45</t>
        </is>
      </c>
    </row>
    <row r="408">
      <c r="A408" t="inlineStr">
        <is>
          <t>MARCIO APARECIDO ORTEGA</t>
        </is>
      </c>
      <c r="B408" s="10" t="n">
        <v>2980969.94</v>
      </c>
      <c r="C408" t="inlineStr">
        <is>
          <t>HOKEN INTERNATIONAL COMPANY LTDA</t>
        </is>
      </c>
      <c r="D408" t="inlineStr">
        <is>
          <t>1032741-02.2020.8.26.0576</t>
        </is>
      </c>
      <c r="E408" t="inlineStr">
        <is>
          <t>QGC</t>
        </is>
      </c>
      <c r="F408" t="inlineStr">
        <is>
          <t>OK_NO_TOTALS</t>
        </is>
      </c>
      <c r="G408" s="19" t="inlineStr">
        <is>
          <t>https://violet-wolf-754008.hostingersite.com/wp-content/uploads/recuperacoes-judiciais/Grupo-Hoken/2o-Edital-Grupo-Hoken.pdf</t>
        </is>
      </c>
      <c r="H408" t="inlineStr">
        <is>
          <t>p3 r15</t>
        </is>
      </c>
      <c r="I408" t="inlineStr">
        <is>
          <t>NO_DOCUMENT</t>
        </is>
      </c>
    </row>
    <row r="409">
      <c r="A409" t="inlineStr">
        <is>
          <t>ITAÚ UNIBANCO S.A</t>
        </is>
      </c>
      <c r="B409" s="10" t="n">
        <v>2513310.16</v>
      </c>
      <c r="C409" t="inlineStr">
        <is>
          <t>HOKEN INTERNATIONAL COMPANY LTDA</t>
        </is>
      </c>
      <c r="D409" t="inlineStr">
        <is>
          <t>1032741-02.2020.8.26.0576</t>
        </is>
      </c>
      <c r="E409" t="inlineStr">
        <is>
          <t>QGC</t>
        </is>
      </c>
      <c r="F409" t="inlineStr">
        <is>
          <t>OK_NO_TOTALS</t>
        </is>
      </c>
      <c r="G409" s="19" t="inlineStr">
        <is>
          <t>https://violet-wolf-754008.hostingersite.com/wp-content/uploads/recuperacoes-judiciais/Grupo-Hoken/2o-Edital-Grupo-Hoken.pdf</t>
        </is>
      </c>
      <c r="H409" t="inlineStr">
        <is>
          <t>p3 r8</t>
        </is>
      </c>
      <c r="I409" t="inlineStr">
        <is>
          <t>NO_DOCUMENT</t>
        </is>
      </c>
    </row>
    <row r="410">
      <c r="A410" t="inlineStr">
        <is>
          <t>BANCO BRADESCO S.A</t>
        </is>
      </c>
      <c r="B410" s="10" t="n">
        <v>1208152.68</v>
      </c>
      <c r="C410" t="inlineStr">
        <is>
          <t>HOKEN INTERNATIONAL COMPANY LTDA</t>
        </is>
      </c>
      <c r="D410" t="inlineStr">
        <is>
          <t>1032741-02.2020.8.26.0576</t>
        </is>
      </c>
      <c r="E410" t="inlineStr">
        <is>
          <t>QGC</t>
        </is>
      </c>
      <c r="F410" t="inlineStr">
        <is>
          <t>OK_NO_TOTALS</t>
        </is>
      </c>
      <c r="G410" s="19" t="inlineStr">
        <is>
          <t>https://violet-wolf-754008.hostingersite.com/wp-content/uploads/recuperacoes-judiciais/Grupo-Hoken/2o-Edital-Grupo-Hoken.pdf</t>
        </is>
      </c>
      <c r="H410" t="inlineStr">
        <is>
          <t>p2 r20</t>
        </is>
      </c>
      <c r="I410" t="inlineStr">
        <is>
          <t>NO_DOCUMENT</t>
        </is>
      </c>
    </row>
    <row r="411">
      <c r="A411" t="inlineStr">
        <is>
          <t>BANCO DO BRASIL S.A</t>
        </is>
      </c>
      <c r="B411" s="10" t="n">
        <v>947512.33</v>
      </c>
      <c r="C411" t="inlineStr">
        <is>
          <t>HOKEN INTERNATIONAL COMPANY LTDA</t>
        </is>
      </c>
      <c r="D411" t="inlineStr">
        <is>
          <t>1032741-02.2020.8.26.0576</t>
        </is>
      </c>
      <c r="E411" t="inlineStr">
        <is>
          <t>QGC</t>
        </is>
      </c>
      <c r="F411" t="inlineStr">
        <is>
          <t>OK_NO_TOTALS</t>
        </is>
      </c>
      <c r="G411" s="19" t="inlineStr">
        <is>
          <t>https://violet-wolf-754008.hostingersite.com/wp-content/uploads/recuperacoes-judiciais/Grupo-Hoken/2o-Edital-Grupo-Hoken.pdf</t>
        </is>
      </c>
      <c r="H411" t="inlineStr">
        <is>
          <t>p2 r21</t>
        </is>
      </c>
      <c r="I411" t="inlineStr">
        <is>
          <t>NO_DOCUMENT</t>
        </is>
      </c>
    </row>
    <row r="412">
      <c r="A412" t="inlineStr">
        <is>
          <t>BANCO SANTANDER (BRASIL) S.A</t>
        </is>
      </c>
      <c r="B412" s="10" t="n">
        <v>647904.13</v>
      </c>
      <c r="C412" t="inlineStr">
        <is>
          <t>HOKEN INTERNATIONAL COMPANY LTDA</t>
        </is>
      </c>
      <c r="D412" t="inlineStr">
        <is>
          <t>1032741-02.2020.8.26.0576</t>
        </is>
      </c>
      <c r="E412" t="inlineStr">
        <is>
          <t>QGC</t>
        </is>
      </c>
      <c r="F412" t="inlineStr">
        <is>
          <t>OK_NO_TOTALS</t>
        </is>
      </c>
      <c r="G412" s="19" t="inlineStr">
        <is>
          <t>https://violet-wolf-754008.hostingersite.com/wp-content/uploads/recuperacoes-judiciais/Grupo-Hoken/2o-Edital-Grupo-Hoken.pdf</t>
        </is>
      </c>
      <c r="H412" t="inlineStr">
        <is>
          <t>p2 r24</t>
        </is>
      </c>
      <c r="I412" t="inlineStr">
        <is>
          <t>NO_DOCUMENT</t>
        </is>
      </c>
    </row>
    <row r="413">
      <c r="A413" t="inlineStr">
        <is>
          <t>BANCO SAFRA S.A</t>
        </is>
      </c>
      <c r="B413" s="10" t="n">
        <v>569167.47</v>
      </c>
      <c r="C413" t="inlineStr">
        <is>
          <t>HOKEN INTERNATIONAL COMPANY LTDA</t>
        </is>
      </c>
      <c r="D413" t="inlineStr">
        <is>
          <t>1032741-02.2020.8.26.0576</t>
        </is>
      </c>
      <c r="E413" t="inlineStr">
        <is>
          <t>QGC</t>
        </is>
      </c>
      <c r="F413" t="inlineStr">
        <is>
          <t>OK_NO_TOTALS</t>
        </is>
      </c>
      <c r="G413" s="19" t="inlineStr">
        <is>
          <t>https://violet-wolf-754008.hostingersite.com/wp-content/uploads/recuperacoes-judiciais/Grupo-Hoken/2o-Edital-Grupo-Hoken.pdf</t>
        </is>
      </c>
      <c r="H413" t="inlineStr">
        <is>
          <t>p2 r23</t>
        </is>
      </c>
      <c r="I413" t="inlineStr">
        <is>
          <t>NO_DOCUMENT</t>
        </is>
      </c>
    </row>
    <row r="414">
      <c r="A414" t="inlineStr">
        <is>
          <t>ESTRUTURA TECH EIRELI</t>
        </is>
      </c>
      <c r="B414" s="10" t="n">
        <v>550000</v>
      </c>
      <c r="C414" t="inlineStr">
        <is>
          <t>HOKEN INTERNATIONAL COMPANY LTDA</t>
        </is>
      </c>
      <c r="D414" t="inlineStr">
        <is>
          <t>1032741-02.2020.8.26.0576</t>
        </is>
      </c>
      <c r="E414" t="inlineStr">
        <is>
          <t>QGC</t>
        </is>
      </c>
      <c r="F414" t="inlineStr">
        <is>
          <t>OK_NO_TOTALS</t>
        </is>
      </c>
      <c r="G414" s="19" t="inlineStr">
        <is>
          <t>https://violet-wolf-754008.hostingersite.com/wp-content/uploads/recuperacoes-judiciais/Grupo-Hoken/2o-Edital-Grupo-Hoken.pdf</t>
        </is>
      </c>
      <c r="H414" t="inlineStr">
        <is>
          <t>p2 r38</t>
        </is>
      </c>
      <c r="I414" t="inlineStr">
        <is>
          <t>NO_DOCUMENT</t>
        </is>
      </c>
    </row>
    <row r="415">
      <c r="A415" t="inlineStr">
        <is>
          <t>ELGIN DISTRIBUIDORA LTDA</t>
        </is>
      </c>
      <c r="B415" s="10" t="n">
        <v>298582.84</v>
      </c>
      <c r="C415" t="inlineStr">
        <is>
          <t>HOKEN INTERNATIONAL COMPANY LTDA</t>
        </is>
      </c>
      <c r="D415" t="inlineStr">
        <is>
          <t>1032741-02.2020.8.26.0576</t>
        </is>
      </c>
      <c r="E415" t="inlineStr">
        <is>
          <t>QGC</t>
        </is>
      </c>
      <c r="F415" t="inlineStr">
        <is>
          <t>OK_NO_TOTALS</t>
        </is>
      </c>
      <c r="G415" s="19" t="inlineStr">
        <is>
          <t>https://violet-wolf-754008.hostingersite.com/wp-content/uploads/recuperacoes-judiciais/Grupo-Hoken/2o-Edital-Grupo-Hoken.pdf</t>
        </is>
      </c>
      <c r="H415" t="inlineStr">
        <is>
          <t>p2 r35</t>
        </is>
      </c>
      <c r="I415" t="inlineStr">
        <is>
          <t>NO_DOCUMENT</t>
        </is>
      </c>
    </row>
    <row r="416">
      <c r="A416" t="inlineStr">
        <is>
          <t>HIDRO FILTROS DO BRASIL INDÚSTRIA E COMÉRCIO DE FILTROS LTDA</t>
        </is>
      </c>
      <c r="B416" s="10" t="n">
        <v>204190.32</v>
      </c>
      <c r="C416" t="inlineStr">
        <is>
          <t>HOKEN INTERNATIONAL COMPANY LTDA</t>
        </is>
      </c>
      <c r="D416" t="inlineStr">
        <is>
          <t>1032741-02.2020.8.26.0576</t>
        </is>
      </c>
      <c r="E416" t="inlineStr">
        <is>
          <t>QGC</t>
        </is>
      </c>
      <c r="F416" t="inlineStr">
        <is>
          <t>OK_NO_TOTALS</t>
        </is>
      </c>
      <c r="G416" s="19" t="inlineStr">
        <is>
          <t>https://violet-wolf-754008.hostingersite.com/wp-content/uploads/recuperacoes-judiciais/Grupo-Hoken/2o-Edital-Grupo-Hoken.pdf</t>
        </is>
      </c>
      <c r="H416" t="inlineStr">
        <is>
          <t>p3 r4</t>
        </is>
      </c>
      <c r="I416" t="inlineStr">
        <is>
          <t>NO_DOCUMENT</t>
        </is>
      </c>
    </row>
    <row r="417">
      <c r="A417" t="inlineStr">
        <is>
          <t>Incofios Indústria de Fios e Malhas Ltda.</t>
        </is>
      </c>
      <c r="B417" s="10" t="n">
        <v>611765.4399999999</v>
      </c>
      <c r="C417" t="inlineStr">
        <is>
          <t>STARKFEST INDÚTRIA DO VESTUÁRIO LTDA</t>
        </is>
      </c>
      <c r="D417" t="inlineStr">
        <is>
          <t>5001024-38.2024.8.24.0019</t>
        </is>
      </c>
      <c r="E417" t="inlineStr">
        <is>
          <t>AJ_LIST</t>
        </is>
      </c>
      <c r="F417" t="inlineStr">
        <is>
          <t>QUARANTINED</t>
        </is>
      </c>
      <c r="G417" s="19" t="inlineStr">
        <is>
          <t>https://rlg-aj.com.br/wp-content/uploads/2024/02/Relacao-de-Credores-do-art.-7o-§2o-da-Lei-n.o-11.101-de-2005-Starkfest-Industria-do-Vestuario-Ltda-1.pdf</t>
        </is>
      </c>
      <c r="H417" t="inlineStr">
        <is>
          <t>p3 r10</t>
        </is>
      </c>
      <c r="I417" t="inlineStr">
        <is>
          <t>NO_DOCUMENT ALT_VALUE:R$611.765,44</t>
        </is>
      </c>
    </row>
    <row r="418">
      <c r="A418" t="inlineStr">
        <is>
          <t>Copasul Coop Agricola Sul</t>
        </is>
      </c>
      <c r="B418" s="10" t="n">
        <v>516330.92</v>
      </c>
      <c r="C418" t="inlineStr">
        <is>
          <t>STARKFEST INDÚTRIA DO VESTUÁRIO LTDA</t>
        </is>
      </c>
      <c r="D418" t="inlineStr">
        <is>
          <t>5001024-38.2024.8.24.0019</t>
        </is>
      </c>
      <c r="E418" t="inlineStr">
        <is>
          <t>AJ_LIST</t>
        </is>
      </c>
      <c r="F418" t="inlineStr">
        <is>
          <t>QUARANTINED</t>
        </is>
      </c>
      <c r="G418" s="19" t="inlineStr">
        <is>
          <t>https://rlg-aj.com.br/wp-content/uploads/2024/02/Relacao-de-Credores-do-art.-7o-§2o-da-Lei-n.o-11.101-de-2005-Starkfest-Industria-do-Vestuario-Ltda-1.pdf</t>
        </is>
      </c>
      <c r="H418" t="inlineStr">
        <is>
          <t>p3 r7</t>
        </is>
      </c>
      <c r="I418" t="inlineStr">
        <is>
          <t>NO_DOCUMENT ALT_VALUE:R$430.512,25</t>
        </is>
      </c>
    </row>
    <row r="419">
      <c r="A419" t="inlineStr">
        <is>
          <t>Pefisa S/A - Crédito, Financimento e Investimento</t>
        </is>
      </c>
      <c r="B419" s="10" t="n">
        <v>268568.7</v>
      </c>
      <c r="C419" t="inlineStr">
        <is>
          <t>STARKFEST INDÚTRIA DO VESTUÁRIO LTDA</t>
        </is>
      </c>
      <c r="D419" t="inlineStr">
        <is>
          <t>5001024-38.2024.8.24.0019</t>
        </is>
      </c>
      <c r="E419" t="inlineStr">
        <is>
          <t>AJ_LIST</t>
        </is>
      </c>
      <c r="F419" t="inlineStr">
        <is>
          <t>QUARANTINED</t>
        </is>
      </c>
      <c r="G419" s="19" t="inlineStr">
        <is>
          <t>https://rlg-aj.com.br/wp-content/uploads/2024/02/Relacao-de-Credores-do-art.-7o-§2o-da-Lei-n.o-11.101-de-2005-Starkfest-Industria-do-Vestuario-Ltda-1.pdf</t>
        </is>
      </c>
      <c r="H419" t="inlineStr">
        <is>
          <t>p3 r15</t>
        </is>
      </c>
      <c r="I419" t="inlineStr">
        <is>
          <t>NO_DOCUMENT ALT_VALUE:R$375.996,18</t>
        </is>
      </c>
    </row>
    <row r="420">
      <c r="A420" t="inlineStr">
        <is>
          <t>Rua Ivan Valverde, 261</t>
        </is>
      </c>
      <c r="B420" s="10" t="n">
        <v>787753.0699999999</v>
      </c>
      <c r="C420" t="inlineStr">
        <is>
          <t>Recuperações Judiciais – Brasil Trustee</t>
        </is>
      </c>
      <c r="D420" t="inlineStr">
        <is>
          <t>1001087-02.2022.8.26.0390</t>
        </is>
      </c>
      <c r="E420" t="inlineStr">
        <is>
          <t>UNKNOWN</t>
        </is>
      </c>
      <c r="F420" t="inlineStr">
        <is>
          <t>OK</t>
        </is>
      </c>
      <c r="G420" s="19" t="inlineStr">
        <is>
          <t>https://violet-wolf-754008.hostingersite.com/wp-content/uploads/2022/10/Primeiro-Edital-de-Credores-Integral-com-creditos.pdf</t>
        </is>
      </c>
      <c r="H420" t="inlineStr">
        <is>
          <t>p4 r2</t>
        </is>
      </c>
      <c r="I420" t="inlineStr">
        <is>
          <t>NO_DOCUMENT VALUE_COL:Valor</t>
        </is>
      </c>
    </row>
    <row r="421">
      <c r="A421" t="inlineStr">
        <is>
          <t>Wolf Propaganda Ltda</t>
        </is>
      </c>
      <c r="B421" s="10" t="n">
        <v>647029.67</v>
      </c>
      <c r="C421" t="inlineStr">
        <is>
          <t>OU DISTRIBUÍDA POR DEPENDÊNCIA</t>
        </is>
      </c>
      <c r="D421" t="inlineStr">
        <is>
          <t>1076662-18.2019.8.26.0100</t>
        </is>
      </c>
      <c r="E421" t="inlineStr">
        <is>
          <t>AJ_LIST</t>
        </is>
      </c>
      <c r="F421" t="inlineStr">
        <is>
          <t>OK</t>
        </is>
      </c>
      <c r="G421" s="19" t="inlineStr">
        <is>
          <t>https://inova-aj.com.br/wp-content/uploads/2020/01/Relação-de-Credores-Falida-Art.-99-PU-LRE.pdf</t>
        </is>
      </c>
      <c r="H421" t="inlineStr">
        <is>
          <t>p10 r32</t>
        </is>
      </c>
      <c r="I421" t="inlineStr">
        <is>
          <t>NO_DOCUMENT</t>
        </is>
      </c>
    </row>
    <row r="422">
      <c r="A422" t="inlineStr">
        <is>
          <t>CREDOR Banco Santander (Brasil) S/A</t>
        </is>
      </c>
      <c r="B422" s="10" t="n">
        <v>670390.59</v>
      </c>
      <c r="C422" t="inlineStr">
        <is>
          <t>GateKeeper | Recuperação Judicial em São Paulo – Ética, técnica e profissionalismo na administração judicial de processos de recuperação e falência.</t>
        </is>
      </c>
      <c r="D422" t="inlineStr">
        <is>
          <t>1045338-78.2017.8.26.0100</t>
        </is>
      </c>
      <c r="E422" t="inlineStr">
        <is>
          <t>QGC</t>
        </is>
      </c>
      <c r="F422" t="inlineStr">
        <is>
          <t>OK</t>
        </is>
      </c>
      <c r="G422" s="19" t="inlineStr">
        <is>
          <t>https://gatekeeperaj.com.br/wp-content/uploads/2026/08/QGC-AGOSTO-07.08.2026-1.pdf</t>
        </is>
      </c>
      <c r="H422" t="inlineStr">
        <is>
          <t>p2 r10</t>
        </is>
      </c>
      <c r="I422" t="inlineStr">
        <is>
          <t>NO_DOCUMENT</t>
        </is>
      </c>
    </row>
    <row r="423">
      <c r="A423" t="inlineStr">
        <is>
          <t>Totais ..................................... Valores atualizados ate 31110114, NOTAS: No quadro 1 supra, apresentarnos acréscimo de juros ate a data 0 quadra 2, apresenta os valores</t>
        </is>
      </c>
      <c r="B423" s="10" t="n">
        <v>2774472.79</v>
      </c>
      <c r="C423" t="inlineStr">
        <is>
          <t>Refrigerantes Polo Sul - RLG-AJ</t>
        </is>
      </c>
      <c r="D423" t="inlineStr">
        <is>
          <t>0000635-08.2003.8.08.0024</t>
        </is>
      </c>
      <c r="E423" t="inlineStr">
        <is>
          <t>QGC</t>
        </is>
      </c>
      <c r="F423" t="inlineStr">
        <is>
          <t>OK_NO_TOTALS</t>
        </is>
      </c>
      <c r="G423" s="19" t="inlineStr">
        <is>
          <t>https://rlg-aj.com.br/wp-content/uploads/2024/01/Quadro-Geral-de-Credores-Refrigerantes-Polo-Sul.pdf</t>
        </is>
      </c>
      <c r="H423" t="inlineStr">
        <is>
          <t>p2 r3</t>
        </is>
      </c>
      <c r="I423" t="inlineStr">
        <is>
          <t>NO_DOCUMENT</t>
        </is>
      </c>
    </row>
    <row r="424">
      <c r="A424" t="inlineStr">
        <is>
          <t>BANCO SANTANDER (BRASIL) S.A.</t>
        </is>
      </c>
      <c r="B424" s="10" t="n">
        <v>1019646796.08</v>
      </c>
      <c r="C424" t="inlineStr">
        <is>
          <t>GateKeeper | Recuperação Judicial em São Paulo – Ética, técnica e profissionalismo na administração judicial de processos de recuperação e falência.</t>
        </is>
      </c>
      <c r="D424" t="inlineStr">
        <is>
          <t>0255180-67.2007.8.26.0100</t>
        </is>
      </c>
      <c r="E424" t="inlineStr">
        <is>
          <t>QGC</t>
        </is>
      </c>
      <c r="F424" t="inlineStr">
        <is>
          <t>OK</t>
        </is>
      </c>
      <c r="G424" s="19" t="inlineStr">
        <is>
          <t>https://gatekeeperaj.com.br/wp-content/uploads/2026/03/BRA2_merged.pdf</t>
        </is>
      </c>
      <c r="H424" t="inlineStr">
        <is>
          <t>p24 r5</t>
        </is>
      </c>
      <c r="I424" t="inlineStr">
        <is>
          <t>NO_DOCUMENT</t>
        </is>
      </c>
    </row>
    <row r="425">
      <c r="A425" t="inlineStr">
        <is>
          <t>BANCO FIBRA S/A</t>
        </is>
      </c>
      <c r="B425" s="10" t="n">
        <v>387673208.04</v>
      </c>
      <c r="C425" t="inlineStr">
        <is>
          <t>GateKeeper | Recuperação Judicial em São Paulo – Ética, técnica e profissionalismo na administração judicial de processos de recuperação e falência.</t>
        </is>
      </c>
      <c r="D425" t="inlineStr">
        <is>
          <t>0255180-67.2007.8.26.0100</t>
        </is>
      </c>
      <c r="E425" t="inlineStr">
        <is>
          <t>QGC</t>
        </is>
      </c>
      <c r="F425" t="inlineStr">
        <is>
          <t>OK</t>
        </is>
      </c>
      <c r="G425" s="19" t="inlineStr">
        <is>
          <t>https://gatekeeperaj.com.br/wp-content/uploads/2026/03/BRA2_merged.pdf</t>
        </is>
      </c>
      <c r="H425" t="inlineStr">
        <is>
          <t>p24 r2</t>
        </is>
      </c>
      <c r="I425" t="inlineStr">
        <is>
          <t>NO_DOCUMENT</t>
        </is>
      </c>
    </row>
    <row r="426">
      <c r="A426" t="inlineStr">
        <is>
          <t>UNION NATIONAL S.A. FOMENTO MERCANTIL</t>
        </is>
      </c>
      <c r="B426" s="10" t="n">
        <v>80877862.8</v>
      </c>
      <c r="C426" t="inlineStr">
        <is>
          <t>GateKeeper | Recuperação Judicial em São Paulo – Ética, técnica e profissionalismo na administração judicial de processos de recuperação e falência.</t>
        </is>
      </c>
      <c r="D426" t="inlineStr">
        <is>
          <t>0255180-67.2007.8.26.0100</t>
        </is>
      </c>
      <c r="E426" t="inlineStr">
        <is>
          <t>QGC</t>
        </is>
      </c>
      <c r="F426" t="inlineStr">
        <is>
          <t>OK</t>
        </is>
      </c>
      <c r="G426" s="19" t="inlineStr">
        <is>
          <t>https://gatekeeperaj.com.br/wp-content/uploads/2026/03/BRA2_merged.pdf</t>
        </is>
      </c>
      <c r="H426" t="inlineStr">
        <is>
          <t>p84 r62</t>
        </is>
      </c>
      <c r="I426" t="inlineStr">
        <is>
          <t>NO_DOCUMENT</t>
        </is>
      </c>
    </row>
    <row r="427">
      <c r="A427" t="inlineStr">
        <is>
          <t>SHELL BRASIL LTDA.</t>
        </is>
      </c>
      <c r="B427" s="10" t="n">
        <v>40135569.32</v>
      </c>
      <c r="C427" t="inlineStr">
        <is>
          <t>GateKeeper | Recuperação Judicial em São Paulo – Ética, técnica e profissionalismo na administração judicial de processos de recuperação e falência.</t>
        </is>
      </c>
      <c r="D427" t="inlineStr">
        <is>
          <t>0255180-67.2007.8.26.0100</t>
        </is>
      </c>
      <c r="E427" t="inlineStr">
        <is>
          <t>QGC</t>
        </is>
      </c>
      <c r="F427" t="inlineStr">
        <is>
          <t>OK</t>
        </is>
      </c>
      <c r="G427" s="19" t="inlineStr">
        <is>
          <t>https://gatekeeperaj.com.br/wp-content/uploads/2026/03/BRA2_merged.pdf</t>
        </is>
      </c>
      <c r="H427" t="inlineStr">
        <is>
          <t>p76 r1</t>
        </is>
      </c>
      <c r="I427" t="inlineStr">
        <is>
          <t>NO_DOCUMENT</t>
        </is>
      </c>
    </row>
    <row r="428">
      <c r="A428" t="inlineStr">
        <is>
          <t>BANCO DAYCOVAL S/A</t>
        </is>
      </c>
      <c r="B428" s="10" t="n">
        <v>37607226.54</v>
      </c>
      <c r="C428" t="inlineStr">
        <is>
          <t>GateKeeper | Recuperação Judicial em São Paulo – Ética, técnica e profissionalismo na administração judicial de processos de recuperação e falência.</t>
        </is>
      </c>
      <c r="D428" t="inlineStr">
        <is>
          <t>0255180-67.2007.8.26.0100</t>
        </is>
      </c>
      <c r="E428" t="inlineStr">
        <is>
          <t>QGC</t>
        </is>
      </c>
      <c r="F428" t="inlineStr">
        <is>
          <t>OK</t>
        </is>
      </c>
      <c r="G428" s="19" t="inlineStr">
        <is>
          <t>https://gatekeeperaj.com.br/wp-content/uploads/2026/03/BRA2_merged.pdf</t>
        </is>
      </c>
      <c r="H428" t="inlineStr">
        <is>
          <t>p24 r1</t>
        </is>
      </c>
      <c r="I428" t="inlineStr">
        <is>
          <t>NO_DOCUMENT</t>
        </is>
      </c>
    </row>
    <row r="429">
      <c r="A429" t="inlineStr">
        <is>
          <t>TAP</t>
        </is>
      </c>
      <c r="B429" s="10" t="n">
        <v>30413756.25</v>
      </c>
      <c r="C429" t="inlineStr">
        <is>
          <t>GateKeeper | Recuperação Judicial em São Paulo – Ética, técnica e profissionalismo na administração judicial de processos de recuperação e falência.</t>
        </is>
      </c>
      <c r="D429" t="inlineStr">
        <is>
          <t>0255180-67.2007.8.26.0100</t>
        </is>
      </c>
      <c r="E429" t="inlineStr">
        <is>
          <t>QGC</t>
        </is>
      </c>
      <c r="F429" t="inlineStr">
        <is>
          <t>OK</t>
        </is>
      </c>
      <c r="G429" s="19" t="inlineStr">
        <is>
          <t>https://gatekeeperaj.com.br/wp-content/uploads/2026/03/BRA2_merged.pdf</t>
        </is>
      </c>
      <c r="H429" t="inlineStr">
        <is>
          <t>p83 r41</t>
        </is>
      </c>
      <c r="I429" t="inlineStr">
        <is>
          <t>NO_DOCUMENT</t>
        </is>
      </c>
    </row>
    <row r="430">
      <c r="A430" t="inlineStr">
        <is>
          <t>TAP MANUTENÇÃO E ENGENHARIA BRASIL LTDA</t>
        </is>
      </c>
      <c r="B430" s="10" t="n">
        <v>28641602</v>
      </c>
      <c r="C430" t="inlineStr">
        <is>
          <t>GateKeeper | Recuperação Judicial em São Paulo – Ética, técnica e profissionalismo na administração judicial de processos de recuperação e falência.</t>
        </is>
      </c>
      <c r="D430" t="inlineStr">
        <is>
          <t>0255180-67.2007.8.26.0100</t>
        </is>
      </c>
      <c r="E430" t="inlineStr">
        <is>
          <t>QGC</t>
        </is>
      </c>
      <c r="F430" t="inlineStr">
        <is>
          <t>OK</t>
        </is>
      </c>
      <c r="G430" s="19" t="inlineStr">
        <is>
          <t>https://gatekeeperaj.com.br/wp-content/uploads/2026/03/BRA2_merged.pdf</t>
        </is>
      </c>
      <c r="H430" t="inlineStr">
        <is>
          <t>p83 r42</t>
        </is>
      </c>
      <c r="I430" t="inlineStr">
        <is>
          <t>NO_DOCUMENT</t>
        </is>
      </c>
    </row>
    <row r="431">
      <c r="A431" t="inlineStr">
        <is>
          <t>BANCO PINE S/A</t>
        </is>
      </c>
      <c r="B431" s="10" t="n">
        <v>18714135.87</v>
      </c>
      <c r="C431" t="inlineStr">
        <is>
          <t>GateKeeper | Recuperação Judicial em São Paulo – Ética, técnica e profissionalismo na administração judicial de processos de recuperação e falência.</t>
        </is>
      </c>
      <c r="D431" t="inlineStr">
        <is>
          <t>0255180-67.2007.8.26.0100</t>
        </is>
      </c>
      <c r="E431" t="inlineStr">
        <is>
          <t>QGC</t>
        </is>
      </c>
      <c r="F431" t="inlineStr">
        <is>
          <t>OK</t>
        </is>
      </c>
      <c r="G431" s="19" t="inlineStr">
        <is>
          <t>https://gatekeeperaj.com.br/wp-content/uploads/2026/03/BRA2_merged.pdf</t>
        </is>
      </c>
      <c r="H431" t="inlineStr">
        <is>
          <t>p24 r3</t>
        </is>
      </c>
      <c r="I431" t="inlineStr">
        <is>
          <t>NO_DOCUMENT</t>
        </is>
      </c>
    </row>
    <row r="432">
      <c r="A432" t="inlineStr">
        <is>
          <t>GALP PETRÓLEOS DE PORTUGAL - PETROGAL S.A.</t>
        </is>
      </c>
      <c r="B432" s="10" t="n">
        <v>16490676.48</v>
      </c>
      <c r="C432" t="inlineStr">
        <is>
          <t>GateKeeper | Recuperação Judicial em São Paulo – Ética, técnica e profissionalismo na administração judicial de processos de recuperação e falência.</t>
        </is>
      </c>
      <c r="D432" t="inlineStr">
        <is>
          <t>0255180-67.2007.8.26.0100</t>
        </is>
      </c>
      <c r="E432" t="inlineStr">
        <is>
          <t>QGC</t>
        </is>
      </c>
      <c r="F432" t="inlineStr">
        <is>
          <t>OK</t>
        </is>
      </c>
      <c r="G432" s="19" t="inlineStr">
        <is>
          <t>https://gatekeeperaj.com.br/wp-content/uploads/2026/03/BRA2_merged.pdf</t>
        </is>
      </c>
      <c r="H432" t="inlineStr">
        <is>
          <t>p44 r37</t>
        </is>
      </c>
      <c r="I432" t="inlineStr">
        <is>
          <t>NO_DOCUMENT</t>
        </is>
      </c>
    </row>
    <row r="433">
      <c r="A433" t="inlineStr">
        <is>
          <t>WELLS FARGO BANK NORTHWEST, NATIONAL ASSOCIATION</t>
        </is>
      </c>
      <c r="B433" s="10" t="n">
        <v>16354924.95</v>
      </c>
      <c r="C433" t="inlineStr">
        <is>
          <t>GateKeeper | Recuperação Judicial em São Paulo – Ética, técnica e profissionalismo na administração judicial de processos de recuperação e falência.</t>
        </is>
      </c>
      <c r="D433" t="inlineStr">
        <is>
          <t>0255180-67.2007.8.26.0100</t>
        </is>
      </c>
      <c r="E433" t="inlineStr">
        <is>
          <t>QGC</t>
        </is>
      </c>
      <c r="F433" t="inlineStr">
        <is>
          <t>OK</t>
        </is>
      </c>
      <c r="G433" s="19" t="inlineStr">
        <is>
          <t>https://gatekeeperaj.com.br/wp-content/uploads/2026/03/BRA2_merged.pdf</t>
        </is>
      </c>
      <c r="H433" t="inlineStr">
        <is>
          <t>p86 r10</t>
        </is>
      </c>
      <c r="I433" t="inlineStr">
        <is>
          <t>NO_DOCUMENT</t>
        </is>
      </c>
    </row>
    <row r="434">
      <c r="A434" t="inlineStr">
        <is>
          <t>BANCO SAFRA S/A</t>
        </is>
      </c>
      <c r="B434" s="10" t="n">
        <v>13373006.8</v>
      </c>
      <c r="C434" t="inlineStr">
        <is>
          <t>GateKeeper | Recuperação Judicial em São Paulo – Ética, técnica e profissionalismo na administração judicial de processos de recuperação e falência.</t>
        </is>
      </c>
      <c r="D434" t="inlineStr">
        <is>
          <t>0255180-67.2007.8.26.0100</t>
        </is>
      </c>
      <c r="E434" t="inlineStr">
        <is>
          <t>QGC</t>
        </is>
      </c>
      <c r="F434" t="inlineStr">
        <is>
          <t>OK</t>
        </is>
      </c>
      <c r="G434" s="19" t="inlineStr">
        <is>
          <t>https://gatekeeperaj.com.br/wp-content/uploads/2026/03/BRA2_merged.pdf</t>
        </is>
      </c>
      <c r="H434" t="inlineStr">
        <is>
          <t>p24 r4</t>
        </is>
      </c>
      <c r="I434" t="inlineStr">
        <is>
          <t>NO_DOCUMENT</t>
        </is>
      </c>
    </row>
    <row r="435">
      <c r="A435" t="inlineStr">
        <is>
          <t>BANCO SOFISA S/A</t>
        </is>
      </c>
      <c r="B435" s="10" t="n">
        <v>12895091.05</v>
      </c>
      <c r="C435" t="inlineStr">
        <is>
          <t>GateKeeper | Recuperação Judicial em São Paulo – Ética, técnica e profissionalismo na administração judicial de processos de recuperação e falência.</t>
        </is>
      </c>
      <c r="D435" t="inlineStr">
        <is>
          <t>0255180-67.2007.8.26.0100</t>
        </is>
      </c>
      <c r="E435" t="inlineStr">
        <is>
          <t>QGC</t>
        </is>
      </c>
      <c r="F435" t="inlineStr">
        <is>
          <t>OK</t>
        </is>
      </c>
      <c r="G435" s="19" t="inlineStr">
        <is>
          <t>https://gatekeeperaj.com.br/wp-content/uploads/2026/03/BRA2_merged.pdf</t>
        </is>
      </c>
      <c r="H435" t="inlineStr">
        <is>
          <t>p24 r6</t>
        </is>
      </c>
      <c r="I435" t="inlineStr">
        <is>
          <t>NO_DOCUMENT</t>
        </is>
      </c>
    </row>
    <row r="436">
      <c r="A436" t="inlineStr">
        <is>
          <t>FÊNIX COMPANHIA SECURITIZADORA DE CRÉDITOS FINANCEIROS S.A.</t>
        </is>
      </c>
      <c r="B436" s="10" t="n">
        <v>12565721.64</v>
      </c>
      <c r="C436" t="inlineStr">
        <is>
          <t>GateKeeper | Recuperação Judicial em São Paulo – Ética, técnica e profissionalismo na administração judicial de processos de recuperação e falência.</t>
        </is>
      </c>
      <c r="D436" t="inlineStr">
        <is>
          <t>0255180-67.2007.8.26.0100</t>
        </is>
      </c>
      <c r="E436" t="inlineStr">
        <is>
          <t>QGC</t>
        </is>
      </c>
      <c r="F436" t="inlineStr">
        <is>
          <t>OK</t>
        </is>
      </c>
      <c r="G436" s="19" t="inlineStr">
        <is>
          <t>https://gatekeeperaj.com.br/wp-content/uploads/2026/03/BRA2_merged.pdf</t>
        </is>
      </c>
      <c r="H436" t="inlineStr">
        <is>
          <t>p40 r42</t>
        </is>
      </c>
      <c r="I436" t="inlineStr">
        <is>
          <t>NO_DOCUMENT</t>
        </is>
      </c>
    </row>
    <row r="437">
      <c r="A437" t="inlineStr">
        <is>
          <t>KLM</t>
        </is>
      </c>
      <c r="B437" s="10" t="n">
        <v>12331899.14</v>
      </c>
      <c r="C437" t="inlineStr">
        <is>
          <t>GateKeeper | Recuperação Judicial em São Paulo – Ética, técnica e profissionalismo na administração judicial de processos de recuperação e falência.</t>
        </is>
      </c>
      <c r="D437" t="inlineStr">
        <is>
          <t>0255180-67.2007.8.26.0100</t>
        </is>
      </c>
      <c r="E437" t="inlineStr">
        <is>
          <t>QGC</t>
        </is>
      </c>
      <c r="F437" t="inlineStr">
        <is>
          <t>OK</t>
        </is>
      </c>
      <c r="G437" s="19" t="inlineStr">
        <is>
          <t>https://gatekeeperaj.com.br/wp-content/uploads/2026/03/BRA2_merged.pdf</t>
        </is>
      </c>
      <c r="H437" t="inlineStr">
        <is>
          <t>p50 r61</t>
        </is>
      </c>
      <c r="I437" t="inlineStr">
        <is>
          <t>NO_DOCUMENT</t>
        </is>
      </c>
    </row>
    <row r="438">
      <c r="A438" t="inlineStr">
        <is>
          <t>INFRAERO EMPRESA BRASILEIRA INFRAESTRUTURA AÉROPORTUÁRIA</t>
        </is>
      </c>
      <c r="B438" s="10" t="n">
        <v>11477253.49</v>
      </c>
      <c r="C438" t="inlineStr">
        <is>
          <t>GateKeeper | Recuperação Judicial em São Paulo – Ética, técnica e profissionalismo na administração judicial de processos de recuperação e falência.</t>
        </is>
      </c>
      <c r="D438" t="inlineStr">
        <is>
          <t>0255180-67.2007.8.26.0100</t>
        </is>
      </c>
      <c r="E438" t="inlineStr">
        <is>
          <t>QGC</t>
        </is>
      </c>
      <c r="F438" t="inlineStr">
        <is>
          <t>OK</t>
        </is>
      </c>
      <c r="G438" s="19" t="inlineStr">
        <is>
          <t>https://gatekeeperaj.com.br/wp-content/uploads/2026/03/BRA2_merged.pdf</t>
        </is>
      </c>
      <c r="H438" t="inlineStr">
        <is>
          <t>p48 r22</t>
        </is>
      </c>
      <c r="I438" t="inlineStr">
        <is>
          <t>NO_DOCUMENT</t>
        </is>
      </c>
    </row>
    <row r="439">
      <c r="A439" t="inlineStr">
        <is>
          <t>UNIBANCO - UNIÃO DE BANCOS BRASILEIROS S/A</t>
        </is>
      </c>
      <c r="B439" s="10" t="n">
        <v>9872069.130000001</v>
      </c>
      <c r="C439" t="inlineStr">
        <is>
          <t>GateKeeper | Recuperação Judicial em São Paulo – Ética, técnica e profissionalismo na administração judicial de processos de recuperação e falência.</t>
        </is>
      </c>
      <c r="D439" t="inlineStr">
        <is>
          <t>0255180-67.2007.8.26.0100</t>
        </is>
      </c>
      <c r="E439" t="inlineStr">
        <is>
          <t>QGC</t>
        </is>
      </c>
      <c r="F439" t="inlineStr">
        <is>
          <t>OK</t>
        </is>
      </c>
      <c r="G439" s="19" t="inlineStr">
        <is>
          <t>https://gatekeeperaj.com.br/wp-content/uploads/2026/03/BRA2_merged.pdf</t>
        </is>
      </c>
      <c r="H439" t="inlineStr">
        <is>
          <t>p84 r57</t>
        </is>
      </c>
      <c r="I439" t="inlineStr">
        <is>
          <t>NO_DOCUMENT</t>
        </is>
      </c>
    </row>
    <row r="440">
      <c r="A440" t="inlineStr">
        <is>
          <t>EAST TRUST - SUB 14</t>
        </is>
      </c>
      <c r="B440" s="10" t="n">
        <v>9792300.550000001</v>
      </c>
      <c r="C440" t="inlineStr">
        <is>
          <t>GateKeeper | Recuperação Judicial em São Paulo – Ética, técnica e profissionalismo na administração judicial de processos de recuperação e falência.</t>
        </is>
      </c>
      <c r="D440" t="inlineStr">
        <is>
          <t>0255180-67.2007.8.26.0100</t>
        </is>
      </c>
      <c r="E440" t="inlineStr">
        <is>
          <t>QGC</t>
        </is>
      </c>
      <c r="F440" t="inlineStr">
        <is>
          <t>OK</t>
        </is>
      </c>
      <c r="G440" s="19" t="inlineStr">
        <is>
          <t>https://gatekeeperaj.com.br/wp-content/uploads/2026/03/BRA2_merged.pdf</t>
        </is>
      </c>
      <c r="H440" t="inlineStr">
        <is>
          <t>p38 r32</t>
        </is>
      </c>
      <c r="I440" t="inlineStr">
        <is>
          <t>NO_DOCUMENT</t>
        </is>
      </c>
    </row>
    <row r="441">
      <c r="A441" t="inlineStr">
        <is>
          <t>UNIBANCO - UNIÃO DE BANCOS BRASILEIROS S/A*</t>
        </is>
      </c>
      <c r="B441" s="10" t="n">
        <v>9025298.289999999</v>
      </c>
      <c r="C441" t="inlineStr">
        <is>
          <t>GateKeeper | Recuperação Judicial em São Paulo – Ética, técnica e profissionalismo na administração judicial de processos de recuperação e falência.</t>
        </is>
      </c>
      <c r="D441" t="inlineStr">
        <is>
          <t>0255180-67.2007.8.26.0100</t>
        </is>
      </c>
      <c r="E441" t="inlineStr">
        <is>
          <t>QGC</t>
        </is>
      </c>
      <c r="F441" t="inlineStr">
        <is>
          <t>OK</t>
        </is>
      </c>
      <c r="G441" s="19" t="inlineStr">
        <is>
          <t>https://gatekeeperaj.com.br/wp-content/uploads/2026/03/BRA2_merged.pdf</t>
        </is>
      </c>
      <c r="H441" t="inlineStr">
        <is>
          <t>p84 r58</t>
        </is>
      </c>
      <c r="I441" t="inlineStr">
        <is>
          <t>NO_DOCUMENT</t>
        </is>
      </c>
    </row>
    <row r="442">
      <c r="A442" t="inlineStr">
        <is>
          <t>GECAS</t>
        </is>
      </c>
      <c r="B442" s="10" t="n">
        <v>8983389.800000001</v>
      </c>
      <c r="C442" t="inlineStr">
        <is>
          <t>GateKeeper | Recuperação Judicial em São Paulo – Ética, técnica e profissionalismo na administração judicial de processos de recuperação e falência.</t>
        </is>
      </c>
      <c r="D442" t="inlineStr">
        <is>
          <t>0255180-67.2007.8.26.0100</t>
        </is>
      </c>
      <c r="E442" t="inlineStr">
        <is>
          <t>QGC</t>
        </is>
      </c>
      <c r="F442" t="inlineStr">
        <is>
          <t>OK</t>
        </is>
      </c>
      <c r="G442" s="19" t="inlineStr">
        <is>
          <t>https://gatekeeperaj.com.br/wp-content/uploads/2026/03/BRA2_merged.pdf</t>
        </is>
      </c>
      <c r="H442" t="inlineStr">
        <is>
          <t>p44 r60</t>
        </is>
      </c>
      <c r="I442" t="inlineStr">
        <is>
          <t>NO_DOCUMENT</t>
        </is>
      </c>
    </row>
    <row r="443">
      <c r="A443" t="inlineStr">
        <is>
          <t>OCEAN AIR LINHAS AEREAS</t>
        </is>
      </c>
      <c r="B443" s="10" t="n">
        <v>7747528.59</v>
      </c>
      <c r="C443" t="inlineStr">
        <is>
          <t>GateKeeper | Recuperação Judicial em São Paulo – Ética, técnica e profissionalismo na administração judicial de processos de recuperação e falência.</t>
        </is>
      </c>
      <c r="D443" t="inlineStr">
        <is>
          <t>0255180-67.2007.8.26.0100</t>
        </is>
      </c>
      <c r="E443" t="inlineStr">
        <is>
          <t>QGC</t>
        </is>
      </c>
      <c r="F443" t="inlineStr">
        <is>
          <t>OK</t>
        </is>
      </c>
      <c r="G443" s="19" t="inlineStr">
        <is>
          <t>https://gatekeeperaj.com.br/wp-content/uploads/2026/03/BRA2_merged.pdf</t>
        </is>
      </c>
      <c r="H443" t="inlineStr">
        <is>
          <t>p63 r54</t>
        </is>
      </c>
      <c r="I443" t="inlineStr">
        <is>
          <t>NO_DOCUMENT</t>
        </is>
      </c>
    </row>
    <row r="444">
      <c r="A444" t="inlineStr">
        <is>
          <t>EAST TRUST-SUB 12</t>
        </is>
      </c>
      <c r="B444" s="10" t="n">
        <v>7356363.5</v>
      </c>
      <c r="C444" t="inlineStr">
        <is>
          <t>GateKeeper | Recuperação Judicial em São Paulo – Ética, técnica e profissionalismo na administração judicial de processos de recuperação e falência.</t>
        </is>
      </c>
      <c r="D444" t="inlineStr">
        <is>
          <t>0255180-67.2007.8.26.0100</t>
        </is>
      </c>
      <c r="E444" t="inlineStr">
        <is>
          <t>QGC</t>
        </is>
      </c>
      <c r="F444" t="inlineStr">
        <is>
          <t>OK</t>
        </is>
      </c>
      <c r="G444" s="19" t="inlineStr">
        <is>
          <t>https://gatekeeperaj.com.br/wp-content/uploads/2026/03/BRA2_merged.pdf</t>
        </is>
      </c>
      <c r="H444" t="inlineStr">
        <is>
          <t>p38 r33</t>
        </is>
      </c>
      <c r="I444" t="inlineStr">
        <is>
          <t>NO_DOCUMENT</t>
        </is>
      </c>
    </row>
    <row r="445">
      <c r="A445" t="inlineStr">
        <is>
          <t>SHELL</t>
        </is>
      </c>
      <c r="B445" s="10" t="n">
        <v>7297415.3</v>
      </c>
      <c r="C445" t="inlineStr">
        <is>
          <t>GateKeeper | Recuperação Judicial em São Paulo – Ética, técnica e profissionalismo na administração judicial de processos de recuperação e falência.</t>
        </is>
      </c>
      <c r="D445" t="inlineStr">
        <is>
          <t>0255180-67.2007.8.26.0100</t>
        </is>
      </c>
      <c r="E445" t="inlineStr">
        <is>
          <t>QGC</t>
        </is>
      </c>
      <c r="F445" t="inlineStr">
        <is>
          <t>OK</t>
        </is>
      </c>
      <c r="G445" s="19" t="inlineStr">
        <is>
          <t>https://gatekeeperaj.com.br/wp-content/uploads/2026/03/BRA2_merged.pdf</t>
        </is>
      </c>
      <c r="H445" t="inlineStr">
        <is>
          <t>p75 r77</t>
        </is>
      </c>
      <c r="I445" t="inlineStr">
        <is>
          <t>NO_DOCUMENT</t>
        </is>
      </c>
    </row>
    <row r="446">
      <c r="A446" t="inlineStr">
        <is>
          <t>SH&amp;E</t>
        </is>
      </c>
      <c r="B446" s="10" t="n">
        <v>7021473.72</v>
      </c>
      <c r="C446" t="inlineStr">
        <is>
          <t>GateKeeper | Recuperação Judicial em São Paulo – Ética, técnica e profissionalismo na administração judicial de processos de recuperação e falência.</t>
        </is>
      </c>
      <c r="D446" t="inlineStr">
        <is>
          <t>0255180-67.2007.8.26.0100</t>
        </is>
      </c>
      <c r="E446" t="inlineStr">
        <is>
          <t>QGC</t>
        </is>
      </c>
      <c r="F446" t="inlineStr">
        <is>
          <t>OK</t>
        </is>
      </c>
      <c r="G446" s="19" t="inlineStr">
        <is>
          <t>https://gatekeeperaj.com.br/wp-content/uploads/2026/03/BRA2_merged.pdf</t>
        </is>
      </c>
      <c r="H446" t="inlineStr">
        <is>
          <t>p75 r74</t>
        </is>
      </c>
      <c r="I446" t="inlineStr">
        <is>
          <t>NO_DOCUMENT</t>
        </is>
      </c>
    </row>
    <row r="447">
      <c r="A447" t="inlineStr">
        <is>
          <t>DELTA AIRLINES</t>
        </is>
      </c>
      <c r="B447" s="10" t="n">
        <v>6426785.21</v>
      </c>
      <c r="C447" t="inlineStr">
        <is>
          <t>GateKeeper | Recuperação Judicial em São Paulo – Ética, técnica e profissionalismo na administração judicial de processos de recuperação e falência.</t>
        </is>
      </c>
      <c r="D447" t="inlineStr">
        <is>
          <t>0255180-67.2007.8.26.0100</t>
        </is>
      </c>
      <c r="E447" t="inlineStr">
        <is>
          <t>QGC</t>
        </is>
      </c>
      <c r="F447" t="inlineStr">
        <is>
          <t>OK</t>
        </is>
      </c>
      <c r="G447" s="19" t="inlineStr">
        <is>
          <t>https://gatekeeperaj.com.br/wp-content/uploads/2026/03/BRA2_merged.pdf</t>
        </is>
      </c>
      <c r="H447" t="inlineStr">
        <is>
          <t>p37 r9</t>
        </is>
      </c>
      <c r="I447" t="inlineStr">
        <is>
          <t>NO_DOCUMENT</t>
        </is>
      </c>
    </row>
    <row r="448">
      <c r="A448" t="inlineStr">
        <is>
          <t>REXTUR TURISMO</t>
        </is>
      </c>
      <c r="B448" s="10" t="n">
        <v>6068210.38</v>
      </c>
      <c r="C448" t="inlineStr">
        <is>
          <t>GateKeeper | Recuperação Judicial em São Paulo – Ética, técnica e profissionalismo na administração judicial de processos de recuperação e falência.</t>
        </is>
      </c>
      <c r="D448" t="inlineStr">
        <is>
          <t>0255180-67.2007.8.26.0100</t>
        </is>
      </c>
      <c r="E448" t="inlineStr">
        <is>
          <t>QGC</t>
        </is>
      </c>
      <c r="F448" t="inlineStr">
        <is>
          <t>OK</t>
        </is>
      </c>
      <c r="G448" s="19" t="inlineStr">
        <is>
          <t>https://gatekeeperaj.com.br/wp-content/uploads/2026/03/BRA2_merged.pdf</t>
        </is>
      </c>
      <c r="H448" t="inlineStr">
        <is>
          <t>p70 r18</t>
        </is>
      </c>
      <c r="I448" t="inlineStr">
        <is>
          <t>NO_DOCUMENT</t>
        </is>
      </c>
    </row>
    <row r="449">
      <c r="A449" t="inlineStr">
        <is>
          <t>AVBORNE</t>
        </is>
      </c>
      <c r="B449" s="10" t="n">
        <v>6048909.03</v>
      </c>
      <c r="C449" t="inlineStr">
        <is>
          <t>GateKeeper | Recuperação Judicial em São Paulo – Ética, técnica e profissionalismo na administração judicial de processos de recuperação e falência.</t>
        </is>
      </c>
      <c r="D449" t="inlineStr">
        <is>
          <t>0255180-67.2007.8.26.0100</t>
        </is>
      </c>
      <c r="E449" t="inlineStr">
        <is>
          <t>QGC</t>
        </is>
      </c>
      <c r="F449" t="inlineStr">
        <is>
          <t>OK</t>
        </is>
      </c>
      <c r="G449" s="19" t="inlineStr">
        <is>
          <t>https://gatekeeperaj.com.br/wp-content/uploads/2026/03/BRA2_merged.pdf</t>
        </is>
      </c>
      <c r="H449" t="inlineStr">
        <is>
          <t>p23 r48</t>
        </is>
      </c>
      <c r="I449" t="inlineStr">
        <is>
          <t>NO_DOCUMENT</t>
        </is>
      </c>
    </row>
    <row r="450">
      <c r="A450" t="inlineStr">
        <is>
          <t>EUROCONTROL</t>
        </is>
      </c>
      <c r="B450" s="10" t="n">
        <v>5563971.71</v>
      </c>
      <c r="C450" t="inlineStr">
        <is>
          <t>GateKeeper | Recuperação Judicial em São Paulo – Ética, técnica e profissionalismo na administração judicial de processos de recuperação e falência.</t>
        </is>
      </c>
      <c r="D450" t="inlineStr">
        <is>
          <t>0255180-67.2007.8.26.0100</t>
        </is>
      </c>
      <c r="E450" t="inlineStr">
        <is>
          <t>QGC</t>
        </is>
      </c>
      <c r="F450" t="inlineStr">
        <is>
          <t>OK</t>
        </is>
      </c>
      <c r="G450" s="19" t="inlineStr">
        <is>
          <t>https://gatekeeperaj.com.br/wp-content/uploads/2026/03/BRA2_merged.pdf</t>
        </is>
      </c>
      <c r="H450" t="inlineStr">
        <is>
          <t>p39 r26</t>
        </is>
      </c>
      <c r="I450" t="inlineStr">
        <is>
          <t>NO_DOCUMENT</t>
        </is>
      </c>
    </row>
    <row r="451">
      <c r="A451" t="inlineStr">
        <is>
          <t>GALP ENERGIA ESPANA S.A.U.</t>
        </is>
      </c>
      <c r="B451" s="10" t="n">
        <v>5194392.41</v>
      </c>
      <c r="C451" t="inlineStr">
        <is>
          <t>GateKeeper | Recuperação Judicial em São Paulo – Ética, técnica e profissionalismo na administração judicial de processos de recuperação e falência.</t>
        </is>
      </c>
      <c r="D451" t="inlineStr">
        <is>
          <t>0255180-67.2007.8.26.0100</t>
        </is>
      </c>
      <c r="E451" t="inlineStr">
        <is>
          <t>QGC</t>
        </is>
      </c>
      <c r="F451" t="inlineStr">
        <is>
          <t>OK</t>
        </is>
      </c>
      <c r="G451" s="19" t="inlineStr">
        <is>
          <t>https://gatekeeperaj.com.br/wp-content/uploads/2026/03/BRA2_merged.pdf</t>
        </is>
      </c>
      <c r="H451" t="inlineStr">
        <is>
          <t>p44 r36</t>
        </is>
      </c>
      <c r="I451" t="inlineStr">
        <is>
          <t>NO_DOCUMENT</t>
        </is>
      </c>
    </row>
    <row r="452">
      <c r="A452" t="inlineStr">
        <is>
          <t>PRIME AIR - HEICO</t>
        </is>
      </c>
      <c r="B452" s="10" t="n">
        <v>4387769.6</v>
      </c>
      <c r="C452" t="inlineStr">
        <is>
          <t>GateKeeper | Recuperação Judicial em São Paulo – Ética, técnica e profissionalismo na administração judicial de processos de recuperação e falência.</t>
        </is>
      </c>
      <c r="D452" t="inlineStr">
        <is>
          <t>0255180-67.2007.8.26.0100</t>
        </is>
      </c>
      <c r="E452" t="inlineStr">
        <is>
          <t>QGC</t>
        </is>
      </c>
      <c r="F452" t="inlineStr">
        <is>
          <t>OK</t>
        </is>
      </c>
      <c r="G452" s="19" t="inlineStr">
        <is>
          <t>https://gatekeeperaj.com.br/wp-content/uploads/2026/03/BRA2_merged.pdf</t>
        </is>
      </c>
      <c r="H452" t="inlineStr">
        <is>
          <t>p68 r56</t>
        </is>
      </c>
      <c r="I452" t="inlineStr">
        <is>
          <t>NO_DOCUMENT</t>
        </is>
      </c>
    </row>
    <row r="453">
      <c r="A453" t="inlineStr">
        <is>
          <t>AAR AIRCRAFT &amp; TURBINE CENTER</t>
        </is>
      </c>
      <c r="B453" s="10" t="n">
        <v>4266001.56</v>
      </c>
      <c r="C453" t="inlineStr">
        <is>
          <t>GateKeeper | Recuperação Judicial em São Paulo – Ética, técnica e profissionalismo na administração judicial de processos de recuperação e falência.</t>
        </is>
      </c>
      <c r="D453" t="inlineStr">
        <is>
          <t>0255180-67.2007.8.26.0100</t>
        </is>
      </c>
      <c r="E453" t="inlineStr">
        <is>
          <t>QGC</t>
        </is>
      </c>
      <c r="F453" t="inlineStr">
        <is>
          <t>OK</t>
        </is>
      </c>
      <c r="G453" s="19" t="inlineStr">
        <is>
          <t>https://gatekeeperaj.com.br/wp-content/uploads/2026/03/BRA2_merged.pdf</t>
        </is>
      </c>
      <c r="H453" t="inlineStr">
        <is>
          <t>p16 r22</t>
        </is>
      </c>
      <c r="I453" t="inlineStr">
        <is>
          <t>NO_DOCUMENT</t>
        </is>
      </c>
    </row>
    <row r="454">
      <c r="A454" t="inlineStr">
        <is>
          <t>ACG ACQUISITION XX LLC</t>
        </is>
      </c>
      <c r="B454" s="10" t="n">
        <v>3833440.3</v>
      </c>
      <c r="C454" t="inlineStr">
        <is>
          <t>GateKeeper | Recuperação Judicial em São Paulo – Ética, técnica e profissionalismo na administração judicial de processos de recuperação e falência.</t>
        </is>
      </c>
      <c r="D454" t="inlineStr">
        <is>
          <t>0255180-67.2007.8.26.0100</t>
        </is>
      </c>
      <c r="E454" t="inlineStr">
        <is>
          <t>QGC</t>
        </is>
      </c>
      <c r="F454" t="inlineStr">
        <is>
          <t>OK</t>
        </is>
      </c>
      <c r="G454" s="19" t="inlineStr">
        <is>
          <t>https://gatekeeperaj.com.br/wp-content/uploads/2026/03/BRA2_merged.pdf</t>
        </is>
      </c>
      <c r="H454" t="inlineStr">
        <is>
          <t>p16 r51</t>
        </is>
      </c>
      <c r="I454" t="inlineStr">
        <is>
          <t>NO_DOCUMENT</t>
        </is>
      </c>
    </row>
    <row r="455">
      <c r="A455" t="inlineStr">
        <is>
          <t>IAI - ISRAEL AIRCRAFT INDUSTRIES LTDA</t>
        </is>
      </c>
      <c r="B455" s="10" t="n">
        <v>3606637.44</v>
      </c>
      <c r="C455" t="inlineStr">
        <is>
          <t>GateKeeper | Recuperação Judicial em São Paulo – Ética, técnica e profissionalismo na administração judicial de processos de recuperação e falência.</t>
        </is>
      </c>
      <c r="D455" t="inlineStr">
        <is>
          <t>0255180-67.2007.8.26.0100</t>
        </is>
      </c>
      <c r="E455" t="inlineStr">
        <is>
          <t>QGC</t>
        </is>
      </c>
      <c r="F455" t="inlineStr">
        <is>
          <t>OK</t>
        </is>
      </c>
      <c r="G455" s="19" t="inlineStr">
        <is>
          <t>https://gatekeeperaj.com.br/wp-content/uploads/2026/03/BRA2_merged.pdf</t>
        </is>
      </c>
      <c r="H455" t="inlineStr">
        <is>
          <t>p48 r1</t>
        </is>
      </c>
      <c r="I455" t="inlineStr">
        <is>
          <t>NO_DOCUMENT</t>
        </is>
      </c>
    </row>
    <row r="456">
      <c r="A456" t="inlineStr">
        <is>
          <t>PETROBRAS DISTRIBUIDORA S A</t>
        </is>
      </c>
      <c r="B456" s="10" t="n">
        <v>3415892.79</v>
      </c>
      <c r="C456" t="inlineStr">
        <is>
          <t>GateKeeper | Recuperação Judicial em São Paulo – Ética, técnica e profissionalismo na administração judicial de processos de recuperação e falência.</t>
        </is>
      </c>
      <c r="D456" t="inlineStr">
        <is>
          <t>0255180-67.2007.8.26.0100</t>
        </is>
      </c>
      <c r="E456" t="inlineStr">
        <is>
          <t>QGC</t>
        </is>
      </c>
      <c r="F456" t="inlineStr">
        <is>
          <t>OK</t>
        </is>
      </c>
      <c r="G456" s="19" t="inlineStr">
        <is>
          <t>https://gatekeeperaj.com.br/wp-content/uploads/2026/03/BRA2_merged.pdf</t>
        </is>
      </c>
      <c r="H456" t="inlineStr">
        <is>
          <t>p67 r49</t>
        </is>
      </c>
      <c r="I456" t="inlineStr">
        <is>
          <t>NO_DOCUMENT</t>
        </is>
      </c>
    </row>
    <row r="457">
      <c r="A457" t="inlineStr">
        <is>
          <t>AAR LANDING GEAR SERVICES</t>
        </is>
      </c>
      <c r="B457" s="10" t="n">
        <v>3343119.19</v>
      </c>
      <c r="C457" t="inlineStr">
        <is>
          <t>GateKeeper | Recuperação Judicial em São Paulo – Ética, técnica e profissionalismo na administração judicial de processos de recuperação e falência.</t>
        </is>
      </c>
      <c r="D457" t="inlineStr">
        <is>
          <t>0255180-67.2007.8.26.0100</t>
        </is>
      </c>
      <c r="E457" t="inlineStr">
        <is>
          <t>QGC</t>
        </is>
      </c>
      <c r="F457" t="inlineStr">
        <is>
          <t>OK</t>
        </is>
      </c>
      <c r="G457" s="19" t="inlineStr">
        <is>
          <t>https://gatekeeperaj.com.br/wp-content/uploads/2026/03/BRA2_merged.pdf</t>
        </is>
      </c>
      <c r="H457" t="inlineStr">
        <is>
          <t>p16 r25</t>
        </is>
      </c>
      <c r="I457" t="inlineStr">
        <is>
          <t>NO_DOCUMENT</t>
        </is>
      </c>
    </row>
    <row r="458">
      <c r="A458" t="inlineStr">
        <is>
          <t>ALTIS PARK HOTEL - SOGAL</t>
        </is>
      </c>
      <c r="B458" s="10" t="n">
        <v>3177910.05</v>
      </c>
      <c r="C458" t="inlineStr">
        <is>
          <t>GateKeeper | Recuperação Judicial em São Paulo – Ética, técnica e profissionalismo na administração judicial de processos de recuperação e falência.</t>
        </is>
      </c>
      <c r="D458" t="inlineStr">
        <is>
          <t>0255180-67.2007.8.26.0100</t>
        </is>
      </c>
      <c r="E458" t="inlineStr">
        <is>
          <t>QGC</t>
        </is>
      </c>
      <c r="F458" t="inlineStr">
        <is>
          <t>OK</t>
        </is>
      </c>
      <c r="G458" s="19" t="inlineStr">
        <is>
          <t>https://gatekeeperaj.com.br/wp-content/uploads/2026/03/BRA2_merged.pdf</t>
        </is>
      </c>
      <c r="H458" t="inlineStr">
        <is>
          <t>p19 r4</t>
        </is>
      </c>
      <c r="I458" t="inlineStr">
        <is>
          <t>NO_DOCUMENT</t>
        </is>
      </c>
    </row>
    <row r="459">
      <c r="A459" t="inlineStr">
        <is>
          <t>UNIBANCO AIG</t>
        </is>
      </c>
      <c r="B459" s="10" t="n">
        <v>3167744.66</v>
      </c>
      <c r="C459" t="inlineStr">
        <is>
          <t>GateKeeper | Recuperação Judicial em São Paulo – Ética, técnica e profissionalismo na administração judicial de processos de recuperação e falência.</t>
        </is>
      </c>
      <c r="D459" t="inlineStr">
        <is>
          <t>0255180-67.2007.8.26.0100</t>
        </is>
      </c>
      <c r="E459" t="inlineStr">
        <is>
          <t>QGC</t>
        </is>
      </c>
      <c r="F459" t="inlineStr">
        <is>
          <t>OK</t>
        </is>
      </c>
      <c r="G459" s="19" t="inlineStr">
        <is>
          <t>https://gatekeeperaj.com.br/wp-content/uploads/2026/03/BRA2_merged.pdf</t>
        </is>
      </c>
      <c r="H459" t="inlineStr">
        <is>
          <t>p84 r59</t>
        </is>
      </c>
      <c r="I459" t="inlineStr">
        <is>
          <t>NO_DOCUMENT</t>
        </is>
      </c>
    </row>
    <row r="460">
      <c r="A460" t="inlineStr">
        <is>
          <t>BOEING COMMERCIAL AIRPLANE GROUP</t>
        </is>
      </c>
      <c r="B460" s="10" t="n">
        <v>2933957.9</v>
      </c>
      <c r="C460" t="inlineStr">
        <is>
          <t>GateKeeper | Recuperação Judicial em São Paulo – Ética, técnica e profissionalismo na administração judicial de processos de recuperação e falência.</t>
        </is>
      </c>
      <c r="D460" t="inlineStr">
        <is>
          <t>0255180-67.2007.8.26.0100</t>
        </is>
      </c>
      <c r="E460" t="inlineStr">
        <is>
          <t>QGC</t>
        </is>
      </c>
      <c r="F460" t="inlineStr">
        <is>
          <t>OK</t>
        </is>
      </c>
      <c r="G460" s="19" t="inlineStr">
        <is>
          <t>https://gatekeeperaj.com.br/wp-content/uploads/2026/03/BRA2_merged.pdf</t>
        </is>
      </c>
      <c r="H460" t="inlineStr">
        <is>
          <t>p26 r75</t>
        </is>
      </c>
      <c r="I460" t="inlineStr">
        <is>
          <t>NO_DOCUMENT</t>
        </is>
      </c>
    </row>
    <row r="461">
      <c r="A461" t="inlineStr">
        <is>
          <t>AVIOTRADE INC.</t>
        </is>
      </c>
      <c r="B461" s="10" t="n">
        <v>2933904.77</v>
      </c>
      <c r="C461" t="inlineStr">
        <is>
          <t>GateKeeper | Recuperação Judicial em São Paulo – Ética, técnica e profissionalismo na administração judicial de processos de recuperação e falência.</t>
        </is>
      </c>
      <c r="D461" t="inlineStr">
        <is>
          <t>0255180-67.2007.8.26.0100</t>
        </is>
      </c>
      <c r="E461" t="inlineStr">
        <is>
          <t>QGC</t>
        </is>
      </c>
      <c r="F461" t="inlineStr">
        <is>
          <t>OK</t>
        </is>
      </c>
      <c r="G461" s="19" t="inlineStr">
        <is>
          <t>https://gatekeeperaj.com.br/wp-content/uploads/2026/03/BRA2_merged.pdf</t>
        </is>
      </c>
      <c r="H461" t="inlineStr">
        <is>
          <t>p23 r52</t>
        </is>
      </c>
      <c r="I461" t="inlineStr">
        <is>
          <t>NO_DOCUMENT</t>
        </is>
      </c>
    </row>
    <row r="462">
      <c r="A462" t="inlineStr">
        <is>
          <t>CHERMIONT, LAURIA, FLORÊNCIO E CARVALHO ADV</t>
        </is>
      </c>
      <c r="B462" s="10" t="n">
        <v>2682360.2</v>
      </c>
      <c r="C462" t="inlineStr">
        <is>
          <t>GateKeeper | Recuperação Judicial em São Paulo – Ética, técnica e profissionalismo na administração judicial de processos de recuperação e falência.</t>
        </is>
      </c>
      <c r="D462" t="inlineStr">
        <is>
          <t>0255180-67.2007.8.26.0100</t>
        </is>
      </c>
      <c r="E462" t="inlineStr">
        <is>
          <t>QGC</t>
        </is>
      </c>
      <c r="F462" t="inlineStr">
        <is>
          <t>OK</t>
        </is>
      </c>
      <c r="G462" s="19" t="inlineStr">
        <is>
          <t>https://gatekeeperaj.com.br/wp-content/uploads/2026/03/BRA2_merged.pdf</t>
        </is>
      </c>
      <c r="H462" t="inlineStr">
        <is>
          <t>p32 r9</t>
        </is>
      </c>
      <c r="I462" t="inlineStr">
        <is>
          <t>NO_DOCUMENT</t>
        </is>
      </c>
    </row>
    <row r="463">
      <c r="A463" t="inlineStr">
        <is>
          <t>GOL TRANSOPORTES AÉREOS S.A.</t>
        </is>
      </c>
      <c r="B463" s="10" t="n">
        <v>2661440.46</v>
      </c>
      <c r="C463" t="inlineStr">
        <is>
          <t>GateKeeper | Recuperação Judicial em São Paulo – Ética, técnica e profissionalismo na administração judicial de processos de recuperação e falência.</t>
        </is>
      </c>
      <c r="D463" t="inlineStr">
        <is>
          <t>0255180-67.2007.8.26.0100</t>
        </is>
      </c>
      <c r="E463" t="inlineStr">
        <is>
          <t>QGC</t>
        </is>
      </c>
      <c r="F463" t="inlineStr">
        <is>
          <t>OK</t>
        </is>
      </c>
      <c r="G463" s="19" t="inlineStr">
        <is>
          <t>https://gatekeeperaj.com.br/wp-content/uploads/2026/03/BRA2_merged.pdf</t>
        </is>
      </c>
      <c r="H463" t="inlineStr">
        <is>
          <t>p45 r21</t>
        </is>
      </c>
      <c r="I463" t="inlineStr">
        <is>
          <t>NO_DOCUMENT</t>
        </is>
      </c>
    </row>
    <row r="464">
      <c r="A464" t="inlineStr">
        <is>
          <t>OLIVEIRA MARINI</t>
        </is>
      </c>
      <c r="B464" s="10" t="n">
        <v>2433998.48</v>
      </c>
      <c r="C464" t="inlineStr">
        <is>
          <t>GateKeeper | Recuperação Judicial em São Paulo – Ética, técnica e profissionalismo na administração judicial de processos de recuperação e falência.</t>
        </is>
      </c>
      <c r="D464" t="inlineStr">
        <is>
          <t>0255180-67.2007.8.26.0100</t>
        </is>
      </c>
      <c r="E464" t="inlineStr">
        <is>
          <t>QGC</t>
        </is>
      </c>
      <c r="F464" t="inlineStr">
        <is>
          <t>OK</t>
        </is>
      </c>
      <c r="G464" s="19" t="inlineStr">
        <is>
          <t>https://gatekeeperaj.com.br/wp-content/uploads/2026/03/BRA2_merged.pdf</t>
        </is>
      </c>
      <c r="H464" t="inlineStr">
        <is>
          <t>p63 r61</t>
        </is>
      </c>
      <c r="I464" t="inlineStr">
        <is>
          <t>NO_DOCUMENT</t>
        </is>
      </c>
    </row>
    <row r="465">
      <c r="A465" t="inlineStr">
        <is>
          <t>UNION NATIONAL FUNDO DE INVESTIMENT</t>
        </is>
      </c>
      <c r="B465" s="10" t="n">
        <v>2213454.16</v>
      </c>
      <c r="C465" t="inlineStr">
        <is>
          <t>GateKeeper | Recuperação Judicial em São Paulo – Ética, técnica e profissionalismo na administração judicial de processos de recuperação e falência.</t>
        </is>
      </c>
      <c r="D465" t="inlineStr">
        <is>
          <t>0255180-67.2007.8.26.0100</t>
        </is>
      </c>
      <c r="E465" t="inlineStr">
        <is>
          <t>QGC</t>
        </is>
      </c>
      <c r="F465" t="inlineStr">
        <is>
          <t>OK</t>
        </is>
      </c>
      <c r="G465" s="19" t="inlineStr">
        <is>
          <t>https://gatekeeperaj.com.br/wp-content/uploads/2026/03/BRA2_merged.pdf</t>
        </is>
      </c>
      <c r="H465" t="inlineStr">
        <is>
          <t>p84 r61</t>
        </is>
      </c>
      <c r="I465" t="inlineStr">
        <is>
          <t>NO_DOCUMENT</t>
        </is>
      </c>
    </row>
    <row r="466">
      <c r="A466" t="inlineStr">
        <is>
          <t>REGIS GAMBASSI</t>
        </is>
      </c>
      <c r="B466" s="10" t="n">
        <v>2104016.38</v>
      </c>
      <c r="C466" t="inlineStr">
        <is>
          <t>GateKeeper | Recuperação Judicial em São Paulo – Ética, técnica e profissionalismo na administração judicial de processos de recuperação e falência.</t>
        </is>
      </c>
      <c r="D466" t="inlineStr">
        <is>
          <t>0255180-67.2007.8.26.0100</t>
        </is>
      </c>
      <c r="E466" t="inlineStr">
        <is>
          <t>QGC</t>
        </is>
      </c>
      <c r="F466" t="inlineStr">
        <is>
          <t>OK</t>
        </is>
      </c>
      <c r="G466" s="19" t="inlineStr">
        <is>
          <t>https://gatekeeperaj.com.br/wp-content/uploads/2026/03/BRA2_merged.pdf</t>
        </is>
      </c>
      <c r="H466" t="inlineStr">
        <is>
          <t>p69 r55</t>
        </is>
      </c>
      <c r="I466" t="inlineStr">
        <is>
          <t>NO_DOCUMENT</t>
        </is>
      </c>
    </row>
    <row r="467">
      <c r="A467" t="inlineStr">
        <is>
          <t>LUFTHANSA TECHNIK AIRCRAFT COMPONENT</t>
        </is>
      </c>
      <c r="B467" s="10" t="n">
        <v>2022930.11</v>
      </c>
      <c r="C467" t="inlineStr">
        <is>
          <t>GateKeeper | Recuperação Judicial em São Paulo – Ética, técnica e profissionalismo na administração judicial de processos de recuperação e falência.</t>
        </is>
      </c>
      <c r="D467" t="inlineStr">
        <is>
          <t>0255180-67.2007.8.26.0100</t>
        </is>
      </c>
      <c r="E467" t="inlineStr">
        <is>
          <t>QGC</t>
        </is>
      </c>
      <c r="F467" t="inlineStr">
        <is>
          <t>OK</t>
        </is>
      </c>
      <c r="G467" s="19" t="inlineStr">
        <is>
          <t>https://gatekeeperaj.com.br/wp-content/uploads/2026/03/BRA2_merged.pdf</t>
        </is>
      </c>
      <c r="H467" t="inlineStr">
        <is>
          <t>p54 r34</t>
        </is>
      </c>
      <c r="I467" t="inlineStr">
        <is>
          <t>NO_DOCUMENT</t>
        </is>
      </c>
    </row>
    <row r="468">
      <c r="A468" t="inlineStr">
        <is>
          <t>WENCOR WEST INC.</t>
        </is>
      </c>
      <c r="B468" s="10" t="n">
        <v>1975804.09</v>
      </c>
      <c r="C468" t="inlineStr">
        <is>
          <t>GateKeeper | Recuperação Judicial em São Paulo – Ética, técnica e profissionalismo na administração judicial de processos de recuperação e falência.</t>
        </is>
      </c>
      <c r="D468" t="inlineStr">
        <is>
          <t>0255180-67.2007.8.26.0100</t>
        </is>
      </c>
      <c r="E468" t="inlineStr">
        <is>
          <t>QGC</t>
        </is>
      </c>
      <c r="F468" t="inlineStr">
        <is>
          <t>OK</t>
        </is>
      </c>
      <c r="G468" s="19" t="inlineStr">
        <is>
          <t>https://gatekeeperaj.com.br/wp-content/uploads/2026/03/BRA2_merged.pdf</t>
        </is>
      </c>
      <c r="H468" t="inlineStr">
        <is>
          <t>p86 r12</t>
        </is>
      </c>
      <c r="I468" t="inlineStr">
        <is>
          <t>NO_DOCUMENT</t>
        </is>
      </c>
    </row>
    <row r="469">
      <c r="A469" t="inlineStr">
        <is>
          <t>IATA - INTERNATIONAL AIR TRANSPORT ASSOCIATION</t>
        </is>
      </c>
      <c r="B469" s="10" t="n">
        <v>1731350.08</v>
      </c>
      <c r="C469" t="inlineStr">
        <is>
          <t>GateKeeper | Recuperação Judicial em São Paulo – Ética, técnica e profissionalismo na administração judicial de processos de recuperação e falência.</t>
        </is>
      </c>
      <c r="D469" t="inlineStr">
        <is>
          <t>0255180-67.2007.8.26.0100</t>
        </is>
      </c>
      <c r="E469" t="inlineStr">
        <is>
          <t>QGC</t>
        </is>
      </c>
      <c r="F469" t="inlineStr">
        <is>
          <t>OK</t>
        </is>
      </c>
      <c r="G469" s="19" t="inlineStr">
        <is>
          <t>https://gatekeeperaj.com.br/wp-content/uploads/2026/03/BRA2_merged.pdf</t>
        </is>
      </c>
      <c r="H469" t="inlineStr">
        <is>
          <t>p48 r4</t>
        </is>
      </c>
      <c r="I469" t="inlineStr">
        <is>
          <t>NO_DOCUMENT</t>
        </is>
      </c>
    </row>
    <row r="470">
      <c r="A470" t="inlineStr">
        <is>
          <t>UNITED AIRLINES</t>
        </is>
      </c>
      <c r="B470" s="10" t="n">
        <v>1698003.81</v>
      </c>
      <c r="C470" t="inlineStr">
        <is>
          <t>GateKeeper | Recuperação Judicial em São Paulo – Ética, técnica e profissionalismo na administração judicial de processos de recuperação e falência.</t>
        </is>
      </c>
      <c r="D470" t="inlineStr">
        <is>
          <t>0255180-67.2007.8.26.0100</t>
        </is>
      </c>
      <c r="E470" t="inlineStr">
        <is>
          <t>QGC</t>
        </is>
      </c>
      <c r="F470" t="inlineStr">
        <is>
          <t>OK</t>
        </is>
      </c>
      <c r="G470" s="19" t="inlineStr">
        <is>
          <t>https://gatekeeperaj.com.br/wp-content/uploads/2026/03/BRA2_merged.pdf</t>
        </is>
      </c>
      <c r="H470" t="inlineStr">
        <is>
          <t>p84 r65</t>
        </is>
      </c>
      <c r="I470" t="inlineStr">
        <is>
          <t>NO_DOCUMENT</t>
        </is>
      </c>
    </row>
    <row r="471">
      <c r="A471" t="inlineStr">
        <is>
          <t>CATERING DE PORTUGAL S.A.</t>
        </is>
      </c>
      <c r="B471" s="10" t="n">
        <v>1577432.27</v>
      </c>
      <c r="C471" t="inlineStr">
        <is>
          <t>GateKeeper | Recuperação Judicial em São Paulo – Ética, técnica e profissionalismo na administração judicial de processos de recuperação e falência.</t>
        </is>
      </c>
      <c r="D471" t="inlineStr">
        <is>
          <t>0255180-67.2007.8.26.0100</t>
        </is>
      </c>
      <c r="E471" t="inlineStr">
        <is>
          <t>QGC</t>
        </is>
      </c>
      <c r="F471" t="inlineStr">
        <is>
          <t>OK</t>
        </is>
      </c>
      <c r="G471" s="19" t="inlineStr">
        <is>
          <t>https://gatekeeperaj.com.br/wp-content/uploads/2026/03/BRA2_merged.pdf</t>
        </is>
      </c>
      <c r="H471" t="inlineStr">
        <is>
          <t>p31 r28</t>
        </is>
      </c>
      <c r="I471" t="inlineStr">
        <is>
          <t>NO_DOCUMENT</t>
        </is>
      </c>
    </row>
    <row r="472">
      <c r="A472" t="inlineStr">
        <is>
          <t>ASECNA</t>
        </is>
      </c>
      <c r="B472" s="10" t="n">
        <v>1519954.76</v>
      </c>
      <c r="C472" t="inlineStr">
        <is>
          <t>GateKeeper | Recuperação Judicial em São Paulo – Ética, técnica e profissionalismo na administração judicial de processos de recuperação e falência.</t>
        </is>
      </c>
      <c r="D472" t="inlineStr">
        <is>
          <t>0255180-67.2007.8.26.0100</t>
        </is>
      </c>
      <c r="E472" t="inlineStr">
        <is>
          <t>QGC</t>
        </is>
      </c>
      <c r="F472" t="inlineStr">
        <is>
          <t>OK</t>
        </is>
      </c>
      <c r="G472" s="19" t="inlineStr">
        <is>
          <t>https://gatekeeperaj.com.br/wp-content/uploads/2026/03/BRA2_merged.pdf</t>
        </is>
      </c>
      <c r="H472" t="inlineStr">
        <is>
          <t>p23 r12</t>
        </is>
      </c>
      <c r="I472" t="inlineStr">
        <is>
          <t>NO_DOCUMENT</t>
        </is>
      </c>
    </row>
    <row r="473">
      <c r="A473" t="inlineStr">
        <is>
          <t>PRICEWATERHOUSECOOPERS OUTSOURCING</t>
        </is>
      </c>
      <c r="B473" s="10" t="n">
        <v>1496500</v>
      </c>
      <c r="C473" t="inlineStr">
        <is>
          <t>GateKeeper | Recuperação Judicial em São Paulo – Ética, técnica e profissionalismo na administração judicial de processos de recuperação e falência.</t>
        </is>
      </c>
      <c r="D473" t="inlineStr">
        <is>
          <t>0255180-67.2007.8.26.0100</t>
        </is>
      </c>
      <c r="E473" t="inlineStr">
        <is>
          <t>QGC</t>
        </is>
      </c>
      <c r="F473" t="inlineStr">
        <is>
          <t>OK</t>
        </is>
      </c>
      <c r="G473" s="19" t="inlineStr">
        <is>
          <t>https://gatekeeperaj.com.br/wp-content/uploads/2026/03/BRA2_merged.pdf</t>
        </is>
      </c>
      <c r="H473" t="inlineStr">
        <is>
          <t>p68 r55</t>
        </is>
      </c>
      <c r="I473" t="inlineStr">
        <is>
          <t>NO_DOCUMENT</t>
        </is>
      </c>
    </row>
    <row r="474">
      <c r="A474" t="inlineStr">
        <is>
          <t>SATA - SERVIÇOS AUXILIARES DE TRANS</t>
        </is>
      </c>
      <c r="B474" s="10" t="n">
        <v>1487223.77</v>
      </c>
      <c r="C474" t="inlineStr">
        <is>
          <t>GateKeeper | Recuperação Judicial em São Paulo – Ética, técnica e profissionalismo na administração judicial de processos de recuperação e falência.</t>
        </is>
      </c>
      <c r="D474" t="inlineStr">
        <is>
          <t>0255180-67.2007.8.26.0100</t>
        </is>
      </c>
      <c r="E474" t="inlineStr">
        <is>
          <t>QGC</t>
        </is>
      </c>
      <c r="F474" t="inlineStr">
        <is>
          <t>OK</t>
        </is>
      </c>
      <c r="G474" s="19" t="inlineStr">
        <is>
          <t>https://gatekeeperaj.com.br/wp-content/uploads/2026/03/BRA2_merged.pdf</t>
        </is>
      </c>
      <c r="H474" t="inlineStr">
        <is>
          <t>p75 r21</t>
        </is>
      </c>
      <c r="I474" t="inlineStr">
        <is>
          <t>NO_DOCUMENT</t>
        </is>
      </c>
    </row>
    <row r="475">
      <c r="A475" t="inlineStr">
        <is>
          <t>AAR PARTS TRADING, INC</t>
        </is>
      </c>
      <c r="B475" s="10" t="n">
        <v>1440786.41</v>
      </c>
      <c r="C475" t="inlineStr">
        <is>
          <t>GateKeeper | Recuperação Judicial em São Paulo – Ética, técnica e profissionalismo na administração judicial de processos de recuperação e falência.</t>
        </is>
      </c>
      <c r="D475" t="inlineStr">
        <is>
          <t>0255180-67.2007.8.26.0100</t>
        </is>
      </c>
      <c r="E475" t="inlineStr">
        <is>
          <t>QGC</t>
        </is>
      </c>
      <c r="F475" t="inlineStr">
        <is>
          <t>OK</t>
        </is>
      </c>
      <c r="G475" s="19" t="inlineStr">
        <is>
          <t>https://gatekeeperaj.com.br/wp-content/uploads/2026/03/BRA2_merged.pdf</t>
        </is>
      </c>
      <c r="H475" t="inlineStr">
        <is>
          <t>p16 r26</t>
        </is>
      </c>
      <c r="I475" t="inlineStr">
        <is>
          <t>NO_DOCUMENT</t>
        </is>
      </c>
    </row>
    <row r="476">
      <c r="A476" t="inlineStr">
        <is>
          <t>HEICO COMPONENT REPAIR GROUP</t>
        </is>
      </c>
      <c r="B476" s="10" t="n">
        <v>1351192.39</v>
      </c>
      <c r="C476" t="inlineStr">
        <is>
          <t>GateKeeper | Recuperação Judicial em São Paulo – Ética, técnica e profissionalismo na administração judicial de processos de recuperação e falência.</t>
        </is>
      </c>
      <c r="D476" t="inlineStr">
        <is>
          <t>0255180-67.2007.8.26.0100</t>
        </is>
      </c>
      <c r="E476" t="inlineStr">
        <is>
          <t>QGC</t>
        </is>
      </c>
      <c r="F476" t="inlineStr">
        <is>
          <t>OK</t>
        </is>
      </c>
      <c r="G476" s="19" t="inlineStr">
        <is>
          <t>https://gatekeeperaj.com.br/wp-content/uploads/2026/03/BRA2_merged.pdf</t>
        </is>
      </c>
      <c r="H476" t="inlineStr">
        <is>
          <t>p47 r22</t>
        </is>
      </c>
      <c r="I476" t="inlineStr">
        <is>
          <t>NO_DOCUMENT</t>
        </is>
      </c>
    </row>
    <row r="477">
      <c r="A477" t="inlineStr">
        <is>
          <t>ALVAREZ&amp;MARSAL CONSULTORIA EMP DO</t>
        </is>
      </c>
      <c r="B477" s="10" t="n">
        <v>1291019.39</v>
      </c>
      <c r="C477" t="inlineStr">
        <is>
          <t>GateKeeper | Recuperação Judicial em São Paulo – Ética, técnica e profissionalismo na administração judicial de processos de recuperação e falência.</t>
        </is>
      </c>
      <c r="D477" t="inlineStr">
        <is>
          <t>0255180-67.2007.8.26.0100</t>
        </is>
      </c>
      <c r="E477" t="inlineStr">
        <is>
          <t>QGC</t>
        </is>
      </c>
      <c r="F477" t="inlineStr">
        <is>
          <t>OK</t>
        </is>
      </c>
      <c r="G477" s="19" t="inlineStr">
        <is>
          <t>https://gatekeeperaj.com.br/wp-content/uploads/2026/03/BRA2_merged.pdf</t>
        </is>
      </c>
      <c r="H477" t="inlineStr">
        <is>
          <t>p19 r11</t>
        </is>
      </c>
      <c r="I477" t="inlineStr">
        <is>
          <t>NO_DOCUMENT</t>
        </is>
      </c>
    </row>
    <row r="478">
      <c r="A478" t="inlineStr">
        <is>
          <t>BR FOMENTO MERCANTIL E PARTICIPAÇÕES LTDA.</t>
        </is>
      </c>
      <c r="B478" s="10" t="n">
        <v>1287626.76</v>
      </c>
      <c r="C478" t="inlineStr">
        <is>
          <t>GateKeeper | Recuperação Judicial em São Paulo – Ética, técnica e profissionalismo na administração judicial de processos de recuperação e falência.</t>
        </is>
      </c>
      <c r="D478" t="inlineStr">
        <is>
          <t>0255180-67.2007.8.26.0100</t>
        </is>
      </c>
      <c r="E478" t="inlineStr">
        <is>
          <t>QGC</t>
        </is>
      </c>
      <c r="F478" t="inlineStr">
        <is>
          <t>OK</t>
        </is>
      </c>
      <c r="G478" s="19" t="inlineStr">
        <is>
          <t>https://gatekeeperaj.com.br/wp-content/uploads/2026/03/BRA2_merged.pdf</t>
        </is>
      </c>
      <c r="H478" t="inlineStr">
        <is>
          <t>p27 r37</t>
        </is>
      </c>
      <c r="I478" t="inlineStr">
        <is>
          <t>NO_DOCUMENT</t>
        </is>
      </c>
    </row>
    <row r="479">
      <c r="A479" t="inlineStr">
        <is>
          <t>MATTOS FILHO, VEIGA FILHO, MARREY JR. E QUIROGA ADV</t>
        </is>
      </c>
      <c r="B479" s="10" t="n">
        <v>1266895.68</v>
      </c>
      <c r="C479" t="inlineStr">
        <is>
          <t>GateKeeper | Recuperação Judicial em São Paulo – Ética, técnica e profissionalismo na administração judicial de processos de recuperação e falência.</t>
        </is>
      </c>
      <c r="D479" t="inlineStr">
        <is>
          <t>0255180-67.2007.8.26.0100</t>
        </is>
      </c>
      <c r="E479" t="inlineStr">
        <is>
          <t>QGC</t>
        </is>
      </c>
      <c r="F479" t="inlineStr">
        <is>
          <t>OK</t>
        </is>
      </c>
      <c r="G479" s="19" t="inlineStr">
        <is>
          <t>https://gatekeeperaj.com.br/wp-content/uploads/2026/03/BRA2_merged.pdf</t>
        </is>
      </c>
      <c r="H479" t="inlineStr">
        <is>
          <t>p58 r21</t>
        </is>
      </c>
      <c r="I479" t="inlineStr">
        <is>
          <t>NO_DOCUMENT</t>
        </is>
      </c>
    </row>
    <row r="480">
      <c r="A480" t="inlineStr">
        <is>
          <t>AIR-PRO LLC</t>
        </is>
      </c>
      <c r="B480" s="10" t="n">
        <v>1239798.93</v>
      </c>
      <c r="C480" t="inlineStr">
        <is>
          <t>GateKeeper | Recuperação Judicial em São Paulo – Ética, técnica e profissionalismo na administração judicial de processos de recuperação e falência.</t>
        </is>
      </c>
      <c r="D480" t="inlineStr">
        <is>
          <t>0255180-67.2007.8.26.0100</t>
        </is>
      </c>
      <c r="E480" t="inlineStr">
        <is>
          <t>QGC</t>
        </is>
      </c>
      <c r="F480" t="inlineStr">
        <is>
          <t>OK</t>
        </is>
      </c>
      <c r="G480" s="19" t="inlineStr">
        <is>
          <t>https://gatekeeperaj.com.br/wp-content/uploads/2026/03/BRA2_merged.pdf</t>
        </is>
      </c>
      <c r="H480" t="inlineStr">
        <is>
          <t>p17 r46</t>
        </is>
      </c>
      <c r="I480" t="inlineStr">
        <is>
          <t>NO_DOCUMENT</t>
        </is>
      </c>
    </row>
    <row r="481">
      <c r="A481" t="inlineStr">
        <is>
          <t>ACGFS, INC.</t>
        </is>
      </c>
      <c r="B481" s="10" t="n">
        <v>1154004.48</v>
      </c>
      <c r="C481" t="inlineStr">
        <is>
          <t>GateKeeper | Recuperação Judicial em São Paulo – Ética, técnica e profissionalismo na administração judicial de processos de recuperação e falência.</t>
        </is>
      </c>
      <c r="D481" t="inlineStr">
        <is>
          <t>0255180-67.2007.8.26.0100</t>
        </is>
      </c>
      <c r="E481" t="inlineStr">
        <is>
          <t>QGC</t>
        </is>
      </c>
      <c r="F481" t="inlineStr">
        <is>
          <t>OK</t>
        </is>
      </c>
      <c r="G481" s="19" t="inlineStr">
        <is>
          <t>https://gatekeeperaj.com.br/wp-content/uploads/2026/03/BRA2_merged.pdf</t>
        </is>
      </c>
      <c r="H481" t="inlineStr">
        <is>
          <t>p16 r52</t>
        </is>
      </c>
      <c r="I481" t="inlineStr">
        <is>
          <t>NO_DOCUMENT</t>
        </is>
      </c>
    </row>
    <row r="482">
      <c r="A482" t="inlineStr">
        <is>
          <t>VISION AERO</t>
        </is>
      </c>
      <c r="B482" s="10" t="n">
        <v>1121786.8</v>
      </c>
      <c r="C482" t="inlineStr">
        <is>
          <t>GateKeeper | Recuperação Judicial em São Paulo – Ética, técnica e profissionalismo na administração judicial de processos de recuperação e falência.</t>
        </is>
      </c>
      <c r="D482" t="inlineStr">
        <is>
          <t>0255180-67.2007.8.26.0100</t>
        </is>
      </c>
      <c r="E482" t="inlineStr">
        <is>
          <t>QGC</t>
        </is>
      </c>
      <c r="F482" t="inlineStr">
        <is>
          <t>OK</t>
        </is>
      </c>
      <c r="G482" s="19" t="inlineStr">
        <is>
          <t>https://gatekeeperaj.com.br/wp-content/uploads/2026/03/BRA2_merged.pdf</t>
        </is>
      </c>
      <c r="H482" t="inlineStr">
        <is>
          <t>p85 r71</t>
        </is>
      </c>
      <c r="I482" t="inlineStr">
        <is>
          <t>NO_DOCUMENT</t>
        </is>
      </c>
    </row>
    <row r="483">
      <c r="A483" t="inlineStr">
        <is>
          <t>JORGE LUIZ REIS GOMES</t>
        </is>
      </c>
      <c r="B483" s="10" t="n">
        <v>1117556.6</v>
      </c>
      <c r="C483" t="inlineStr">
        <is>
          <t>GateKeeper | Recuperação Judicial em São Paulo – Ética, técnica e profissionalismo na administração judicial de processos de recuperação e falência.</t>
        </is>
      </c>
      <c r="D483" t="inlineStr">
        <is>
          <t>0255180-67.2007.8.26.0100</t>
        </is>
      </c>
      <c r="E483" t="inlineStr">
        <is>
          <t>QGC</t>
        </is>
      </c>
      <c r="F483" t="inlineStr">
        <is>
          <t>OK</t>
        </is>
      </c>
      <c r="G483" s="19" t="inlineStr">
        <is>
          <t>https://gatekeeperaj.com.br/wp-content/uploads/2026/03/BRA2_merged.pdf</t>
        </is>
      </c>
      <c r="H483" t="inlineStr">
        <is>
          <t>p49 r24</t>
        </is>
      </c>
      <c r="I483" t="inlineStr">
        <is>
          <t>NO_DOCUMENT</t>
        </is>
      </c>
    </row>
    <row r="484">
      <c r="A484" t="inlineStr">
        <is>
          <t>CSD</t>
        </is>
      </c>
      <c r="B484" s="10" t="n">
        <v>1076579.04</v>
      </c>
      <c r="C484" t="inlineStr">
        <is>
          <t>GateKeeper | Recuperação Judicial em São Paulo – Ética, técnica e profissionalismo na administração judicial de processos de recuperação e falência.</t>
        </is>
      </c>
      <c r="D484" t="inlineStr">
        <is>
          <t>0255180-67.2007.8.26.0100</t>
        </is>
      </c>
      <c r="E484" t="inlineStr">
        <is>
          <t>QGC</t>
        </is>
      </c>
      <c r="F484" t="inlineStr">
        <is>
          <t>OK</t>
        </is>
      </c>
      <c r="G484" s="19" t="inlineStr">
        <is>
          <t>https://gatekeeperaj.com.br/wp-content/uploads/2026/03/BRA2_merged.pdf</t>
        </is>
      </c>
      <c r="H484" t="inlineStr">
        <is>
          <t>p35 r60</t>
        </is>
      </c>
      <c r="I484" t="inlineStr">
        <is>
          <t>NO_DOCUMENT</t>
        </is>
      </c>
    </row>
    <row r="485">
      <c r="A485" t="inlineStr">
        <is>
          <t>BPN BRASIL BANCO MÚLTIPLO S/A</t>
        </is>
      </c>
      <c r="B485" s="10" t="n">
        <v>1032271.97</v>
      </c>
      <c r="C485" t="inlineStr">
        <is>
          <t>GateKeeper | Recuperação Judicial em São Paulo – Ética, técnica e profissionalismo na administração judicial de processos de recuperação e falência.</t>
        </is>
      </c>
      <c r="D485" t="inlineStr">
        <is>
          <t>0255180-67.2007.8.26.0100</t>
        </is>
      </c>
      <c r="E485" t="inlineStr">
        <is>
          <t>QGC</t>
        </is>
      </c>
      <c r="F485" t="inlineStr">
        <is>
          <t>OK</t>
        </is>
      </c>
      <c r="G485" s="19" t="inlineStr">
        <is>
          <t>https://gatekeeperaj.com.br/wp-content/uploads/2026/03/BRA2_merged.pdf</t>
        </is>
      </c>
      <c r="H485" t="inlineStr">
        <is>
          <t>p27 r36</t>
        </is>
      </c>
      <c r="I485" t="inlineStr">
        <is>
          <t>NO_DOCUMENT</t>
        </is>
      </c>
    </row>
    <row r="486">
      <c r="A486" t="inlineStr">
        <is>
          <t>RENE PICOLO</t>
        </is>
      </c>
      <c r="B486" s="10" t="n">
        <v>1024785.87</v>
      </c>
      <c r="C486" t="inlineStr">
        <is>
          <t>GateKeeper | Recuperação Judicial em São Paulo – Ética, técnica e profissionalismo na administração judicial de processos de recuperação e falência.</t>
        </is>
      </c>
      <c r="D486" t="inlineStr">
        <is>
          <t>0255180-67.2007.8.26.0100</t>
        </is>
      </c>
      <c r="E486" t="inlineStr">
        <is>
          <t>QGC</t>
        </is>
      </c>
      <c r="F486" t="inlineStr">
        <is>
          <t>OK</t>
        </is>
      </c>
      <c r="G486" s="19" t="inlineStr">
        <is>
          <t>https://gatekeeperaj.com.br/wp-content/uploads/2026/03/BRA2_merged.pdf</t>
        </is>
      </c>
      <c r="H486" t="inlineStr">
        <is>
          <t>p70 r8</t>
        </is>
      </c>
      <c r="I486" t="inlineStr">
        <is>
          <t>NO_DOCUMENT</t>
        </is>
      </c>
    </row>
    <row r="487">
      <c r="A487" t="inlineStr">
        <is>
          <t>PORTWAY</t>
        </is>
      </c>
      <c r="B487" s="10" t="n">
        <v>980928.75</v>
      </c>
      <c r="C487" t="inlineStr">
        <is>
          <t>GateKeeper | Recuperação Judicial em São Paulo – Ética, técnica e profissionalismo na administração judicial de processos de recuperação e falência.</t>
        </is>
      </c>
      <c r="D487" t="inlineStr">
        <is>
          <t>0255180-67.2007.8.26.0100</t>
        </is>
      </c>
      <c r="E487" t="inlineStr">
        <is>
          <t>QGC</t>
        </is>
      </c>
      <c r="F487" t="inlineStr">
        <is>
          <t>OK</t>
        </is>
      </c>
      <c r="G487" s="19" t="inlineStr">
        <is>
          <t>https://gatekeeperaj.com.br/wp-content/uploads/2026/03/BRA2_merged.pdf</t>
        </is>
      </c>
      <c r="H487" t="inlineStr">
        <is>
          <t>p68 r39</t>
        </is>
      </c>
      <c r="I487" t="inlineStr">
        <is>
          <t>NO_DOCUMENT</t>
        </is>
      </c>
    </row>
    <row r="488">
      <c r="A488" t="inlineStr">
        <is>
          <t>MANUELA SILVA</t>
        </is>
      </c>
      <c r="B488" s="10" t="n">
        <v>968287.75</v>
      </c>
      <c r="C488" t="inlineStr">
        <is>
          <t>GateKeeper | Recuperação Judicial em São Paulo – Ética, técnica e profissionalismo na administração judicial de processos de recuperação e falência.</t>
        </is>
      </c>
      <c r="D488" t="inlineStr">
        <is>
          <t>0255180-67.2007.8.26.0100</t>
        </is>
      </c>
      <c r="E488" t="inlineStr">
        <is>
          <t>QGC</t>
        </is>
      </c>
      <c r="F488" t="inlineStr">
        <is>
          <t>OK</t>
        </is>
      </c>
      <c r="G488" s="19" t="inlineStr">
        <is>
          <t>https://gatekeeperaj.com.br/wp-content/uploads/2026/03/BRA2_merged.pdf</t>
        </is>
      </c>
      <c r="H488" t="inlineStr">
        <is>
          <t>p55 r58</t>
        </is>
      </c>
      <c r="I488" t="inlineStr">
        <is>
          <t>NO_DOCUMENT</t>
        </is>
      </c>
    </row>
    <row r="489">
      <c r="A489" t="inlineStr">
        <is>
          <t>REVISA SERVIÇOS AERONAUTICOS LTDA</t>
        </is>
      </c>
      <c r="B489" s="10" t="n">
        <v>944127.9300000001</v>
      </c>
      <c r="C489" t="inlineStr">
        <is>
          <t>GateKeeper | Recuperação Judicial em São Paulo – Ética, técnica e profissionalismo na administração judicial de processos de recuperação e falência.</t>
        </is>
      </c>
      <c r="D489" t="inlineStr">
        <is>
          <t>0255180-67.2007.8.26.0100</t>
        </is>
      </c>
      <c r="E489" t="inlineStr">
        <is>
          <t>QGC</t>
        </is>
      </c>
      <c r="F489" t="inlineStr">
        <is>
          <t>OK</t>
        </is>
      </c>
      <c r="G489" s="19" t="inlineStr">
        <is>
          <t>https://gatekeeperaj.com.br/wp-content/uploads/2026/03/BRA2_merged.pdf</t>
        </is>
      </c>
      <c r="H489" t="inlineStr">
        <is>
          <t>p70 r16</t>
        </is>
      </c>
      <c r="I489" t="inlineStr">
        <is>
          <t>NO_DOCUMENT</t>
        </is>
      </c>
    </row>
    <row r="490">
      <c r="A490" t="inlineStr">
        <is>
          <t>DOMINA</t>
        </is>
      </c>
      <c r="B490" s="10" t="n">
        <v>920508.63</v>
      </c>
      <c r="C490" t="inlineStr">
        <is>
          <t>GateKeeper | Recuperação Judicial em São Paulo – Ética, técnica e profissionalismo na administração judicial de processos de recuperação e falência.</t>
        </is>
      </c>
      <c r="D490" t="inlineStr">
        <is>
          <t>0255180-67.2007.8.26.0100</t>
        </is>
      </c>
      <c r="E490" t="inlineStr">
        <is>
          <t>QGC</t>
        </is>
      </c>
      <c r="F490" t="inlineStr">
        <is>
          <t>OK</t>
        </is>
      </c>
      <c r="G490" s="19" t="inlineStr">
        <is>
          <t>https://gatekeeperaj.com.br/wp-content/uploads/2026/03/BRA2_merged.pdf</t>
        </is>
      </c>
      <c r="H490" t="inlineStr">
        <is>
          <t>p37 r70</t>
        </is>
      </c>
      <c r="I490" t="inlineStr">
        <is>
          <t>NO_DOCUMENT</t>
        </is>
      </c>
    </row>
    <row r="491">
      <c r="A491" t="inlineStr">
        <is>
          <t>ROYAL AVIATION LLC</t>
        </is>
      </c>
      <c r="B491" s="10" t="n">
        <v>887642.3</v>
      </c>
      <c r="C491" t="inlineStr">
        <is>
          <t>GateKeeper | Recuperação Judicial em São Paulo – Ética, técnica e profissionalismo na administração judicial de processos de recuperação e falência.</t>
        </is>
      </c>
      <c r="D491" t="inlineStr">
        <is>
          <t>0255180-67.2007.8.26.0100</t>
        </is>
      </c>
      <c r="E491" t="inlineStr">
        <is>
          <t>QGC</t>
        </is>
      </c>
      <c r="F491" t="inlineStr">
        <is>
          <t>OK</t>
        </is>
      </c>
      <c r="G491" s="19" t="inlineStr">
        <is>
          <t>https://gatekeeperaj.com.br/wp-content/uploads/2026/03/BRA2_merged.pdf</t>
        </is>
      </c>
      <c r="H491" t="inlineStr">
        <is>
          <t>p72 r3</t>
        </is>
      </c>
      <c r="I491" t="inlineStr">
        <is>
          <t>NO_DOCUMENT</t>
        </is>
      </c>
    </row>
    <row r="492">
      <c r="A492" t="inlineStr">
        <is>
          <t>AGF SAUDE S.A.</t>
        </is>
      </c>
      <c r="B492" s="10" t="n">
        <v>822288.83</v>
      </c>
      <c r="C492" t="inlineStr">
        <is>
          <t>GateKeeper | Recuperação Judicial em São Paulo – Ética, técnica e profissionalismo na administração judicial de processos de recuperação e falência.</t>
        </is>
      </c>
      <c r="D492" t="inlineStr">
        <is>
          <t>0255180-67.2007.8.26.0100</t>
        </is>
      </c>
      <c r="E492" t="inlineStr">
        <is>
          <t>QGC</t>
        </is>
      </c>
      <c r="F492" t="inlineStr">
        <is>
          <t>OK</t>
        </is>
      </c>
      <c r="G492" s="19" t="inlineStr">
        <is>
          <t>https://gatekeeperaj.com.br/wp-content/uploads/2026/03/BRA2_merged.pdf</t>
        </is>
      </c>
      <c r="H492" t="inlineStr">
        <is>
          <t>p17 r22</t>
        </is>
      </c>
      <c r="I492" t="inlineStr">
        <is>
          <t>NO_DOCUMENT</t>
        </is>
      </c>
    </row>
    <row r="493">
      <c r="A493" t="inlineStr">
        <is>
          <t>LUZAIR</t>
        </is>
      </c>
      <c r="B493" s="10" t="n">
        <v>808620.98</v>
      </c>
      <c r="C493" t="inlineStr">
        <is>
          <t>GateKeeper | Recuperação Judicial em São Paulo – Ética, técnica e profissionalismo na administração judicial de processos de recuperação e falência.</t>
        </is>
      </c>
      <c r="D493" t="inlineStr">
        <is>
          <t>0255180-67.2007.8.26.0100</t>
        </is>
      </c>
      <c r="E493" t="inlineStr">
        <is>
          <t>QGC</t>
        </is>
      </c>
      <c r="F493" t="inlineStr">
        <is>
          <t>OK</t>
        </is>
      </c>
      <c r="G493" s="19" t="inlineStr">
        <is>
          <t>https://gatekeeperaj.com.br/wp-content/uploads/2026/03/BRA2_merged.pdf</t>
        </is>
      </c>
      <c r="H493" t="inlineStr">
        <is>
          <t>p54 r57</t>
        </is>
      </c>
      <c r="I493" t="inlineStr">
        <is>
          <t>NO_DOCUMENT</t>
        </is>
      </c>
    </row>
    <row r="494">
      <c r="A494" t="inlineStr">
        <is>
          <t>MOACIR CAIADO FRANCO</t>
        </is>
      </c>
      <c r="B494" s="10" t="n">
        <v>777828.74</v>
      </c>
      <c r="C494" t="inlineStr">
        <is>
          <t>GateKeeper | Recuperação Judicial em São Paulo – Ética, técnica e profissionalismo na administração judicial de processos de recuperação e falência.</t>
        </is>
      </c>
      <c r="D494" t="inlineStr">
        <is>
          <t>0255180-67.2007.8.26.0100</t>
        </is>
      </c>
      <c r="E494" t="inlineStr">
        <is>
          <t>QGC</t>
        </is>
      </c>
      <c r="F494" t="inlineStr">
        <is>
          <t>OK</t>
        </is>
      </c>
      <c r="G494" s="19" t="inlineStr">
        <is>
          <t>https://gatekeeperaj.com.br/wp-content/uploads/2026/03/BRA2_merged.pdf</t>
        </is>
      </c>
      <c r="H494" t="inlineStr">
        <is>
          <t>p60 r12</t>
        </is>
      </c>
      <c r="I494" t="inlineStr">
        <is>
          <t>NO_DOCUMENT</t>
        </is>
      </c>
    </row>
    <row r="495">
      <c r="A495" t="inlineStr">
        <is>
          <t>P&amp;W</t>
        </is>
      </c>
      <c r="B495" s="10" t="n">
        <v>743691.09</v>
      </c>
      <c r="C495" t="inlineStr">
        <is>
          <t>GateKeeper | Recuperação Judicial em São Paulo – Ética, técnica e profissionalismo na administração judicial de processos de recuperação e falência.</t>
        </is>
      </c>
      <c r="D495" t="inlineStr">
        <is>
          <t>0255180-67.2007.8.26.0100</t>
        </is>
      </c>
      <c r="E495" t="inlineStr">
        <is>
          <t>QGC</t>
        </is>
      </c>
      <c r="F495" t="inlineStr">
        <is>
          <t>OK</t>
        </is>
      </c>
      <c r="G495" s="19" t="inlineStr">
        <is>
          <t>https://gatekeeperaj.com.br/wp-content/uploads/2026/03/BRA2_merged.pdf</t>
        </is>
      </c>
      <c r="H495" t="inlineStr">
        <is>
          <t>p65 r51</t>
        </is>
      </c>
      <c r="I495" t="inlineStr">
        <is>
          <t>NO_DOCUMENT</t>
        </is>
      </c>
    </row>
    <row r="496">
      <c r="A496" t="inlineStr">
        <is>
          <t>DANIEL LEZCANO GIMENEZ (IGR TURISMO)</t>
        </is>
      </c>
      <c r="B496" s="10" t="n">
        <v>734959.27</v>
      </c>
      <c r="C496" t="inlineStr">
        <is>
          <t>GateKeeper | Recuperação Judicial em São Paulo – Ética, técnica e profissionalismo na administração judicial de processos de recuperação e falência.</t>
        </is>
      </c>
      <c r="D496" t="inlineStr">
        <is>
          <t>0255180-67.2007.8.26.0100</t>
        </is>
      </c>
      <c r="E496" t="inlineStr">
        <is>
          <t>QGC</t>
        </is>
      </c>
      <c r="F496" t="inlineStr">
        <is>
          <t>OK</t>
        </is>
      </c>
      <c r="G496" s="19" t="inlineStr">
        <is>
          <t>https://gatekeeperaj.com.br/wp-content/uploads/2026/03/BRA2_merged.pdf</t>
        </is>
      </c>
      <c r="H496" t="inlineStr">
        <is>
          <t>p36 r27</t>
        </is>
      </c>
      <c r="I496" t="inlineStr">
        <is>
          <t>NO_DOCUMENT</t>
        </is>
      </c>
    </row>
    <row r="497">
      <c r="A497" t="inlineStr">
        <is>
          <t>COMPANHIA BRASILEIRA DE SOLUCOES E</t>
        </is>
      </c>
      <c r="B497" s="10" t="n">
        <v>714765.39</v>
      </c>
      <c r="C497" t="inlineStr">
        <is>
          <t>GateKeeper | Recuperação Judicial em São Paulo – Ética, técnica e profissionalismo na administração judicial de processos de recuperação e falência.</t>
        </is>
      </c>
      <c r="D497" t="inlineStr">
        <is>
          <t>0255180-67.2007.8.26.0100</t>
        </is>
      </c>
      <c r="E497" t="inlineStr">
        <is>
          <t>QGC</t>
        </is>
      </c>
      <c r="F497" t="inlineStr">
        <is>
          <t>OK</t>
        </is>
      </c>
      <c r="G497" s="19" t="inlineStr">
        <is>
          <t>https://gatekeeperaj.com.br/wp-content/uploads/2026/03/BRA2_merged.pdf</t>
        </is>
      </c>
      <c r="H497" t="inlineStr">
        <is>
          <t>p33 r3</t>
        </is>
      </c>
      <c r="I497" t="inlineStr">
        <is>
          <t>NO_DOCUMENT</t>
        </is>
      </c>
    </row>
    <row r="498">
      <c r="A498" t="inlineStr">
        <is>
          <t>IMPACTO PINTURA, CONS. DE AERONAVES</t>
        </is>
      </c>
      <c r="B498" s="10" t="n">
        <v>682888.5699999999</v>
      </c>
      <c r="C498" t="inlineStr">
        <is>
          <t>GateKeeper | Recuperação Judicial em São Paulo – Ética, técnica e profissionalismo na administração judicial de processos de recuperação e falência.</t>
        </is>
      </c>
      <c r="D498" t="inlineStr">
        <is>
          <t>0255180-67.2007.8.26.0100</t>
        </is>
      </c>
      <c r="E498" t="inlineStr">
        <is>
          <t>QGC</t>
        </is>
      </c>
      <c r="F498" t="inlineStr">
        <is>
          <t>OK</t>
        </is>
      </c>
      <c r="G498" s="19" t="inlineStr">
        <is>
          <t>https://gatekeeperaj.com.br/wp-content/uploads/2026/03/BRA2_merged.pdf</t>
        </is>
      </c>
      <c r="H498" t="inlineStr">
        <is>
          <t>p48 r14</t>
        </is>
      </c>
      <c r="I498" t="inlineStr">
        <is>
          <t>NO_DOCUMENT</t>
        </is>
      </c>
    </row>
    <row r="499">
      <c r="A499" t="inlineStr">
        <is>
          <t>HONEYWELL (AAS )</t>
        </is>
      </c>
      <c r="B499" s="10" t="n">
        <v>680540.3100000001</v>
      </c>
      <c r="C499" t="inlineStr">
        <is>
          <t>GateKeeper | Recuperação Judicial em São Paulo – Ética, técnica e profissionalismo na administração judicial de processos de recuperação e falência.</t>
        </is>
      </c>
      <c r="D499" t="inlineStr">
        <is>
          <t>0255180-67.2007.8.26.0100</t>
        </is>
      </c>
      <c r="E499" t="inlineStr">
        <is>
          <t>QGC</t>
        </is>
      </c>
      <c r="F499" t="inlineStr">
        <is>
          <t>OK</t>
        </is>
      </c>
      <c r="G499" s="19" t="inlineStr">
        <is>
          <t>https://gatekeeperaj.com.br/wp-content/uploads/2026/03/BRA2_merged.pdf</t>
        </is>
      </c>
      <c r="H499" t="inlineStr">
        <is>
          <t>p47 r50</t>
        </is>
      </c>
      <c r="I499" t="inlineStr">
        <is>
          <t>NO_DOCUMENT</t>
        </is>
      </c>
    </row>
    <row r="500">
      <c r="A500" t="inlineStr">
        <is>
          <t>TRIP LINHAS AÉREAS S/A</t>
        </is>
      </c>
      <c r="B500" s="10" t="n">
        <v>679299.53</v>
      </c>
      <c r="C500" t="inlineStr">
        <is>
          <t>GateKeeper | Recuperação Judicial em São Paulo – Ética, técnica e profissionalismo na administração judicial de processos de recuperação e falência.</t>
        </is>
      </c>
      <c r="D500" t="inlineStr">
        <is>
          <t>0255180-67.2007.8.26.0100</t>
        </is>
      </c>
      <c r="E500" t="inlineStr">
        <is>
          <t>QGC</t>
        </is>
      </c>
      <c r="F500" t="inlineStr">
        <is>
          <t>OK</t>
        </is>
      </c>
      <c r="G500" s="19" t="inlineStr">
        <is>
          <t>https://gatekeeperaj.com.br/wp-content/uploads/2026/03/BRA2_merged.pdf</t>
        </is>
      </c>
      <c r="H500" t="inlineStr">
        <is>
          <t>p84 r44</t>
        </is>
      </c>
      <c r="I500" t="inlineStr">
        <is>
          <t>NO_DOCUMENT</t>
        </is>
      </c>
    </row>
    <row r="501">
      <c r="A501" t="inlineStr">
        <is>
          <t>BAP</t>
        </is>
      </c>
      <c r="B501" s="10" t="n">
        <v>677468.8199999999</v>
      </c>
      <c r="C501" t="inlineStr">
        <is>
          <t>GateKeeper | Recuperação Judicial em São Paulo – Ética, técnica e profissionalismo na administração judicial de processos de recuperação e falência.</t>
        </is>
      </c>
      <c r="D501" t="inlineStr">
        <is>
          <t>0255180-67.2007.8.26.0100</t>
        </is>
      </c>
      <c r="E501" t="inlineStr">
        <is>
          <t>QGC</t>
        </is>
      </c>
      <c r="F501" t="inlineStr">
        <is>
          <t>OK</t>
        </is>
      </c>
      <c r="G501" s="19" t="inlineStr">
        <is>
          <t>https://gatekeeperaj.com.br/wp-content/uploads/2026/03/BRA2_merged.pdf</t>
        </is>
      </c>
      <c r="H501" t="inlineStr">
        <is>
          <t>p24 r10</t>
        </is>
      </c>
      <c r="I501" t="inlineStr">
        <is>
          <t>NO_DOCUMENT</t>
        </is>
      </c>
    </row>
    <row r="502">
      <c r="A502" t="inlineStr">
        <is>
          <t>NEW RESOURCES AVIATION</t>
        </is>
      </c>
      <c r="B502" s="10" t="n">
        <v>660394.53</v>
      </c>
      <c r="C502" t="inlineStr">
        <is>
          <t>GateKeeper | Recuperação Judicial em São Paulo – Ética, técnica e profissionalismo na administração judicial de processos de recuperação e falência.</t>
        </is>
      </c>
      <c r="D502" t="inlineStr">
        <is>
          <t>0255180-67.2007.8.26.0100</t>
        </is>
      </c>
      <c r="E502" t="inlineStr">
        <is>
          <t>QGC</t>
        </is>
      </c>
      <c r="F502" t="inlineStr">
        <is>
          <t>OK</t>
        </is>
      </c>
      <c r="G502" s="19" t="inlineStr">
        <is>
          <t>https://gatekeeperaj.com.br/wp-content/uploads/2026/03/BRA2_merged.pdf</t>
        </is>
      </c>
      <c r="H502" t="inlineStr">
        <is>
          <t>p63 r15</t>
        </is>
      </c>
      <c r="I502" t="inlineStr">
        <is>
          <t>NO_DOCUMENT</t>
        </is>
      </c>
    </row>
    <row r="503">
      <c r="A503" t="inlineStr">
        <is>
          <t>IBÉRIA</t>
        </is>
      </c>
      <c r="B503" s="10" t="n">
        <v>646387.02</v>
      </c>
      <c r="C503" t="inlineStr">
        <is>
          <t>GateKeeper | Recuperação Judicial em São Paulo – Ética, técnica e profissionalismo na administração judicial de processos de recuperação e falência.</t>
        </is>
      </c>
      <c r="D503" t="inlineStr">
        <is>
          <t>0255180-67.2007.8.26.0100</t>
        </is>
      </c>
      <c r="E503" t="inlineStr">
        <is>
          <t>QGC</t>
        </is>
      </c>
      <c r="F503" t="inlineStr">
        <is>
          <t>OK</t>
        </is>
      </c>
      <c r="G503" s="19" t="inlineStr">
        <is>
          <t>https://gatekeeperaj.com.br/wp-content/uploads/2026/03/BRA2_merged.pdf</t>
        </is>
      </c>
      <c r="H503" t="inlineStr">
        <is>
          <t>p48 r5</t>
        </is>
      </c>
      <c r="I503" t="inlineStr">
        <is>
          <t>NO_DOCUMENT</t>
        </is>
      </c>
    </row>
    <row r="504">
      <c r="A504" t="inlineStr">
        <is>
          <t>JOSÉ SEBASTIÃO DA SILVA</t>
        </is>
      </c>
      <c r="B504" s="10" t="n">
        <v>586412.78</v>
      </c>
      <c r="C504" t="inlineStr">
        <is>
          <t>GateKeeper | Recuperação Judicial em São Paulo – Ética, técnica e profissionalismo na administração judicial de processos de recuperação e falência.</t>
        </is>
      </c>
      <c r="D504" t="inlineStr">
        <is>
          <t>0255180-67.2007.8.26.0100</t>
        </is>
      </c>
      <c r="E504" t="inlineStr">
        <is>
          <t>QGC</t>
        </is>
      </c>
      <c r="F504" t="inlineStr">
        <is>
          <t>OK</t>
        </is>
      </c>
      <c r="G504" s="19" t="inlineStr">
        <is>
          <t>https://gatekeeperaj.com.br/wp-content/uploads/2026/03/BRA2_merged.pdf</t>
        </is>
      </c>
      <c r="H504" t="inlineStr">
        <is>
          <t>p49 r73</t>
        </is>
      </c>
      <c r="I504" t="inlineStr">
        <is>
          <t>NO_DOCUMENT</t>
        </is>
      </c>
    </row>
    <row r="505">
      <c r="A505" t="inlineStr">
        <is>
          <t>AUGUSTUS HOTEL LTDA</t>
        </is>
      </c>
      <c r="B505" s="10" t="n">
        <v>527754.05</v>
      </c>
      <c r="C505" t="inlineStr">
        <is>
          <t>GateKeeper | Recuperação Judicial em São Paulo – Ética, técnica e profissionalismo na administração judicial de processos de recuperação e falência.</t>
        </is>
      </c>
      <c r="D505" t="inlineStr">
        <is>
          <t>0255180-67.2007.8.26.0100</t>
        </is>
      </c>
      <c r="E505" t="inlineStr">
        <is>
          <t>QGC</t>
        </is>
      </c>
      <c r="F505" t="inlineStr">
        <is>
          <t>OK</t>
        </is>
      </c>
      <c r="G505" s="19" t="inlineStr">
        <is>
          <t>https://gatekeeperaj.com.br/wp-content/uploads/2026/03/BRA2_merged.pdf</t>
        </is>
      </c>
      <c r="H505" t="inlineStr">
        <is>
          <t>p23 r43</t>
        </is>
      </c>
      <c r="I505" t="inlineStr">
        <is>
          <t>NO_DOCUMENT</t>
        </is>
      </c>
    </row>
    <row r="506">
      <c r="A506" t="inlineStr">
        <is>
          <t>SWISSPORT BRASIL LTDA</t>
        </is>
      </c>
      <c r="B506" s="10" t="n">
        <v>504540.7</v>
      </c>
      <c r="C506" t="inlineStr">
        <is>
          <t>GateKeeper | Recuperação Judicial em São Paulo – Ética, técnica e profissionalismo na administração judicial de processos de recuperação e falência.</t>
        </is>
      </c>
      <c r="D506" t="inlineStr">
        <is>
          <t>0255180-67.2007.8.26.0100</t>
        </is>
      </c>
      <c r="E506" t="inlineStr">
        <is>
          <t>QGC</t>
        </is>
      </c>
      <c r="F506" t="inlineStr">
        <is>
          <t>OK</t>
        </is>
      </c>
      <c r="G506" s="19" t="inlineStr">
        <is>
          <t>https://gatekeeperaj.com.br/wp-content/uploads/2026/03/BRA2_merged.pdf</t>
        </is>
      </c>
      <c r="H506" t="inlineStr">
        <is>
          <t>p83 r29</t>
        </is>
      </c>
      <c r="I506" t="inlineStr">
        <is>
          <t>NO_DOCUMENT</t>
        </is>
      </c>
    </row>
    <row r="507">
      <c r="A507" t="inlineStr">
        <is>
          <t>4M ADM. PARTICIPACAO SCP INTERN. LT</t>
        </is>
      </c>
      <c r="B507" s="10" t="n">
        <v>480989.03</v>
      </c>
      <c r="C507" t="inlineStr">
        <is>
          <t>GateKeeper | Recuperação Judicial em São Paulo – Ética, técnica e profissionalismo na administração judicial de processos de recuperação e falência.</t>
        </is>
      </c>
      <c r="D507" t="inlineStr">
        <is>
          <t>0255180-67.2007.8.26.0100</t>
        </is>
      </c>
      <c r="E507" t="inlineStr">
        <is>
          <t>QGC</t>
        </is>
      </c>
      <c r="F507" t="inlineStr">
        <is>
          <t>OK</t>
        </is>
      </c>
      <c r="G507" s="19" t="inlineStr">
        <is>
          <t>https://gatekeeperaj.com.br/wp-content/uploads/2026/03/BRA2_merged.pdf</t>
        </is>
      </c>
      <c r="H507" t="inlineStr">
        <is>
          <t>p16 r17</t>
        </is>
      </c>
      <c r="I507" t="inlineStr">
        <is>
          <t>NO_DOCUMENT</t>
        </is>
      </c>
    </row>
    <row r="508">
      <c r="A508" t="inlineStr">
        <is>
          <t>ERNST &amp; YOUNG AUDITORES INDEPEND S/</t>
        </is>
      </c>
      <c r="B508" s="10" t="n">
        <v>477370.77</v>
      </c>
      <c r="C508" t="inlineStr">
        <is>
          <t>GateKeeper | Recuperação Judicial em São Paulo – Ética, técnica e profissionalismo na administração judicial de processos de recuperação e falência.</t>
        </is>
      </c>
      <c r="D508" t="inlineStr">
        <is>
          <t>0255180-67.2007.8.26.0100</t>
        </is>
      </c>
      <c r="E508" t="inlineStr">
        <is>
          <t>QGC</t>
        </is>
      </c>
      <c r="F508" t="inlineStr">
        <is>
          <t>OK</t>
        </is>
      </c>
      <c r="G508" s="19" t="inlineStr">
        <is>
          <t>https://gatekeeperaj.com.br/wp-content/uploads/2026/03/BRA2_merged.pdf</t>
        </is>
      </c>
      <c r="H508" t="inlineStr">
        <is>
          <t>p39 r12</t>
        </is>
      </c>
      <c r="I508" t="inlineStr">
        <is>
          <t>NO_DOCUMENT</t>
        </is>
      </c>
    </row>
    <row r="509">
      <c r="A509" t="inlineStr">
        <is>
          <t>HSA</t>
        </is>
      </c>
      <c r="B509" s="10" t="n">
        <v>448414.72</v>
      </c>
      <c r="C509" t="inlineStr">
        <is>
          <t>GateKeeper | Recuperação Judicial em São Paulo – Ética, técnica e profissionalismo na administração judicial de processos de recuperação e falência.</t>
        </is>
      </c>
      <c r="D509" t="inlineStr">
        <is>
          <t>0255180-67.2007.8.26.0100</t>
        </is>
      </c>
      <c r="E509" t="inlineStr">
        <is>
          <t>QGC</t>
        </is>
      </c>
      <c r="F509" t="inlineStr">
        <is>
          <t>OK</t>
        </is>
      </c>
      <c r="G509" s="19" t="inlineStr">
        <is>
          <t>https://gatekeeperaj.com.br/wp-content/uploads/2026/03/BRA2_merged.pdf</t>
        </is>
      </c>
      <c r="H509" t="inlineStr">
        <is>
          <t>p47 r75</t>
        </is>
      </c>
      <c r="I509" t="inlineStr">
        <is>
          <t>NO_DOCUMENT</t>
        </is>
      </c>
    </row>
    <row r="510">
      <c r="A510" t="inlineStr">
        <is>
          <t>PUBLIPAN PROPAGANDA E PUBLICIDADE</t>
        </is>
      </c>
      <c r="B510" s="10" t="n">
        <v>444399.83</v>
      </c>
      <c r="C510" t="inlineStr">
        <is>
          <t>GateKeeper | Recuperação Judicial em São Paulo – Ética, técnica e profissionalismo na administração judicial de processos de recuperação e falência.</t>
        </is>
      </c>
      <c r="D510" t="inlineStr">
        <is>
          <t>0255180-67.2007.8.26.0100</t>
        </is>
      </c>
      <c r="E510" t="inlineStr">
        <is>
          <t>QGC</t>
        </is>
      </c>
      <c r="F510" t="inlineStr">
        <is>
          <t>OK</t>
        </is>
      </c>
      <c r="G510" s="19" t="inlineStr">
        <is>
          <t>https://gatekeeperaj.com.br/wp-content/uploads/2026/03/BRA2_merged.pdf</t>
        </is>
      </c>
      <c r="H510" t="inlineStr">
        <is>
          <t>p68 r62</t>
        </is>
      </c>
      <c r="I510" t="inlineStr">
        <is>
          <t>NO_DOCUMENT</t>
        </is>
      </c>
    </row>
    <row r="511">
      <c r="A511" t="inlineStr">
        <is>
          <t>AAXICO</t>
        </is>
      </c>
      <c r="B511" s="10" t="n">
        <v>443676.28</v>
      </c>
      <c r="C511" t="inlineStr">
        <is>
          <t>GateKeeper | Recuperação Judicial em São Paulo – Ética, técnica e profissionalismo na administração judicial de processos de recuperação e falência.</t>
        </is>
      </c>
      <c r="D511" t="inlineStr">
        <is>
          <t>0255180-67.2007.8.26.0100</t>
        </is>
      </c>
      <c r="E511" t="inlineStr">
        <is>
          <t>QGC</t>
        </is>
      </c>
      <c r="F511" t="inlineStr">
        <is>
          <t>OK</t>
        </is>
      </c>
      <c r="G511" s="19" t="inlineStr">
        <is>
          <t>https://gatekeeperaj.com.br/wp-content/uploads/2026/03/BRA2_merged.pdf</t>
        </is>
      </c>
      <c r="H511" t="inlineStr">
        <is>
          <t>p16 r27</t>
        </is>
      </c>
      <c r="I511" t="inlineStr">
        <is>
          <t>NO_DOCUMENT</t>
        </is>
      </c>
    </row>
    <row r="512">
      <c r="A512" t="inlineStr">
        <is>
          <t>CORE AEROSPACE SUPPLIER,INC</t>
        </is>
      </c>
      <c r="B512" s="10" t="n">
        <v>427977.43</v>
      </c>
      <c r="C512" t="inlineStr">
        <is>
          <t>GateKeeper | Recuperação Judicial em São Paulo – Ética, técnica e profissionalismo na administração judicial de processos de recuperação e falência.</t>
        </is>
      </c>
      <c r="D512" t="inlineStr">
        <is>
          <t>0255180-67.2007.8.26.0100</t>
        </is>
      </c>
      <c r="E512" t="inlineStr">
        <is>
          <t>QGC</t>
        </is>
      </c>
      <c r="F512" t="inlineStr">
        <is>
          <t>OK</t>
        </is>
      </c>
      <c r="G512" s="19" t="inlineStr">
        <is>
          <t>https://gatekeeperaj.com.br/wp-content/uploads/2026/03/BRA2_merged.pdf</t>
        </is>
      </c>
      <c r="H512" t="inlineStr">
        <is>
          <t>p33 r47</t>
        </is>
      </c>
      <c r="I512" t="inlineStr">
        <is>
          <t>NO_DOCUMENT</t>
        </is>
      </c>
    </row>
    <row r="513">
      <c r="A513" t="inlineStr">
        <is>
          <t>ANDREOLI MANNING SELVAGE E LEE LTDA</t>
        </is>
      </c>
      <c r="B513" s="10" t="n">
        <v>420075.01</v>
      </c>
      <c r="C513" t="inlineStr">
        <is>
          <t>GateKeeper | Recuperação Judicial em São Paulo – Ética, técnica e profissionalismo na administração judicial de processos de recuperação e falência.</t>
        </is>
      </c>
      <c r="D513" t="inlineStr">
        <is>
          <t>0255180-67.2007.8.26.0100</t>
        </is>
      </c>
      <c r="E513" t="inlineStr">
        <is>
          <t>QGC</t>
        </is>
      </c>
      <c r="F513" t="inlineStr">
        <is>
          <t>OK</t>
        </is>
      </c>
      <c r="G513" s="19" t="inlineStr">
        <is>
          <t>https://gatekeeperaj.com.br/wp-content/uploads/2026/03/BRA2_merged.pdf</t>
        </is>
      </c>
      <c r="H513" t="inlineStr">
        <is>
          <t>p21 r4</t>
        </is>
      </c>
      <c r="I513" t="inlineStr">
        <is>
          <t>NO_DOCUMENT</t>
        </is>
      </c>
    </row>
    <row r="514">
      <c r="A514" t="inlineStr">
        <is>
          <t>GOODRICH CORPORATION</t>
        </is>
      </c>
      <c r="B514" s="10" t="n">
        <v>409585.97</v>
      </c>
      <c r="C514" t="inlineStr">
        <is>
          <t>GateKeeper | Recuperação Judicial em São Paulo – Ética, técnica e profissionalismo na administração judicial de processos de recuperação e falência.</t>
        </is>
      </c>
      <c r="D514" t="inlineStr">
        <is>
          <t>0255180-67.2007.8.26.0100</t>
        </is>
      </c>
      <c r="E514" t="inlineStr">
        <is>
          <t>QGC</t>
        </is>
      </c>
      <c r="F514" t="inlineStr">
        <is>
          <t>OK</t>
        </is>
      </c>
      <c r="G514" s="19" t="inlineStr">
        <is>
          <t>https://gatekeeperaj.com.br/wp-content/uploads/2026/03/BRA2_merged.pdf</t>
        </is>
      </c>
      <c r="H514" t="inlineStr">
        <is>
          <t>p46 r28</t>
        </is>
      </c>
      <c r="I514" t="inlineStr">
        <is>
          <t>NO_DOCUMENT</t>
        </is>
      </c>
    </row>
    <row r="515">
      <c r="A515" t="inlineStr">
        <is>
          <t>KELLSTROM</t>
        </is>
      </c>
      <c r="B515" s="10" t="n">
        <v>405360.56</v>
      </c>
      <c r="C515" t="inlineStr">
        <is>
          <t>GateKeeper | Recuperação Judicial em São Paulo – Ética, técnica e profissionalismo na administração judicial de processos de recuperação e falência.</t>
        </is>
      </c>
      <c r="D515" t="inlineStr">
        <is>
          <t>0255180-67.2007.8.26.0100</t>
        </is>
      </c>
      <c r="E515" t="inlineStr">
        <is>
          <t>QGC</t>
        </is>
      </c>
      <c r="F515" t="inlineStr">
        <is>
          <t>OK</t>
        </is>
      </c>
      <c r="G515" s="19" t="inlineStr">
        <is>
          <t>https://gatekeeperaj.com.br/wp-content/uploads/2026/03/BRA2_merged.pdf</t>
        </is>
      </c>
      <c r="H515" t="inlineStr">
        <is>
          <t>p50 r51</t>
        </is>
      </c>
      <c r="I515" t="inlineStr">
        <is>
          <t>NO_DOCUMENT</t>
        </is>
      </c>
    </row>
    <row r="516">
      <c r="A516" t="inlineStr">
        <is>
          <t>SAFRA VIDA E PREVIDÊNCIA S.A.</t>
        </is>
      </c>
      <c r="B516" s="10" t="n">
        <v>389345.84</v>
      </c>
      <c r="C516" t="inlineStr">
        <is>
          <t>GateKeeper | Recuperação Judicial em São Paulo – Ética, técnica e profissionalismo na administração judicial de processos de recuperação e falência.</t>
        </is>
      </c>
      <c r="D516" t="inlineStr">
        <is>
          <t>0255180-67.2007.8.26.0100</t>
        </is>
      </c>
      <c r="E516" t="inlineStr">
        <is>
          <t>QGC</t>
        </is>
      </c>
      <c r="F516" t="inlineStr">
        <is>
          <t>OK</t>
        </is>
      </c>
      <c r="G516" s="19" t="inlineStr">
        <is>
          <t>https://gatekeeperaj.com.br/wp-content/uploads/2026/03/BRA2_merged.pdf</t>
        </is>
      </c>
      <c r="H516" t="inlineStr">
        <is>
          <t>p72 r21</t>
        </is>
      </c>
      <c r="I516" t="inlineStr">
        <is>
          <t>NO_DOCUMENT</t>
        </is>
      </c>
    </row>
    <row r="517">
      <c r="A517" t="inlineStr">
        <is>
          <t>PNX PARS S/C LTDA</t>
        </is>
      </c>
      <c r="B517" s="10" t="n">
        <v>385920.81</v>
      </c>
      <c r="C517" t="inlineStr">
        <is>
          <t>GateKeeper | Recuperação Judicial em São Paulo – Ética, técnica e profissionalismo na administração judicial de processos de recuperação e falência.</t>
        </is>
      </c>
      <c r="D517" t="inlineStr">
        <is>
          <t>0255180-67.2007.8.26.0100</t>
        </is>
      </c>
      <c r="E517" t="inlineStr">
        <is>
          <t>QGC</t>
        </is>
      </c>
      <c r="F517" t="inlineStr">
        <is>
          <t>OK</t>
        </is>
      </c>
      <c r="G517" s="19" t="inlineStr">
        <is>
          <t>https://gatekeeperaj.com.br/wp-content/uploads/2026/03/BRA2_merged.pdf</t>
        </is>
      </c>
      <c r="H517" t="inlineStr">
        <is>
          <t>p68 r26</t>
        </is>
      </c>
      <c r="I517" t="inlineStr">
        <is>
          <t>NO_DOCUMENT</t>
        </is>
      </c>
    </row>
    <row r="518">
      <c r="A518" t="inlineStr">
        <is>
          <t>SEA HANDLING</t>
        </is>
      </c>
      <c r="B518" s="10" t="n">
        <v>376819.97</v>
      </c>
      <c r="C518" t="inlineStr">
        <is>
          <t>GateKeeper | Recuperação Judicial em São Paulo – Ética, técnica e profissionalismo na administração judicial de processos de recuperação e falência.</t>
        </is>
      </c>
      <c r="D518" t="inlineStr">
        <is>
          <t>0255180-67.2007.8.26.0100</t>
        </is>
      </c>
      <c r="E518" t="inlineStr">
        <is>
          <t>QGC</t>
        </is>
      </c>
      <c r="F518" t="inlineStr">
        <is>
          <t>OK</t>
        </is>
      </c>
      <c r="G518" s="19" t="inlineStr">
        <is>
          <t>https://gatekeeperaj.com.br/wp-content/uploads/2026/03/BRA2_merged.pdf</t>
        </is>
      </c>
      <c r="H518" t="inlineStr">
        <is>
          <t>p75 r42</t>
        </is>
      </c>
      <c r="I518" t="inlineStr">
        <is>
          <t>NO_DOCUMENT</t>
        </is>
      </c>
    </row>
    <row r="519">
      <c r="A519" t="inlineStr">
        <is>
          <t>NAV</t>
        </is>
      </c>
      <c r="B519" s="10" t="n">
        <v>370077.25</v>
      </c>
      <c r="C519" t="inlineStr">
        <is>
          <t>GateKeeper | Recuperação Judicial em São Paulo – Ética, técnica e profissionalismo na administração judicial de processos de recuperação e falência.</t>
        </is>
      </c>
      <c r="D519" t="inlineStr">
        <is>
          <t>0255180-67.2007.8.26.0100</t>
        </is>
      </c>
      <c r="E519" t="inlineStr">
        <is>
          <t>QGC</t>
        </is>
      </c>
      <c r="F519" t="inlineStr">
        <is>
          <t>OK</t>
        </is>
      </c>
      <c r="G519" s="19" t="inlineStr">
        <is>
          <t>https://gatekeeperaj.com.br/wp-content/uploads/2026/03/BRA2_merged.pdf</t>
        </is>
      </c>
      <c r="H519" t="inlineStr">
        <is>
          <t>p62 r63</t>
        </is>
      </c>
      <c r="I519" t="inlineStr">
        <is>
          <t>NO_DOCUMENT</t>
        </is>
      </c>
    </row>
    <row r="520">
      <c r="A520" t="inlineStr">
        <is>
          <t>AIR BP BRASIL SA</t>
        </is>
      </c>
      <c r="B520" s="10" t="n">
        <v>367946.19</v>
      </c>
      <c r="C520" t="inlineStr">
        <is>
          <t>GateKeeper | Recuperação Judicial em São Paulo – Ética, técnica e profissionalismo na administração judicial de processos de recuperação e falência.</t>
        </is>
      </c>
      <c r="D520" t="inlineStr">
        <is>
          <t>0255180-67.2007.8.26.0100</t>
        </is>
      </c>
      <c r="E520" t="inlineStr">
        <is>
          <t>QGC</t>
        </is>
      </c>
      <c r="F520" t="inlineStr">
        <is>
          <t>OK</t>
        </is>
      </c>
      <c r="G520" s="19" t="inlineStr">
        <is>
          <t>https://gatekeeperaj.com.br/wp-content/uploads/2026/03/BRA2_merged.pdf</t>
        </is>
      </c>
      <c r="H520" t="inlineStr">
        <is>
          <t>p17 r41</t>
        </is>
      </c>
      <c r="I520" t="inlineStr">
        <is>
          <t>NO_DOCUMENT</t>
        </is>
      </c>
    </row>
    <row r="521">
      <c r="A521" t="inlineStr">
        <is>
          <t>JEPPESEN</t>
        </is>
      </c>
      <c r="B521" s="10" t="n">
        <v>363274.08</v>
      </c>
      <c r="C521" t="inlineStr">
        <is>
          <t>GateKeeper | Recuperação Judicial em São Paulo – Ética, técnica e profissionalismo na administração judicial de processos de recuperação e falência.</t>
        </is>
      </c>
      <c r="D521" t="inlineStr">
        <is>
          <t>0255180-67.2007.8.26.0100</t>
        </is>
      </c>
      <c r="E521" t="inlineStr">
        <is>
          <t>QGC</t>
        </is>
      </c>
      <c r="F521" t="inlineStr">
        <is>
          <t>OK</t>
        </is>
      </c>
      <c r="G521" s="19" t="inlineStr">
        <is>
          <t>https://gatekeeperaj.com.br/wp-content/uploads/2026/03/BRA2_merged.pdf</t>
        </is>
      </c>
      <c r="H521" t="inlineStr">
        <is>
          <t>p48 r68</t>
        </is>
      </c>
      <c r="I521" t="inlineStr">
        <is>
          <t>NO_DOCUMENT</t>
        </is>
      </c>
    </row>
    <row r="522">
      <c r="A522" t="inlineStr">
        <is>
          <t>CALIFORNIA AIRSALES.INC</t>
        </is>
      </c>
      <c r="B522" s="10" t="n">
        <v>349185.26</v>
      </c>
      <c r="C522" t="inlineStr">
        <is>
          <t>GateKeeper | Recuperação Judicial em São Paulo – Ética, técnica e profissionalismo na administração judicial de processos de recuperação e falência.</t>
        </is>
      </c>
      <c r="D522" t="inlineStr">
        <is>
          <t>0255180-67.2007.8.26.0100</t>
        </is>
      </c>
      <c r="E522" t="inlineStr">
        <is>
          <t>QGC</t>
        </is>
      </c>
      <c r="F522" t="inlineStr">
        <is>
          <t>OK</t>
        </is>
      </c>
      <c r="G522" s="19" t="inlineStr">
        <is>
          <t>https://gatekeeperaj.com.br/wp-content/uploads/2026/03/BRA2_merged.pdf</t>
        </is>
      </c>
      <c r="H522" t="inlineStr">
        <is>
          <t>p28 r59</t>
        </is>
      </c>
      <c r="I522" t="inlineStr">
        <is>
          <t>NO_DOCUMENT</t>
        </is>
      </c>
    </row>
    <row r="523">
      <c r="A523" t="inlineStr">
        <is>
          <t>CARLOS ALTRAN UCEDO</t>
        </is>
      </c>
      <c r="B523" s="10" t="n">
        <v>348477.21</v>
      </c>
      <c r="C523" t="inlineStr">
        <is>
          <t>GateKeeper | Recuperação Judicial em São Paulo – Ética, técnica e profissionalismo na administração judicial de processos de recuperação e falência.</t>
        </is>
      </c>
      <c r="D523" t="inlineStr">
        <is>
          <t>0255180-67.2007.8.26.0100</t>
        </is>
      </c>
      <c r="E523" t="inlineStr">
        <is>
          <t>QGC</t>
        </is>
      </c>
      <c r="F523" t="inlineStr">
        <is>
          <t>OK</t>
        </is>
      </c>
      <c r="G523" s="19" t="inlineStr">
        <is>
          <t>https://gatekeeperaj.com.br/wp-content/uploads/2026/03/BRA2_merged.pdf</t>
        </is>
      </c>
      <c r="H523" t="inlineStr">
        <is>
          <t>p29 r44</t>
        </is>
      </c>
      <c r="I523" t="inlineStr">
        <is>
          <t>NO_DOCUMENT</t>
        </is>
      </c>
    </row>
    <row r="524">
      <c r="A524" t="inlineStr">
        <is>
          <t>DUTCHAERO TRAVEL</t>
        </is>
      </c>
      <c r="B524" s="10" t="n">
        <v>347155.46</v>
      </c>
      <c r="C524" t="inlineStr">
        <is>
          <t>GateKeeper | Recuperação Judicial em São Paulo – Ética, técnica e profissionalismo na administração judicial de processos de recuperação e falência.</t>
        </is>
      </c>
      <c r="D524" t="inlineStr">
        <is>
          <t>0255180-67.2007.8.26.0100</t>
        </is>
      </c>
      <c r="E524" t="inlineStr">
        <is>
          <t>QGC</t>
        </is>
      </c>
      <c r="F524" t="inlineStr">
        <is>
          <t>OK</t>
        </is>
      </c>
      <c r="G524" s="19" t="inlineStr">
        <is>
          <t>https://gatekeeperaj.com.br/wp-content/uploads/2026/03/BRA2_merged.pdf</t>
        </is>
      </c>
      <c r="H524" t="inlineStr">
        <is>
          <t>p38 r29</t>
        </is>
      </c>
      <c r="I524" t="inlineStr">
        <is>
          <t>NO_DOCUMENT</t>
        </is>
      </c>
    </row>
    <row r="525">
      <c r="A525" t="inlineStr">
        <is>
          <t>SEA SPA</t>
        </is>
      </c>
      <c r="B525" s="10" t="n">
        <v>341793.29</v>
      </c>
      <c r="C525" t="inlineStr">
        <is>
          <t>GateKeeper | Recuperação Judicial em São Paulo – Ética, técnica e profissionalismo na administração judicial de processos de recuperação e falência.</t>
        </is>
      </c>
      <c r="D525" t="inlineStr">
        <is>
          <t>0255180-67.2007.8.26.0100</t>
        </is>
      </c>
      <c r="E525" t="inlineStr">
        <is>
          <t>QGC</t>
        </is>
      </c>
      <c r="F525" t="inlineStr">
        <is>
          <t>OK</t>
        </is>
      </c>
      <c r="G525" s="19" t="inlineStr">
        <is>
          <t>https://gatekeeperaj.com.br/wp-content/uploads/2026/03/BRA2_merged.pdf</t>
        </is>
      </c>
      <c r="H525" t="inlineStr">
        <is>
          <t>p75 r43</t>
        </is>
      </c>
      <c r="I525" t="inlineStr">
        <is>
          <t>NO_DOCUMENT</t>
        </is>
      </c>
    </row>
    <row r="526">
      <c r="A526" t="inlineStr">
        <is>
          <t>LOGUS ENGENHARIA E INCORPORAÇÃO LTDA</t>
        </is>
      </c>
      <c r="B526" s="10" t="n">
        <v>340145.41</v>
      </c>
      <c r="C526" t="inlineStr">
        <is>
          <t>GateKeeper | Recuperação Judicial em São Paulo – Ética, técnica e profissionalismo na administração judicial de processos de recuperação e falência.</t>
        </is>
      </c>
      <c r="D526" t="inlineStr">
        <is>
          <t>0255180-67.2007.8.26.0100</t>
        </is>
      </c>
      <c r="E526" t="inlineStr">
        <is>
          <t>QGC</t>
        </is>
      </c>
      <c r="F526" t="inlineStr">
        <is>
          <t>OK</t>
        </is>
      </c>
      <c r="G526" s="19" t="inlineStr">
        <is>
          <t>https://gatekeeperaj.com.br/wp-content/uploads/2026/03/BRA2_merged.pdf</t>
        </is>
      </c>
      <c r="H526" t="inlineStr">
        <is>
          <t>p53 r44</t>
        </is>
      </c>
      <c r="I526" t="inlineStr">
        <is>
          <t>NO_DOCUMENT</t>
        </is>
      </c>
    </row>
    <row r="527">
      <c r="A527" t="inlineStr">
        <is>
          <t>AIR CRUISERS</t>
        </is>
      </c>
      <c r="B527" s="10" t="n">
        <v>338899.74</v>
      </c>
      <c r="C527" t="inlineStr">
        <is>
          <t>GateKeeper | Recuperação Judicial em São Paulo – Ética, técnica e profissionalismo na administração judicial de processos de recuperação e falência.</t>
        </is>
      </c>
      <c r="D527" t="inlineStr">
        <is>
          <t>0255180-67.2007.8.26.0100</t>
        </is>
      </c>
      <c r="E527" t="inlineStr">
        <is>
          <t>QGC</t>
        </is>
      </c>
      <c r="F527" t="inlineStr">
        <is>
          <t>OK</t>
        </is>
      </c>
      <c r="G527" s="19" t="inlineStr">
        <is>
          <t>https://gatekeeperaj.com.br/wp-content/uploads/2026/03/BRA2_merged.pdf</t>
        </is>
      </c>
      <c r="H527" t="inlineStr">
        <is>
          <t>p17 r42</t>
        </is>
      </c>
      <c r="I527" t="inlineStr">
        <is>
          <t>NO_DOCUMENT</t>
        </is>
      </c>
    </row>
    <row r="528">
      <c r="A528" t="inlineStr">
        <is>
          <t>REVEST AUTO CENTER</t>
        </is>
      </c>
      <c r="B528" s="10" t="n">
        <v>332548.21</v>
      </c>
      <c r="C528" t="inlineStr">
        <is>
          <t>GateKeeper | Recuperação Judicial em São Paulo – Ética, técnica e profissionalismo na administração judicial de processos de recuperação e falência.</t>
        </is>
      </c>
      <c r="D528" t="inlineStr">
        <is>
          <t>0255180-67.2007.8.26.0100</t>
        </is>
      </c>
      <c r="E528" t="inlineStr">
        <is>
          <t>QGC</t>
        </is>
      </c>
      <c r="F528" t="inlineStr">
        <is>
          <t>OK</t>
        </is>
      </c>
      <c r="G528" s="19" t="inlineStr">
        <is>
          <t>https://gatekeeperaj.com.br/wp-content/uploads/2026/03/BRA2_merged.pdf</t>
        </is>
      </c>
      <c r="H528" t="inlineStr">
        <is>
          <t>p70 r15</t>
        </is>
      </c>
      <c r="I528" t="inlineStr">
        <is>
          <t>NO_DOCUMENT</t>
        </is>
      </c>
    </row>
    <row r="529">
      <c r="A529" t="inlineStr">
        <is>
          <t>CONDOMINIO EDIFICIO VILA NORMANDA BLOCO B</t>
        </is>
      </c>
      <c r="B529" s="10" t="n">
        <v>326963.17</v>
      </c>
      <c r="C529" t="inlineStr">
        <is>
          <t>GateKeeper | Recuperação Judicial em São Paulo – Ética, técnica e profissionalismo na administração judicial de processos de recuperação e falência.</t>
        </is>
      </c>
      <c r="D529" t="inlineStr">
        <is>
          <t>0255180-67.2007.8.26.0100</t>
        </is>
      </c>
      <c r="E529" t="inlineStr">
        <is>
          <t>QGC</t>
        </is>
      </c>
      <c r="F529" t="inlineStr">
        <is>
          <t>OK</t>
        </is>
      </c>
      <c r="G529" s="19" t="inlineStr">
        <is>
          <t>https://gatekeeperaj.com.br/wp-content/uploads/2026/03/BRA2_merged.pdf</t>
        </is>
      </c>
      <c r="H529" t="inlineStr">
        <is>
          <t>p33 r20</t>
        </is>
      </c>
      <c r="I529" t="inlineStr">
        <is>
          <t>NO_DOCUMENT</t>
        </is>
      </c>
    </row>
    <row r="530">
      <c r="A530" t="inlineStr">
        <is>
          <t>RAFAEL VINICIUS DI LORIO</t>
        </is>
      </c>
      <c r="B530" s="10" t="n">
        <v>323193.51</v>
      </c>
      <c r="C530" t="inlineStr">
        <is>
          <t>GateKeeper | Recuperação Judicial em São Paulo – Ética, técnica e profissionalismo na administração judicial de processos de recuperação e falência.</t>
        </is>
      </c>
      <c r="D530" t="inlineStr">
        <is>
          <t>0255180-67.2007.8.26.0100</t>
        </is>
      </c>
      <c r="E530" t="inlineStr">
        <is>
          <t>QGC</t>
        </is>
      </c>
      <c r="F530" t="inlineStr">
        <is>
          <t>OK</t>
        </is>
      </c>
      <c r="G530" s="19" t="inlineStr">
        <is>
          <t>https://gatekeeperaj.com.br/wp-content/uploads/2026/03/BRA2_merged.pdf</t>
        </is>
      </c>
      <c r="H530" t="inlineStr">
        <is>
          <t>p69 r15</t>
        </is>
      </c>
      <c r="I530" t="inlineStr">
        <is>
          <t>NO_DOCUMENT</t>
        </is>
      </c>
    </row>
    <row r="531">
      <c r="A531" t="inlineStr">
        <is>
          <t>GLOBO COMUNICAÇÃO E PARTICIPAÇÕES S.A.</t>
        </is>
      </c>
      <c r="B531" s="10" t="n">
        <v>313707.08</v>
      </c>
      <c r="C531" t="inlineStr">
        <is>
          <t>GateKeeper | Recuperação Judicial em São Paulo – Ética, técnica e profissionalismo na administração judicial de processos de recuperação e falência.</t>
        </is>
      </c>
      <c r="D531" t="inlineStr">
        <is>
          <t>0255180-67.2007.8.26.0100</t>
        </is>
      </c>
      <c r="E531" t="inlineStr">
        <is>
          <t>QGC</t>
        </is>
      </c>
      <c r="F531" t="inlineStr">
        <is>
          <t>OK</t>
        </is>
      </c>
      <c r="G531" s="19" t="inlineStr">
        <is>
          <t>https://gatekeeperaj.com.br/wp-content/uploads/2026/03/BRA2_merged.pdf</t>
        </is>
      </c>
      <c r="H531" t="inlineStr">
        <is>
          <t>p45 r16</t>
        </is>
      </c>
      <c r="I531" t="inlineStr">
        <is>
          <t>NO_DOCUMENT</t>
        </is>
      </c>
    </row>
    <row r="532">
      <c r="A532" t="inlineStr">
        <is>
          <t>KLM</t>
        </is>
      </c>
      <c r="B532" s="10" t="n">
        <v>312610.86</v>
      </c>
      <c r="C532" t="inlineStr">
        <is>
          <t>GateKeeper | Recuperação Judicial em São Paulo – Ética, técnica e profissionalismo na administração judicial de processos de recuperação e falência.</t>
        </is>
      </c>
      <c r="D532" t="inlineStr">
        <is>
          <t>0255180-67.2007.8.26.0100</t>
        </is>
      </c>
      <c r="E532" t="inlineStr">
        <is>
          <t>QGC</t>
        </is>
      </c>
      <c r="F532" t="inlineStr">
        <is>
          <t>OK</t>
        </is>
      </c>
      <c r="G532" s="19" t="inlineStr">
        <is>
          <t>https://gatekeeperaj.com.br/wp-content/uploads/2026/03/BRA2_merged.pdf</t>
        </is>
      </c>
      <c r="H532" t="inlineStr">
        <is>
          <t>p50 r60</t>
        </is>
      </c>
      <c r="I532" t="inlineStr">
        <is>
          <t>NO_DOCUMENT</t>
        </is>
      </c>
    </row>
    <row r="533">
      <c r="A533" t="inlineStr">
        <is>
          <t>FGT AGENCIA DE VIAGENS E TURISMO LT</t>
        </is>
      </c>
      <c r="B533" s="10" t="n">
        <v>307194.71</v>
      </c>
      <c r="C533" t="inlineStr">
        <is>
          <t>GateKeeper | Recuperação Judicial em São Paulo – Ética, técnica e profissionalismo na administração judicial de processos de recuperação e falência.</t>
        </is>
      </c>
      <c r="D533" t="inlineStr">
        <is>
          <t>0255180-67.2007.8.26.0100</t>
        </is>
      </c>
      <c r="E533" t="inlineStr">
        <is>
          <t>QGC</t>
        </is>
      </c>
      <c r="F533" t="inlineStr">
        <is>
          <t>OK</t>
        </is>
      </c>
      <c r="G533" s="19" t="inlineStr">
        <is>
          <t>https://gatekeeperaj.com.br/wp-content/uploads/2026/03/BRA2_merged.pdf</t>
        </is>
      </c>
      <c r="H533" t="inlineStr">
        <is>
          <t>p42 r6</t>
        </is>
      </c>
      <c r="I533" t="inlineStr">
        <is>
          <t>NO_DOCUMENT</t>
        </is>
      </c>
    </row>
    <row r="534">
      <c r="A534" t="inlineStr">
        <is>
          <t>ALLFLIGHT</t>
        </is>
      </c>
      <c r="B534" s="10" t="n">
        <v>304263.86</v>
      </c>
      <c r="C534" t="inlineStr">
        <is>
          <t>GateKeeper | Recuperação Judicial em São Paulo – Ética, técnica e profissionalismo na administração judicial de processos de recuperação e falência.</t>
        </is>
      </c>
      <c r="D534" t="inlineStr">
        <is>
          <t>0255180-67.2007.8.26.0100</t>
        </is>
      </c>
      <c r="E534" t="inlineStr">
        <is>
          <t>QGC</t>
        </is>
      </c>
      <c r="F534" t="inlineStr">
        <is>
          <t>OK</t>
        </is>
      </c>
      <c r="G534" s="19" t="inlineStr">
        <is>
          <t>https://gatekeeperaj.com.br/wp-content/uploads/2026/03/BRA2_merged.pdf</t>
        </is>
      </c>
      <c r="H534" t="inlineStr">
        <is>
          <t>p18 r26</t>
        </is>
      </c>
      <c r="I534" t="inlineStr">
        <is>
          <t>NO_DOCUMENT</t>
        </is>
      </c>
    </row>
    <row r="535">
      <c r="A535" t="inlineStr">
        <is>
          <t>VISUAL TURISMO LTDA</t>
        </is>
      </c>
      <c r="B535" s="10" t="n">
        <v>301335.05</v>
      </c>
      <c r="C535" t="inlineStr">
        <is>
          <t>GateKeeper | Recuperação Judicial em São Paulo – Ética, técnica e profissionalismo na administração judicial de processos de recuperação e falência.</t>
        </is>
      </c>
      <c r="D535" t="inlineStr">
        <is>
          <t>0255180-67.2007.8.26.0100</t>
        </is>
      </c>
      <c r="E535" t="inlineStr">
        <is>
          <t>QGC</t>
        </is>
      </c>
      <c r="F535" t="inlineStr">
        <is>
          <t>OK</t>
        </is>
      </c>
      <c r="G535" s="19" t="inlineStr">
        <is>
          <t>https://gatekeeperaj.com.br/wp-content/uploads/2026/03/BRA2_merged.pdf</t>
        </is>
      </c>
      <c r="H535" t="inlineStr">
        <is>
          <t>p85 r72</t>
        </is>
      </c>
      <c r="I535" t="inlineStr">
        <is>
          <t>NO_DOCUMENT</t>
        </is>
      </c>
    </row>
    <row r="536">
      <c r="A536" t="inlineStr">
        <is>
          <t>VRG LINHAS AÉREAS S.A.</t>
        </is>
      </c>
      <c r="B536" s="10" t="n">
        <v>291865.04</v>
      </c>
      <c r="C536" t="inlineStr">
        <is>
          <t>GateKeeper | Recuperação Judicial em São Paulo – Ética, técnica e profissionalismo na administração judicial de processos de recuperação e falência.</t>
        </is>
      </c>
      <c r="D536" t="inlineStr">
        <is>
          <t>0255180-67.2007.8.26.0100</t>
        </is>
      </c>
      <c r="E536" t="inlineStr">
        <is>
          <t>QGC</t>
        </is>
      </c>
      <c r="F536" t="inlineStr">
        <is>
          <t>OK</t>
        </is>
      </c>
      <c r="G536" s="19" t="inlineStr">
        <is>
          <t>https://gatekeeperaj.com.br/wp-content/uploads/2026/03/BRA2_merged.pdf</t>
        </is>
      </c>
      <c r="H536" t="inlineStr">
        <is>
          <t>p86 r4</t>
        </is>
      </c>
      <c r="I536" t="inlineStr">
        <is>
          <t>NO_DOCUMENT</t>
        </is>
      </c>
    </row>
    <row r="537">
      <c r="A537" t="inlineStr">
        <is>
          <t>MILLENIUM EMPREITEIRA &amp; CONSTRUÇÃO CIVIL LTDA</t>
        </is>
      </c>
      <c r="B537" s="10" t="n">
        <v>280335.34</v>
      </c>
      <c r="C537" t="inlineStr">
        <is>
          <t>GateKeeper | Recuperação Judicial em São Paulo – Ética, técnica e profissionalismo na administração judicial de processos de recuperação e falência.</t>
        </is>
      </c>
      <c r="D537" t="inlineStr">
        <is>
          <t>0255180-67.2007.8.26.0100</t>
        </is>
      </c>
      <c r="E537" t="inlineStr">
        <is>
          <t>QGC</t>
        </is>
      </c>
      <c r="F537" t="inlineStr">
        <is>
          <t>OK</t>
        </is>
      </c>
      <c r="G537" s="19" t="inlineStr">
        <is>
          <t>https://gatekeeperaj.com.br/wp-content/uploads/2026/03/BRA2_merged.pdf</t>
        </is>
      </c>
      <c r="H537" t="inlineStr">
        <is>
          <t>p59 r64</t>
        </is>
      </c>
      <c r="I537" t="inlineStr">
        <is>
          <t>NO_DOCUMENT</t>
        </is>
      </c>
    </row>
    <row r="538">
      <c r="A538" t="inlineStr">
        <is>
          <t>JRS IMP S/ JULHO</t>
        </is>
      </c>
      <c r="B538" s="10" t="n">
        <v>271778.02</v>
      </c>
      <c r="C538" t="inlineStr">
        <is>
          <t>GateKeeper | Recuperação Judicial em São Paulo – Ética, técnica e profissionalismo na administração judicial de processos de recuperação e falência.</t>
        </is>
      </c>
      <c r="D538" t="inlineStr">
        <is>
          <t>0255180-67.2007.8.26.0100</t>
        </is>
      </c>
      <c r="E538" t="inlineStr">
        <is>
          <t>QGC</t>
        </is>
      </c>
      <c r="F538" t="inlineStr">
        <is>
          <t>OK</t>
        </is>
      </c>
      <c r="G538" s="19" t="inlineStr">
        <is>
          <t>https://gatekeeperaj.com.br/wp-content/uploads/2026/03/BRA2_merged.pdf</t>
        </is>
      </c>
      <c r="H538" t="inlineStr">
        <is>
          <t>p50 r15</t>
        </is>
      </c>
      <c r="I538" t="inlineStr">
        <is>
          <t>NO_DOCUMENT</t>
        </is>
      </c>
    </row>
    <row r="539">
      <c r="A539" t="inlineStr">
        <is>
          <t>SÉRGIO EDWARD VIEIRA</t>
        </is>
      </c>
      <c r="B539" s="10" t="n">
        <v>270176.06</v>
      </c>
      <c r="C539" t="inlineStr">
        <is>
          <t>GateKeeper | Recuperação Judicial em São Paulo – Ética, técnica e profissionalismo na administração judicial de processos de recuperação e falência.</t>
        </is>
      </c>
      <c r="D539" t="inlineStr">
        <is>
          <t>0255180-67.2007.8.26.0100</t>
        </is>
      </c>
      <c r="E539" t="inlineStr">
        <is>
          <t>QGC</t>
        </is>
      </c>
      <c r="F539" t="inlineStr">
        <is>
          <t>OK</t>
        </is>
      </c>
      <c r="G539" s="19" t="inlineStr">
        <is>
          <t>https://gatekeeperaj.com.br/wp-content/uploads/2026/03/BRA2_merged.pdf</t>
        </is>
      </c>
      <c r="H539" t="inlineStr">
        <is>
          <t>p75 r62</t>
        </is>
      </c>
      <c r="I539" t="inlineStr">
        <is>
          <t>NO_DOCUMENT</t>
        </is>
      </c>
    </row>
    <row r="540">
      <c r="A540" t="inlineStr">
        <is>
          <t>SINDICATO DOS AEROVIÁRIOS DE PORTO ALEGRE</t>
        </is>
      </c>
      <c r="B540" s="10" t="n">
        <v>264743.29</v>
      </c>
      <c r="C540" t="inlineStr">
        <is>
          <t>GateKeeper | Recuperação Judicial em São Paulo – Ética, técnica e profissionalismo na administração judicial de processos de recuperação e falência.</t>
        </is>
      </c>
      <c r="D540" t="inlineStr">
        <is>
          <t>0255180-67.2007.8.26.0100</t>
        </is>
      </c>
      <c r="E540" t="inlineStr">
        <is>
          <t>QGC</t>
        </is>
      </c>
      <c r="F540" t="inlineStr">
        <is>
          <t>OK</t>
        </is>
      </c>
      <c r="G540" s="19" t="inlineStr">
        <is>
          <t>https://gatekeeperaj.com.br/wp-content/uploads/2026/03/BRA2_merged.pdf</t>
        </is>
      </c>
      <c r="H540" t="inlineStr">
        <is>
          <t>p80 r66</t>
        </is>
      </c>
      <c r="I540" t="inlineStr">
        <is>
          <t>NO_DOCUMENT</t>
        </is>
      </c>
    </row>
    <row r="541">
      <c r="A541" t="inlineStr">
        <is>
          <t>MASTER FREIGHT TRANSP. INTERNAC. LT</t>
        </is>
      </c>
      <c r="B541" s="10" t="n">
        <v>260578.06</v>
      </c>
      <c r="C541" t="inlineStr">
        <is>
          <t>GateKeeper | Recuperação Judicial em São Paulo – Ética, técnica e profissionalismo na administração judicial de processos de recuperação e falência.</t>
        </is>
      </c>
      <c r="D541" t="inlineStr">
        <is>
          <t>0255180-67.2007.8.26.0100</t>
        </is>
      </c>
      <c r="E541" t="inlineStr">
        <is>
          <t>QGC</t>
        </is>
      </c>
      <c r="F541" t="inlineStr">
        <is>
          <t>OK</t>
        </is>
      </c>
      <c r="G541" s="19" t="inlineStr">
        <is>
          <t>https://gatekeeperaj.com.br/wp-content/uploads/2026/03/BRA2_merged.pdf</t>
        </is>
      </c>
      <c r="H541" t="inlineStr">
        <is>
          <t>p57 r72</t>
        </is>
      </c>
      <c r="I541" t="inlineStr">
        <is>
          <t>NO_DOCUMENT</t>
        </is>
      </c>
    </row>
    <row r="542">
      <c r="A542" t="inlineStr">
        <is>
          <t>AEROCOOPE</t>
        </is>
      </c>
      <c r="B542" s="10" t="n">
        <v>235884.07</v>
      </c>
      <c r="C542" t="inlineStr">
        <is>
          <t>GateKeeper | Recuperação Judicial em São Paulo – Ética, técnica e profissionalismo na administração judicial de processos de recuperação e falência.</t>
        </is>
      </c>
      <c r="D542" t="inlineStr">
        <is>
          <t>0255180-67.2007.8.26.0100</t>
        </is>
      </c>
      <c r="E542" t="inlineStr">
        <is>
          <t>QGC</t>
        </is>
      </c>
      <c r="F542" t="inlineStr">
        <is>
          <t>OK</t>
        </is>
      </c>
      <c r="G542" s="19" t="inlineStr">
        <is>
          <t>https://gatekeeperaj.com.br/wp-content/uploads/2026/03/BRA2_merged.pdf</t>
        </is>
      </c>
      <c r="H542" t="inlineStr">
        <is>
          <t>p17 r10</t>
        </is>
      </c>
      <c r="I542" t="inlineStr">
        <is>
          <t>NO_DOCUMENT</t>
        </is>
      </c>
    </row>
    <row r="543">
      <c r="A543" t="inlineStr">
        <is>
          <t>HOTEL AASTHA LTDA.</t>
        </is>
      </c>
      <c r="B543" s="10" t="n">
        <v>235435.16</v>
      </c>
      <c r="C543" t="inlineStr">
        <is>
          <t>GateKeeper | Recuperação Judicial em São Paulo – Ética, técnica e profissionalismo na administração judicial de processos de recuperação e falência.</t>
        </is>
      </c>
      <c r="D543" t="inlineStr">
        <is>
          <t>0255180-67.2007.8.26.0100</t>
        </is>
      </c>
      <c r="E543" t="inlineStr">
        <is>
          <t>QGC</t>
        </is>
      </c>
      <c r="F543" t="inlineStr">
        <is>
          <t>OK</t>
        </is>
      </c>
      <c r="G543" s="19" t="inlineStr">
        <is>
          <t>https://gatekeeperaj.com.br/wp-content/uploads/2026/03/BRA2_merged.pdf</t>
        </is>
      </c>
      <c r="H543" t="inlineStr">
        <is>
          <t>p47 r63</t>
        </is>
      </c>
      <c r="I543" t="inlineStr">
        <is>
          <t>NO_DOCUMENT</t>
        </is>
      </c>
    </row>
    <row r="544">
      <c r="A544" t="inlineStr">
        <is>
          <t>VIACÃO AEREA SÃO PAULO S/A VASP</t>
        </is>
      </c>
      <c r="B544" s="10" t="n">
        <v>223499.3</v>
      </c>
      <c r="C544" t="inlineStr">
        <is>
          <t>GateKeeper | Recuperação Judicial em São Paulo – Ética, técnica e profissionalismo na administração judicial de processos de recuperação e falência.</t>
        </is>
      </c>
      <c r="D544" t="inlineStr">
        <is>
          <t>0255180-67.2007.8.26.0100</t>
        </is>
      </c>
      <c r="E544" t="inlineStr">
        <is>
          <t>QGC</t>
        </is>
      </c>
      <c r="F544" t="inlineStr">
        <is>
          <t>OK</t>
        </is>
      </c>
      <c r="G544" s="19" t="inlineStr">
        <is>
          <t>https://gatekeeperaj.com.br/wp-content/uploads/2026/03/BRA2_merged.pdf</t>
        </is>
      </c>
      <c r="H544" t="inlineStr">
        <is>
          <t>p85 r29</t>
        </is>
      </c>
      <c r="I544" t="inlineStr">
        <is>
          <t>NO_DOCUMENT</t>
        </is>
      </c>
    </row>
    <row r="545">
      <c r="A545" t="inlineStr">
        <is>
          <t>JOSÉ EUDES BAYER</t>
        </is>
      </c>
      <c r="B545" s="10" t="n">
        <v>216571.94</v>
      </c>
      <c r="C545" t="inlineStr">
        <is>
          <t>GateKeeper | Recuperação Judicial em São Paulo – Ética, técnica e profissionalismo na administração judicial de processos de recuperação e falência.</t>
        </is>
      </c>
      <c r="D545" t="inlineStr">
        <is>
          <t>0255180-67.2007.8.26.0100</t>
        </is>
      </c>
      <c r="E545" t="inlineStr">
        <is>
          <t>QGC</t>
        </is>
      </c>
      <c r="F545" t="inlineStr">
        <is>
          <t>OK</t>
        </is>
      </c>
      <c r="G545" s="19" t="inlineStr">
        <is>
          <t>https://gatekeeperaj.com.br/wp-content/uploads/2026/03/BRA2_merged.pdf</t>
        </is>
      </c>
      <c r="H545" t="inlineStr">
        <is>
          <t>p49 r54</t>
        </is>
      </c>
      <c r="I545" t="inlineStr">
        <is>
          <t>NO_DOCUMENT</t>
        </is>
      </c>
    </row>
    <row r="546">
      <c r="A546" t="inlineStr">
        <is>
          <t>RM SERVIÇOS AUXILIARES DE TRANSP. A</t>
        </is>
      </c>
      <c r="B546" s="10" t="n">
        <v>211617.71</v>
      </c>
      <c r="C546" t="inlineStr">
        <is>
          <t>GateKeeper | Recuperação Judicial em São Paulo – Ética, técnica e profissionalismo na administração judicial de processos de recuperação e falência.</t>
        </is>
      </c>
      <c r="D546" t="inlineStr">
        <is>
          <t>0255180-67.2007.8.26.0100</t>
        </is>
      </c>
      <c r="E546" t="inlineStr">
        <is>
          <t>QGC</t>
        </is>
      </c>
      <c r="F546" t="inlineStr">
        <is>
          <t>OK</t>
        </is>
      </c>
      <c r="G546" s="19" t="inlineStr">
        <is>
          <t>https://gatekeeperaj.com.br/wp-content/uploads/2026/03/BRA2_merged.pdf</t>
        </is>
      </c>
      <c r="H546" t="inlineStr">
        <is>
          <t>p70 r62</t>
        </is>
      </c>
      <c r="I546" t="inlineStr">
        <is>
          <t>NO_DOCUMENT</t>
        </is>
      </c>
    </row>
    <row r="547">
      <c r="A547" t="inlineStr">
        <is>
          <t>TÊXTIL TABACOW S.A.</t>
        </is>
      </c>
      <c r="B547" s="10" t="n">
        <v>204105.73</v>
      </c>
      <c r="C547" t="inlineStr">
        <is>
          <t>GateKeeper | Recuperação Judicial em São Paulo – Ética, técnica e profissionalismo na administração judicial de processos de recuperação e falência.</t>
        </is>
      </c>
      <c r="D547" t="inlineStr">
        <is>
          <t>0255180-67.2007.8.26.0100</t>
        </is>
      </c>
      <c r="E547" t="inlineStr">
        <is>
          <t>QGC</t>
        </is>
      </c>
      <c r="F547" t="inlineStr">
        <is>
          <t>OK</t>
        </is>
      </c>
      <c r="G547" s="19" t="inlineStr">
        <is>
          <t>https://gatekeeperaj.com.br/wp-content/uploads/2026/03/BRA2_merged.pdf</t>
        </is>
      </c>
      <c r="H547" t="inlineStr">
        <is>
          <t>p84 r4</t>
        </is>
      </c>
      <c r="I547" t="inlineStr">
        <is>
          <t>NO_DOCUMENT</t>
        </is>
      </c>
    </row>
    <row r="548">
      <c r="A548" t="inlineStr">
        <is>
          <t>4</t>
        </is>
      </c>
      <c r="B548" s="10" t="n">
        <v>63912572.43</v>
      </c>
      <c r="C548" t="inlineStr">
        <is>
          <t>GateKeeper | Recuperação Judicial em São Paulo – Ética, técnica e profissionalismo na administração judicial de processos de recuperação e falência.</t>
        </is>
      </c>
      <c r="D548" t="inlineStr">
        <is>
          <t>1005079-94.2024.8.26.0100</t>
        </is>
      </c>
      <c r="E548" t="inlineStr">
        <is>
          <t>QGC</t>
        </is>
      </c>
      <c r="F548" t="inlineStr">
        <is>
          <t>OK</t>
        </is>
      </c>
      <c r="G548" s="19" t="inlineStr">
        <is>
          <t>https://gatekeeperaj.com.br/wp-content/uploads/2026/06/QGC-BERTINI-16.06.2026.pdf</t>
        </is>
      </c>
      <c r="H548" t="inlineStr">
        <is>
          <t>p6 r4</t>
        </is>
      </c>
      <c r="I548" t="inlineStr">
        <is>
          <t>NO_DOCUMENT</t>
        </is>
      </c>
    </row>
    <row r="549">
      <c r="A549" t="inlineStr">
        <is>
          <t>1</t>
        </is>
      </c>
      <c r="B549" s="10" t="n">
        <v>30259382.45</v>
      </c>
      <c r="C549" t="inlineStr">
        <is>
          <t>GateKeeper | Recuperação Judicial em São Paulo – Ética, técnica e profissionalismo na administração judicial de processos de recuperação e falência.</t>
        </is>
      </c>
      <c r="D549" t="inlineStr">
        <is>
          <t>1005079-94.2024.8.26.0100</t>
        </is>
      </c>
      <c r="E549" t="inlineStr">
        <is>
          <t>QGC</t>
        </is>
      </c>
      <c r="F549" t="inlineStr">
        <is>
          <t>OK</t>
        </is>
      </c>
      <c r="G549" s="19" t="inlineStr">
        <is>
          <t>https://gatekeeperaj.com.br/wp-content/uploads/2026/06/QGC-BERTINI-16.06.2026.pdf</t>
        </is>
      </c>
      <c r="H549" t="inlineStr">
        <is>
          <t>p5 r1</t>
        </is>
      </c>
      <c r="I549" t="inlineStr">
        <is>
          <t>NO_DOCUMENT</t>
        </is>
      </c>
    </row>
    <row r="550">
      <c r="A550" t="inlineStr">
        <is>
          <t>ALBAUGH AGRO BRASIL LTDA</t>
        </is>
      </c>
      <c r="B550" s="10" t="n">
        <v>12147848.64</v>
      </c>
      <c r="C550" t="inlineStr">
        <is>
          <t>5004592-19.2024.8.21.0028 | CB2D</t>
        </is>
      </c>
      <c r="D550" t="inlineStr">
        <is>
          <t>5004592-19.2024.8.21.0028</t>
        </is>
      </c>
      <c r="E550" t="inlineStr">
        <is>
          <t>AJ_LIST</t>
        </is>
      </c>
      <c r="F550" t="inlineStr">
        <is>
          <t>OK_NO_TOTALS</t>
        </is>
      </c>
      <c r="G550" s="19" t="inlineStr">
        <is>
          <t>https://www.cb2d.com.br/portal/_uploads/4270e808-8367-4c04-a7ae-240724b24512.pdf</t>
        </is>
      </c>
      <c r="H550" t="inlineStr">
        <is>
          <t>p2 r6</t>
        </is>
      </c>
      <c r="I550" t="inlineStr">
        <is>
          <t>NO_DOCUMENT</t>
        </is>
      </c>
    </row>
    <row r="551">
      <c r="A551" t="inlineStr">
        <is>
          <t>BANCO DO BRASIL S.A</t>
        </is>
      </c>
      <c r="B551" s="10" t="n">
        <v>8911955.960000001</v>
      </c>
      <c r="C551" t="inlineStr">
        <is>
          <t>5004592-19.2024.8.21.0028 | CB2D</t>
        </is>
      </c>
      <c r="D551" t="inlineStr">
        <is>
          <t>5004592-19.2024.8.21.0028</t>
        </is>
      </c>
      <c r="E551" t="inlineStr">
        <is>
          <t>AJ_LIST</t>
        </is>
      </c>
      <c r="F551" t="inlineStr">
        <is>
          <t>OK_NO_TOTALS</t>
        </is>
      </c>
      <c r="G551" s="19" t="inlineStr">
        <is>
          <t>https://www.cb2d.com.br/portal/_uploads/4270e808-8367-4c04-a7ae-240724b24512.pdf</t>
        </is>
      </c>
      <c r="H551" t="inlineStr">
        <is>
          <t>p2 r17</t>
        </is>
      </c>
      <c r="I551" t="inlineStr">
        <is>
          <t>NO_DOCUMENT</t>
        </is>
      </c>
    </row>
    <row r="552">
      <c r="A552" t="inlineStr">
        <is>
          <t>RUWER &amp; RUWER LTDA</t>
        </is>
      </c>
      <c r="B552" s="10" t="n">
        <v>5952931.79</v>
      </c>
      <c r="C552" t="inlineStr">
        <is>
          <t>5004592-19.2024.8.21.0028 | CB2D</t>
        </is>
      </c>
      <c r="D552" t="inlineStr">
        <is>
          <t>5004592-19.2024.8.21.0028</t>
        </is>
      </c>
      <c r="E552" t="inlineStr">
        <is>
          <t>AJ_LIST</t>
        </is>
      </c>
      <c r="F552" t="inlineStr">
        <is>
          <t>OK_NO_TOTALS</t>
        </is>
      </c>
      <c r="G552" s="19" t="inlineStr">
        <is>
          <t>https://www.cb2d.com.br/portal/_uploads/4270e808-8367-4c04-a7ae-240724b24512.pdf</t>
        </is>
      </c>
      <c r="H552" t="inlineStr">
        <is>
          <t>p2 r83</t>
        </is>
      </c>
      <c r="I552" t="inlineStr">
        <is>
          <t>NO_DOCUMENT</t>
        </is>
      </c>
    </row>
    <row r="553">
      <c r="A553" t="inlineStr">
        <is>
          <t>BANCO PINE S.A</t>
        </is>
      </c>
      <c r="B553" s="10" t="n">
        <v>4146565.66</v>
      </c>
      <c r="C553" t="inlineStr">
        <is>
          <t>5004592-19.2024.8.21.0028 | CB2D</t>
        </is>
      </c>
      <c r="D553" t="inlineStr">
        <is>
          <t>5004592-19.2024.8.21.0028</t>
        </is>
      </c>
      <c r="E553" t="inlineStr">
        <is>
          <t>AJ_LIST</t>
        </is>
      </c>
      <c r="F553" t="inlineStr">
        <is>
          <t>OK_NO_TOTALS</t>
        </is>
      </c>
      <c r="G553" s="19" t="inlineStr">
        <is>
          <t>https://www.cb2d.com.br/portal/_uploads/4270e808-8367-4c04-a7ae-240724b24512.pdf</t>
        </is>
      </c>
      <c r="H553" t="inlineStr">
        <is>
          <t>p2 r19</t>
        </is>
      </c>
      <c r="I553" t="inlineStr">
        <is>
          <t>NO_DOCUMENT</t>
        </is>
      </c>
    </row>
    <row r="554">
      <c r="A554" t="inlineStr">
        <is>
          <t>BANCO BRADESCO S.A</t>
        </is>
      </c>
      <c r="B554" s="10" t="n">
        <v>4141676.93</v>
      </c>
      <c r="C554" t="inlineStr">
        <is>
          <t>5004592-19.2024.8.21.0028 | CB2D</t>
        </is>
      </c>
      <c r="D554" t="inlineStr">
        <is>
          <t>5004592-19.2024.8.21.0028</t>
        </is>
      </c>
      <c r="E554" t="inlineStr">
        <is>
          <t>AJ_LIST</t>
        </is>
      </c>
      <c r="F554" t="inlineStr">
        <is>
          <t>OK_NO_TOTALS</t>
        </is>
      </c>
      <c r="G554" s="19" t="inlineStr">
        <is>
          <t>https://www.cb2d.com.br/portal/_uploads/4270e808-8367-4c04-a7ae-240724b24512.pdf</t>
        </is>
      </c>
      <c r="H554" t="inlineStr">
        <is>
          <t>p2 r16</t>
        </is>
      </c>
      <c r="I554" t="inlineStr">
        <is>
          <t>NO_DOCUMENT</t>
        </is>
      </c>
    </row>
    <row r="555">
      <c r="A555" t="inlineStr">
        <is>
          <t>RAINBOW DEFENSIVOS AGRÍCOLAS LTDA</t>
        </is>
      </c>
      <c r="B555" s="10" t="n">
        <v>2854410</v>
      </c>
      <c r="C555" t="inlineStr">
        <is>
          <t>5004592-19.2024.8.21.0028 | CB2D</t>
        </is>
      </c>
      <c r="D555" t="inlineStr">
        <is>
          <t>5004592-19.2024.8.21.0028</t>
        </is>
      </c>
      <c r="E555" t="inlineStr">
        <is>
          <t>AJ_LIST</t>
        </is>
      </c>
      <c r="F555" t="inlineStr">
        <is>
          <t>OK_NO_TOTALS</t>
        </is>
      </c>
      <c r="G555" s="19" t="inlineStr">
        <is>
          <t>https://www.cb2d.com.br/portal/_uploads/4270e808-8367-4c04-a7ae-240724b24512.pdf</t>
        </is>
      </c>
      <c r="H555" t="inlineStr">
        <is>
          <t>p2 r80</t>
        </is>
      </c>
      <c r="I555" t="inlineStr">
        <is>
          <t>NO_DOCUMENT</t>
        </is>
      </c>
    </row>
    <row r="556">
      <c r="A556" t="inlineStr">
        <is>
          <t>COFCO INTERNATIONAL BRASIL S.A</t>
        </is>
      </c>
      <c r="B556" s="10" t="n">
        <v>2340778.96</v>
      </c>
      <c r="C556" t="inlineStr">
        <is>
          <t>5004592-19.2024.8.21.0028 | CB2D</t>
        </is>
      </c>
      <c r="D556" t="inlineStr">
        <is>
          <t>5004592-19.2024.8.21.0028</t>
        </is>
      </c>
      <c r="E556" t="inlineStr">
        <is>
          <t>AJ_LIST</t>
        </is>
      </c>
      <c r="F556" t="inlineStr">
        <is>
          <t>OK_NO_TOTALS</t>
        </is>
      </c>
      <c r="G556" s="19" t="inlineStr">
        <is>
          <t>https://www.cb2d.com.br/portal/_uploads/4270e808-8367-4c04-a7ae-240724b24512.pdf</t>
        </is>
      </c>
      <c r="H556" t="inlineStr">
        <is>
          <t>p2 r28</t>
        </is>
      </c>
      <c r="I556" t="inlineStr">
        <is>
          <t>NO_DOCUMENT</t>
        </is>
      </c>
    </row>
    <row r="557">
      <c r="A557" t="inlineStr">
        <is>
          <t>AVELINO LEITZKE</t>
        </is>
      </c>
      <c r="B557" s="10" t="n">
        <v>2330013.34</v>
      </c>
      <c r="C557" t="inlineStr">
        <is>
          <t>5004592-19.2024.8.21.0028 | CB2D</t>
        </is>
      </c>
      <c r="D557" t="inlineStr">
        <is>
          <t>5004592-19.2024.8.21.0028</t>
        </is>
      </c>
      <c r="E557" t="inlineStr">
        <is>
          <t>AJ_LIST</t>
        </is>
      </c>
      <c r="F557" t="inlineStr">
        <is>
          <t>OK_NO_TOTALS</t>
        </is>
      </c>
      <c r="G557" s="19" t="inlineStr">
        <is>
          <t>https://www.cb2d.com.br/portal/_uploads/4270e808-8367-4c04-a7ae-240724b24512.pdf</t>
        </is>
      </c>
      <c r="H557" t="inlineStr">
        <is>
          <t>p2 r15</t>
        </is>
      </c>
      <c r="I557" t="inlineStr">
        <is>
          <t>NO_DOCUMENT</t>
        </is>
      </c>
    </row>
    <row r="558">
      <c r="A558" t="inlineStr">
        <is>
          <t>CIBRAFERTIL COMPANHIA BRASILEIRA DE FERTILIZANTES</t>
        </is>
      </c>
      <c r="B558" s="10" t="n">
        <v>2229212.41</v>
      </c>
      <c r="C558" t="inlineStr">
        <is>
          <t>5004592-19.2024.8.21.0028 | CB2D</t>
        </is>
      </c>
      <c r="D558" t="inlineStr">
        <is>
          <t>5004592-19.2024.8.21.0028</t>
        </is>
      </c>
      <c r="E558" t="inlineStr">
        <is>
          <t>AJ_LIST</t>
        </is>
      </c>
      <c r="F558" t="inlineStr">
        <is>
          <t>OK_NO_TOTALS</t>
        </is>
      </c>
      <c r="G558" s="19" t="inlineStr">
        <is>
          <t>https://www.cb2d.com.br/portal/_uploads/4270e808-8367-4c04-a7ae-240724b24512.pdf</t>
        </is>
      </c>
      <c r="H558" t="inlineStr">
        <is>
          <t>p2 r25</t>
        </is>
      </c>
      <c r="I558" t="inlineStr">
        <is>
          <t>NO_DOCUMENT</t>
        </is>
      </c>
    </row>
    <row r="559">
      <c r="A559" t="inlineStr">
        <is>
          <t>CROPCHEM LTDA</t>
        </is>
      </c>
      <c r="B559" s="10" t="n">
        <v>2211656.8</v>
      </c>
      <c r="C559" t="inlineStr">
        <is>
          <t>5004592-19.2024.8.21.0028 | CB2D</t>
        </is>
      </c>
      <c r="D559" t="inlineStr">
        <is>
          <t>5004592-19.2024.8.21.0028</t>
        </is>
      </c>
      <c r="E559" t="inlineStr">
        <is>
          <t>AJ_LIST</t>
        </is>
      </c>
      <c r="F559" t="inlineStr">
        <is>
          <t>OK_NO_TOTALS</t>
        </is>
      </c>
      <c r="G559" s="19" t="inlineStr">
        <is>
          <t>https://www.cb2d.com.br/portal/_uploads/4270e808-8367-4c04-a7ae-240724b24512.pdf</t>
        </is>
      </c>
      <c r="H559" t="inlineStr">
        <is>
          <t>p2 r32</t>
        </is>
      </c>
      <c r="I559" t="inlineStr">
        <is>
          <t>NO_DOCUMENT</t>
        </is>
      </c>
    </row>
    <row r="560">
      <c r="A560" t="inlineStr">
        <is>
          <t>AMAGGI EXPORTAÇÃO E IMPORTAÇÃO LTDA</t>
        </is>
      </c>
      <c r="B560" s="10" t="n">
        <v>1660798.8</v>
      </c>
      <c r="C560" t="inlineStr">
        <is>
          <t>5004592-19.2024.8.21.0028 | CB2D</t>
        </is>
      </c>
      <c r="D560" t="inlineStr">
        <is>
          <t>5004592-19.2024.8.21.0028</t>
        </is>
      </c>
      <c r="E560" t="inlineStr">
        <is>
          <t>AJ_LIST</t>
        </is>
      </c>
      <c r="F560" t="inlineStr">
        <is>
          <t>OK_NO_TOTALS</t>
        </is>
      </c>
      <c r="G560" s="19" t="inlineStr">
        <is>
          <t>https://www.cb2d.com.br/portal/_uploads/4270e808-8367-4c04-a7ae-240724b24512.pdf</t>
        </is>
      </c>
      <c r="H560" t="inlineStr">
        <is>
          <t>p2 r7</t>
        </is>
      </c>
      <c r="I560" t="inlineStr">
        <is>
          <t>NO_DOCUMENT</t>
        </is>
      </c>
    </row>
    <row r="561">
      <c r="A561" t="inlineStr">
        <is>
          <t>VIRO JOSE RUWER</t>
        </is>
      </c>
      <c r="B561" s="10" t="n">
        <v>1352984.72</v>
      </c>
      <c r="C561" t="inlineStr">
        <is>
          <t>5004592-19.2024.8.21.0028 | CB2D</t>
        </is>
      </c>
      <c r="D561" t="inlineStr">
        <is>
          <t>5004592-19.2024.8.21.0028</t>
        </is>
      </c>
      <c r="E561" t="inlineStr">
        <is>
          <t>AJ_LIST</t>
        </is>
      </c>
      <c r="F561" t="inlineStr">
        <is>
          <t>OK_NO_TOTALS</t>
        </is>
      </c>
      <c r="G561" s="19" t="inlineStr">
        <is>
          <t>https://www.cb2d.com.br/portal/_uploads/4270e808-8367-4c04-a7ae-240724b24512.pdf</t>
        </is>
      </c>
      <c r="H561" t="inlineStr">
        <is>
          <t>p2 r107</t>
        </is>
      </c>
      <c r="I561" t="inlineStr">
        <is>
          <t>NO_DOCUMENT</t>
        </is>
      </c>
    </row>
    <row r="562">
      <c r="A562" t="inlineStr">
        <is>
          <t>41, III, LEI 11.1001/2005): ADAMA BRASIL S.A</t>
        </is>
      </c>
      <c r="B562" s="10" t="n">
        <v>1286405.39</v>
      </c>
      <c r="C562" t="inlineStr">
        <is>
          <t>5004592-19.2024.8.21.0028 | CB2D</t>
        </is>
      </c>
      <c r="D562" t="inlineStr">
        <is>
          <t>5004592-19.2024.8.21.0028</t>
        </is>
      </c>
      <c r="E562" t="inlineStr">
        <is>
          <t>AJ_LIST</t>
        </is>
      </c>
      <c r="F562" t="inlineStr">
        <is>
          <t>OK_NO_TOTALS</t>
        </is>
      </c>
      <c r="G562" s="19" t="inlineStr">
        <is>
          <t>https://www.cb2d.com.br/portal/_uploads/4270e808-8367-4c04-a7ae-240724b24512.pdf</t>
        </is>
      </c>
      <c r="H562" t="inlineStr">
        <is>
          <t>p2 r1</t>
        </is>
      </c>
      <c r="I562" t="inlineStr">
        <is>
          <t>NO_DOCUMENT</t>
        </is>
      </c>
    </row>
    <row r="563">
      <c r="A563" t="inlineStr">
        <is>
          <t>SEMENZA REPRESENTAÇÕES, IMPORTAÇÃO E EXPORTAÇÃO LTDA</t>
        </is>
      </c>
      <c r="B563" s="10" t="n">
        <v>851300</v>
      </c>
      <c r="C563" t="inlineStr">
        <is>
          <t>5004592-19.2024.8.21.0028 | CB2D</t>
        </is>
      </c>
      <c r="D563" t="inlineStr">
        <is>
          <t>5004592-19.2024.8.21.0028</t>
        </is>
      </c>
      <c r="E563" t="inlineStr">
        <is>
          <t>AJ_LIST</t>
        </is>
      </c>
      <c r="F563" t="inlineStr">
        <is>
          <t>OK_NO_TOTALS</t>
        </is>
      </c>
      <c r="G563" s="19" t="inlineStr">
        <is>
          <t>https://www.cb2d.com.br/portal/_uploads/4270e808-8367-4c04-a7ae-240724b24512.pdf</t>
        </is>
      </c>
      <c r="H563" t="inlineStr">
        <is>
          <t>p2 r86</t>
        </is>
      </c>
      <c r="I563" t="inlineStr">
        <is>
          <t>NO_DOCUMENT</t>
        </is>
      </c>
    </row>
    <row r="564">
      <c r="A564" t="inlineStr">
        <is>
          <t>SIPCAM NICHINO BRASIL S.A</t>
        </is>
      </c>
      <c r="B564" s="10" t="n">
        <v>577727.66</v>
      </c>
      <c r="C564" t="inlineStr">
        <is>
          <t>5004592-19.2024.8.21.0028 | CB2D</t>
        </is>
      </c>
      <c r="D564" t="inlineStr">
        <is>
          <t>5004592-19.2024.8.21.0028</t>
        </is>
      </c>
      <c r="E564" t="inlineStr">
        <is>
          <t>AJ_LIST</t>
        </is>
      </c>
      <c r="F564" t="inlineStr">
        <is>
          <t>OK_NO_TOTALS</t>
        </is>
      </c>
      <c r="G564" s="19" t="inlineStr">
        <is>
          <t>https://www.cb2d.com.br/portal/_uploads/4270e808-8367-4c04-a7ae-240724b24512.pdf</t>
        </is>
      </c>
      <c r="H564" t="inlineStr">
        <is>
          <t>p2 r88</t>
        </is>
      </c>
      <c r="I564" t="inlineStr">
        <is>
          <t>NO_DOCUMENT</t>
        </is>
      </c>
    </row>
    <row r="565">
      <c r="A565" t="inlineStr">
        <is>
          <t>BANCO DO ESTADO DO RIO GRANDE DO SUL S.A</t>
        </is>
      </c>
      <c r="B565" s="10" t="n">
        <v>571786.33</v>
      </c>
      <c r="C565" t="inlineStr">
        <is>
          <t>5004592-19.2024.8.21.0028 | CB2D</t>
        </is>
      </c>
      <c r="D565" t="inlineStr">
        <is>
          <t>5004592-19.2024.8.21.0028</t>
        </is>
      </c>
      <c r="E565" t="inlineStr">
        <is>
          <t>AJ_LIST</t>
        </is>
      </c>
      <c r="F565" t="inlineStr">
        <is>
          <t>OK_NO_TOTALS</t>
        </is>
      </c>
      <c r="G565" s="19" t="inlineStr">
        <is>
          <t>https://www.cb2d.com.br/portal/_uploads/4270e808-8367-4c04-a7ae-240724b24512.pdf</t>
        </is>
      </c>
      <c r="H565" t="inlineStr">
        <is>
          <t>p2 r18</t>
        </is>
      </c>
      <c r="I565" t="inlineStr">
        <is>
          <t>NO_DOCUMENT</t>
        </is>
      </c>
    </row>
    <row r="566">
      <c r="A566" t="inlineStr">
        <is>
          <t>STOLLER DO BRASIL LTDA</t>
        </is>
      </c>
      <c r="B566" s="10" t="n">
        <v>492462.14</v>
      </c>
      <c r="C566" t="inlineStr">
        <is>
          <t>5004592-19.2024.8.21.0028 | CB2D</t>
        </is>
      </c>
      <c r="D566" t="inlineStr">
        <is>
          <t>5004592-19.2024.8.21.0028</t>
        </is>
      </c>
      <c r="E566" t="inlineStr">
        <is>
          <t>AJ_LIST</t>
        </is>
      </c>
      <c r="F566" t="inlineStr">
        <is>
          <t>OK_NO_TOTALS</t>
        </is>
      </c>
      <c r="G566" s="19" t="inlineStr">
        <is>
          <t>https://www.cb2d.com.br/portal/_uploads/4270e808-8367-4c04-a7ae-240724b24512.pdf</t>
        </is>
      </c>
      <c r="H566" t="inlineStr">
        <is>
          <t>p2 r90</t>
        </is>
      </c>
      <c r="I566" t="inlineStr">
        <is>
          <t>NO_DOCUMENT</t>
        </is>
      </c>
    </row>
    <row r="567">
      <c r="A567" t="inlineStr">
        <is>
          <t>TRADECORP DO BRASIL COMÉRCIO DE INSUMOS AGRÍCOLAS LTDA</t>
        </is>
      </c>
      <c r="B567" s="10" t="n">
        <v>423880</v>
      </c>
      <c r="C567" t="inlineStr">
        <is>
          <t>5004592-19.2024.8.21.0028 | CB2D</t>
        </is>
      </c>
      <c r="D567" t="inlineStr">
        <is>
          <t>5004592-19.2024.8.21.0028</t>
        </is>
      </c>
      <c r="E567" t="inlineStr">
        <is>
          <t>AJ_LIST</t>
        </is>
      </c>
      <c r="F567" t="inlineStr">
        <is>
          <t>OK_NO_TOTALS</t>
        </is>
      </c>
      <c r="G567" s="19" t="inlineStr">
        <is>
          <t>https://www.cb2d.com.br/portal/_uploads/4270e808-8367-4c04-a7ae-240724b24512.pdf</t>
        </is>
      </c>
      <c r="H567" t="inlineStr">
        <is>
          <t>p2 r93</t>
        </is>
      </c>
      <c r="I567" t="inlineStr">
        <is>
          <t>NO_DOCUMENT</t>
        </is>
      </c>
    </row>
    <row r="568">
      <c r="A568" t="inlineStr">
        <is>
          <t>MARLOS JOST</t>
        </is>
      </c>
      <c r="B568" s="10" t="n">
        <v>350694.44</v>
      </c>
      <c r="C568" t="inlineStr">
        <is>
          <t>5004592-19.2024.8.21.0028 | CB2D</t>
        </is>
      </c>
      <c r="D568" t="inlineStr">
        <is>
          <t>5004592-19.2024.8.21.0028</t>
        </is>
      </c>
      <c r="E568" t="inlineStr">
        <is>
          <t>AJ_LIST</t>
        </is>
      </c>
      <c r="F568" t="inlineStr">
        <is>
          <t>OK_NO_TOTALS</t>
        </is>
      </c>
      <c r="G568" s="19" t="inlineStr">
        <is>
          <t>https://www.cb2d.com.br/portal/_uploads/4270e808-8367-4c04-a7ae-240724b24512.pdf</t>
        </is>
      </c>
      <c r="H568" t="inlineStr">
        <is>
          <t>p2 r74</t>
        </is>
      </c>
      <c r="I568" t="inlineStr">
        <is>
          <t>NO_DOCUMENT</t>
        </is>
      </c>
    </row>
    <row r="569">
      <c r="A569" t="inlineStr">
        <is>
          <t>VALMOR WALTER BELLINASO</t>
        </is>
      </c>
      <c r="B569" s="10" t="n">
        <v>307500</v>
      </c>
      <c r="C569" t="inlineStr">
        <is>
          <t>5004592-19.2024.8.21.0028 | CB2D</t>
        </is>
      </c>
      <c r="D569" t="inlineStr">
        <is>
          <t>5004592-19.2024.8.21.0028</t>
        </is>
      </c>
      <c r="E569" t="inlineStr">
        <is>
          <t>AJ_LIST</t>
        </is>
      </c>
      <c r="F569" t="inlineStr">
        <is>
          <t>OK_NO_TOTALS</t>
        </is>
      </c>
      <c r="G569" s="19" t="inlineStr">
        <is>
          <t>https://www.cb2d.com.br/portal/_uploads/4270e808-8367-4c04-a7ae-240724b24512.pdf</t>
        </is>
      </c>
      <c r="H569" t="inlineStr">
        <is>
          <t>p2 r101</t>
        </is>
      </c>
      <c r="I569" t="inlineStr">
        <is>
          <t>NO_DOCUMENT</t>
        </is>
      </c>
    </row>
    <row r="570">
      <c r="A570" t="inlineStr">
        <is>
          <t>CATR COMERCIAL AGRÍCOLA LTDA</t>
        </is>
      </c>
      <c r="B570" s="10" t="n">
        <v>292700</v>
      </c>
      <c r="C570" t="inlineStr">
        <is>
          <t>5004592-19.2024.8.21.0028 | CB2D</t>
        </is>
      </c>
      <c r="D570" t="inlineStr">
        <is>
          <t>5004592-19.2024.8.21.0028</t>
        </is>
      </c>
      <c r="E570" t="inlineStr">
        <is>
          <t>AJ_LIST</t>
        </is>
      </c>
      <c r="F570" t="inlineStr">
        <is>
          <t>OK_NO_TOTALS</t>
        </is>
      </c>
      <c r="G570" s="19" t="inlineStr">
        <is>
          <t>https://www.cb2d.com.br/portal/_uploads/4270e808-8367-4c04-a7ae-240724b24512.pdf</t>
        </is>
      </c>
      <c r="H570" t="inlineStr">
        <is>
          <t>p2 r23</t>
        </is>
      </c>
      <c r="I570" t="inlineStr">
        <is>
          <t>NO_DOCUMENT</t>
        </is>
      </c>
    </row>
    <row r="571">
      <c r="A571" t="inlineStr">
        <is>
          <t>FUNDACAO PRO-SEMENTES DE APOIO A PESQUISA</t>
        </is>
      </c>
      <c r="B571" s="10" t="n">
        <v>290516.63</v>
      </c>
      <c r="C571" t="inlineStr">
        <is>
          <t>5004592-19.2024.8.21.0028 | CB2D</t>
        </is>
      </c>
      <c r="D571" t="inlineStr">
        <is>
          <t>5004592-19.2024.8.21.0028</t>
        </is>
      </c>
      <c r="E571" t="inlineStr">
        <is>
          <t>AJ_LIST</t>
        </is>
      </c>
      <c r="F571" t="inlineStr">
        <is>
          <t>OK_NO_TOTALS</t>
        </is>
      </c>
      <c r="G571" s="19" t="inlineStr">
        <is>
          <t>https://www.cb2d.com.br/portal/_uploads/4270e808-8367-4c04-a7ae-240724b24512.pdf</t>
        </is>
      </c>
      <c r="H571" t="inlineStr">
        <is>
          <t>p2 r50</t>
        </is>
      </c>
      <c r="I571" t="inlineStr">
        <is>
          <t>NO_DOCUMENT</t>
        </is>
      </c>
    </row>
    <row r="572">
      <c r="A572" t="inlineStr">
        <is>
          <t>JOSE CARLOS STEFANELLO SCAPIN</t>
        </is>
      </c>
      <c r="B572" s="10" t="n">
        <v>287405</v>
      </c>
      <c r="C572" t="inlineStr">
        <is>
          <t>5004592-19.2024.8.21.0028 | CB2D</t>
        </is>
      </c>
      <c r="D572" t="inlineStr">
        <is>
          <t>5004592-19.2024.8.21.0028</t>
        </is>
      </c>
      <c r="E572" t="inlineStr">
        <is>
          <t>AJ_LIST</t>
        </is>
      </c>
      <c r="F572" t="inlineStr">
        <is>
          <t>OK_NO_TOTALS</t>
        </is>
      </c>
      <c r="G572" s="19" t="inlineStr">
        <is>
          <t>https://www.cb2d.com.br/portal/_uploads/4270e808-8367-4c04-a7ae-240724b24512.pdf</t>
        </is>
      </c>
      <c r="H572" t="inlineStr">
        <is>
          <t>p2 r64</t>
        </is>
      </c>
      <c r="I572" t="inlineStr">
        <is>
          <t>NO_DOCUMENT</t>
        </is>
      </c>
    </row>
    <row r="573">
      <c r="A573" t="inlineStr">
        <is>
          <t>BANCO SANTANDER (BRASIL) S.A</t>
        </is>
      </c>
      <c r="B573" s="10" t="n">
        <v>286687.72</v>
      </c>
      <c r="C573" t="inlineStr">
        <is>
          <t>5004592-19.2024.8.21.0028 | CB2D</t>
        </is>
      </c>
      <c r="D573" t="inlineStr">
        <is>
          <t>5004592-19.2024.8.21.0028</t>
        </is>
      </c>
      <c r="E573" t="inlineStr">
        <is>
          <t>AJ_LIST</t>
        </is>
      </c>
      <c r="F573" t="inlineStr">
        <is>
          <t>OK_NO_TOTALS</t>
        </is>
      </c>
      <c r="G573" s="19" t="inlineStr">
        <is>
          <t>https://www.cb2d.com.br/portal/_uploads/4270e808-8367-4c04-a7ae-240724b24512.pdf</t>
        </is>
      </c>
      <c r="H573" t="inlineStr">
        <is>
          <t>p2 r20</t>
        </is>
      </c>
      <c r="I573" t="inlineStr">
        <is>
          <t>NO_DOCUMENT</t>
        </is>
      </c>
    </row>
    <row r="574">
      <c r="A574" t="inlineStr">
        <is>
          <t>DIAMANTE INDÚSTRIA E COMÉRCIO LTDA</t>
        </is>
      </c>
      <c r="B574" s="10" t="n">
        <v>229390.16</v>
      </c>
      <c r="C574" t="inlineStr">
        <is>
          <t>5004592-19.2024.8.21.0028 | CB2D</t>
        </is>
      </c>
      <c r="D574" t="inlineStr">
        <is>
          <t>5004592-19.2024.8.21.0028</t>
        </is>
      </c>
      <c r="E574" t="inlineStr">
        <is>
          <t>AJ_LIST</t>
        </is>
      </c>
      <c r="F574" t="inlineStr">
        <is>
          <t>OK_NO_TOTALS</t>
        </is>
      </c>
      <c r="G574" s="19" t="inlineStr">
        <is>
          <t>https://www.cb2d.com.br/portal/_uploads/4270e808-8367-4c04-a7ae-240724b24512.pdf</t>
        </is>
      </c>
      <c r="H574" t="inlineStr">
        <is>
          <t>p2 r38</t>
        </is>
      </c>
      <c r="I574" t="inlineStr">
        <is>
          <t>NO_DOCUMENT</t>
        </is>
      </c>
    </row>
    <row r="575">
      <c r="A575" t="inlineStr">
        <is>
          <t>LEONARDO FABRICIO TABORDA DA LUZ</t>
        </is>
      </c>
      <c r="B575" s="10" t="n">
        <v>220932.85</v>
      </c>
      <c r="C575" t="inlineStr">
        <is>
          <t>5004592-19.2024.8.21.0028 | CB2D</t>
        </is>
      </c>
      <c r="D575" t="inlineStr">
        <is>
          <t>5004592-19.2024.8.21.0028</t>
        </is>
      </c>
      <c r="E575" t="inlineStr">
        <is>
          <t>AJ_LIST</t>
        </is>
      </c>
      <c r="F575" t="inlineStr">
        <is>
          <t>OK_NO_TOTALS</t>
        </is>
      </c>
      <c r="G575" s="19" t="inlineStr">
        <is>
          <t>https://www.cb2d.com.br/portal/_uploads/4270e808-8367-4c04-a7ae-240724b24512.pdf</t>
        </is>
      </c>
      <c r="H575" t="inlineStr">
        <is>
          <t>p2 r65</t>
        </is>
      </c>
      <c r="I575" t="inlineStr">
        <is>
          <t>NO_DOCUMENT</t>
        </is>
      </c>
    </row>
    <row r="576">
      <c r="A576" t="inlineStr">
        <is>
          <t>INDUSTRIA QUÍMICA KIMBERLIT LTDA</t>
        </is>
      </c>
      <c r="B576" s="10" t="n">
        <v>214292</v>
      </c>
      <c r="C576" t="inlineStr">
        <is>
          <t>5004592-19.2024.8.21.0028 | CB2D</t>
        </is>
      </c>
      <c r="D576" t="inlineStr">
        <is>
          <t>5004592-19.2024.8.21.0028</t>
        </is>
      </c>
      <c r="E576" t="inlineStr">
        <is>
          <t>AJ_LIST</t>
        </is>
      </c>
      <c r="F576" t="inlineStr">
        <is>
          <t>OK_NO_TOTALS</t>
        </is>
      </c>
      <c r="G576" s="19" t="inlineStr">
        <is>
          <t>https://www.cb2d.com.br/portal/_uploads/4270e808-8367-4c04-a7ae-240724b24512.pdf</t>
        </is>
      </c>
      <c r="H576" t="inlineStr">
        <is>
          <t>p2 r56</t>
        </is>
      </c>
      <c r="I576" t="inlineStr">
        <is>
          <t>NO_DOCUMENT</t>
        </is>
      </c>
    </row>
    <row r="577">
      <c r="A577" t="inlineStr">
        <is>
          <t>DE SANGOSSE AGROQUÍMICA LTDA</t>
        </is>
      </c>
      <c r="B577" s="10" t="n">
        <v>208320</v>
      </c>
      <c r="C577" t="inlineStr">
        <is>
          <t>5004592-19.2024.8.21.0028 | CB2D</t>
        </is>
      </c>
      <c r="D577" t="inlineStr">
        <is>
          <t>5004592-19.2024.8.21.0028</t>
        </is>
      </c>
      <c r="E577" t="inlineStr">
        <is>
          <t>AJ_LIST</t>
        </is>
      </c>
      <c r="F577" t="inlineStr">
        <is>
          <t>OK_NO_TOTALS</t>
        </is>
      </c>
      <c r="G577" s="19" t="inlineStr">
        <is>
          <t>https://www.cb2d.com.br/portal/_uploads/4270e808-8367-4c04-a7ae-240724b24512.pdf</t>
        </is>
      </c>
      <c r="H577" t="inlineStr">
        <is>
          <t>p2 r33</t>
        </is>
      </c>
      <c r="I577" t="inlineStr">
        <is>
          <t>NO_DOCUMENT</t>
        </is>
      </c>
    </row>
    <row r="578">
      <c r="A578" t="inlineStr">
        <is>
          <t>CECM. DOS TRABALHADORES EM CONSELHOS DE FISCALIZAÇÃO PROFISSIONAL NO MUNICIPIO DO RIO DE JANEIRO LTDA. (CREDISIS/CREDISUL)</t>
        </is>
      </c>
      <c r="B578" s="10" t="n">
        <v>1392406.83</v>
      </c>
      <c r="C578" t="inlineStr">
        <is>
          <t>5007435-75.2024.8.21.0021 | CB2D</t>
        </is>
      </c>
      <c r="D578" t="inlineStr">
        <is>
          <t>5007435-75.2024.8.21.0021</t>
        </is>
      </c>
      <c r="E578" t="inlineStr">
        <is>
          <t>AJ_LIST</t>
        </is>
      </c>
      <c r="F578" t="inlineStr">
        <is>
          <t>OK_NO_TOTALS</t>
        </is>
      </c>
      <c r="G578" s="19" t="inlineStr">
        <is>
          <t>https://www.cb2d.com.br/portal/_uploads/87b1f001-428b-4c8a-ae00-e84bf634a781.pdf</t>
        </is>
      </c>
      <c r="H578" t="inlineStr">
        <is>
          <t>p2 r32</t>
        </is>
      </c>
      <c r="I578" t="inlineStr">
        <is>
          <t>NO_DOCUMENT</t>
        </is>
      </c>
    </row>
    <row r="579">
      <c r="A579" t="inlineStr">
        <is>
          <t>CAIXA ECONÔMICA FEDERAL</t>
        </is>
      </c>
      <c r="B579" s="10" t="n">
        <v>937447.8199999999</v>
      </c>
      <c r="C579" t="inlineStr">
        <is>
          <t>5007435-75.2024.8.21.0021 | CB2D</t>
        </is>
      </c>
      <c r="D579" t="inlineStr">
        <is>
          <t>5007435-75.2024.8.21.0021</t>
        </is>
      </c>
      <c r="E579" t="inlineStr">
        <is>
          <t>AJ_LIST</t>
        </is>
      </c>
      <c r="F579" t="inlineStr">
        <is>
          <t>OK_NO_TOTALS</t>
        </is>
      </c>
      <c r="G579" s="19" t="inlineStr">
        <is>
          <t>https://www.cb2d.com.br/portal/_uploads/87b1f001-428b-4c8a-ae00-e84bf634a781.pdf</t>
        </is>
      </c>
      <c r="H579" t="inlineStr">
        <is>
          <t>p2 r24</t>
        </is>
      </c>
      <c r="I579" t="inlineStr">
        <is>
          <t>NO_DOCUMENT</t>
        </is>
      </c>
    </row>
    <row r="580">
      <c r="A580" t="inlineStr">
        <is>
          <t>LABORE FACTORING LTDA</t>
        </is>
      </c>
      <c r="B580" s="10" t="n">
        <v>752540</v>
      </c>
      <c r="C580" t="inlineStr">
        <is>
          <t>5007435-75.2024.8.21.0021 | CB2D</t>
        </is>
      </c>
      <c r="D580" t="inlineStr">
        <is>
          <t>5007435-75.2024.8.21.0021</t>
        </is>
      </c>
      <c r="E580" t="inlineStr">
        <is>
          <t>AJ_LIST</t>
        </is>
      </c>
      <c r="F580" t="inlineStr">
        <is>
          <t>OK_NO_TOTALS</t>
        </is>
      </c>
      <c r="G580" s="19" t="inlineStr">
        <is>
          <t>https://www.cb2d.com.br/portal/_uploads/87b1f001-428b-4c8a-ae00-e84bf634a781.pdf</t>
        </is>
      </c>
      <c r="H580" t="inlineStr">
        <is>
          <t>p2 r66</t>
        </is>
      </c>
      <c r="I580" t="inlineStr">
        <is>
          <t>NO_DOCUMENT</t>
        </is>
      </c>
    </row>
    <row r="581">
      <c r="A581" t="inlineStr">
        <is>
          <t>ELEANDRO FRANCISCO CAVALETTI</t>
        </is>
      </c>
      <c r="B581" s="10" t="n">
        <v>748010.97</v>
      </c>
      <c r="C581" t="inlineStr">
        <is>
          <t>5007435-75.2024.8.21.0021 | CB2D</t>
        </is>
      </c>
      <c r="D581" t="inlineStr">
        <is>
          <t>5007435-75.2024.8.21.0021</t>
        </is>
      </c>
      <c r="E581" t="inlineStr">
        <is>
          <t>AJ_LIST</t>
        </is>
      </c>
      <c r="F581" t="inlineStr">
        <is>
          <t>OK_NO_TOTALS</t>
        </is>
      </c>
      <c r="G581" s="19" t="inlineStr">
        <is>
          <t>https://www.cb2d.com.br/portal/_uploads/87b1f001-428b-4c8a-ae00-e84bf634a781.pdf</t>
        </is>
      </c>
      <c r="H581" t="inlineStr">
        <is>
          <t>p2 r46</t>
        </is>
      </c>
      <c r="I581" t="inlineStr">
        <is>
          <t>NO_DOCUMENT</t>
        </is>
      </c>
    </row>
    <row r="582">
      <c r="A582" t="inlineStr">
        <is>
          <t>SOLUCRED SECURITIZADORA S.A</t>
        </is>
      </c>
      <c r="B582" s="10" t="n">
        <v>505552.08</v>
      </c>
      <c r="C582" t="inlineStr">
        <is>
          <t>5007435-75.2024.8.21.0021 | CB2D</t>
        </is>
      </c>
      <c r="D582" t="inlineStr">
        <is>
          <t>5007435-75.2024.8.21.0021</t>
        </is>
      </c>
      <c r="E582" t="inlineStr">
        <is>
          <t>AJ_LIST</t>
        </is>
      </c>
      <c r="F582" t="inlineStr">
        <is>
          <t>OK_NO_TOTALS</t>
        </is>
      </c>
      <c r="G582" s="19" t="inlineStr">
        <is>
          <t>https://www.cb2d.com.br/portal/_uploads/87b1f001-428b-4c8a-ae00-e84bf634a781.pdf</t>
        </is>
      </c>
      <c r="H582" t="inlineStr">
        <is>
          <t>p2 r93</t>
        </is>
      </c>
      <c r="I582" t="inlineStr">
        <is>
          <t>NO_DOCUMENT</t>
        </is>
      </c>
    </row>
    <row r="583">
      <c r="A583" t="inlineStr">
        <is>
          <t>TRANSMATHIAS TRANSPORTES E LOGÍSTICA LTDA</t>
        </is>
      </c>
      <c r="B583" s="10" t="n">
        <v>475020.28</v>
      </c>
      <c r="C583" t="inlineStr">
        <is>
          <t>5007435-75.2024.8.21.0021 | CB2D</t>
        </is>
      </c>
      <c r="D583" t="inlineStr">
        <is>
          <t>5007435-75.2024.8.21.0021</t>
        </is>
      </c>
      <c r="E583" t="inlineStr">
        <is>
          <t>AJ_LIST</t>
        </is>
      </c>
      <c r="F583" t="inlineStr">
        <is>
          <t>OK_NO_TOTALS</t>
        </is>
      </c>
      <c r="G583" s="19" t="inlineStr">
        <is>
          <t>https://www.cb2d.com.br/portal/_uploads/87b1f001-428b-4c8a-ae00-e84bf634a781.pdf</t>
        </is>
      </c>
      <c r="H583" t="inlineStr">
        <is>
          <t>p2 r94</t>
        </is>
      </c>
      <c r="I583" t="inlineStr">
        <is>
          <t>NO_DOCUMENT</t>
        </is>
      </c>
    </row>
    <row r="584">
      <c r="A584" t="inlineStr">
        <is>
          <t>BANCO BRADESCO S.A</t>
        </is>
      </c>
      <c r="B584" s="10" t="n">
        <v>475000</v>
      </c>
      <c r="C584" t="inlineStr">
        <is>
          <t>5007435-75.2024.8.21.0021 | CB2D</t>
        </is>
      </c>
      <c r="D584" t="inlineStr">
        <is>
          <t>5007435-75.2024.8.21.0021</t>
        </is>
      </c>
      <c r="E584" t="inlineStr">
        <is>
          <t>AJ_LIST</t>
        </is>
      </c>
      <c r="F584" t="inlineStr">
        <is>
          <t>OK_NO_TOTALS</t>
        </is>
      </c>
      <c r="G584" s="19" t="inlineStr">
        <is>
          <t>https://www.cb2d.com.br/portal/_uploads/87b1f001-428b-4c8a-ae00-e84bf634a781.pdf</t>
        </is>
      </c>
      <c r="H584" t="inlineStr">
        <is>
          <t>p2 r17</t>
        </is>
      </c>
      <c r="I584" t="inlineStr">
        <is>
          <t>NO_DOCUMENT</t>
        </is>
      </c>
    </row>
    <row r="585">
      <c r="A585" t="inlineStr">
        <is>
          <t>SJC BIOENERGIA LTDA</t>
        </is>
      </c>
      <c r="B585" s="10" t="n">
        <v>466475.35</v>
      </c>
      <c r="C585" t="inlineStr">
        <is>
          <t>5007435-75.2024.8.21.0021 | CB2D</t>
        </is>
      </c>
      <c r="D585" t="inlineStr">
        <is>
          <t>5007435-75.2024.8.21.0021</t>
        </is>
      </c>
      <c r="E585" t="inlineStr">
        <is>
          <t>AJ_LIST</t>
        </is>
      </c>
      <c r="F585" t="inlineStr">
        <is>
          <t>OK_NO_TOTALS</t>
        </is>
      </c>
      <c r="G585" s="19" t="inlineStr">
        <is>
          <t>https://www.cb2d.com.br/portal/_uploads/87b1f001-428b-4c8a-ae00-e84bf634a781.pdf</t>
        </is>
      </c>
      <c r="H585" t="inlineStr">
        <is>
          <t>p2 r92</t>
        </is>
      </c>
      <c r="I585" t="inlineStr">
        <is>
          <t>NO_DOCUMENT</t>
        </is>
      </c>
    </row>
    <row r="586">
      <c r="A586" t="inlineStr">
        <is>
          <t>ÁREA 51 COMÉRCIO DE PNEUS E SERVIÇOS AUTOMOTIVOS LTDA</t>
        </is>
      </c>
      <c r="B586" s="10" t="n">
        <v>450000</v>
      </c>
      <c r="C586" t="inlineStr">
        <is>
          <t>5007435-75.2024.8.21.0021 | CB2D</t>
        </is>
      </c>
      <c r="D586" t="inlineStr">
        <is>
          <t>5007435-75.2024.8.21.0021</t>
        </is>
      </c>
      <c r="E586" t="inlineStr">
        <is>
          <t>AJ_LIST</t>
        </is>
      </c>
      <c r="F586" t="inlineStr">
        <is>
          <t>OK_NO_TOTALS</t>
        </is>
      </c>
      <c r="G586" s="19" t="inlineStr">
        <is>
          <t>https://www.cb2d.com.br/portal/_uploads/87b1f001-428b-4c8a-ae00-e84bf634a781.pdf</t>
        </is>
      </c>
      <c r="H586" t="inlineStr">
        <is>
          <t>p2 r15</t>
        </is>
      </c>
      <c r="I586" t="inlineStr">
        <is>
          <t>NO_DOCUMENT</t>
        </is>
      </c>
    </row>
    <row r="587">
      <c r="A587" t="inlineStr">
        <is>
          <t>CAMIL ALIMENTOS S.A</t>
        </is>
      </c>
      <c r="B587" s="10" t="n">
        <v>358283.05</v>
      </c>
      <c r="C587" t="inlineStr">
        <is>
          <t>5007435-75.2024.8.21.0021 | CB2D</t>
        </is>
      </c>
      <c r="D587" t="inlineStr">
        <is>
          <t>5007435-75.2024.8.21.0021</t>
        </is>
      </c>
      <c r="E587" t="inlineStr">
        <is>
          <t>AJ_LIST</t>
        </is>
      </c>
      <c r="F587" t="inlineStr">
        <is>
          <t>OK_NO_TOTALS</t>
        </is>
      </c>
      <c r="G587" s="19" t="inlineStr">
        <is>
          <t>https://www.cb2d.com.br/portal/_uploads/87b1f001-428b-4c8a-ae00-e84bf634a781.pdf</t>
        </is>
      </c>
      <c r="H587" t="inlineStr">
        <is>
          <t>p2 r26</t>
        </is>
      </c>
      <c r="I587" t="inlineStr">
        <is>
          <t>NO_DOCUMENT</t>
        </is>
      </c>
    </row>
    <row r="588">
      <c r="A588" t="inlineStr">
        <is>
          <t>BMP SOCIEDADE DE CRÉDITO DIRETO S.A</t>
        </is>
      </c>
      <c r="B588" s="10" t="n">
        <v>350189.71</v>
      </c>
      <c r="C588" t="inlineStr">
        <is>
          <t>5007435-75.2024.8.21.0021 | CB2D</t>
        </is>
      </c>
      <c r="D588" t="inlineStr">
        <is>
          <t>5007435-75.2024.8.21.0021</t>
        </is>
      </c>
      <c r="E588" t="inlineStr">
        <is>
          <t>AJ_LIST</t>
        </is>
      </c>
      <c r="F588" t="inlineStr">
        <is>
          <t>OK_NO_TOTALS</t>
        </is>
      </c>
      <c r="G588" s="19" t="inlineStr">
        <is>
          <t>https://www.cb2d.com.br/portal/_uploads/87b1f001-428b-4c8a-ae00-e84bf634a781.pdf</t>
        </is>
      </c>
      <c r="H588" t="inlineStr">
        <is>
          <t>p2 r21</t>
        </is>
      </c>
      <c r="I588" t="inlineStr">
        <is>
          <t>NO_DOCUMENT</t>
        </is>
      </c>
    </row>
    <row r="589">
      <c r="A589" t="inlineStr">
        <is>
          <t>COOPERATIVA DE CRÉDITO DE EMPRESÁRIOS - SICOOB/TRANSCREDI</t>
        </is>
      </c>
      <c r="B589" s="10" t="n">
        <v>349372.52</v>
      </c>
      <c r="C589" t="inlineStr">
        <is>
          <t>5007435-75.2024.8.21.0021 | CB2D</t>
        </is>
      </c>
      <c r="D589" t="inlineStr">
        <is>
          <t>5007435-75.2024.8.21.0021</t>
        </is>
      </c>
      <c r="E589" t="inlineStr">
        <is>
          <t>AJ_LIST</t>
        </is>
      </c>
      <c r="F589" t="inlineStr">
        <is>
          <t>OK_NO_TOTALS</t>
        </is>
      </c>
      <c r="G589" s="19" t="inlineStr">
        <is>
          <t>https://www.cb2d.com.br/portal/_uploads/87b1f001-428b-4c8a-ae00-e84bf634a781.pdf</t>
        </is>
      </c>
      <c r="H589" t="inlineStr">
        <is>
          <t>p2 r38</t>
        </is>
      </c>
      <c r="I589" t="inlineStr">
        <is>
          <t>NO_DOCUMENT</t>
        </is>
      </c>
    </row>
    <row r="590">
      <c r="A590" t="inlineStr">
        <is>
          <t>CLAUDIONOR JOSÉ MORES</t>
        </is>
      </c>
      <c r="B590" s="10" t="n">
        <v>287000</v>
      </c>
      <c r="C590" t="inlineStr">
        <is>
          <t>5007435-75.2024.8.21.0021 | CB2D</t>
        </is>
      </c>
      <c r="D590" t="inlineStr">
        <is>
          <t>5007435-75.2024.8.21.0021</t>
        </is>
      </c>
      <c r="E590" t="inlineStr">
        <is>
          <t>AJ_LIST</t>
        </is>
      </c>
      <c r="F590" t="inlineStr">
        <is>
          <t>OK_NO_TOTALS</t>
        </is>
      </c>
      <c r="G590" s="19" t="inlineStr">
        <is>
          <t>https://www.cb2d.com.br/portal/_uploads/87b1f001-428b-4c8a-ae00-e84bf634a781.pdf</t>
        </is>
      </c>
      <c r="H590" t="inlineStr">
        <is>
          <t>p2 r36</t>
        </is>
      </c>
      <c r="I590" t="inlineStr">
        <is>
          <t>NO_DOCUMENT</t>
        </is>
      </c>
    </row>
    <row r="591">
      <c r="A591" t="inlineStr">
        <is>
          <t>ARACA AGROCEREAIS LTDA</t>
        </is>
      </c>
      <c r="B591" s="10" t="n">
        <v>271077.99</v>
      </c>
      <c r="C591" t="inlineStr">
        <is>
          <t>5007435-75.2024.8.21.0021 | CB2D</t>
        </is>
      </c>
      <c r="D591" t="inlineStr">
        <is>
          <t>5007435-75.2024.8.21.0021</t>
        </is>
      </c>
      <c r="E591" t="inlineStr">
        <is>
          <t>AJ_LIST</t>
        </is>
      </c>
      <c r="F591" t="inlineStr">
        <is>
          <t>OK_NO_TOTALS</t>
        </is>
      </c>
      <c r="G591" s="19" t="inlineStr">
        <is>
          <t>https://www.cb2d.com.br/portal/_uploads/87b1f001-428b-4c8a-ae00-e84bf634a781.pdf</t>
        </is>
      </c>
      <c r="H591" t="inlineStr">
        <is>
          <t>p2 r14</t>
        </is>
      </c>
      <c r="I591" t="inlineStr">
        <is>
          <t>NO_DOCUMENT</t>
        </is>
      </c>
    </row>
    <row r="592">
      <c r="A592" t="inlineStr">
        <is>
          <t>CEREAIS SIGNOR LTDA</t>
        </is>
      </c>
      <c r="B592" s="10" t="n">
        <v>228033.49</v>
      </c>
      <c r="C592" t="inlineStr">
        <is>
          <t>5007435-75.2024.8.21.0021 | CB2D</t>
        </is>
      </c>
      <c r="D592" t="inlineStr">
        <is>
          <t>5007435-75.2024.8.21.0021</t>
        </is>
      </c>
      <c r="E592" t="inlineStr">
        <is>
          <t>AJ_LIST</t>
        </is>
      </c>
      <c r="F592" t="inlineStr">
        <is>
          <t>OK_NO_TOTALS</t>
        </is>
      </c>
      <c r="G592" s="19" t="inlineStr">
        <is>
          <t>https://www.cb2d.com.br/portal/_uploads/87b1f001-428b-4c8a-ae00-e84bf634a781.pdf</t>
        </is>
      </c>
      <c r="H592" t="inlineStr">
        <is>
          <t>p2 r33</t>
        </is>
      </c>
      <c r="I592" t="inlineStr">
        <is>
          <t>NO_DOCUMENT</t>
        </is>
      </c>
    </row>
    <row r="593">
      <c r="A593" t="inlineStr">
        <is>
          <t>BANCO SANTANDER (BRASIL) S.A</t>
        </is>
      </c>
      <c r="B593" s="10" t="n">
        <v>217592.77</v>
      </c>
      <c r="C593" t="inlineStr">
        <is>
          <t>5007435-75.2024.8.21.0021 | CB2D</t>
        </is>
      </c>
      <c r="D593" t="inlineStr">
        <is>
          <t>5007435-75.2024.8.21.0021</t>
        </is>
      </c>
      <c r="E593" t="inlineStr">
        <is>
          <t>AJ_LIST</t>
        </is>
      </c>
      <c r="F593" t="inlineStr">
        <is>
          <t>OK_NO_TOTALS</t>
        </is>
      </c>
      <c r="G593" s="19" t="inlineStr">
        <is>
          <t>https://www.cb2d.com.br/portal/_uploads/87b1f001-428b-4c8a-ae00-e84bf634a781.pdf</t>
        </is>
      </c>
      <c r="H593" t="inlineStr">
        <is>
          <t>p2 r18</t>
        </is>
      </c>
      <c r="I593" t="inlineStr">
        <is>
          <t>NO_DOCUMENT</t>
        </is>
      </c>
    </row>
    <row r="594">
      <c r="A594" t="inlineStr">
        <is>
          <t>STRATEGI SINGLE NAME NPL FUNDO DE INVESTIMENTO EM DIREITOS CREDITÓRIOS - NÃO PADRONIZADOS</t>
        </is>
      </c>
      <c r="B594" s="10" t="n">
        <v>33565433.39</v>
      </c>
      <c r="C594" t="inlineStr">
        <is>
          <t>5007531-46.2021.8.21.0005 | CB2D</t>
        </is>
      </c>
      <c r="D594" t="inlineStr">
        <is>
          <t>5007531-46.2021.8.21.0005</t>
        </is>
      </c>
      <c r="E594" t="inlineStr">
        <is>
          <t>AJ_LIST</t>
        </is>
      </c>
      <c r="F594" t="inlineStr">
        <is>
          <t>OK_NO_TOTALS</t>
        </is>
      </c>
      <c r="G594" s="19" t="inlineStr">
        <is>
          <t>https://www.cb2d.com.br/portal/_uploads/3e197128-9049-4520-aa9e-46bc6d4ac183.pdf</t>
        </is>
      </c>
      <c r="H594" t="inlineStr">
        <is>
          <t>p7 r71</t>
        </is>
      </c>
      <c r="I594" t="inlineStr">
        <is>
          <t>NO_DOCUMENT</t>
        </is>
      </c>
    </row>
    <row r="595">
      <c r="A595" t="inlineStr">
        <is>
          <t>PX SECURITIZADORA DE ATIVOS SA</t>
        </is>
      </c>
      <c r="B595" s="10" t="n">
        <v>9692266.279999999</v>
      </c>
      <c r="C595" t="inlineStr">
        <is>
          <t>5007531-46.2021.8.21.0005 | CB2D</t>
        </is>
      </c>
      <c r="D595" t="inlineStr">
        <is>
          <t>5007531-46.2021.8.21.0005</t>
        </is>
      </c>
      <c r="E595" t="inlineStr">
        <is>
          <t>AJ_LIST</t>
        </is>
      </c>
      <c r="F595" t="inlineStr">
        <is>
          <t>OK_NO_TOTALS</t>
        </is>
      </c>
      <c r="G595" s="19" t="inlineStr">
        <is>
          <t>https://www.cb2d.com.br/portal/_uploads/3e197128-9049-4520-aa9e-46bc6d4ac183.pdf</t>
        </is>
      </c>
      <c r="H595" t="inlineStr">
        <is>
          <t>p7 r51</t>
        </is>
      </c>
      <c r="I595" t="inlineStr">
        <is>
          <t>NO_DOCUMENT</t>
        </is>
      </c>
    </row>
    <row r="596">
      <c r="A596" t="inlineStr">
        <is>
          <t>BANCO DAYCOVAL</t>
        </is>
      </c>
      <c r="B596" s="10" t="n">
        <v>3512006.43</v>
      </c>
      <c r="C596" t="inlineStr">
        <is>
          <t>5007531-46.2021.8.21.0005 | CB2D</t>
        </is>
      </c>
      <c r="D596" t="inlineStr">
        <is>
          <t>5007531-46.2021.8.21.0005</t>
        </is>
      </c>
      <c r="E596" t="inlineStr">
        <is>
          <t>AJ_LIST</t>
        </is>
      </c>
      <c r="F596" t="inlineStr">
        <is>
          <t>OK_NO_TOTALS</t>
        </is>
      </c>
      <c r="G596" s="19" t="inlineStr">
        <is>
          <t>https://www.cb2d.com.br/portal/_uploads/3e197128-9049-4520-aa9e-46bc6d4ac183.pdf</t>
        </is>
      </c>
      <c r="H596" t="inlineStr">
        <is>
          <t>p6 r59</t>
        </is>
      </c>
      <c r="I596" t="inlineStr">
        <is>
          <t>NO_DOCUMENT</t>
        </is>
      </c>
    </row>
    <row r="597">
      <c r="A597" t="inlineStr">
        <is>
          <t>BANCO BRADESCO S/A</t>
        </is>
      </c>
      <c r="B597" s="10" t="n">
        <v>2110223.94</v>
      </c>
      <c r="C597" t="inlineStr">
        <is>
          <t>5007531-46.2021.8.21.0005 | CB2D</t>
        </is>
      </c>
      <c r="D597" t="inlineStr">
        <is>
          <t>5007531-46.2021.8.21.0005</t>
        </is>
      </c>
      <c r="E597" t="inlineStr">
        <is>
          <t>AJ_LIST</t>
        </is>
      </c>
      <c r="F597" t="inlineStr">
        <is>
          <t>OK_NO_TOTALS</t>
        </is>
      </c>
      <c r="G597" s="19" t="inlineStr">
        <is>
          <t>https://www.cb2d.com.br/portal/_uploads/3e197128-9049-4520-aa9e-46bc6d4ac183.pdf</t>
        </is>
      </c>
      <c r="H597" t="inlineStr">
        <is>
          <t>p6 r58</t>
        </is>
      </c>
      <c r="I597" t="inlineStr">
        <is>
          <t>NO_DOCUMENT</t>
        </is>
      </c>
    </row>
    <row r="598">
      <c r="A598" t="inlineStr">
        <is>
          <t>SUDATI PAINEIS LTDA</t>
        </is>
      </c>
      <c r="B598" s="10" t="n">
        <v>1890872.17</v>
      </c>
      <c r="C598" t="inlineStr">
        <is>
          <t>5007531-46.2021.8.21.0005 | CB2D</t>
        </is>
      </c>
      <c r="D598" t="inlineStr">
        <is>
          <t>5007531-46.2021.8.21.0005</t>
        </is>
      </c>
      <c r="E598" t="inlineStr">
        <is>
          <t>AJ_LIST</t>
        </is>
      </c>
      <c r="F598" t="inlineStr">
        <is>
          <t>OK_NO_TOTALS</t>
        </is>
      </c>
      <c r="G598" s="19" t="inlineStr">
        <is>
          <t>https://www.cb2d.com.br/portal/_uploads/3e197128-9049-4520-aa9e-46bc6d4ac183.pdf</t>
        </is>
      </c>
      <c r="H598" t="inlineStr">
        <is>
          <t>p7 r72</t>
        </is>
      </c>
      <c r="I598" t="inlineStr">
        <is>
          <t>NO_DOCUMENT</t>
        </is>
      </c>
    </row>
    <row r="599">
      <c r="A599" t="inlineStr">
        <is>
          <t>MASISA DO BRASIL LTDA</t>
        </is>
      </c>
      <c r="B599" s="10" t="n">
        <v>1733666.35</v>
      </c>
      <c r="C599" t="inlineStr">
        <is>
          <t>5007531-46.2021.8.21.0005 | CB2D</t>
        </is>
      </c>
      <c r="D599" t="inlineStr">
        <is>
          <t>5007531-46.2021.8.21.0005</t>
        </is>
      </c>
      <c r="E599" t="inlineStr">
        <is>
          <t>AJ_LIST</t>
        </is>
      </c>
      <c r="F599" t="inlineStr">
        <is>
          <t>OK_NO_TOTALS</t>
        </is>
      </c>
      <c r="G599" s="19" t="inlineStr">
        <is>
          <t>https://www.cb2d.com.br/portal/_uploads/3e197128-9049-4520-aa9e-46bc6d4ac183.pdf</t>
        </is>
      </c>
      <c r="H599" t="inlineStr">
        <is>
          <t>p7 r15</t>
        </is>
      </c>
      <c r="I599" t="inlineStr">
        <is>
          <t>NO_DOCUMENT</t>
        </is>
      </c>
    </row>
    <row r="600">
      <c r="A600" t="inlineStr">
        <is>
          <t>RED FUNDO DE INVESTIMENTO EM DIREITOS CREDITÓRIOS REAL LP DE RESPONSABILIDADE LIMITADA</t>
        </is>
      </c>
      <c r="B600" s="10" t="n">
        <v>1673400</v>
      </c>
      <c r="C600" t="inlineStr">
        <is>
          <t>5007531-46.2021.8.21.0005 | CB2D</t>
        </is>
      </c>
      <c r="D600" t="inlineStr">
        <is>
          <t>5007531-46.2021.8.21.0005</t>
        </is>
      </c>
      <c r="E600" t="inlineStr">
        <is>
          <t>AJ_LIST</t>
        </is>
      </c>
      <c r="F600" t="inlineStr">
        <is>
          <t>OK_NO_TOTALS</t>
        </is>
      </c>
      <c r="G600" s="19" t="inlineStr">
        <is>
          <t>https://www.cb2d.com.br/portal/_uploads/3e197128-9049-4520-aa9e-46bc6d4ac183.pdf</t>
        </is>
      </c>
      <c r="H600" t="inlineStr">
        <is>
          <t>p7 r54</t>
        </is>
      </c>
      <c r="I600" t="inlineStr">
        <is>
          <t>NO_DOCUMENT</t>
        </is>
      </c>
    </row>
    <row r="601">
      <c r="A601" t="inlineStr">
        <is>
          <t>PUMA FUNDO DE INVESTIMENTOS CREDITÓRIOS NÃO-PADRONIZADOS MULTISETORIAL</t>
        </is>
      </c>
      <c r="B601" s="10" t="n">
        <v>1402931.34</v>
      </c>
      <c r="C601" t="inlineStr">
        <is>
          <t>5007531-46.2021.8.21.0005 | CB2D</t>
        </is>
      </c>
      <c r="D601" t="inlineStr">
        <is>
          <t>5007531-46.2021.8.21.0005</t>
        </is>
      </c>
      <c r="E601" t="inlineStr">
        <is>
          <t>AJ_LIST</t>
        </is>
      </c>
      <c r="F601" t="inlineStr">
        <is>
          <t>OK_NO_TOTALS</t>
        </is>
      </c>
      <c r="G601" s="19" t="inlineStr">
        <is>
          <t>https://www.cb2d.com.br/portal/_uploads/3e197128-9049-4520-aa9e-46bc6d4ac183.pdf</t>
        </is>
      </c>
      <c r="H601" t="inlineStr">
        <is>
          <t>p7 r50</t>
        </is>
      </c>
      <c r="I601" t="inlineStr">
        <is>
          <t>NO_DOCUMENT</t>
        </is>
      </c>
    </row>
    <row r="602">
      <c r="A602" t="inlineStr">
        <is>
          <t>METROPOLITANA ATIVOS FUNDO DE INVESTIMENTO CREDITORIOS NÃO PADRONIZADO MULTISETORIAL</t>
        </is>
      </c>
      <c r="B602" s="10" t="n">
        <v>998000</v>
      </c>
      <c r="C602" t="inlineStr">
        <is>
          <t>5007531-46.2021.8.21.0005 | CB2D</t>
        </is>
      </c>
      <c r="D602" t="inlineStr">
        <is>
          <t>5007531-46.2021.8.21.0005</t>
        </is>
      </c>
      <c r="E602" t="inlineStr">
        <is>
          <t>AJ_LIST</t>
        </is>
      </c>
      <c r="F602" t="inlineStr">
        <is>
          <t>OK_NO_TOTALS</t>
        </is>
      </c>
      <c r="G602" s="19" t="inlineStr">
        <is>
          <t>https://www.cb2d.com.br/portal/_uploads/3e197128-9049-4520-aa9e-46bc6d4ac183.pdf</t>
        </is>
      </c>
      <c r="H602" t="inlineStr">
        <is>
          <t>p7 r26</t>
        </is>
      </c>
      <c r="I602" t="inlineStr">
        <is>
          <t>NO_DOCUMENT</t>
        </is>
      </c>
    </row>
    <row r="603">
      <c r="A603" t="inlineStr">
        <is>
          <t>MASTERS REESTRUTURACAO EMPRESARIAL</t>
        </is>
      </c>
      <c r="B603" s="10" t="n">
        <v>979148.2</v>
      </c>
      <c r="C603" t="inlineStr">
        <is>
          <t>5007531-46.2021.8.21.0005 | CB2D</t>
        </is>
      </c>
      <c r="D603" t="inlineStr">
        <is>
          <t>5007531-46.2021.8.21.0005</t>
        </is>
      </c>
      <c r="E603" t="inlineStr">
        <is>
          <t>AJ_LIST</t>
        </is>
      </c>
      <c r="F603" t="inlineStr">
        <is>
          <t>OK_NO_TOTALS</t>
        </is>
      </c>
      <c r="G603" s="19" t="inlineStr">
        <is>
          <t>https://www.cb2d.com.br/portal/_uploads/3e197128-9049-4520-aa9e-46bc6d4ac183.pdf</t>
        </is>
      </c>
      <c r="H603" t="inlineStr">
        <is>
          <t>p7 r17</t>
        </is>
      </c>
      <c r="I603" t="inlineStr">
        <is>
          <t>NO_DOCUMENT</t>
        </is>
      </c>
    </row>
    <row r="604">
      <c r="A604" t="inlineStr">
        <is>
          <t>ROCHESA S/A TINTAS E VERNIZES</t>
        </is>
      </c>
      <c r="B604" s="10" t="n">
        <v>721425.7</v>
      </c>
      <c r="C604" t="inlineStr">
        <is>
          <t>5007531-46.2021.8.21.0005 | CB2D</t>
        </is>
      </c>
      <c r="D604" t="inlineStr">
        <is>
          <t>5007531-46.2021.8.21.0005</t>
        </is>
      </c>
      <c r="E604" t="inlineStr">
        <is>
          <t>AJ_LIST</t>
        </is>
      </c>
      <c r="F604" t="inlineStr">
        <is>
          <t>OK_NO_TOTALS</t>
        </is>
      </c>
      <c r="G604" s="19" t="inlineStr">
        <is>
          <t>https://www.cb2d.com.br/portal/_uploads/3e197128-9049-4520-aa9e-46bc6d4ac183.pdf</t>
        </is>
      </c>
      <c r="H604" t="inlineStr">
        <is>
          <t>p7 r58</t>
        </is>
      </c>
      <c r="I604" t="inlineStr">
        <is>
          <t>NO_DOCUMENT</t>
        </is>
      </c>
    </row>
    <row r="605">
      <c r="A605" t="inlineStr">
        <is>
          <t>MONETARIE SECURITIZADORA S/A</t>
        </is>
      </c>
      <c r="B605" s="10" t="n">
        <v>707800.92</v>
      </c>
      <c r="C605" t="inlineStr">
        <is>
          <t>5007531-46.2021.8.21.0005 | CB2D</t>
        </is>
      </c>
      <c r="D605" t="inlineStr">
        <is>
          <t>5007531-46.2021.8.21.0005</t>
        </is>
      </c>
      <c r="E605" t="inlineStr">
        <is>
          <t>AJ_LIST</t>
        </is>
      </c>
      <c r="F605" t="inlineStr">
        <is>
          <t>OK_NO_TOTALS</t>
        </is>
      </c>
      <c r="G605" s="19" t="inlineStr">
        <is>
          <t>https://www.cb2d.com.br/portal/_uploads/3e197128-9049-4520-aa9e-46bc6d4ac183.pdf</t>
        </is>
      </c>
      <c r="H605" t="inlineStr">
        <is>
          <t>p7 r28</t>
        </is>
      </c>
      <c r="I605" t="inlineStr">
        <is>
          <t>NO_DOCUMENT</t>
        </is>
      </c>
    </row>
    <row r="606">
      <c r="A606" t="inlineStr">
        <is>
          <t>FIBRAPLAC PAINEIS DE MADEIRA LTDA</t>
        </is>
      </c>
      <c r="B606" s="10" t="n">
        <v>604491.1899999999</v>
      </c>
      <c r="C606" t="inlineStr">
        <is>
          <t>5007531-46.2021.8.21.0005 | CB2D</t>
        </is>
      </c>
      <c r="D606" t="inlineStr">
        <is>
          <t>5007531-46.2021.8.21.0005</t>
        </is>
      </c>
      <c r="E606" t="inlineStr">
        <is>
          <t>AJ_LIST</t>
        </is>
      </c>
      <c r="F606" t="inlineStr">
        <is>
          <t>OK_NO_TOTALS</t>
        </is>
      </c>
      <c r="G606" s="19" t="inlineStr">
        <is>
          <t>https://www.cb2d.com.br/portal/_uploads/3e197128-9049-4520-aa9e-46bc6d4ac183.pdf</t>
        </is>
      </c>
      <c r="H606" t="inlineStr">
        <is>
          <t>p6 r101</t>
        </is>
      </c>
      <c r="I606" t="inlineStr">
        <is>
          <t>NO_DOCUMENT</t>
        </is>
      </c>
    </row>
    <row r="607">
      <c r="A607" t="inlineStr">
        <is>
          <t>ELECTRA COMERCIALIZADORA DE ENERGIA S.A</t>
        </is>
      </c>
      <c r="B607" s="10" t="n">
        <v>603747.12</v>
      </c>
      <c r="C607" t="inlineStr">
        <is>
          <t>5007531-46.2021.8.21.0005 | CB2D</t>
        </is>
      </c>
      <c r="D607" t="inlineStr">
        <is>
          <t>5007531-46.2021.8.21.0005</t>
        </is>
      </c>
      <c r="E607" t="inlineStr">
        <is>
          <t>AJ_LIST</t>
        </is>
      </c>
      <c r="F607" t="inlineStr">
        <is>
          <t>OK_NO_TOTALS</t>
        </is>
      </c>
      <c r="G607" s="19" t="inlineStr">
        <is>
          <t>https://www.cb2d.com.br/portal/_uploads/3e197128-9049-4520-aa9e-46bc6d4ac183.pdf</t>
        </is>
      </c>
      <c r="H607" t="inlineStr">
        <is>
          <t>p6 r92</t>
        </is>
      </c>
      <c r="I607" t="inlineStr">
        <is>
          <t>NO_DOCUMENT</t>
        </is>
      </c>
    </row>
    <row r="608">
      <c r="A608" t="inlineStr">
        <is>
          <t>BANCO MÚLTIPLO - NOVO BANCO CONTINENTAL S.A</t>
        </is>
      </c>
      <c r="B608" s="10" t="n">
        <v>581095.26</v>
      </c>
      <c r="C608" t="inlineStr">
        <is>
          <t>5007531-46.2021.8.21.0005 | CB2D</t>
        </is>
      </c>
      <c r="D608" t="inlineStr">
        <is>
          <t>5007531-46.2021.8.21.0005</t>
        </is>
      </c>
      <c r="E608" t="inlineStr">
        <is>
          <t>AJ_LIST</t>
        </is>
      </c>
      <c r="F608" t="inlineStr">
        <is>
          <t>OK_NO_TOTALS</t>
        </is>
      </c>
      <c r="G608" s="19" t="inlineStr">
        <is>
          <t>https://www.cb2d.com.br/portal/_uploads/3e197128-9049-4520-aa9e-46bc6d4ac183.pdf</t>
        </is>
      </c>
      <c r="H608" t="inlineStr">
        <is>
          <t>p6 r60</t>
        </is>
      </c>
      <c r="I608" t="inlineStr">
        <is>
          <t>NO_DOCUMENT</t>
        </is>
      </c>
    </row>
    <row r="609">
      <c r="A609" t="inlineStr">
        <is>
          <t>TRANSPORTES WARTHA - EIRELI</t>
        </is>
      </c>
      <c r="B609" s="10" t="n">
        <v>537051.67</v>
      </c>
      <c r="C609" t="inlineStr">
        <is>
          <t>5007531-46.2021.8.21.0005 | CB2D</t>
        </is>
      </c>
      <c r="D609" t="inlineStr">
        <is>
          <t>5007531-46.2021.8.21.0005</t>
        </is>
      </c>
      <c r="E609" t="inlineStr">
        <is>
          <t>AJ_LIST</t>
        </is>
      </c>
      <c r="F609" t="inlineStr">
        <is>
          <t>OK_NO_TOTALS</t>
        </is>
      </c>
      <c r="G609" s="19" t="inlineStr">
        <is>
          <t>https://www.cb2d.com.br/portal/_uploads/3e197128-9049-4520-aa9e-46bc6d4ac183.pdf</t>
        </is>
      </c>
      <c r="H609" t="inlineStr">
        <is>
          <t>p7 r95</t>
        </is>
      </c>
      <c r="I609" t="inlineStr">
        <is>
          <t>NO_DOCUMENT</t>
        </is>
      </c>
    </row>
    <row r="610">
      <c r="A610" t="inlineStr">
        <is>
          <t>KREDITARE SECURITIZADORA</t>
        </is>
      </c>
      <c r="B610" s="10" t="n">
        <v>500000</v>
      </c>
      <c r="C610" t="inlineStr">
        <is>
          <t>5007531-46.2021.8.21.0005 | CB2D</t>
        </is>
      </c>
      <c r="D610" t="inlineStr">
        <is>
          <t>5007531-46.2021.8.21.0005</t>
        </is>
      </c>
      <c r="E610" t="inlineStr">
        <is>
          <t>AJ_LIST</t>
        </is>
      </c>
      <c r="F610" t="inlineStr">
        <is>
          <t>OK_NO_TOTALS</t>
        </is>
      </c>
      <c r="G610" s="19" t="inlineStr">
        <is>
          <t>https://www.cb2d.com.br/portal/_uploads/3e197128-9049-4520-aa9e-46bc6d4ac183.pdf</t>
        </is>
      </c>
      <c r="H610" t="inlineStr">
        <is>
          <t>p7 r6</t>
        </is>
      </c>
      <c r="I610" t="inlineStr">
        <is>
          <t>NO_DOCUMENT</t>
        </is>
      </c>
    </row>
    <row r="611">
      <c r="A611" t="inlineStr">
        <is>
          <t>BCR FUNDO DE INVESTIMENTO EM DIREITOS CREDITÓRIOS MULTISSETORIAL</t>
        </is>
      </c>
      <c r="B611" s="10" t="n">
        <v>488915.79</v>
      </c>
      <c r="C611" t="inlineStr">
        <is>
          <t>5007531-46.2021.8.21.0005 | CB2D</t>
        </is>
      </c>
      <c r="D611" t="inlineStr">
        <is>
          <t>5007531-46.2021.8.21.0005</t>
        </is>
      </c>
      <c r="E611" t="inlineStr">
        <is>
          <t>AJ_LIST</t>
        </is>
      </c>
      <c r="F611" t="inlineStr">
        <is>
          <t>OK_NO_TOTALS</t>
        </is>
      </c>
      <c r="G611" s="19" t="inlineStr">
        <is>
          <t>https://www.cb2d.com.br/portal/_uploads/3e197128-9049-4520-aa9e-46bc6d4ac183.pdf</t>
        </is>
      </c>
      <c r="H611" t="inlineStr">
        <is>
          <t>p6 r63</t>
        </is>
      </c>
      <c r="I611" t="inlineStr">
        <is>
          <t>NO_DOCUMENT</t>
        </is>
      </c>
    </row>
    <row r="612">
      <c r="A612" t="inlineStr">
        <is>
          <t>SIFRA S/A</t>
        </is>
      </c>
      <c r="B612" s="10" t="n">
        <v>400000</v>
      </c>
      <c r="C612" t="inlineStr">
        <is>
          <t>5007531-46.2021.8.21.0005 | CB2D</t>
        </is>
      </c>
      <c r="D612" t="inlineStr">
        <is>
          <t>5007531-46.2021.8.21.0005</t>
        </is>
      </c>
      <c r="E612" t="inlineStr">
        <is>
          <t>AJ_LIST</t>
        </is>
      </c>
      <c r="F612" t="inlineStr">
        <is>
          <t>OK_NO_TOTALS</t>
        </is>
      </c>
      <c r="G612" s="19" t="inlineStr">
        <is>
          <t>https://www.cb2d.com.br/portal/_uploads/3e197128-9049-4520-aa9e-46bc6d4ac183.pdf</t>
        </is>
      </c>
      <c r="H612" t="inlineStr">
        <is>
          <t>p7 r66</t>
        </is>
      </c>
      <c r="I612" t="inlineStr">
        <is>
          <t>NO_DOCUMENT</t>
        </is>
      </c>
    </row>
    <row r="613">
      <c r="A613" t="inlineStr">
        <is>
          <t>TOPPAN COSMO INC</t>
        </is>
      </c>
      <c r="B613" s="10" t="n">
        <v>374744.22</v>
      </c>
      <c r="C613" t="inlineStr">
        <is>
          <t>5007531-46.2021.8.21.0005 | CB2D</t>
        </is>
      </c>
      <c r="D613" t="inlineStr">
        <is>
          <t>5007531-46.2021.8.21.0005</t>
        </is>
      </c>
      <c r="E613" t="inlineStr">
        <is>
          <t>AJ_LIST</t>
        </is>
      </c>
      <c r="F613" t="inlineStr">
        <is>
          <t>OK_NO_TOTALS</t>
        </is>
      </c>
      <c r="G613" s="19" t="inlineStr">
        <is>
          <t>https://www.cb2d.com.br/portal/_uploads/3e197128-9049-4520-aa9e-46bc6d4ac183.pdf</t>
        </is>
      </c>
      <c r="H613" t="inlineStr">
        <is>
          <t>p7 r82</t>
        </is>
      </c>
      <c r="I613" t="inlineStr">
        <is>
          <t>NO_DOCUMENT</t>
        </is>
      </c>
    </row>
    <row r="614">
      <c r="A614" t="inlineStr">
        <is>
          <t>BERNECK S.A. PAINEIS E SERRADOS</t>
        </is>
      </c>
      <c r="B614" s="10" t="n">
        <v>291103.71</v>
      </c>
      <c r="C614" t="inlineStr">
        <is>
          <t>5007531-46.2021.8.21.0005 | CB2D</t>
        </is>
      </c>
      <c r="D614" t="inlineStr">
        <is>
          <t>5007531-46.2021.8.21.0005</t>
        </is>
      </c>
      <c r="E614" t="inlineStr">
        <is>
          <t>AJ_LIST</t>
        </is>
      </c>
      <c r="F614" t="inlineStr">
        <is>
          <t>OK_NO_TOTALS</t>
        </is>
      </c>
      <c r="G614" s="19" t="inlineStr">
        <is>
          <t>https://www.cb2d.com.br/portal/_uploads/3e197128-9049-4520-aa9e-46bc6d4ac183.pdf</t>
        </is>
      </c>
      <c r="H614" t="inlineStr">
        <is>
          <t>p6 r65</t>
        </is>
      </c>
      <c r="I614" t="inlineStr">
        <is>
          <t>NO_DOCUMENT</t>
        </is>
      </c>
    </row>
    <row r="615">
      <c r="A615" t="inlineStr">
        <is>
          <t>HOPE FOMENTO MERCANTIL LTDA</t>
        </is>
      </c>
      <c r="B615" s="10" t="n">
        <v>271418.81</v>
      </c>
      <c r="C615" t="inlineStr">
        <is>
          <t>5007531-46.2021.8.21.0005 | CB2D</t>
        </is>
      </c>
      <c r="D615" t="inlineStr">
        <is>
          <t>5007531-46.2021.8.21.0005</t>
        </is>
      </c>
      <c r="E615" t="inlineStr">
        <is>
          <t>AJ_LIST</t>
        </is>
      </c>
      <c r="F615" t="inlineStr">
        <is>
          <t>OK_NO_TOTALS</t>
        </is>
      </c>
      <c r="G615" s="19" t="inlineStr">
        <is>
          <t>https://www.cb2d.com.br/portal/_uploads/3e197128-9049-4520-aa9e-46bc6d4ac183.pdf</t>
        </is>
      </c>
      <c r="H615" t="inlineStr">
        <is>
          <t>p6 r115</t>
        </is>
      </c>
      <c r="I615" t="inlineStr">
        <is>
          <t>NO_DOCUMENT</t>
        </is>
      </c>
    </row>
    <row r="616">
      <c r="A616" t="inlineStr">
        <is>
          <t>QUATRO REAIS, COM CINQUANTA CENTAVOS). SUBMETIDO À RECUPERAÇÃO JUDICIAL: VINTE E DOIS MILHÕES, NOVECENTOS E DUZENTOS E NOVENTA E SETE REAIS, CENTAVOS).</t>
        </is>
      </c>
      <c r="B616" s="10" t="n">
        <v>222984297.85</v>
      </c>
      <c r="C616" t="inlineStr">
        <is>
          <t>5000152-26.2023.8.21.0121 | CB2D</t>
        </is>
      </c>
      <c r="D616" t="inlineStr">
        <is>
          <t>5000152-26.2023.8.21.0121</t>
        </is>
      </c>
      <c r="E616" t="inlineStr">
        <is>
          <t>AJ_LIST</t>
        </is>
      </c>
      <c r="F616" t="inlineStr">
        <is>
          <t>OK_NO_TOTALS</t>
        </is>
      </c>
      <c r="G616" s="19" t="inlineStr">
        <is>
          <t>https://www.cb2d.com.br/portal/_uploads/7583870e-fc67-4040-836a-b98e144302de.pdf</t>
        </is>
      </c>
      <c r="H616" t="inlineStr">
        <is>
          <t>p3 r2</t>
        </is>
      </c>
      <c r="I616" t="inlineStr">
        <is>
          <t>NO_DOCUMENT</t>
        </is>
      </c>
    </row>
    <row r="617">
      <c r="A617" t="inlineStr">
        <is>
          <t>90.636.633,60 * PEDRO HENRIQUE KAPPAUN CAMARGO JUNIOR 363.183 47 * ROBERTO 4.420.623,72 * TIMAC AGRO INDÚSTRIA E COMÉRCIO LTDA (FILIAL CNPJ 02.329.173/0022- ALBANO SEIBEL 348.634,40 * SIPCAM ISAGRO</t>
        </is>
      </c>
      <c r="B617" s="10" t="n">
        <v>10603463.67</v>
      </c>
      <c r="C617" t="inlineStr">
        <is>
          <t>5000152-26.2023.8.21.0121 | CB2D</t>
        </is>
      </c>
      <c r="D617" t="inlineStr">
        <is>
          <t>5000152-26.2023.8.21.0121</t>
        </is>
      </c>
      <c r="E617" t="inlineStr">
        <is>
          <t>AJ_LIST</t>
        </is>
      </c>
      <c r="F617" t="inlineStr">
        <is>
          <t>OK_NO_TOTALS</t>
        </is>
      </c>
      <c r="G617" s="19" t="inlineStr">
        <is>
          <t>https://www.cb2d.com.br/portal/_uploads/7583870e-fc67-4040-836a-b98e144302de.pdf</t>
        </is>
      </c>
      <c r="H617" t="inlineStr">
        <is>
          <t>p2 r10</t>
        </is>
      </c>
      <c r="I617" t="inlineStr">
        <is>
          <t>NO_DOCUMENT</t>
        </is>
      </c>
    </row>
    <row r="618">
      <c r="A618" t="inlineStr">
        <is>
          <t>NICHINO BRASIL S/A) 3.369.952,50 * TRÊS S/A 100.000,00 * VALTER CARLOS</t>
        </is>
      </c>
      <c r="B618" s="10" t="n">
        <v>5576547.18</v>
      </c>
      <c r="C618" t="inlineStr">
        <is>
          <t>5000152-26.2023.8.21.0121 | CB2D</t>
        </is>
      </c>
      <c r="D618" t="inlineStr">
        <is>
          <t>5000152-26.2023.8.21.0121</t>
        </is>
      </c>
      <c r="E618" t="inlineStr">
        <is>
          <t>AJ_LIST</t>
        </is>
      </c>
      <c r="F618" t="inlineStr">
        <is>
          <t>OK_NO_TOTALS</t>
        </is>
      </c>
      <c r="G618" s="19" t="inlineStr">
        <is>
          <t>https://www.cb2d.com.br/portal/_uploads/7583870e-fc67-4040-836a-b98e144302de.pdf</t>
        </is>
      </c>
      <c r="H618" t="inlineStr">
        <is>
          <t>p2 r11</t>
        </is>
      </c>
      <c r="I618" t="inlineStr">
        <is>
          <t>NO_DOCUMENT</t>
        </is>
      </c>
    </row>
    <row r="619">
      <c r="A619" t="inlineStr">
        <is>
          <t>SETECENTOS E NOVENTA E OITO REAIS, COM *ASABB ASSOCIAÇÃO DOS ADVOGADOS DO 5.797,96 * BANCO DO BRASIL S/A</t>
        </is>
      </c>
      <c r="B619" s="10" t="n">
        <v>2964468.82</v>
      </c>
      <c r="C619" t="inlineStr">
        <is>
          <t>5000152-26.2023.8.21.0121 | CB2D</t>
        </is>
      </c>
      <c r="D619" t="inlineStr">
        <is>
          <t>5000152-26.2023.8.21.0121</t>
        </is>
      </c>
      <c r="E619" t="inlineStr">
        <is>
          <t>AJ_LIST</t>
        </is>
      </c>
      <c r="F619" t="inlineStr">
        <is>
          <t>OK_NO_TOTALS</t>
        </is>
      </c>
      <c r="G619" s="19" t="inlineStr">
        <is>
          <t>https://www.cb2d.com.br/portal/_uploads/7583870e-fc67-4040-836a-b98e144302de.pdf</t>
        </is>
      </c>
      <c r="H619" t="inlineStr">
        <is>
          <t>p2 r6</t>
        </is>
      </c>
      <c r="I619" t="inlineStr">
        <is>
          <t>NO_DOCUMENT</t>
        </is>
      </c>
    </row>
    <row r="620">
      <c r="A620" t="inlineStr">
        <is>
          <t>EMPREENDIMENTOS MOBILIÁRIOS LTDA ALMENTOS S/A 20.400.000,00 * CHEMINOVA</t>
        </is>
      </c>
      <c r="B620" s="10" t="n">
        <v>1981084.8</v>
      </c>
      <c r="C620" t="inlineStr">
        <is>
          <t>5000152-26.2023.8.21.0121 | CB2D</t>
        </is>
      </c>
      <c r="D620" t="inlineStr">
        <is>
          <t>5000152-26.2023.8.21.0121</t>
        </is>
      </c>
      <c r="E620" t="inlineStr">
        <is>
          <t>AJ_LIST</t>
        </is>
      </c>
      <c r="F620" t="inlineStr">
        <is>
          <t>OK_NO_TOTALS</t>
        </is>
      </c>
      <c r="G620" s="19" t="inlineStr">
        <is>
          <t>https://www.cb2d.com.br/portal/_uploads/7583870e-fc67-4040-836a-b98e144302de.pdf</t>
        </is>
      </c>
      <c r="H620" t="inlineStr">
        <is>
          <t>p2 r7</t>
        </is>
      </c>
      <c r="I620" t="inlineStr">
        <is>
          <t>NO_DOCUMENT</t>
        </is>
      </c>
    </row>
    <row r="621">
      <c r="A621" t="inlineStr">
        <is>
          <t>591.041,36 * HGF AGRO COMERCIAL MARIA SEIBEL DE OLMEIRA 1.755.876,00 COMÉRCIO LTDA 138.748,25 * LATINA AGRO DE FERTILIZANTES LTDA 617.441,31 * PAULO</t>
        </is>
      </c>
      <c r="B621" s="10" t="n">
        <v>957072.77</v>
      </c>
      <c r="C621" t="inlineStr">
        <is>
          <t>5000152-26.2023.8.21.0121 | CB2D</t>
        </is>
      </c>
      <c r="D621" t="inlineStr">
        <is>
          <t>5000152-26.2023.8.21.0121</t>
        </is>
      </c>
      <c r="E621" t="inlineStr">
        <is>
          <t>AJ_LIST</t>
        </is>
      </c>
      <c r="F621" t="inlineStr">
        <is>
          <t>OK_NO_TOTALS</t>
        </is>
      </c>
      <c r="G621" s="19" t="inlineStr">
        <is>
          <t>https://www.cb2d.com.br/portal/_uploads/7583870e-fc67-4040-836a-b98e144302de.pdf</t>
        </is>
      </c>
      <c r="H621" t="inlineStr">
        <is>
          <t>p2 r9</t>
        </is>
      </c>
      <c r="I621" t="inlineStr">
        <is>
          <t>NO_DOCUMENT</t>
        </is>
      </c>
    </row>
    <row r="622">
      <c r="A622" t="inlineStr">
        <is>
          <t>Caixa Econômica Federal</t>
        </is>
      </c>
      <c r="B622" s="10" t="n">
        <v>1432712.88</v>
      </c>
      <c r="C622" t="inlineStr">
        <is>
          <t>GateKeeper | Recuperação Judicial em São Paulo – Ética, técnica e profissionalismo na administração judicial de processos de recuperação e falência.</t>
        </is>
      </c>
      <c r="D622" t="inlineStr">
        <is>
          <t>1110501-63.2021.8.26.0100</t>
        </is>
      </c>
      <c r="E622" t="inlineStr">
        <is>
          <t>AJ_LIST</t>
        </is>
      </c>
      <c r="F622" t="inlineStr">
        <is>
          <t>OK_NO_TOTALS</t>
        </is>
      </c>
      <c r="G622" s="19" t="inlineStr">
        <is>
          <t>https://gatekeeperaj.com.br/wp-content/uploads/2023/07/2a-Lista-de-credores-LR-1.pdf</t>
        </is>
      </c>
      <c r="H622" t="inlineStr">
        <is>
          <t>p1 r9</t>
        </is>
      </c>
      <c r="I622" t="inlineStr">
        <is>
          <t>NO_DOCUMENT</t>
        </is>
      </c>
    </row>
    <row r="623">
      <c r="A623" t="inlineStr">
        <is>
          <t>Itaú Unibanco S.A</t>
        </is>
      </c>
      <c r="B623" s="10" t="n">
        <v>1208557.78</v>
      </c>
      <c r="C623" t="inlineStr">
        <is>
          <t>GateKeeper | Recuperação Judicial em São Paulo – Ética, técnica e profissionalismo na administração judicial de processos de recuperação e falência.</t>
        </is>
      </c>
      <c r="D623" t="inlineStr">
        <is>
          <t>1110501-63.2021.8.26.0100</t>
        </is>
      </c>
      <c r="E623" t="inlineStr">
        <is>
          <t>AJ_LIST</t>
        </is>
      </c>
      <c r="F623" t="inlineStr">
        <is>
          <t>OK_NO_TOTALS</t>
        </is>
      </c>
      <c r="G623" s="19" t="inlineStr">
        <is>
          <t>https://gatekeeperaj.com.br/wp-content/uploads/2023/07/2a-Lista-de-credores-LR-1.pdf</t>
        </is>
      </c>
      <c r="H623" t="inlineStr">
        <is>
          <t>p1 r18</t>
        </is>
      </c>
      <c r="I623" t="inlineStr">
        <is>
          <t>NO_DOCUMENT</t>
        </is>
      </c>
    </row>
    <row r="624">
      <c r="A624" t="inlineStr">
        <is>
          <t>Banco Santander Brasil S.A</t>
        </is>
      </c>
      <c r="B624" s="10" t="n">
        <v>1047283.19</v>
      </c>
      <c r="C624" t="inlineStr">
        <is>
          <t>GateKeeper | Recuperação Judicial em São Paulo – Ética, técnica e profissionalismo na administração judicial de processos de recuperação e falência.</t>
        </is>
      </c>
      <c r="D624" t="inlineStr">
        <is>
          <t>1110501-63.2021.8.26.0100</t>
        </is>
      </c>
      <c r="E624" t="inlineStr">
        <is>
          <t>AJ_LIST</t>
        </is>
      </c>
      <c r="F624" t="inlineStr">
        <is>
          <t>OK_NO_TOTALS</t>
        </is>
      </c>
      <c r="G624" s="19" t="inlineStr">
        <is>
          <t>https://gatekeeperaj.com.br/wp-content/uploads/2023/07/2a-Lista-de-credores-LR-1.pdf</t>
        </is>
      </c>
      <c r="H624" t="inlineStr">
        <is>
          <t>p1 r7</t>
        </is>
      </c>
      <c r="I624" t="inlineStr">
        <is>
          <t>NO_DOCUMENT</t>
        </is>
      </c>
    </row>
    <row r="625">
      <c r="A625" t="inlineStr">
        <is>
          <t>Banco Daycoval S.A</t>
        </is>
      </c>
      <c r="B625" s="10" t="n">
        <v>889367.89</v>
      </c>
      <c r="C625" t="inlineStr">
        <is>
          <t>GateKeeper | Recuperação Judicial em São Paulo – Ética, técnica e profissionalismo na administração judicial de processos de recuperação e falência.</t>
        </is>
      </c>
      <c r="D625" t="inlineStr">
        <is>
          <t>1110501-63.2021.8.26.0100</t>
        </is>
      </c>
      <c r="E625" t="inlineStr">
        <is>
          <t>AJ_LIST</t>
        </is>
      </c>
      <c r="F625" t="inlineStr">
        <is>
          <t>OK_NO_TOTALS</t>
        </is>
      </c>
      <c r="G625" s="19" t="inlineStr">
        <is>
          <t>https://gatekeeperaj.com.br/wp-content/uploads/2023/07/2a-Lista-de-credores-LR-1.pdf</t>
        </is>
      </c>
      <c r="H625" t="inlineStr">
        <is>
          <t>p1 r5</t>
        </is>
      </c>
      <c r="I625" t="inlineStr">
        <is>
          <t>NO_DOCUMENT</t>
        </is>
      </c>
    </row>
    <row r="626">
      <c r="A626" t="inlineStr">
        <is>
          <t>Banco do Brasil S.A</t>
        </is>
      </c>
      <c r="B626" s="10" t="n">
        <v>793856.4300000001</v>
      </c>
      <c r="C626" t="inlineStr">
        <is>
          <t>GateKeeper | Recuperação Judicial em São Paulo – Ética, técnica e profissionalismo na administração judicial de processos de recuperação e falência.</t>
        </is>
      </c>
      <c r="D626" t="inlineStr">
        <is>
          <t>1110501-63.2021.8.26.0100</t>
        </is>
      </c>
      <c r="E626" t="inlineStr">
        <is>
          <t>AJ_LIST</t>
        </is>
      </c>
      <c r="F626" t="inlineStr">
        <is>
          <t>OK_NO_TOTALS</t>
        </is>
      </c>
      <c r="G626" s="19" t="inlineStr">
        <is>
          <t>https://gatekeeperaj.com.br/wp-content/uploads/2023/07/2a-Lista-de-credores-LR-1.pdf</t>
        </is>
      </c>
      <c r="H626" t="inlineStr">
        <is>
          <t>p1 r6</t>
        </is>
      </c>
      <c r="I626" t="inlineStr">
        <is>
          <t>NO_DOCUMENT</t>
        </is>
      </c>
    </row>
    <row r="627">
      <c r="A627" t="inlineStr">
        <is>
          <t>CÉSAR AUGUSTO PERONI ODY</t>
        </is>
      </c>
      <c r="B627" s="10" t="n">
        <v>2553315.24</v>
      </c>
      <c r="C627" t="inlineStr">
        <is>
          <t>5032410-66.2020.8.21.0001 | CB2D</t>
        </is>
      </c>
      <c r="D627" t="inlineStr">
        <is>
          <t>5128887-20.2021.8.21.0001</t>
        </is>
      </c>
      <c r="E627" t="inlineStr">
        <is>
          <t>QGC</t>
        </is>
      </c>
      <c r="F627" t="inlineStr">
        <is>
          <t>OK_NO_TOTALS</t>
        </is>
      </c>
      <c r="G627" s="19" t="inlineStr">
        <is>
          <t>https://www.cb2d.com.br/portal/_uploads/e0a53569-6b65-453b-a2bf-022814516271.pdf</t>
        </is>
      </c>
      <c r="H627" t="inlineStr">
        <is>
          <t>p1 r60</t>
        </is>
      </c>
      <c r="I627" t="inlineStr">
        <is>
          <t>NO_DOCUMENT</t>
        </is>
      </c>
    </row>
    <row r="628">
      <c r="A628" t="inlineStr">
        <is>
          <t>VALLY BEDINELLY</t>
        </is>
      </c>
      <c r="B628" s="10" t="n">
        <v>1276242.98</v>
      </c>
      <c r="C628" t="inlineStr">
        <is>
          <t>5032410-66.2020.8.21.0001 | CB2D</t>
        </is>
      </c>
      <c r="D628" t="inlineStr">
        <is>
          <t>5128887-20.2021.8.21.0001</t>
        </is>
      </c>
      <c r="E628" t="inlineStr">
        <is>
          <t>QGC</t>
        </is>
      </c>
      <c r="F628" t="inlineStr">
        <is>
          <t>OK_NO_TOTALS</t>
        </is>
      </c>
      <c r="G628" s="19" t="inlineStr">
        <is>
          <t>https://www.cb2d.com.br/portal/_uploads/e0a53569-6b65-453b-a2bf-022814516271.pdf</t>
        </is>
      </c>
      <c r="H628" t="inlineStr">
        <is>
          <t>p1 r112</t>
        </is>
      </c>
      <c r="I628" t="inlineStr">
        <is>
          <t>NO_DOCUMENT</t>
        </is>
      </c>
    </row>
    <row r="629">
      <c r="A629" t="inlineStr">
        <is>
          <t>FLÁVIO ADORNETTI MARANINCHI</t>
        </is>
      </c>
      <c r="B629" s="10" t="n">
        <v>515784.39</v>
      </c>
      <c r="C629" t="inlineStr">
        <is>
          <t>5032410-66.2020.8.21.0001 | CB2D</t>
        </is>
      </c>
      <c r="D629" t="inlineStr">
        <is>
          <t>5128887-20.2021.8.21.0001</t>
        </is>
      </c>
      <c r="E629" t="inlineStr">
        <is>
          <t>QGC</t>
        </is>
      </c>
      <c r="F629" t="inlineStr">
        <is>
          <t>OK_NO_TOTALS</t>
        </is>
      </c>
      <c r="G629" s="19" t="inlineStr">
        <is>
          <t>https://www.cb2d.com.br/portal/_uploads/e0a53569-6b65-453b-a2bf-022814516271.pdf</t>
        </is>
      </c>
      <c r="H629" t="inlineStr">
        <is>
          <t>p1 r70</t>
        </is>
      </c>
      <c r="I629" t="inlineStr">
        <is>
          <t>NO_DOCUMENT</t>
        </is>
      </c>
    </row>
    <row r="630">
      <c r="A630" t="inlineStr">
        <is>
          <t>BANCO SANTANDER (BRASIL) S/A</t>
        </is>
      </c>
      <c r="B630" s="10" t="n">
        <v>460761.91</v>
      </c>
      <c r="C630" t="inlineStr">
        <is>
          <t>5032410-66.2020.8.21.0001 | CB2D</t>
        </is>
      </c>
      <c r="D630" t="inlineStr">
        <is>
          <t>5128887-20.2021.8.21.0001</t>
        </is>
      </c>
      <c r="E630" t="inlineStr">
        <is>
          <t>QGC</t>
        </is>
      </c>
      <c r="F630" t="inlineStr">
        <is>
          <t>OK_NO_TOTALS</t>
        </is>
      </c>
      <c r="G630" s="19" t="inlineStr">
        <is>
          <t>https://www.cb2d.com.br/portal/_uploads/e0a53569-6b65-453b-a2bf-022814516271.pdf</t>
        </is>
      </c>
      <c r="H630" t="inlineStr">
        <is>
          <t>p1 r56</t>
        </is>
      </c>
      <c r="I630" t="inlineStr">
        <is>
          <t>NO_DOCUMENT</t>
        </is>
      </c>
    </row>
    <row r="631">
      <c r="A631" t="inlineStr">
        <is>
          <t>RUSSOWSKY, WINTER E GUAZELLI PERUCHIN</t>
        </is>
      </c>
      <c r="B631" s="10" t="n">
        <v>428908.49</v>
      </c>
      <c r="C631" t="inlineStr">
        <is>
          <t>5032410-66.2020.8.21.0001 | CB2D</t>
        </is>
      </c>
      <c r="D631" t="inlineStr">
        <is>
          <t>5128887-20.2021.8.21.0001</t>
        </is>
      </c>
      <c r="E631" t="inlineStr">
        <is>
          <t>QGC</t>
        </is>
      </c>
      <c r="F631" t="inlineStr">
        <is>
          <t>OK_NO_TOTALS</t>
        </is>
      </c>
      <c r="G631" s="19" t="inlineStr">
        <is>
          <t>https://www.cb2d.com.br/portal/_uploads/e0a53569-6b65-453b-a2bf-022814516271.pdf</t>
        </is>
      </c>
      <c r="H631" t="inlineStr">
        <is>
          <t>p1 r102</t>
        </is>
      </c>
      <c r="I631" t="inlineStr">
        <is>
          <t>NO_DOCUMENT</t>
        </is>
      </c>
    </row>
    <row r="632">
      <c r="A632" t="inlineStr">
        <is>
          <t>VERA LUCIA KOHLRAUSCH</t>
        </is>
      </c>
      <c r="B632" s="10" t="n">
        <v>425736.55</v>
      </c>
      <c r="C632" t="inlineStr">
        <is>
          <t>5032410-66.2020.8.21.0001 | CB2D</t>
        </is>
      </c>
      <c r="D632" t="inlineStr">
        <is>
          <t>5128887-20.2021.8.21.0001</t>
        </is>
      </c>
      <c r="E632" t="inlineStr">
        <is>
          <t>QGC</t>
        </is>
      </c>
      <c r="F632" t="inlineStr">
        <is>
          <t>OK_NO_TOTALS</t>
        </is>
      </c>
      <c r="G632" s="19" t="inlineStr">
        <is>
          <t>https://www.cb2d.com.br/portal/_uploads/e0a53569-6b65-453b-a2bf-022814516271.pdf</t>
        </is>
      </c>
      <c r="H632" t="inlineStr">
        <is>
          <t>p1 r113</t>
        </is>
      </c>
      <c r="I632" t="inlineStr">
        <is>
          <t>NO_DOCUMENT</t>
        </is>
      </c>
    </row>
    <row r="633">
      <c r="A633" t="inlineStr">
        <is>
          <t>EDUARDO JOSÉ DOTTI</t>
        </is>
      </c>
      <c r="B633" s="10" t="n">
        <v>366651.7</v>
      </c>
      <c r="C633" t="inlineStr">
        <is>
          <t>5032410-66.2020.8.21.0001 | CB2D</t>
        </is>
      </c>
      <c r="D633" t="inlineStr">
        <is>
          <t>5128887-20.2021.8.21.0001</t>
        </is>
      </c>
      <c r="E633" t="inlineStr">
        <is>
          <t>QGC</t>
        </is>
      </c>
      <c r="F633" t="inlineStr">
        <is>
          <t>OK_NO_TOTALS</t>
        </is>
      </c>
      <c r="G633" s="19" t="inlineStr">
        <is>
          <t>https://www.cb2d.com.br/portal/_uploads/e0a53569-6b65-453b-a2bf-022814516271.pdf</t>
        </is>
      </c>
      <c r="H633" t="inlineStr">
        <is>
          <t>p1 r65</t>
        </is>
      </c>
      <c r="I633" t="inlineStr">
        <is>
          <t>NO_DOCUMENT</t>
        </is>
      </c>
    </row>
    <row r="634">
      <c r="A634" t="inlineStr">
        <is>
          <t>CAMILA FISCHER BITTENCOURT BECKER</t>
        </is>
      </c>
      <c r="B634" s="10" t="n">
        <v>363522.52</v>
      </c>
      <c r="C634" t="inlineStr">
        <is>
          <t>5032410-66.2020.8.21.0001 | CB2D</t>
        </is>
      </c>
      <c r="D634" t="inlineStr">
        <is>
          <t>5128887-20.2021.8.21.0001</t>
        </is>
      </c>
      <c r="E634" t="inlineStr">
        <is>
          <t>QGC</t>
        </is>
      </c>
      <c r="F634" t="inlineStr">
        <is>
          <t>OK_NO_TOTALS</t>
        </is>
      </c>
      <c r="G634" s="19" t="inlineStr">
        <is>
          <t>https://www.cb2d.com.br/portal/_uploads/e0a53569-6b65-453b-a2bf-022814516271.pdf</t>
        </is>
      </c>
      <c r="H634" t="inlineStr">
        <is>
          <t>p1 r57</t>
        </is>
      </c>
      <c r="I634" t="inlineStr">
        <is>
          <t>NO_DOCUMENT</t>
        </is>
      </c>
    </row>
    <row r="635">
      <c r="A635" t="inlineStr">
        <is>
          <t>MANOEL ANTONIO VARGAS FILHO</t>
        </is>
      </c>
      <c r="B635" s="10" t="n">
        <v>319219.42</v>
      </c>
      <c r="C635" t="inlineStr">
        <is>
          <t>5032410-66.2020.8.21.0001 | CB2D</t>
        </is>
      </c>
      <c r="D635" t="inlineStr">
        <is>
          <t>5128887-20.2021.8.21.0001</t>
        </is>
      </c>
      <c r="E635" t="inlineStr">
        <is>
          <t>QGC</t>
        </is>
      </c>
      <c r="F635" t="inlineStr">
        <is>
          <t>OK_NO_TOTALS</t>
        </is>
      </c>
      <c r="G635" s="19" t="inlineStr">
        <is>
          <t>https://www.cb2d.com.br/portal/_uploads/e0a53569-6b65-453b-a2bf-022814516271.pdf</t>
        </is>
      </c>
      <c r="H635" t="inlineStr">
        <is>
          <t>p1 r91</t>
        </is>
      </c>
      <c r="I635" t="inlineStr">
        <is>
          <t>NO_DOCUMENT</t>
        </is>
      </c>
    </row>
    <row r="636">
      <c r="A636" t="inlineStr">
        <is>
          <t>UNIÃO FEDERAL</t>
        </is>
      </c>
      <c r="B636" s="10" t="n">
        <v>281005.37</v>
      </c>
      <c r="C636" t="inlineStr">
        <is>
          <t>5032410-66.2020.8.21.0001 | CB2D</t>
        </is>
      </c>
      <c r="D636" t="inlineStr">
        <is>
          <t>5128887-20.2021.8.21.0001</t>
        </is>
      </c>
      <c r="E636" t="inlineStr">
        <is>
          <t>QGC</t>
        </is>
      </c>
      <c r="F636" t="inlineStr">
        <is>
          <t>OK_NO_TOTALS</t>
        </is>
      </c>
      <c r="G636" s="19" t="inlineStr">
        <is>
          <t>https://www.cb2d.com.br/portal/_uploads/e0a53569-6b65-453b-a2bf-022814516271.pdf</t>
        </is>
      </c>
      <c r="H636" t="inlineStr">
        <is>
          <t>p1 r48</t>
        </is>
      </c>
      <c r="I636" t="inlineStr">
        <is>
          <t>NO_DOCUMENT</t>
        </is>
      </c>
    </row>
    <row r="637">
      <c r="A637" t="inlineStr">
        <is>
          <t>GUILHERME PICCININI</t>
        </is>
      </c>
      <c r="B637" s="10" t="n">
        <v>270269.55</v>
      </c>
      <c r="C637" t="inlineStr">
        <is>
          <t>5032410-66.2020.8.21.0001 | CB2D</t>
        </is>
      </c>
      <c r="D637" t="inlineStr">
        <is>
          <t>5128887-20.2021.8.21.0001</t>
        </is>
      </c>
      <c r="E637" t="inlineStr">
        <is>
          <t>QGC</t>
        </is>
      </c>
      <c r="F637" t="inlineStr">
        <is>
          <t>OK_NO_TOTALS</t>
        </is>
      </c>
      <c r="G637" s="19" t="inlineStr">
        <is>
          <t>https://www.cb2d.com.br/portal/_uploads/e0a53569-6b65-453b-a2bf-022814516271.pdf</t>
        </is>
      </c>
      <c r="H637" t="inlineStr">
        <is>
          <t>p1 r75</t>
        </is>
      </c>
      <c r="I637" t="inlineStr">
        <is>
          <t>NO_DOCUMENT</t>
        </is>
      </c>
    </row>
    <row r="638">
      <c r="A638" t="inlineStr">
        <is>
          <t>RENATO SEGANFREDO</t>
        </is>
      </c>
      <c r="B638" s="10" t="n">
        <v>269810.73</v>
      </c>
      <c r="C638" t="inlineStr">
        <is>
          <t>5032410-66.2020.8.21.0001 | CB2D</t>
        </is>
      </c>
      <c r="D638" t="inlineStr">
        <is>
          <t>5128887-20.2021.8.21.0001</t>
        </is>
      </c>
      <c r="E638" t="inlineStr">
        <is>
          <t>QGC</t>
        </is>
      </c>
      <c r="F638" t="inlineStr">
        <is>
          <t>OK_NO_TOTALS</t>
        </is>
      </c>
      <c r="G638" s="19" t="inlineStr">
        <is>
          <t>https://www.cb2d.com.br/portal/_uploads/e0a53569-6b65-453b-a2bf-022814516271.pdf</t>
        </is>
      </c>
      <c r="H638" t="inlineStr">
        <is>
          <t>p1 r99</t>
        </is>
      </c>
      <c r="I638" t="inlineStr">
        <is>
          <t>NO_DOCUMENT</t>
        </is>
      </c>
    </row>
    <row r="639">
      <c r="A639" t="inlineStr">
        <is>
          <t>GÉRSON LUIZ CECHETTO</t>
        </is>
      </c>
      <c r="B639" s="10" t="n">
        <v>269743.98</v>
      </c>
      <c r="C639" t="inlineStr">
        <is>
          <t>5032410-66.2020.8.21.0001 | CB2D</t>
        </is>
      </c>
      <c r="D639" t="inlineStr">
        <is>
          <t>5128887-20.2021.8.21.0001</t>
        </is>
      </c>
      <c r="E639" t="inlineStr">
        <is>
          <t>QGC</t>
        </is>
      </c>
      <c r="F639" t="inlineStr">
        <is>
          <t>OK_NO_TOTALS</t>
        </is>
      </c>
      <c r="G639" s="19" t="inlineStr">
        <is>
          <t>https://www.cb2d.com.br/portal/_uploads/e0a53569-6b65-453b-a2bf-022814516271.pdf</t>
        </is>
      </c>
      <c r="H639" t="inlineStr">
        <is>
          <t>p1 r71</t>
        </is>
      </c>
      <c r="I639" t="inlineStr">
        <is>
          <t>NO_DOCUMENT</t>
        </is>
      </c>
    </row>
    <row r="640">
      <c r="A640" t="inlineStr">
        <is>
          <t>LUIS CARLOS GASPARY SOBRINHO</t>
        </is>
      </c>
      <c r="B640" s="10" t="n">
        <v>269687.67</v>
      </c>
      <c r="C640" t="inlineStr">
        <is>
          <t>5032410-66.2020.8.21.0001 | CB2D</t>
        </is>
      </c>
      <c r="D640" t="inlineStr">
        <is>
          <t>5128887-20.2021.8.21.0001</t>
        </is>
      </c>
      <c r="E640" t="inlineStr">
        <is>
          <t>QGC</t>
        </is>
      </c>
      <c r="F640" t="inlineStr">
        <is>
          <t>OK_NO_TOTALS</t>
        </is>
      </c>
      <c r="G640" s="19" t="inlineStr">
        <is>
          <t>https://www.cb2d.com.br/portal/_uploads/e0a53569-6b65-453b-a2bf-022814516271.pdf</t>
        </is>
      </c>
      <c r="H640" t="inlineStr">
        <is>
          <t>p1 r87</t>
        </is>
      </c>
      <c r="I640" t="inlineStr">
        <is>
          <t>NO_DOCUMENT</t>
        </is>
      </c>
    </row>
    <row r="641">
      <c r="A641" t="inlineStr">
        <is>
          <t>TELMO SEGANFREDO</t>
        </is>
      </c>
      <c r="B641" s="10" t="n">
        <v>269628.26</v>
      </c>
      <c r="C641" t="inlineStr">
        <is>
          <t>5032410-66.2020.8.21.0001 | CB2D</t>
        </is>
      </c>
      <c r="D641" t="inlineStr">
        <is>
          <t>5128887-20.2021.8.21.0001</t>
        </is>
      </c>
      <c r="E641" t="inlineStr">
        <is>
          <t>QGC</t>
        </is>
      </c>
      <c r="F641" t="inlineStr">
        <is>
          <t>OK_NO_TOTALS</t>
        </is>
      </c>
      <c r="G641" s="19" t="inlineStr">
        <is>
          <t>https://www.cb2d.com.br/portal/_uploads/e0a53569-6b65-453b-a2bf-022814516271.pdf</t>
        </is>
      </c>
      <c r="H641" t="inlineStr">
        <is>
          <t>p1 r108</t>
        </is>
      </c>
      <c r="I641" t="inlineStr">
        <is>
          <t>NO_DOCUMENT</t>
        </is>
      </c>
    </row>
    <row r="642">
      <c r="A642" t="inlineStr">
        <is>
          <t>DANIEL MACHADO DE CAMPOS ALVES</t>
        </is>
      </c>
      <c r="B642" s="10" t="n">
        <v>269592.29</v>
      </c>
      <c r="C642" t="inlineStr">
        <is>
          <t>5032410-66.2020.8.21.0001 | CB2D</t>
        </is>
      </c>
      <c r="D642" t="inlineStr">
        <is>
          <t>5128887-20.2021.8.21.0001</t>
        </is>
      </c>
      <c r="E642" t="inlineStr">
        <is>
          <t>QGC</t>
        </is>
      </c>
      <c r="F642" t="inlineStr">
        <is>
          <t>OK_NO_TOTALS</t>
        </is>
      </c>
      <c r="G642" s="19" t="inlineStr">
        <is>
          <t>https://www.cb2d.com.br/portal/_uploads/e0a53569-6b65-453b-a2bf-022814516271.pdf</t>
        </is>
      </c>
      <c r="H642" t="inlineStr">
        <is>
          <t>p1 r63</t>
        </is>
      </c>
      <c r="I642" t="inlineStr">
        <is>
          <t>NO_DOCUMENT</t>
        </is>
      </c>
    </row>
    <row r="643">
      <c r="A643" t="inlineStr">
        <is>
          <t>GUILHERME ANDERSON WEBER TORO</t>
        </is>
      </c>
      <c r="B643" s="10" t="n">
        <v>267752.59</v>
      </c>
      <c r="C643" t="inlineStr">
        <is>
          <t>5032410-66.2020.8.21.0001 | CB2D</t>
        </is>
      </c>
      <c r="D643" t="inlineStr">
        <is>
          <t>5128887-20.2021.8.21.0001</t>
        </is>
      </c>
      <c r="E643" t="inlineStr">
        <is>
          <t>QGC</t>
        </is>
      </c>
      <c r="F643" t="inlineStr">
        <is>
          <t>OK_NO_TOTALS</t>
        </is>
      </c>
      <c r="G643" s="19" t="inlineStr">
        <is>
          <t>https://www.cb2d.com.br/portal/_uploads/e0a53569-6b65-453b-a2bf-022814516271.pdf</t>
        </is>
      </c>
      <c r="H643" t="inlineStr">
        <is>
          <t>p1 r73</t>
        </is>
      </c>
      <c r="I643" t="inlineStr">
        <is>
          <t>NO_DOCUMENT</t>
        </is>
      </c>
    </row>
    <row r="644">
      <c r="A644" t="inlineStr">
        <is>
          <t>CRISTIANO CARVALHO MARTINS</t>
        </is>
      </c>
      <c r="B644" s="10" t="n">
        <v>267645.64</v>
      </c>
      <c r="C644" t="inlineStr">
        <is>
          <t>5032410-66.2020.8.21.0001 | CB2D</t>
        </is>
      </c>
      <c r="D644" t="inlineStr">
        <is>
          <t>5128887-20.2021.8.21.0001</t>
        </is>
      </c>
      <c r="E644" t="inlineStr">
        <is>
          <t>QGC</t>
        </is>
      </c>
      <c r="F644" t="inlineStr">
        <is>
          <t>OK_NO_TOTALS</t>
        </is>
      </c>
      <c r="G644" s="19" t="inlineStr">
        <is>
          <t>https://www.cb2d.com.br/portal/_uploads/e0a53569-6b65-453b-a2bf-022814516271.pdf</t>
        </is>
      </c>
      <c r="H644" t="inlineStr">
        <is>
          <t>p1 r62</t>
        </is>
      </c>
      <c r="I644" t="inlineStr">
        <is>
          <t>NO_DOCUMENT</t>
        </is>
      </c>
    </row>
    <row r="645">
      <c r="A645" t="inlineStr">
        <is>
          <t>EGALI INTERCÂMBIO LTDA</t>
        </is>
      </c>
      <c r="B645" s="10" t="n">
        <v>267645.64</v>
      </c>
      <c r="C645" t="inlineStr">
        <is>
          <t>5032410-66.2020.8.21.0001 | CB2D</t>
        </is>
      </c>
      <c r="D645" t="inlineStr">
        <is>
          <t>5128887-20.2021.8.21.0001</t>
        </is>
      </c>
      <c r="E645" t="inlineStr">
        <is>
          <t>QGC</t>
        </is>
      </c>
      <c r="F645" t="inlineStr">
        <is>
          <t>OK_NO_TOTALS</t>
        </is>
      </c>
      <c r="G645" s="19" t="inlineStr">
        <is>
          <t>https://www.cb2d.com.br/portal/_uploads/e0a53569-6b65-453b-a2bf-022814516271.pdf</t>
        </is>
      </c>
      <c r="H645" t="inlineStr">
        <is>
          <t>p1 r66</t>
        </is>
      </c>
      <c r="I645" t="inlineStr">
        <is>
          <t>NO_DOCUMENT</t>
        </is>
      </c>
    </row>
    <row r="646">
      <c r="A646" t="inlineStr">
        <is>
          <t>ELÍSIO APARECIDO DE ALMEIDA</t>
        </is>
      </c>
      <c r="B646" s="10" t="n">
        <v>264935.38</v>
      </c>
      <c r="C646" t="inlineStr">
        <is>
          <t>5032410-66.2020.8.21.0001 | CB2D</t>
        </is>
      </c>
      <c r="D646" t="inlineStr">
        <is>
          <t>5128887-20.2021.8.21.0001</t>
        </is>
      </c>
      <c r="E646" t="inlineStr">
        <is>
          <t>QGC</t>
        </is>
      </c>
      <c r="F646" t="inlineStr">
        <is>
          <t>OK_NO_TOTALS</t>
        </is>
      </c>
      <c r="G646" s="19" t="inlineStr">
        <is>
          <t>https://www.cb2d.com.br/portal/_uploads/e0a53569-6b65-453b-a2bf-022814516271.pdf</t>
        </is>
      </c>
      <c r="H646" t="inlineStr">
        <is>
          <t>p1 r67</t>
        </is>
      </c>
      <c r="I646" t="inlineStr">
        <is>
          <t>NO_DOCUMENT</t>
        </is>
      </c>
    </row>
    <row r="647">
      <c r="A647" t="inlineStr">
        <is>
          <t>ILSE WEBER TORO</t>
        </is>
      </c>
      <c r="B647" s="10" t="n">
        <v>253541.06</v>
      </c>
      <c r="C647" t="inlineStr">
        <is>
          <t>5032410-66.2020.8.21.0001 | CB2D</t>
        </is>
      </c>
      <c r="D647" t="inlineStr">
        <is>
          <t>5128887-20.2021.8.21.0001</t>
        </is>
      </c>
      <c r="E647" t="inlineStr">
        <is>
          <t>QGC</t>
        </is>
      </c>
      <c r="F647" t="inlineStr">
        <is>
          <t>OK_NO_TOTALS</t>
        </is>
      </c>
      <c r="G647" s="19" t="inlineStr">
        <is>
          <t>https://www.cb2d.com.br/portal/_uploads/e0a53569-6b65-453b-a2bf-022814516271.pdf</t>
        </is>
      </c>
      <c r="H647" t="inlineStr">
        <is>
          <t>p1 r79</t>
        </is>
      </c>
      <c r="I647" t="inlineStr">
        <is>
          <t>NO_DOCUMENT</t>
        </is>
      </c>
    </row>
    <row r="648">
      <c r="A648" t="inlineStr">
        <is>
          <t>JARBAS HENDGES RAUBER</t>
        </is>
      </c>
      <c r="B648" s="10" t="n">
        <v>239613.76</v>
      </c>
      <c r="C648" t="inlineStr">
        <is>
          <t>5032410-66.2020.8.21.0001 | CB2D</t>
        </is>
      </c>
      <c r="D648" t="inlineStr">
        <is>
          <t>5128887-20.2021.8.21.0001</t>
        </is>
      </c>
      <c r="E648" t="inlineStr">
        <is>
          <t>QGC</t>
        </is>
      </c>
      <c r="F648" t="inlineStr">
        <is>
          <t>OK_NO_TOTALS</t>
        </is>
      </c>
      <c r="G648" s="19" t="inlineStr">
        <is>
          <t>https://www.cb2d.com.br/portal/_uploads/e0a53569-6b65-453b-a2bf-022814516271.pdf</t>
        </is>
      </c>
      <c r="H648" t="inlineStr">
        <is>
          <t>p1 r84</t>
        </is>
      </c>
      <c r="I648" t="inlineStr">
        <is>
          <t>NO_DOCUMENT</t>
        </is>
      </c>
    </row>
    <row r="649">
      <c r="A649" t="inlineStr">
        <is>
          <t>GUILHERME GUARAGNA</t>
        </is>
      </c>
      <c r="B649" s="10" t="n">
        <v>237182.17</v>
      </c>
      <c r="C649" t="inlineStr">
        <is>
          <t>5032410-66.2020.8.21.0001 | CB2D</t>
        </is>
      </c>
      <c r="D649" t="inlineStr">
        <is>
          <t>5128887-20.2021.8.21.0001</t>
        </is>
      </c>
      <c r="E649" t="inlineStr">
        <is>
          <t>QGC</t>
        </is>
      </c>
      <c r="F649" t="inlineStr">
        <is>
          <t>OK_NO_TOTALS</t>
        </is>
      </c>
      <c r="G649" s="19" t="inlineStr">
        <is>
          <t>https://www.cb2d.com.br/portal/_uploads/e0a53569-6b65-453b-a2bf-022814516271.pdf</t>
        </is>
      </c>
      <c r="H649" t="inlineStr">
        <is>
          <t>p1 r74</t>
        </is>
      </c>
      <c r="I649" t="inlineStr">
        <is>
          <t>NO_DOCUMENT</t>
        </is>
      </c>
    </row>
    <row r="650">
      <c r="A650" t="inlineStr">
        <is>
          <t>LUIZ ANTÔNIO LEÃO</t>
        </is>
      </c>
      <c r="B650" s="10" t="n">
        <v>231187.62</v>
      </c>
      <c r="C650" t="inlineStr">
        <is>
          <t>5032410-66.2020.8.21.0001 | CB2D</t>
        </is>
      </c>
      <c r="D650" t="inlineStr">
        <is>
          <t>5128887-20.2021.8.21.0001</t>
        </is>
      </c>
      <c r="E650" t="inlineStr">
        <is>
          <t>QGC</t>
        </is>
      </c>
      <c r="F650" t="inlineStr">
        <is>
          <t>OK_NO_TOTALS</t>
        </is>
      </c>
      <c r="G650" s="19" t="inlineStr">
        <is>
          <t>https://www.cb2d.com.br/portal/_uploads/e0a53569-6b65-453b-a2bf-022814516271.pdf</t>
        </is>
      </c>
      <c r="H650" t="inlineStr">
        <is>
          <t>p1 r88</t>
        </is>
      </c>
      <c r="I650" t="inlineStr">
        <is>
          <t>NO_DOCUMENT</t>
        </is>
      </c>
    </row>
    <row r="651">
      <c r="A651" t="inlineStr">
        <is>
          <t>IC PROHORN-ADMINISTRACAO E CORRETAGEM DE SEGUROS DE VIDA LTDA – ME</t>
        </is>
      </c>
      <c r="B651" s="10" t="n">
        <v>226792.04</v>
      </c>
      <c r="C651" t="inlineStr">
        <is>
          <t>5032410-66.2020.8.21.0001 | CB2D</t>
        </is>
      </c>
      <c r="D651" t="inlineStr">
        <is>
          <t>5128887-20.2021.8.21.0001</t>
        </is>
      </c>
      <c r="E651" t="inlineStr">
        <is>
          <t>QGC</t>
        </is>
      </c>
      <c r="F651" t="inlineStr">
        <is>
          <t>OK_NO_TOTALS</t>
        </is>
      </c>
      <c r="G651" s="19" t="inlineStr">
        <is>
          <t>https://www.cb2d.com.br/portal/_uploads/e0a53569-6b65-453b-a2bf-022814516271.pdf</t>
        </is>
      </c>
      <c r="H651" t="inlineStr">
        <is>
          <t>p1 r78</t>
        </is>
      </c>
      <c r="I651" t="inlineStr">
        <is>
          <t>NO_DOCUMENT</t>
        </is>
      </c>
    </row>
    <row r="652">
      <c r="A652" t="inlineStr">
        <is>
          <t>IVAN LUIZ WAGNER DE ALMEIDA</t>
        </is>
      </c>
      <c r="B652" s="10" t="n">
        <v>220492.46</v>
      </c>
      <c r="C652" t="inlineStr">
        <is>
          <t>5032410-66.2020.8.21.0001 | CB2D</t>
        </is>
      </c>
      <c r="D652" t="inlineStr">
        <is>
          <t>5128887-20.2021.8.21.0001</t>
        </is>
      </c>
      <c r="E652" t="inlineStr">
        <is>
          <t>QGC</t>
        </is>
      </c>
      <c r="F652" t="inlineStr">
        <is>
          <t>OK_NO_TOTALS</t>
        </is>
      </c>
      <c r="G652" s="19" t="inlineStr">
        <is>
          <t>https://www.cb2d.com.br/portal/_uploads/e0a53569-6b65-453b-a2bf-022814516271.pdf</t>
        </is>
      </c>
      <c r="H652" t="inlineStr">
        <is>
          <t>p1 r83</t>
        </is>
      </c>
      <c r="I652" t="inlineStr">
        <is>
          <t>NO_DOCUMENT</t>
        </is>
      </c>
    </row>
    <row r="653">
      <c r="A653" t="inlineStr">
        <is>
          <t>ARNO HOLZ</t>
        </is>
      </c>
      <c r="B653" s="10" t="n">
        <v>217634.72</v>
      </c>
      <c r="C653" t="inlineStr">
        <is>
          <t>5032410-66.2020.8.21.0001 | CB2D</t>
        </is>
      </c>
      <c r="D653" t="inlineStr">
        <is>
          <t>5128887-20.2021.8.21.0001</t>
        </is>
      </c>
      <c r="E653" t="inlineStr">
        <is>
          <t>QGC</t>
        </is>
      </c>
      <c r="F653" t="inlineStr">
        <is>
          <t>OK_NO_TOTALS</t>
        </is>
      </c>
      <c r="G653" s="19" t="inlineStr">
        <is>
          <t>https://www.cb2d.com.br/portal/_uploads/e0a53569-6b65-453b-a2bf-022814516271.pdf</t>
        </is>
      </c>
      <c r="H653" t="inlineStr">
        <is>
          <t>p1 r55</t>
        </is>
      </c>
      <c r="I653" t="inlineStr">
        <is>
          <t>NO_DOCUMENT</t>
        </is>
      </c>
    </row>
    <row r="654">
      <c r="A654" t="inlineStr">
        <is>
          <t>OSMAR GUARAGNA JUNIOR</t>
        </is>
      </c>
      <c r="B654" s="10" t="n">
        <v>210977.43</v>
      </c>
      <c r="C654" t="inlineStr">
        <is>
          <t>5032410-66.2020.8.21.0001 | CB2D</t>
        </is>
      </c>
      <c r="D654" t="inlineStr">
        <is>
          <t>5128887-20.2021.8.21.0001</t>
        </is>
      </c>
      <c r="E654" t="inlineStr">
        <is>
          <t>QGC</t>
        </is>
      </c>
      <c r="F654" t="inlineStr">
        <is>
          <t>OK_NO_TOTALS</t>
        </is>
      </c>
      <c r="G654" s="19" t="inlineStr">
        <is>
          <t>https://www.cb2d.com.br/portal/_uploads/e0a53569-6b65-453b-a2bf-022814516271.pdf</t>
        </is>
      </c>
      <c r="H654" t="inlineStr">
        <is>
          <t>p1 r95</t>
        </is>
      </c>
      <c r="I654" t="inlineStr">
        <is>
          <t>NO_DOCUMENT</t>
        </is>
      </c>
    </row>
    <row r="655">
      <c r="A655" t="inlineStr">
        <is>
          <t>JOSÉ UMBERTO CASSOL ARGENTINA</t>
        </is>
      </c>
      <c r="B655" s="10" t="n">
        <v>202486.79</v>
      </c>
      <c r="C655" t="inlineStr">
        <is>
          <t>5032410-66.2020.8.21.0001 | CB2D</t>
        </is>
      </c>
      <c r="D655" t="inlineStr">
        <is>
          <t>5128887-20.2021.8.21.0001</t>
        </is>
      </c>
      <c r="E655" t="inlineStr">
        <is>
          <t>QGC</t>
        </is>
      </c>
      <c r="F655" t="inlineStr">
        <is>
          <t>OK_NO_TOTALS</t>
        </is>
      </c>
      <c r="G655" s="19" t="inlineStr">
        <is>
          <t>https://www.cb2d.com.br/portal/_uploads/e0a53569-6b65-453b-a2bf-022814516271.pdf</t>
        </is>
      </c>
      <c r="H655" t="inlineStr">
        <is>
          <t>p1 r85</t>
        </is>
      </c>
      <c r="I655" t="inlineStr">
        <is>
          <t>NO_DOCUMENT</t>
        </is>
      </c>
    </row>
    <row r="656">
      <c r="A656" t="inlineStr">
        <is>
          <t>ULISSES RICARDO CALLEGARO</t>
        </is>
      </c>
      <c r="B656" s="10" t="n">
        <v>201670.97</v>
      </c>
      <c r="C656" t="inlineStr">
        <is>
          <t>5032410-66.2020.8.21.0001 | CB2D</t>
        </is>
      </c>
      <c r="D656" t="inlineStr">
        <is>
          <t>5128887-20.2021.8.21.0001</t>
        </is>
      </c>
      <c r="E656" t="inlineStr">
        <is>
          <t>QGC</t>
        </is>
      </c>
      <c r="F656" t="inlineStr">
        <is>
          <t>OK_NO_TOTALS</t>
        </is>
      </c>
      <c r="G656" s="19" t="inlineStr">
        <is>
          <t>https://www.cb2d.com.br/portal/_uploads/e0a53569-6b65-453b-a2bf-022814516271.pdf</t>
        </is>
      </c>
      <c r="H656" t="inlineStr">
        <is>
          <t>p1 r111</t>
        </is>
      </c>
      <c r="I656" t="inlineStr">
        <is>
          <t>NO_DOCUMENT</t>
        </is>
      </c>
    </row>
    <row r="657">
      <c r="A657" t="inlineStr">
        <is>
          <t>BANCO DO BRASIL</t>
        </is>
      </c>
      <c r="B657" s="10" t="n">
        <v>7362767.33</v>
      </c>
      <c r="C657" t="inlineStr">
        <is>
          <t>5147697-43.2021.8.21.0001 | CB2D</t>
        </is>
      </c>
      <c r="D657" t="inlineStr">
        <is>
          <t>5037362-88.2020.8.21.0001</t>
        </is>
      </c>
      <c r="E657" t="inlineStr">
        <is>
          <t>AJ_LIST</t>
        </is>
      </c>
      <c r="F657" t="inlineStr">
        <is>
          <t>OK_NO_TOTALS</t>
        </is>
      </c>
      <c r="G657" s="19" t="inlineStr">
        <is>
          <t>https://www.cb2d.com.br/portal/_uploads/1d9879cf-e70a-4c82-b3da-453d43886c71.pdf</t>
        </is>
      </c>
      <c r="H657" t="inlineStr">
        <is>
          <t>p1 r153</t>
        </is>
      </c>
      <c r="I657" t="inlineStr">
        <is>
          <t>NO_DOCUMENT</t>
        </is>
      </c>
    </row>
    <row r="658">
      <c r="A658" t="inlineStr">
        <is>
          <t>ITAÚ</t>
        </is>
      </c>
      <c r="B658" s="10" t="n">
        <v>6363775.28</v>
      </c>
      <c r="C658" t="inlineStr">
        <is>
          <t>5147697-43.2021.8.21.0001 | CB2D</t>
        </is>
      </c>
      <c r="D658" t="inlineStr">
        <is>
          <t>5037362-88.2020.8.21.0001</t>
        </is>
      </c>
      <c r="E658" t="inlineStr">
        <is>
          <t>AJ_LIST</t>
        </is>
      </c>
      <c r="F658" t="inlineStr">
        <is>
          <t>OK_NO_TOTALS</t>
        </is>
      </c>
      <c r="G658" s="19" t="inlineStr">
        <is>
          <t>https://www.cb2d.com.br/portal/_uploads/1d9879cf-e70a-4c82-b3da-453d43886c71.pdf</t>
        </is>
      </c>
      <c r="H658" t="inlineStr">
        <is>
          <t>p1 r158</t>
        </is>
      </c>
      <c r="I658" t="inlineStr">
        <is>
          <t>NO_DOCUMENT</t>
        </is>
      </c>
    </row>
    <row r="659">
      <c r="A659" t="inlineStr">
        <is>
          <t>PRIMA FOODS S.A</t>
        </is>
      </c>
      <c r="B659" s="10" t="n">
        <v>4049534.94</v>
      </c>
      <c r="C659" t="inlineStr">
        <is>
          <t>5147697-43.2021.8.21.0001 | CB2D</t>
        </is>
      </c>
      <c r="D659" t="inlineStr">
        <is>
          <t>5037362-88.2020.8.21.0001</t>
        </is>
      </c>
      <c r="E659" t="inlineStr">
        <is>
          <t>AJ_LIST</t>
        </is>
      </c>
      <c r="F659" t="inlineStr">
        <is>
          <t>OK_NO_TOTALS</t>
        </is>
      </c>
      <c r="G659" s="19" t="inlineStr">
        <is>
          <t>https://www.cb2d.com.br/portal/_uploads/1d9879cf-e70a-4c82-b3da-453d43886c71.pdf</t>
        </is>
      </c>
      <c r="H659" t="inlineStr">
        <is>
          <t>p1 r161</t>
        </is>
      </c>
      <c r="I659" t="inlineStr">
        <is>
          <t>NO_DOCUMENT</t>
        </is>
      </c>
    </row>
    <row r="660">
      <c r="A660" t="inlineStr">
        <is>
          <t>SICREDI</t>
        </is>
      </c>
      <c r="B660" s="10" t="n">
        <v>2956773.06</v>
      </c>
      <c r="C660" t="inlineStr">
        <is>
          <t>5147697-43.2021.8.21.0001 | CB2D</t>
        </is>
      </c>
      <c r="D660" t="inlineStr">
        <is>
          <t>5037362-88.2020.8.21.0001</t>
        </is>
      </c>
      <c r="E660" t="inlineStr">
        <is>
          <t>AJ_LIST</t>
        </is>
      </c>
      <c r="F660" t="inlineStr">
        <is>
          <t>OK_NO_TOTALS</t>
        </is>
      </c>
      <c r="G660" s="19" t="inlineStr">
        <is>
          <t>https://www.cb2d.com.br/portal/_uploads/1d9879cf-e70a-4c82-b3da-453d43886c71.pdf</t>
        </is>
      </c>
      <c r="H660" t="inlineStr">
        <is>
          <t>p1 r154</t>
        </is>
      </c>
      <c r="I660" t="inlineStr">
        <is>
          <t>NO_DOCUMENT</t>
        </is>
      </c>
    </row>
    <row r="661">
      <c r="A661" t="inlineStr">
        <is>
          <t>JBS</t>
        </is>
      </c>
      <c r="B661" s="10" t="n">
        <v>2146164.21</v>
      </c>
      <c r="C661" t="inlineStr">
        <is>
          <t>5147697-43.2021.8.21.0001 | CB2D</t>
        </is>
      </c>
      <c r="D661" t="inlineStr">
        <is>
          <t>5037362-88.2020.8.21.0001</t>
        </is>
      </c>
      <c r="E661" t="inlineStr">
        <is>
          <t>AJ_LIST</t>
        </is>
      </c>
      <c r="F661" t="inlineStr">
        <is>
          <t>OK_NO_TOTALS</t>
        </is>
      </c>
      <c r="G661" s="19" t="inlineStr">
        <is>
          <t>https://www.cb2d.com.br/portal/_uploads/1d9879cf-e70a-4c82-b3da-453d43886c71.pdf</t>
        </is>
      </c>
      <c r="H661" t="inlineStr">
        <is>
          <t>p1 r160</t>
        </is>
      </c>
      <c r="I661" t="inlineStr">
        <is>
          <t>NO_DOCUMENT</t>
        </is>
      </c>
    </row>
    <row r="662">
      <c r="A662" t="inlineStr">
        <is>
          <t>BANCO SAFRA</t>
        </is>
      </c>
      <c r="B662" s="10" t="n">
        <v>1002755.62</v>
      </c>
      <c r="C662" t="inlineStr">
        <is>
          <t>5147697-43.2021.8.21.0001 | CB2D</t>
        </is>
      </c>
      <c r="D662" t="inlineStr">
        <is>
          <t>5037362-88.2020.8.21.0001</t>
        </is>
      </c>
      <c r="E662" t="inlineStr">
        <is>
          <t>AJ_LIST</t>
        </is>
      </c>
      <c r="F662" t="inlineStr">
        <is>
          <t>OK_NO_TOTALS</t>
        </is>
      </c>
      <c r="G662" s="19" t="inlineStr">
        <is>
          <t>https://www.cb2d.com.br/portal/_uploads/1d9879cf-e70a-4c82-b3da-453d43886c71.pdf</t>
        </is>
      </c>
      <c r="H662" t="inlineStr">
        <is>
          <t>p1 r155</t>
        </is>
      </c>
      <c r="I662" t="inlineStr">
        <is>
          <t>NO_DOCUMENT</t>
        </is>
      </c>
    </row>
    <row r="663">
      <c r="A663" t="inlineStr">
        <is>
          <t>BRADESCO</t>
        </is>
      </c>
      <c r="B663" s="10" t="n">
        <v>750000</v>
      </c>
      <c r="C663" t="inlineStr">
        <is>
          <t>5147697-43.2021.8.21.0001 | CB2D</t>
        </is>
      </c>
      <c r="D663" t="inlineStr">
        <is>
          <t>5037362-88.2020.8.21.0001</t>
        </is>
      </c>
      <c r="E663" t="inlineStr">
        <is>
          <t>AJ_LIST</t>
        </is>
      </c>
      <c r="F663" t="inlineStr">
        <is>
          <t>OK_NO_TOTALS</t>
        </is>
      </c>
      <c r="G663" s="19" t="inlineStr">
        <is>
          <t>https://www.cb2d.com.br/portal/_uploads/1d9879cf-e70a-4c82-b3da-453d43886c71.pdf</t>
        </is>
      </c>
      <c r="H663" t="inlineStr">
        <is>
          <t>p1 r157</t>
        </is>
      </c>
      <c r="I663" t="inlineStr">
        <is>
          <t>NO_DOCUMENT</t>
        </is>
      </c>
    </row>
    <row r="664">
      <c r="A664" t="inlineStr">
        <is>
          <t>CAIXA ECONÔMICA FEDERAL</t>
        </is>
      </c>
      <c r="B664" s="10" t="n">
        <v>554000</v>
      </c>
      <c r="C664" t="inlineStr">
        <is>
          <t>5147697-43.2021.8.21.0001 | CB2D</t>
        </is>
      </c>
      <c r="D664" t="inlineStr">
        <is>
          <t>5037362-88.2020.8.21.0001</t>
        </is>
      </c>
      <c r="E664" t="inlineStr">
        <is>
          <t>AJ_LIST</t>
        </is>
      </c>
      <c r="F664" t="inlineStr">
        <is>
          <t>OK_NO_TOTALS</t>
        </is>
      </c>
      <c r="G664" s="19" t="inlineStr">
        <is>
          <t>https://www.cb2d.com.br/portal/_uploads/1d9879cf-e70a-4c82-b3da-453d43886c71.pdf</t>
        </is>
      </c>
      <c r="H664" t="inlineStr">
        <is>
          <t>p1 r156</t>
        </is>
      </c>
      <c r="I664" t="inlineStr">
        <is>
          <t>NO_DOCUMENT</t>
        </is>
      </c>
    </row>
    <row r="665">
      <c r="A665" t="inlineStr">
        <is>
          <t>MARFRIG BAGÉ</t>
        </is>
      </c>
      <c r="B665" s="10" t="n">
        <v>517932.12</v>
      </c>
      <c r="C665" t="inlineStr">
        <is>
          <t>5147697-43.2021.8.21.0001 | CB2D</t>
        </is>
      </c>
      <c r="D665" t="inlineStr">
        <is>
          <t>5037362-88.2020.8.21.0001</t>
        </is>
      </c>
      <c r="E665" t="inlineStr">
        <is>
          <t>AJ_LIST</t>
        </is>
      </c>
      <c r="F665" t="inlineStr">
        <is>
          <t>OK_NO_TOTALS</t>
        </is>
      </c>
      <c r="G665" s="19" t="inlineStr">
        <is>
          <t>https://www.cb2d.com.br/portal/_uploads/1d9879cf-e70a-4c82-b3da-453d43886c71.pdf</t>
        </is>
      </c>
      <c r="H665" t="inlineStr">
        <is>
          <t>p1 r159</t>
        </is>
      </c>
      <c r="I665" t="inlineStr">
        <is>
          <t>NO_DOCUMENT</t>
        </is>
      </c>
    </row>
    <row r="666">
      <c r="A666" t="inlineStr">
        <is>
          <t>:11 PRETÉRITARELAÇÃODOART.7º,§2º,LFR</t>
        </is>
      </c>
      <c r="B666" s="10" t="n">
        <v>4068189.34</v>
      </c>
      <c r="C666" t="inlineStr">
        <is>
          <t>empresa</t>
        </is>
      </c>
      <c r="D666" t="inlineStr">
        <is>
          <t>1024993-78.2019.8.26.0405</t>
        </is>
      </c>
      <c r="E666" t="inlineStr">
        <is>
          <t>AJ_LIST</t>
        </is>
      </c>
      <c r="F666" t="inlineStr">
        <is>
          <t>OK_NO_TOTALS</t>
        </is>
      </c>
      <c r="G666" s="19" t="inlineStr">
        <is>
          <t>https://acfb.com.br/wp-content/uploads/2024/06/doc_227774999.pdf</t>
        </is>
      </c>
      <c r="H666" t="inlineStr">
        <is>
          <t>p8 r8</t>
        </is>
      </c>
      <c r="I666" t="inlineStr">
        <is>
          <t>NO_DOCUMENT</t>
        </is>
      </c>
    </row>
    <row r="667">
      <c r="A667" t="inlineStr">
        <is>
          <t>NOT PRETÉRITARELAÇÃODOART.7º,§2º,LFR</t>
        </is>
      </c>
      <c r="B667" s="10" t="n">
        <v>2323509.94</v>
      </c>
      <c r="C667" t="inlineStr">
        <is>
          <t>empresa</t>
        </is>
      </c>
      <c r="D667" t="inlineStr">
        <is>
          <t>1024993-78.2019.8.26.0405</t>
        </is>
      </c>
      <c r="E667" t="inlineStr">
        <is>
          <t>AJ_LIST</t>
        </is>
      </c>
      <c r="F667" t="inlineStr">
        <is>
          <t>OK_NO_TOTALS</t>
        </is>
      </c>
      <c r="G667" s="19" t="inlineStr">
        <is>
          <t>https://acfb.com.br/wp-content/uploads/2024/06/doc_227774999.pdf</t>
        </is>
      </c>
      <c r="H667" t="inlineStr">
        <is>
          <t>p7 r29</t>
        </is>
      </c>
      <c r="I667" t="inlineStr">
        <is>
          <t>NO_DOCUMENT</t>
        </is>
      </c>
    </row>
    <row r="668">
      <c r="A668" t="inlineStr">
        <is>
          <t>ssa 0007016-22.2021.8.26.0405 ,la</t>
        </is>
      </c>
      <c r="B668" s="10" t="n">
        <v>974659.39</v>
      </c>
      <c r="C668" t="inlineStr">
        <is>
          <t>empresa</t>
        </is>
      </c>
      <c r="D668" t="inlineStr">
        <is>
          <t>1024993-78.2019.8.26.0405</t>
        </is>
      </c>
      <c r="E668" t="inlineStr">
        <is>
          <t>AJ_LIST</t>
        </is>
      </c>
      <c r="F668" t="inlineStr">
        <is>
          <t>OK_NO_TOTALS</t>
        </is>
      </c>
      <c r="G668" s="19" t="inlineStr">
        <is>
          <t>https://acfb.com.br/wp-content/uploads/2024/06/doc_227774999.pdf</t>
        </is>
      </c>
      <c r="H668" t="inlineStr">
        <is>
          <t>p10 r35</t>
        </is>
      </c>
      <c r="I668" t="inlineStr">
        <is>
          <t>NO_DOCUMENT</t>
        </is>
      </c>
    </row>
    <row r="669">
      <c r="A669" t="inlineStr">
        <is>
          <t>71 PRETÉRITARELAÇÃODOART.7º,§2º,LFR me</t>
        </is>
      </c>
      <c r="B669" s="10" t="n">
        <v>508717.54</v>
      </c>
      <c r="C669" t="inlineStr">
        <is>
          <t>empresa</t>
        </is>
      </c>
      <c r="D669" t="inlineStr">
        <is>
          <t>1024993-78.2019.8.26.0405</t>
        </is>
      </c>
      <c r="E669" t="inlineStr">
        <is>
          <t>AJ_LIST</t>
        </is>
      </c>
      <c r="F669" t="inlineStr">
        <is>
          <t>OK_NO_TOTALS</t>
        </is>
      </c>
      <c r="G669" s="19" t="inlineStr">
        <is>
          <t>https://acfb.com.br/wp-content/uploads/2024/06/doc_227774999.pdf</t>
        </is>
      </c>
      <c r="H669" t="inlineStr">
        <is>
          <t>p10 r12</t>
        </is>
      </c>
      <c r="I669" t="inlineStr">
        <is>
          <t>NO_DOCUMENT</t>
        </is>
      </c>
    </row>
    <row r="670">
      <c r="A670" t="inlineStr">
        <is>
          <t>PRETÉRITARELAÇÃODOART.7º,§2º,LFR od</t>
        </is>
      </c>
      <c r="B670" s="10" t="n">
        <v>375814.7</v>
      </c>
      <c r="C670" t="inlineStr">
        <is>
          <t>empresa</t>
        </is>
      </c>
      <c r="D670" t="inlineStr">
        <is>
          <t>1024993-78.2019.8.26.0405</t>
        </is>
      </c>
      <c r="E670" t="inlineStr">
        <is>
          <t>AJ_LIST</t>
        </is>
      </c>
      <c r="F670" t="inlineStr">
        <is>
          <t>OK_NO_TOTALS</t>
        </is>
      </c>
      <c r="G670" s="19" t="inlineStr">
        <is>
          <t>https://acfb.com.br/wp-content/uploads/2024/06/doc_227774999.pdf</t>
        </is>
      </c>
      <c r="H670" t="inlineStr">
        <is>
          <t>p6 r35</t>
        </is>
      </c>
      <c r="I670" t="inlineStr">
        <is>
          <t>NO_DOCUMENT</t>
        </is>
      </c>
    </row>
    <row r="671">
      <c r="A671" t="inlineStr">
        <is>
          <t>me PRETÉRITARELAÇÃODOART.7º,§2º,LFR o</t>
        </is>
      </c>
      <c r="B671" s="10" t="n">
        <v>267682.2</v>
      </c>
      <c r="C671" t="inlineStr">
        <is>
          <t>empresa</t>
        </is>
      </c>
      <c r="D671" t="inlineStr">
        <is>
          <t>1024993-78.2019.8.26.0405</t>
        </is>
      </c>
      <c r="E671" t="inlineStr">
        <is>
          <t>AJ_LIST</t>
        </is>
      </c>
      <c r="F671" t="inlineStr">
        <is>
          <t>OK_NO_TOTALS</t>
        </is>
      </c>
      <c r="G671" s="19" t="inlineStr">
        <is>
          <t>https://acfb.com.br/wp-content/uploads/2024/06/doc_227774999.pdf</t>
        </is>
      </c>
      <c r="H671" t="inlineStr">
        <is>
          <t>p6 r13</t>
        </is>
      </c>
      <c r="I671" t="inlineStr">
        <is>
          <t>NO_DOCUMENT</t>
        </is>
      </c>
    </row>
    <row r="672">
      <c r="A672" t="inlineStr">
        <is>
          <t>2/60/ PRETÉRITARELAÇÃODOART.7º,§2º,LFR</t>
        </is>
      </c>
      <c r="B672" s="10" t="n">
        <v>239055.31</v>
      </c>
      <c r="C672" t="inlineStr">
        <is>
          <t>empresa</t>
        </is>
      </c>
      <c r="D672" t="inlineStr">
        <is>
          <t>1024993-78.2019.8.26.0405</t>
        </is>
      </c>
      <c r="E672" t="inlineStr">
        <is>
          <t>AJ_LIST</t>
        </is>
      </c>
      <c r="F672" t="inlineStr">
        <is>
          <t>OK_NO_TOTALS</t>
        </is>
      </c>
      <c r="G672" s="19" t="inlineStr">
        <is>
          <t>https://acfb.com.br/wp-content/uploads/2024/06/doc_227774999.pdf</t>
        </is>
      </c>
      <c r="H672" t="inlineStr">
        <is>
          <t>p6 r11</t>
        </is>
      </c>
      <c r="I672" t="inlineStr">
        <is>
          <t>NO_DOCUMENT</t>
        </is>
      </c>
    </row>
    <row r="673">
      <c r="A673" t="inlineStr">
        <is>
          <t>(CNPJ/MF nº 60.701.190/0001-04): 119.023,00; Banco Musicoterapia (CNPJ/MF (CPF/MF nº 114.054.508-60)</t>
        </is>
      </c>
      <c r="B673" s="10" t="n">
        <v>257538.38</v>
      </c>
      <c r="C673" t="inlineStr">
        <is>
          <t>KENNZUR CENTRO DE BEM ESTAR E SPA LTDA</t>
        </is>
      </c>
      <c r="D673" t="inlineStr">
        <is>
          <t>1049020-41.2017.8.26.0100</t>
        </is>
      </c>
      <c r="E673" t="inlineStr">
        <is>
          <t>QGC</t>
        </is>
      </c>
      <c r="F673" t="inlineStr">
        <is>
          <t>OK_NO_TOTALS</t>
        </is>
      </c>
      <c r="G673" s="19" t="inlineStr">
        <is>
          <t>https://acfb.com.br/wp-content/uploads/2018/05/1º-Edital.pdf</t>
        </is>
      </c>
      <c r="H673" t="inlineStr">
        <is>
          <t>p9 r1</t>
        </is>
      </c>
      <c r="I673" t="inlineStr">
        <is>
          <t>NO_DOCUMENT</t>
        </is>
      </c>
    </row>
    <row r="674">
      <c r="A674" t="inlineStr">
        <is>
          <t>REINALDO VARGAS LOPES</t>
        </is>
      </c>
      <c r="B674" s="10" t="n">
        <v>1134922.61</v>
      </c>
      <c r="C674" t="inlineStr">
        <is>
          <t>5217536-87.2023.8.21.0001 | CB2D</t>
        </is>
      </c>
      <c r="D674" t="inlineStr">
        <is>
          <t>5217536-87.2023.8.21.0001</t>
        </is>
      </c>
      <c r="E674" t="inlineStr">
        <is>
          <t>AJ_LIST</t>
        </is>
      </c>
      <c r="F674" t="inlineStr">
        <is>
          <t>OK_NO_TOTALS</t>
        </is>
      </c>
      <c r="G674" s="19" t="inlineStr">
        <is>
          <t>https://www.cb2d.com.br/portal/_uploads/90d84dbb-ba11-4915-b65d-98d831bb93b8.pdf</t>
        </is>
      </c>
      <c r="H674" t="inlineStr">
        <is>
          <t>p2 r20</t>
        </is>
      </c>
      <c r="I674" t="inlineStr">
        <is>
          <t>NO_DOCUMENT</t>
        </is>
      </c>
    </row>
    <row r="675">
      <c r="A675" t="inlineStr">
        <is>
          <t>BANCO DO BRASIL S/A</t>
        </is>
      </c>
      <c r="B675" s="10" t="n">
        <v>473688.07</v>
      </c>
      <c r="C675" t="inlineStr">
        <is>
          <t>5217536-87.2023.8.21.0001 | CB2D</t>
        </is>
      </c>
      <c r="D675" t="inlineStr">
        <is>
          <t>5217536-87.2023.8.21.0001</t>
        </is>
      </c>
      <c r="E675" t="inlineStr">
        <is>
          <t>AJ_LIST</t>
        </is>
      </c>
      <c r="F675" t="inlineStr">
        <is>
          <t>OK_NO_TOTALS</t>
        </is>
      </c>
      <c r="G675" s="19" t="inlineStr">
        <is>
          <t>https://www.cb2d.com.br/portal/_uploads/90d84dbb-ba11-4915-b65d-98d831bb93b8.pdf</t>
        </is>
      </c>
      <c r="H675" t="inlineStr">
        <is>
          <t>p2 r15</t>
        </is>
      </c>
      <c r="I675" t="inlineStr">
        <is>
          <t>NO_DOCUMENT</t>
        </is>
      </c>
    </row>
    <row r="676">
      <c r="A676" t="inlineStr">
        <is>
          <t>FRANCISCO ROCHA DE OLIVEIRA</t>
        </is>
      </c>
      <c r="B676" s="10" t="n">
        <v>458664.54</v>
      </c>
      <c r="C676" t="inlineStr">
        <is>
          <t>5217536-87.2023.8.21.0001 | CB2D</t>
        </is>
      </c>
      <c r="D676" t="inlineStr">
        <is>
          <t>5217536-87.2023.8.21.0001</t>
        </is>
      </c>
      <c r="E676" t="inlineStr">
        <is>
          <t>AJ_LIST</t>
        </is>
      </c>
      <c r="F676" t="inlineStr">
        <is>
          <t>OK_NO_TOTALS</t>
        </is>
      </c>
      <c r="G676" s="19" t="inlineStr">
        <is>
          <t>https://www.cb2d.com.br/portal/_uploads/90d84dbb-ba11-4915-b65d-98d831bb93b8.pdf</t>
        </is>
      </c>
      <c r="H676" t="inlineStr">
        <is>
          <t>p2 r18</t>
        </is>
      </c>
      <c r="I676" t="inlineStr">
        <is>
          <t>NO_DOCUMENT</t>
        </is>
      </c>
    </row>
    <row r="677">
      <c r="A677" t="inlineStr">
        <is>
          <t>CAIXA ECONÔMICA FEDERAL</t>
        </is>
      </c>
      <c r="B677" s="10" t="n">
        <v>236076.5</v>
      </c>
      <c r="C677" t="inlineStr">
        <is>
          <t>5217536-87.2023.8.21.0001 | CB2D</t>
        </is>
      </c>
      <c r="D677" t="inlineStr">
        <is>
          <t>5217536-87.2023.8.21.0001</t>
        </is>
      </c>
      <c r="E677" t="inlineStr">
        <is>
          <t>AJ_LIST</t>
        </is>
      </c>
      <c r="F677" t="inlineStr">
        <is>
          <t>OK_NO_TOTALS</t>
        </is>
      </c>
      <c r="G677" s="19" t="inlineStr">
        <is>
          <t>https://www.cb2d.com.br/portal/_uploads/90d84dbb-ba11-4915-b65d-98d831bb93b8.pdf</t>
        </is>
      </c>
      <c r="H677" t="inlineStr">
        <is>
          <t>p2 r17</t>
        </is>
      </c>
      <c r="I677" t="inlineStr">
        <is>
          <t>NO_DOCUMENT</t>
        </is>
      </c>
    </row>
    <row r="678">
      <c r="A678" t="inlineStr">
        <is>
          <t>BANCO DO BRASIL</t>
        </is>
      </c>
      <c r="B678" s="10" t="n">
        <v>893724.52</v>
      </c>
      <c r="C678" t="inlineStr">
        <is>
          <t>5063950-35.2020.8.21.0001 | CB2D</t>
        </is>
      </c>
      <c r="D678" t="inlineStr">
        <is>
          <t>0103934-53.2016.8.21.0001</t>
        </is>
      </c>
      <c r="E678" t="inlineStr">
        <is>
          <t>AJ_LIST</t>
        </is>
      </c>
      <c r="F678" t="inlineStr">
        <is>
          <t>OK_NO_TOTALS</t>
        </is>
      </c>
      <c r="G678" s="19" t="inlineStr">
        <is>
          <t>https://www.cb2d.com.br/portal/_uploads/3901124d-5e78-40f5-837a-ea11d6c69527.pdf</t>
        </is>
      </c>
      <c r="H678" t="inlineStr">
        <is>
          <t>p2 r39</t>
        </is>
      </c>
      <c r="I678" t="inlineStr">
        <is>
          <t>NO_DOCUMENT</t>
        </is>
      </c>
    </row>
    <row r="679">
      <c r="A679" t="inlineStr">
        <is>
          <t>CURADOR(A) NOMEADO(A)ROSA MARIA AGUIAR DAS EDITAL DE INTIMAÇÃO: NATUREZA: DESTITUIÇÃO DO PODER FAMILIAR CAIXA ECONOMICA FEDERAL</t>
        </is>
      </c>
      <c r="B679" s="10" t="n">
        <v>727212.1899999999</v>
      </c>
      <c r="C679" t="inlineStr">
        <is>
          <t>5063950-35.2020.8.21.0001 | CB2D</t>
        </is>
      </c>
      <c r="D679" t="inlineStr">
        <is>
          <t>0103934-53.2016.8.21.0001</t>
        </is>
      </c>
      <c r="E679" t="inlineStr">
        <is>
          <t>AJ_LIST</t>
        </is>
      </c>
      <c r="F679" t="inlineStr">
        <is>
          <t>OK_NO_TOTALS</t>
        </is>
      </c>
      <c r="G679" s="19" t="inlineStr">
        <is>
          <t>https://www.cb2d.com.br/portal/_uploads/3901124d-5e78-40f5-837a-ea11d6c69527.pdf</t>
        </is>
      </c>
      <c r="H679" t="inlineStr">
        <is>
          <t>p2 r40</t>
        </is>
      </c>
      <c r="I679" t="inlineStr">
        <is>
          <t>NO_DOCUMENT</t>
        </is>
      </c>
    </row>
    <row r="680">
      <c r="A680" t="inlineStr">
        <is>
          <t>BANCO DO ESTADO DO RIO GRANDE DO 10 F20.0. PRAZO DA INTERDIÇÃO: INDETERMINADO. PRAZO DE: 20 (VINTE) DIAS. SUL</t>
        </is>
      </c>
      <c r="B680" s="10" t="n">
        <v>719949.77</v>
      </c>
      <c r="C680" t="inlineStr">
        <is>
          <t>5063950-35.2020.8.21.0001 | CB2D</t>
        </is>
      </c>
      <c r="D680" t="inlineStr">
        <is>
          <t>0103934-53.2016.8.21.0001</t>
        </is>
      </c>
      <c r="E680" t="inlineStr">
        <is>
          <t>AJ_LIST</t>
        </is>
      </c>
      <c r="F680" t="inlineStr">
        <is>
          <t>OK_NO_TOTALS</t>
        </is>
      </c>
      <c r="G680" s="19" t="inlineStr">
        <is>
          <t>https://www.cb2d.com.br/portal/_uploads/3901124d-5e78-40f5-837a-ea11d6c69527.pdf</t>
        </is>
      </c>
      <c r="H680" t="inlineStr">
        <is>
          <t>p2 r38</t>
        </is>
      </c>
      <c r="I680" t="inlineStr">
        <is>
          <t>NO_DOCUMENT</t>
        </is>
      </c>
    </row>
    <row r="681">
      <c r="A681" t="inlineStr">
        <is>
          <t>BANCO NEVES: O PRAZO DESTE EDITAL É O DO ART. 1.184 DO VARA DE EXECUÇÃO DE PENAS E MEDIDAS ALTERNA- PROCESSO: 001/5.15.0011661-0 ITAÚ</t>
        </is>
      </c>
      <c r="B681" s="10" t="n">
        <v>204919.49</v>
      </c>
      <c r="C681" t="inlineStr">
        <is>
          <t>5063950-35.2020.8.21.0001 | CB2D</t>
        </is>
      </c>
      <c r="D681" t="inlineStr">
        <is>
          <t>0103934-53.2016.8.21.0001</t>
        </is>
      </c>
      <c r="E681" t="inlineStr">
        <is>
          <t>AJ_LIST</t>
        </is>
      </c>
      <c r="F681" t="inlineStr">
        <is>
          <t>OK_NO_TOTALS</t>
        </is>
      </c>
      <c r="G681" s="19" t="inlineStr">
        <is>
          <t>https://www.cb2d.com.br/portal/_uploads/3901124d-5e78-40f5-837a-ea11d6c69527.pdf</t>
        </is>
      </c>
      <c r="H681" t="inlineStr">
        <is>
          <t>p2 r41</t>
        </is>
      </c>
      <c r="I681" t="inlineStr">
        <is>
          <t>NO_DOCUMENT</t>
        </is>
      </c>
    </row>
    <row r="682">
      <c r="A682" t="inlineStr">
        <is>
          <t>UNIÃO FEDERAL</t>
        </is>
      </c>
      <c r="B682" s="10" t="n">
        <v>317916.64</v>
      </c>
      <c r="C682" t="inlineStr">
        <is>
          <t>5063950-35.2020.8.21.0001 | CB2D</t>
        </is>
      </c>
      <c r="D682" t="inlineStr">
        <is>
          <t>0296812-39.2015.8.21.0001</t>
        </is>
      </c>
      <c r="E682" t="inlineStr">
        <is>
          <t>AJ_LIST</t>
        </is>
      </c>
      <c r="F682" t="inlineStr">
        <is>
          <t>OK_NO_TOTALS</t>
        </is>
      </c>
      <c r="G682" s="19" t="inlineStr">
        <is>
          <t>https://www.cb2d.com.br/portal/_uploads/7ee8d870-ccd2-48c0-8956-becd6b724157.pdf</t>
        </is>
      </c>
      <c r="H682" t="inlineStr">
        <is>
          <t>p1 r14</t>
        </is>
      </c>
      <c r="I682" t="inlineStr">
        <is>
          <t>NO_DOCUMENT</t>
        </is>
      </c>
    </row>
    <row r="683">
      <c r="A683" t="inlineStr">
        <is>
          <t>Banco Bradesco S.A</t>
        </is>
      </c>
      <c r="B683" s="10" t="n">
        <v>301382.34</v>
      </c>
      <c r="C683" t="inlineStr">
        <is>
          <t>5268801-31.2023.8.21.0001 | CB2D</t>
        </is>
      </c>
      <c r="D683" t="inlineStr">
        <is>
          <t>5268801-31.2023.8.21.0001</t>
        </is>
      </c>
      <c r="E683" t="inlineStr">
        <is>
          <t>AJ_LIST</t>
        </is>
      </c>
      <c r="F683" t="inlineStr">
        <is>
          <t>OK_NO_TOTALS</t>
        </is>
      </c>
      <c r="G683" s="19" t="inlineStr">
        <is>
          <t>https://www.cb2d.com.br/portal/_uploads/e133a69c-5147-417c-ab51-b070cf2d3b7b.pdf</t>
        </is>
      </c>
      <c r="H683" t="inlineStr">
        <is>
          <t>p1 r18</t>
        </is>
      </c>
      <c r="I683" t="inlineStr">
        <is>
          <t>NO_DOCUMENT</t>
        </is>
      </c>
    </row>
    <row r="684">
      <c r="A684" t="inlineStr"/>
      <c r="B684" s="10" t="n">
        <v>23656703.79</v>
      </c>
      <c r="C684" t="inlineStr">
        <is>
          <t>Ativos</t>
        </is>
      </c>
      <c r="D684" t="inlineStr">
        <is>
          <t>4054599-35.2025.8.26.0100</t>
        </is>
      </c>
      <c r="E684" t="inlineStr">
        <is>
          <t>UNKNOWN</t>
        </is>
      </c>
      <c r="F684" t="inlineStr">
        <is>
          <t>OK_NO_TOTALS</t>
        </is>
      </c>
      <c r="G684" s="19" t="inlineStr">
        <is>
          <t>https://ativosajce.com.br/admin/download.php?file=files/processo_documento/processo_documento16022716122025_1_.pdf&amp;nome=Relação de credores - art. 52, §1º da Lei 11.101/05 - 15/12/2025</t>
        </is>
      </c>
      <c r="H684" t="inlineStr">
        <is>
          <t>p5 r6</t>
        </is>
      </c>
      <c r="I684" t="inlineStr">
        <is>
          <t>NO_DOCUMENT NAME_MISSING</t>
        </is>
      </c>
    </row>
    <row r="685">
      <c r="A685" t="inlineStr">
        <is>
          <t>Bradesco Financiamentos</t>
        </is>
      </c>
      <c r="B685" s="10" t="n">
        <v>4582123.09</v>
      </c>
      <c r="C685" t="inlineStr">
        <is>
          <t>5188654-52.2022.8.21.0001 | CB2D</t>
        </is>
      </c>
      <c r="D685" t="inlineStr">
        <is>
          <t>5188654-52.2022.8.21.0001</t>
        </is>
      </c>
      <c r="E685" t="inlineStr">
        <is>
          <t>AJ_LIST</t>
        </is>
      </c>
      <c r="F685" t="inlineStr">
        <is>
          <t>OK_NO_TOTALS</t>
        </is>
      </c>
      <c r="G685" s="19" t="inlineStr">
        <is>
          <t>https://www.cb2d.com.br/portal/_uploads/fd3aa07f-855c-40df-874d-61b0f89db243.pdf</t>
        </is>
      </c>
      <c r="H685" t="inlineStr">
        <is>
          <t>p4 r25</t>
        </is>
      </c>
      <c r="I685" t="inlineStr">
        <is>
          <t>NO_DOCUMENT</t>
        </is>
      </c>
    </row>
    <row r="686">
      <c r="A686" t="inlineStr">
        <is>
          <t>Banco Abc Brasil</t>
        </is>
      </c>
      <c r="B686" s="10" t="n">
        <v>2751323.13</v>
      </c>
      <c r="C686" t="inlineStr">
        <is>
          <t>5188654-52.2022.8.21.0001 | CB2D</t>
        </is>
      </c>
      <c r="D686" t="inlineStr">
        <is>
          <t>5188654-52.2022.8.21.0001</t>
        </is>
      </c>
      <c r="E686" t="inlineStr">
        <is>
          <t>AJ_LIST</t>
        </is>
      </c>
      <c r="F686" t="inlineStr">
        <is>
          <t>OK_NO_TOTALS</t>
        </is>
      </c>
      <c r="G686" s="19" t="inlineStr">
        <is>
          <t>https://www.cb2d.com.br/portal/_uploads/fd3aa07f-855c-40df-874d-61b0f89db243.pdf</t>
        </is>
      </c>
      <c r="H686" t="inlineStr">
        <is>
          <t>p4 r21</t>
        </is>
      </c>
      <c r="I686" t="inlineStr">
        <is>
          <t>NO_DOCUMENT</t>
        </is>
      </c>
    </row>
    <row r="687">
      <c r="A687" t="inlineStr">
        <is>
          <t>Eldorado Mineração Ltda</t>
        </is>
      </c>
      <c r="B687" s="10" t="n">
        <v>796092.66</v>
      </c>
      <c r="C687" t="inlineStr">
        <is>
          <t>5188654-52.2022.8.21.0001 | CB2D</t>
        </is>
      </c>
      <c r="D687" t="inlineStr">
        <is>
          <t>5188654-52.2022.8.21.0001</t>
        </is>
      </c>
      <c r="E687" t="inlineStr">
        <is>
          <t>AJ_LIST</t>
        </is>
      </c>
      <c r="F687" t="inlineStr">
        <is>
          <t>OK_NO_TOTALS</t>
        </is>
      </c>
      <c r="G687" s="19" t="inlineStr">
        <is>
          <t>https://www.cb2d.com.br/portal/_uploads/fd3aa07f-855c-40df-874d-61b0f89db243.pdf</t>
        </is>
      </c>
      <c r="H687" t="inlineStr">
        <is>
          <t>p4 r65</t>
        </is>
      </c>
      <c r="I687" t="inlineStr">
        <is>
          <t>NO_DOCUMENT</t>
        </is>
      </c>
    </row>
    <row r="688">
      <c r="A688" t="inlineStr">
        <is>
          <t>Stratura Asfaltos S/A</t>
        </is>
      </c>
      <c r="B688" s="10" t="n">
        <v>780000</v>
      </c>
      <c r="C688" t="inlineStr">
        <is>
          <t>5188654-52.2022.8.21.0001 | CB2D</t>
        </is>
      </c>
      <c r="D688" t="inlineStr">
        <is>
          <t>5188654-52.2022.8.21.0001</t>
        </is>
      </c>
      <c r="E688" t="inlineStr">
        <is>
          <t>AJ_LIST</t>
        </is>
      </c>
      <c r="F688" t="inlineStr">
        <is>
          <t>OK_NO_TOTALS</t>
        </is>
      </c>
      <c r="G688" s="19" t="inlineStr">
        <is>
          <t>https://www.cb2d.com.br/portal/_uploads/fd3aa07f-855c-40df-874d-61b0f89db243.pdf</t>
        </is>
      </c>
      <c r="H688" t="inlineStr">
        <is>
          <t>p5 r37</t>
        </is>
      </c>
      <c r="I688" t="inlineStr">
        <is>
          <t>NO_DOCUMENT</t>
        </is>
      </c>
    </row>
    <row r="689">
      <c r="A689" t="inlineStr">
        <is>
          <t>Traçado Construções e Serviços Ltda</t>
        </is>
      </c>
      <c r="B689" s="10" t="n">
        <v>647841.97</v>
      </c>
      <c r="C689" t="inlineStr">
        <is>
          <t>5188654-52.2022.8.21.0001 | CB2D</t>
        </is>
      </c>
      <c r="D689" t="inlineStr">
        <is>
          <t>5188654-52.2022.8.21.0001</t>
        </is>
      </c>
      <c r="E689" t="inlineStr">
        <is>
          <t>AJ_LIST</t>
        </is>
      </c>
      <c r="F689" t="inlineStr">
        <is>
          <t>OK_NO_TOTALS</t>
        </is>
      </c>
      <c r="G689" s="19" t="inlineStr">
        <is>
          <t>https://www.cb2d.com.br/portal/_uploads/fd3aa07f-855c-40df-874d-61b0f89db243.pdf</t>
        </is>
      </c>
      <c r="H689" t="inlineStr">
        <is>
          <t>p5 r47</t>
        </is>
      </c>
      <c r="I689" t="inlineStr">
        <is>
          <t>NO_DOCUMENT</t>
        </is>
      </c>
    </row>
    <row r="690">
      <c r="A690" t="inlineStr">
        <is>
          <t>Corr Plastik Industrial Limitada</t>
        </is>
      </c>
      <c r="B690" s="10" t="n">
        <v>608916.88</v>
      </c>
      <c r="C690" t="inlineStr">
        <is>
          <t>5188654-52.2022.8.21.0001 | CB2D</t>
        </is>
      </c>
      <c r="D690" t="inlineStr">
        <is>
          <t>5188654-52.2022.8.21.0001</t>
        </is>
      </c>
      <c r="E690" t="inlineStr">
        <is>
          <t>AJ_LIST</t>
        </is>
      </c>
      <c r="F690" t="inlineStr">
        <is>
          <t>OK_NO_TOTALS</t>
        </is>
      </c>
      <c r="G690" s="19" t="inlineStr">
        <is>
          <t>https://www.cb2d.com.br/portal/_uploads/fd3aa07f-855c-40df-874d-61b0f89db243.pdf</t>
        </is>
      </c>
      <c r="H690" t="inlineStr">
        <is>
          <t>p4 r49</t>
        </is>
      </c>
      <c r="I690" t="inlineStr">
        <is>
          <t>NO_DOCUMENT</t>
        </is>
      </c>
    </row>
    <row r="691">
      <c r="A691" t="inlineStr">
        <is>
          <t>Soluções Integradas Verdes Vales</t>
        </is>
      </c>
      <c r="B691" s="10" t="n">
        <v>571136.77</v>
      </c>
      <c r="C691" t="inlineStr">
        <is>
          <t>5188654-52.2022.8.21.0001 | CB2D</t>
        </is>
      </c>
      <c r="D691" t="inlineStr">
        <is>
          <t>5188654-52.2022.8.21.0001</t>
        </is>
      </c>
      <c r="E691" t="inlineStr">
        <is>
          <t>AJ_LIST</t>
        </is>
      </c>
      <c r="F691" t="inlineStr">
        <is>
          <t>OK_NO_TOTALS</t>
        </is>
      </c>
      <c r="G691" s="19" t="inlineStr">
        <is>
          <t>https://www.cb2d.com.br/portal/_uploads/fd3aa07f-855c-40df-874d-61b0f89db243.pdf</t>
        </is>
      </c>
      <c r="H691" t="inlineStr">
        <is>
          <t>p5 r33</t>
        </is>
      </c>
      <c r="I691" t="inlineStr">
        <is>
          <t>NO_DOCUMENT</t>
        </is>
      </c>
    </row>
    <row r="692">
      <c r="A692" t="inlineStr">
        <is>
          <t>Abastecedora Gral Ltda</t>
        </is>
      </c>
      <c r="B692" s="10" t="n">
        <v>474289.48</v>
      </c>
      <c r="C692" t="inlineStr">
        <is>
          <t>5188654-52.2022.8.21.0001 | CB2D</t>
        </is>
      </c>
      <c r="D692" t="inlineStr">
        <is>
          <t>5188654-52.2022.8.21.0001</t>
        </is>
      </c>
      <c r="E692" t="inlineStr">
        <is>
          <t>AJ_LIST</t>
        </is>
      </c>
      <c r="F692" t="inlineStr">
        <is>
          <t>OK_NO_TOTALS</t>
        </is>
      </c>
      <c r="G692" s="19" t="inlineStr">
        <is>
          <t>https://www.cb2d.com.br/portal/_uploads/fd3aa07f-855c-40df-874d-61b0f89db243.pdf</t>
        </is>
      </c>
      <c r="H692" t="inlineStr">
        <is>
          <t>p3 r127</t>
        </is>
      </c>
      <c r="I692" t="inlineStr">
        <is>
          <t>NO_DOCUMENT</t>
        </is>
      </c>
    </row>
    <row r="693">
      <c r="A693" t="inlineStr">
        <is>
          <t>Betunel Indústria e Comércio S.A</t>
        </is>
      </c>
      <c r="B693" s="10" t="n">
        <v>443887.24</v>
      </c>
      <c r="C693" t="inlineStr">
        <is>
          <t>5188654-52.2022.8.21.0001 | CB2D</t>
        </is>
      </c>
      <c r="D693" t="inlineStr">
        <is>
          <t>5188654-52.2022.8.21.0001</t>
        </is>
      </c>
      <c r="E693" t="inlineStr">
        <is>
          <t>AJ_LIST</t>
        </is>
      </c>
      <c r="F693" t="inlineStr">
        <is>
          <t>OK_NO_TOTALS</t>
        </is>
      </c>
      <c r="G693" s="19" t="inlineStr">
        <is>
          <t>https://www.cb2d.com.br/portal/_uploads/fd3aa07f-855c-40df-874d-61b0f89db243.pdf</t>
        </is>
      </c>
      <c r="H693" t="inlineStr">
        <is>
          <t>p4 r23</t>
        </is>
      </c>
      <c r="I693" t="inlineStr">
        <is>
          <t>NO_DOCUMENT</t>
        </is>
      </c>
    </row>
    <row r="694">
      <c r="A694" t="inlineStr">
        <is>
          <t>Ksb Brasil Ltda</t>
        </is>
      </c>
      <c r="B694" s="10" t="n">
        <v>443426</v>
      </c>
      <c r="C694" t="inlineStr">
        <is>
          <t>5188654-52.2022.8.21.0001 | CB2D</t>
        </is>
      </c>
      <c r="D694" t="inlineStr">
        <is>
          <t>5188654-52.2022.8.21.0001</t>
        </is>
      </c>
      <c r="E694" t="inlineStr">
        <is>
          <t>AJ_LIST</t>
        </is>
      </c>
      <c r="F694" t="inlineStr">
        <is>
          <t>OK_NO_TOTALS</t>
        </is>
      </c>
      <c r="G694" s="19" t="inlineStr">
        <is>
          <t>https://www.cb2d.com.br/portal/_uploads/fd3aa07f-855c-40df-874d-61b0f89db243.pdf</t>
        </is>
      </c>
      <c r="H694" t="inlineStr">
        <is>
          <t>p4 r84</t>
        </is>
      </c>
      <c r="I694" t="inlineStr">
        <is>
          <t>NO_DOCUMENT</t>
        </is>
      </c>
    </row>
    <row r="695">
      <c r="A695" t="inlineStr">
        <is>
          <t>Sinasc Sinalizaçao e Cons. Rod. Ltda</t>
        </is>
      </c>
      <c r="B695" s="10" t="n">
        <v>398048.06</v>
      </c>
      <c r="C695" t="inlineStr">
        <is>
          <t>5188654-52.2022.8.21.0001 | CB2D</t>
        </is>
      </c>
      <c r="D695" t="inlineStr">
        <is>
          <t>5188654-52.2022.8.21.0001</t>
        </is>
      </c>
      <c r="E695" t="inlineStr">
        <is>
          <t>AJ_LIST</t>
        </is>
      </c>
      <c r="F695" t="inlineStr">
        <is>
          <t>OK_NO_TOTALS</t>
        </is>
      </c>
      <c r="G695" s="19" t="inlineStr">
        <is>
          <t>https://www.cb2d.com.br/portal/_uploads/fd3aa07f-855c-40df-874d-61b0f89db243.pdf</t>
        </is>
      </c>
      <c r="H695" t="inlineStr">
        <is>
          <t>p5 r29</t>
        </is>
      </c>
      <c r="I695" t="inlineStr">
        <is>
          <t>NO_DOCUMENT</t>
        </is>
      </c>
    </row>
    <row r="696">
      <c r="A696" t="inlineStr">
        <is>
          <t>Greca Distribuidora de Asfaltos Ltda</t>
        </is>
      </c>
      <c r="B696" s="10" t="n">
        <v>354995.78</v>
      </c>
      <c r="C696" t="inlineStr">
        <is>
          <t>5188654-52.2022.8.21.0001 | CB2D</t>
        </is>
      </c>
      <c r="D696" t="inlineStr">
        <is>
          <t>5188654-52.2022.8.21.0001</t>
        </is>
      </c>
      <c r="E696" t="inlineStr">
        <is>
          <t>AJ_LIST</t>
        </is>
      </c>
      <c r="F696" t="inlineStr">
        <is>
          <t>OK_NO_TOTALS</t>
        </is>
      </c>
      <c r="G696" s="19" t="inlineStr">
        <is>
          <t>https://www.cb2d.com.br/portal/_uploads/fd3aa07f-855c-40df-874d-61b0f89db243.pdf</t>
        </is>
      </c>
      <c r="H696" t="inlineStr">
        <is>
          <t>p4 r73</t>
        </is>
      </c>
      <c r="I696" t="inlineStr">
        <is>
          <t>NO_DOCUMENT</t>
        </is>
      </c>
    </row>
    <row r="697">
      <c r="A697" t="inlineStr">
        <is>
          <t>Construsinos Ind. e Com. de Artefatos de Cimento L</t>
        </is>
      </c>
      <c r="B697" s="10" t="n">
        <v>326070.44</v>
      </c>
      <c r="C697" t="inlineStr">
        <is>
          <t>5188654-52.2022.8.21.0001 | CB2D</t>
        </is>
      </c>
      <c r="D697" t="inlineStr">
        <is>
          <t>5188654-52.2022.8.21.0001</t>
        </is>
      </c>
      <c r="E697" t="inlineStr">
        <is>
          <t>AJ_LIST</t>
        </is>
      </c>
      <c r="F697" t="inlineStr">
        <is>
          <t>OK_NO_TOTALS</t>
        </is>
      </c>
      <c r="G697" s="19" t="inlineStr">
        <is>
          <t>https://www.cb2d.com.br/portal/_uploads/fd3aa07f-855c-40df-874d-61b0f89db243.pdf</t>
        </is>
      </c>
      <c r="H697" t="inlineStr">
        <is>
          <t>p4 r44</t>
        </is>
      </c>
      <c r="I697" t="inlineStr">
        <is>
          <t>NO_DOCUMENT</t>
        </is>
      </c>
    </row>
    <row r="698">
      <c r="A698" t="inlineStr">
        <is>
          <t>Dinacon Indústria Comércio e Serviços Ltda</t>
        </is>
      </c>
      <c r="B698" s="10" t="n">
        <v>325749.97</v>
      </c>
      <c r="C698" t="inlineStr">
        <is>
          <t>5188654-52.2022.8.21.0001 | CB2D</t>
        </is>
      </c>
      <c r="D698" t="inlineStr">
        <is>
          <t>5188654-52.2022.8.21.0001</t>
        </is>
      </c>
      <c r="E698" t="inlineStr">
        <is>
          <t>AJ_LIST</t>
        </is>
      </c>
      <c r="F698" t="inlineStr">
        <is>
          <t>OK_NO_TOTALS</t>
        </is>
      </c>
      <c r="G698" s="19" t="inlineStr">
        <is>
          <t>https://www.cb2d.com.br/portal/_uploads/fd3aa07f-855c-40df-874d-61b0f89db243.pdf</t>
        </is>
      </c>
      <c r="H698" t="inlineStr">
        <is>
          <t>p4 r61</t>
        </is>
      </c>
      <c r="I698" t="inlineStr">
        <is>
          <t>NO_DOCUMENT</t>
        </is>
      </c>
    </row>
    <row r="699">
      <c r="A699" t="inlineStr">
        <is>
          <t>Armac Locações Logistica e Serviço</t>
        </is>
      </c>
      <c r="B699" s="10" t="n">
        <v>314851.61</v>
      </c>
      <c r="C699" t="inlineStr">
        <is>
          <t>5188654-52.2022.8.21.0001 | CB2D</t>
        </is>
      </c>
      <c r="D699" t="inlineStr">
        <is>
          <t>5188654-52.2022.8.21.0001</t>
        </is>
      </c>
      <c r="E699" t="inlineStr">
        <is>
          <t>AJ_LIST</t>
        </is>
      </c>
      <c r="F699" t="inlineStr">
        <is>
          <t>OK_NO_TOTALS</t>
        </is>
      </c>
      <c r="G699" s="19" t="inlineStr">
        <is>
          <t>https://www.cb2d.com.br/portal/_uploads/fd3aa07f-855c-40df-874d-61b0f89db243.pdf</t>
        </is>
      </c>
      <c r="H699" t="inlineStr">
        <is>
          <t>p4 r18</t>
        </is>
      </c>
      <c r="I699" t="inlineStr">
        <is>
          <t>NO_DOCUMENT</t>
        </is>
      </c>
    </row>
    <row r="700">
      <c r="A700" t="inlineStr">
        <is>
          <t>Trr Kaninha Combustiveis Ltda</t>
        </is>
      </c>
      <c r="B700" s="10" t="n">
        <v>299610</v>
      </c>
      <c r="C700" t="inlineStr">
        <is>
          <t>5188654-52.2022.8.21.0001 | CB2D</t>
        </is>
      </c>
      <c r="D700" t="inlineStr">
        <is>
          <t>5188654-52.2022.8.21.0001</t>
        </is>
      </c>
      <c r="E700" t="inlineStr">
        <is>
          <t>AJ_LIST</t>
        </is>
      </c>
      <c r="F700" t="inlineStr">
        <is>
          <t>OK_NO_TOTALS</t>
        </is>
      </c>
      <c r="G700" s="19" t="inlineStr">
        <is>
          <t>https://www.cb2d.com.br/portal/_uploads/fd3aa07f-855c-40df-874d-61b0f89db243.pdf</t>
        </is>
      </c>
      <c r="H700" t="inlineStr">
        <is>
          <t>p5 r51</t>
        </is>
      </c>
      <c r="I700" t="inlineStr">
        <is>
          <t>NO_DOCUMENT</t>
        </is>
      </c>
    </row>
    <row r="701">
      <c r="A701" t="inlineStr">
        <is>
          <t>Andreetta &amp; Cia Ltda</t>
        </is>
      </c>
      <c r="B701" s="10" t="n">
        <v>284433.52</v>
      </c>
      <c r="C701" t="inlineStr">
        <is>
          <t>5188654-52.2022.8.21.0001 | CB2D</t>
        </is>
      </c>
      <c r="D701" t="inlineStr">
        <is>
          <t>5188654-52.2022.8.21.0001</t>
        </is>
      </c>
      <c r="E701" t="inlineStr">
        <is>
          <t>AJ_LIST</t>
        </is>
      </c>
      <c r="F701" t="inlineStr">
        <is>
          <t>OK_NO_TOTALS</t>
        </is>
      </c>
      <c r="G701" s="19" t="inlineStr">
        <is>
          <t>https://www.cb2d.com.br/portal/_uploads/fd3aa07f-855c-40df-874d-61b0f89db243.pdf</t>
        </is>
      </c>
      <c r="H701" t="inlineStr">
        <is>
          <t>p4 r9</t>
        </is>
      </c>
      <c r="I701" t="inlineStr">
        <is>
          <t>NO_DOCUMENT</t>
        </is>
      </c>
    </row>
    <row r="702">
      <c r="A702" t="inlineStr">
        <is>
          <t>lisy Soluções em Metalugia Ltda</t>
        </is>
      </c>
      <c r="B702" s="10" t="n">
        <v>277896</v>
      </c>
      <c r="C702" t="inlineStr">
        <is>
          <t>5188654-52.2022.8.21.0001 | CB2D</t>
        </is>
      </c>
      <c r="D702" t="inlineStr">
        <is>
          <t>5188654-52.2022.8.21.0001</t>
        </is>
      </c>
      <c r="E702" t="inlineStr">
        <is>
          <t>AJ_LIST</t>
        </is>
      </c>
      <c r="F702" t="inlineStr">
        <is>
          <t>OK_NO_TOTALS</t>
        </is>
      </c>
      <c r="G702" s="19" t="inlineStr">
        <is>
          <t>https://www.cb2d.com.br/portal/_uploads/fd3aa07f-855c-40df-874d-61b0f89db243.pdf</t>
        </is>
      </c>
      <c r="H702" t="inlineStr">
        <is>
          <t>p4 r88</t>
        </is>
      </c>
      <c r="I702" t="inlineStr">
        <is>
          <t>NO_DOCUMENT</t>
        </is>
      </c>
    </row>
    <row r="703">
      <c r="A703" t="inlineStr">
        <is>
          <t>Cbb Industria e Comercio de Asfaltos e Engenharia Ltda</t>
        </is>
      </c>
      <c r="B703" s="10" t="n">
        <v>272315.26</v>
      </c>
      <c r="C703" t="inlineStr">
        <is>
          <t>5188654-52.2022.8.21.0001 | CB2D</t>
        </is>
      </c>
      <c r="D703" t="inlineStr">
        <is>
          <t>5188654-52.2022.8.21.0001</t>
        </is>
      </c>
      <c r="E703" t="inlineStr">
        <is>
          <t>AJ_LIST</t>
        </is>
      </c>
      <c r="F703" t="inlineStr">
        <is>
          <t>OK_NO_TOTALS</t>
        </is>
      </c>
      <c r="G703" s="19" t="inlineStr">
        <is>
          <t>https://www.cb2d.com.br/portal/_uploads/fd3aa07f-855c-40df-874d-61b0f89db243.pdf</t>
        </is>
      </c>
      <c r="H703" t="inlineStr">
        <is>
          <t>p4 r28</t>
        </is>
      </c>
      <c r="I703" t="inlineStr">
        <is>
          <t>NO_DOCUMENT</t>
        </is>
      </c>
    </row>
    <row r="704">
      <c r="A704" t="inlineStr">
        <is>
          <t>Ravato Distribuidora de Combustíveis Ltda</t>
        </is>
      </c>
      <c r="B704" s="10" t="n">
        <v>249761.74</v>
      </c>
      <c r="C704" t="inlineStr">
        <is>
          <t>5188654-52.2022.8.21.0001 | CB2D</t>
        </is>
      </c>
      <c r="D704" t="inlineStr">
        <is>
          <t>5188654-52.2022.8.21.0001</t>
        </is>
      </c>
      <c r="E704" t="inlineStr">
        <is>
          <t>AJ_LIST</t>
        </is>
      </c>
      <c r="F704" t="inlineStr">
        <is>
          <t>OK_NO_TOTALS</t>
        </is>
      </c>
      <c r="G704" s="19" t="inlineStr">
        <is>
          <t>https://www.cb2d.com.br/portal/_uploads/fd3aa07f-855c-40df-874d-61b0f89db243.pdf</t>
        </is>
      </c>
      <c r="H704" t="inlineStr">
        <is>
          <t>p5 r10</t>
        </is>
      </c>
      <c r="I704" t="inlineStr">
        <is>
          <t>NO_DOCUMENT</t>
        </is>
      </c>
    </row>
    <row r="705">
      <c r="A705" t="inlineStr">
        <is>
          <t>Indústria e Comercio de Bombas D' Água Beto Ltda</t>
        </is>
      </c>
      <c r="B705" s="10" t="n">
        <v>245848.5</v>
      </c>
      <c r="C705" t="inlineStr">
        <is>
          <t>5188654-52.2022.8.21.0001 | CB2D</t>
        </is>
      </c>
      <c r="D705" t="inlineStr">
        <is>
          <t>5188654-52.2022.8.21.0001</t>
        </is>
      </c>
      <c r="E705" t="inlineStr">
        <is>
          <t>AJ_LIST</t>
        </is>
      </c>
      <c r="F705" t="inlineStr">
        <is>
          <t>OK_NO_TOTALS</t>
        </is>
      </c>
      <c r="G705" s="19" t="inlineStr">
        <is>
          <t>https://www.cb2d.com.br/portal/_uploads/fd3aa07f-855c-40df-874d-61b0f89db243.pdf</t>
        </is>
      </c>
      <c r="H705" t="inlineStr">
        <is>
          <t>p4 r78</t>
        </is>
      </c>
      <c r="I705" t="inlineStr">
        <is>
          <t>NO_DOCUMENT</t>
        </is>
      </c>
    </row>
    <row r="706">
      <c r="A706" t="inlineStr">
        <is>
          <t>Coqueiro Com de Diesel e Lubrificates Ltda</t>
        </is>
      </c>
      <c r="B706" s="10" t="n">
        <v>218606.58</v>
      </c>
      <c r="C706" t="inlineStr">
        <is>
          <t>5188654-52.2022.8.21.0001 | CB2D</t>
        </is>
      </c>
      <c r="D706" t="inlineStr">
        <is>
          <t>5188654-52.2022.8.21.0001</t>
        </is>
      </c>
      <c r="E706" t="inlineStr">
        <is>
          <t>AJ_LIST</t>
        </is>
      </c>
      <c r="F706" t="inlineStr">
        <is>
          <t>OK_NO_TOTALS</t>
        </is>
      </c>
      <c r="G706" s="19" t="inlineStr">
        <is>
          <t>https://www.cb2d.com.br/portal/_uploads/fd3aa07f-855c-40df-874d-61b0f89db243.pdf</t>
        </is>
      </c>
      <c r="H706" t="inlineStr">
        <is>
          <t>p4 r48</t>
        </is>
      </c>
      <c r="I706" t="inlineStr">
        <is>
          <t>NO_DOCUMENT</t>
        </is>
      </c>
    </row>
    <row r="707">
      <c r="A707" t="inlineStr">
        <is>
          <t>Querodiesel Transp. e Com. de Comb. Ltda</t>
        </is>
      </c>
      <c r="B707" s="10" t="n">
        <v>211227.06</v>
      </c>
      <c r="C707" t="inlineStr">
        <is>
          <t>5188654-52.2022.8.21.0001 | CB2D</t>
        </is>
      </c>
      <c r="D707" t="inlineStr">
        <is>
          <t>5188654-52.2022.8.21.0001</t>
        </is>
      </c>
      <c r="E707" t="inlineStr">
        <is>
          <t>AJ_LIST</t>
        </is>
      </c>
      <c r="F707" t="inlineStr">
        <is>
          <t>OK_NO_TOTALS</t>
        </is>
      </c>
      <c r="G707" s="19" t="inlineStr">
        <is>
          <t>https://www.cb2d.com.br/portal/_uploads/fd3aa07f-855c-40df-874d-61b0f89db243.pdf</t>
        </is>
      </c>
      <c r="H707" t="inlineStr">
        <is>
          <t>p5 r8</t>
        </is>
      </c>
      <c r="I707" t="inlineStr">
        <is>
          <t>NO_DOCUMENT</t>
        </is>
      </c>
    </row>
    <row r="708">
      <c r="A708" t="inlineStr">
        <is>
          <t>065.101,57 CLASSE III SICREDI REGIAO DA PRODUCAO RS/SC/MG</t>
        </is>
      </c>
      <c r="B708" s="10" t="n">
        <v>3852169</v>
      </c>
      <c r="C708" t="inlineStr">
        <is>
          <t>Base | AJ RUIZ - Administração Judicial</t>
        </is>
      </c>
      <c r="D708" t="inlineStr"/>
      <c r="E708" t="inlineStr">
        <is>
          <t>QGC</t>
        </is>
      </c>
      <c r="F708" t="inlineStr">
        <is>
          <t>OK_NO_TOTALS</t>
        </is>
      </c>
      <c r="G708" s="19" t="inlineStr">
        <is>
          <t>https://ajruiz.com.br/sites/default/files/public/arquivos-processos/2023-12/2._relacao_de_credores.pdf</t>
        </is>
      </c>
      <c r="H708" t="inlineStr">
        <is>
          <t>p1 r7</t>
        </is>
      </c>
      <c r="I708" t="inlineStr">
        <is>
          <t>NO_DOCUMENT</t>
        </is>
      </c>
    </row>
    <row r="709">
      <c r="A709" t="inlineStr">
        <is>
          <t>748.415,00 CLASSE III BANCO SAFRA S A</t>
        </is>
      </c>
      <c r="B709" s="10" t="n">
        <v>2846612</v>
      </c>
      <c r="C709" t="inlineStr">
        <is>
          <t>Base | AJ RUIZ - Administração Judicial</t>
        </is>
      </c>
      <c r="D709" t="inlineStr"/>
      <c r="E709" t="inlineStr">
        <is>
          <t>QGC</t>
        </is>
      </c>
      <c r="F709" t="inlineStr">
        <is>
          <t>OK_NO_TOTALS</t>
        </is>
      </c>
      <c r="G709" s="19" t="inlineStr">
        <is>
          <t>https://ajruiz.com.br/sites/default/files/public/arquivos-processos/2023-12/2._relacao_de_credores.pdf</t>
        </is>
      </c>
      <c r="H709" t="inlineStr">
        <is>
          <t>p1 r6</t>
        </is>
      </c>
      <c r="I709" t="inlineStr">
        <is>
          <t>NO_DOCUMENT</t>
        </is>
      </c>
    </row>
    <row r="710">
      <c r="A710" t="inlineStr">
        <is>
          <t>161.237,00 CLASSE III COOPERATIVA DE CREDITO EVOLUA</t>
        </is>
      </c>
      <c r="B710" s="10" t="n">
        <v>1277964</v>
      </c>
      <c r="C710" t="inlineStr">
        <is>
          <t>Base | AJ RUIZ - Administração Judicial</t>
        </is>
      </c>
      <c r="D710" t="inlineStr"/>
      <c r="E710" t="inlineStr">
        <is>
          <t>QGC</t>
        </is>
      </c>
      <c r="F710" t="inlineStr">
        <is>
          <t>OK_NO_TOTALS</t>
        </is>
      </c>
      <c r="G710" s="19" t="inlineStr">
        <is>
          <t>https://ajruiz.com.br/sites/default/files/public/arquivos-processos/2023-12/2._relacao_de_credores.pdf</t>
        </is>
      </c>
      <c r="H710" t="inlineStr">
        <is>
          <t>p1 r5</t>
        </is>
      </c>
      <c r="I710" t="inlineStr">
        <is>
          <t>NO_DOCUMENT</t>
        </is>
      </c>
    </row>
    <row r="711">
      <c r="A711" t="inlineStr">
        <is>
          <t>483,00 CLASSE III PLASTICOS TANGARA LTDA</t>
        </is>
      </c>
      <c r="B711" s="10" t="n">
        <v>751226.67</v>
      </c>
      <c r="C711" t="inlineStr">
        <is>
          <t>Base | AJ RUIZ - Administração Judicial</t>
        </is>
      </c>
      <c r="D711" t="inlineStr"/>
      <c r="E711" t="inlineStr">
        <is>
          <t>QGC</t>
        </is>
      </c>
      <c r="F711" t="inlineStr">
        <is>
          <t>OK_NO_TOTALS</t>
        </is>
      </c>
      <c r="G711" s="19" t="inlineStr">
        <is>
          <t>https://ajruiz.com.br/sites/default/files/public/arquivos-processos/2023-12/2._relacao_de_credores.pdf</t>
        </is>
      </c>
      <c r="H711" t="inlineStr">
        <is>
          <t>p1 r8</t>
        </is>
      </c>
      <c r="I711" t="inlineStr">
        <is>
          <t>NO_DOCUMENT</t>
        </is>
      </c>
    </row>
    <row r="712">
      <c r="A712" t="inlineStr">
        <is>
          <t>787,80 CLASSE III BRASMO INDUSTRIA E COMERCIO LTDA</t>
        </is>
      </c>
      <c r="B712" s="10" t="n">
        <v>402981.2</v>
      </c>
      <c r="C712" t="inlineStr">
        <is>
          <t>Base | AJ RUIZ - Administração Judicial</t>
        </is>
      </c>
      <c r="D712" t="inlineStr"/>
      <c r="E712" t="inlineStr">
        <is>
          <t>QGC</t>
        </is>
      </c>
      <c r="F712" t="inlineStr">
        <is>
          <t>OK_NO_TOTALS</t>
        </is>
      </c>
      <c r="G712" s="19" t="inlineStr">
        <is>
          <t>https://ajruiz.com.br/sites/default/files/public/arquivos-processos/2023-12/2._relacao_de_credores.pdf</t>
        </is>
      </c>
      <c r="H712" t="inlineStr">
        <is>
          <t>p1 r9</t>
        </is>
      </c>
      <c r="I712" t="inlineStr">
        <is>
          <t>NO_DOCUMENT</t>
        </is>
      </c>
    </row>
    <row r="713">
      <c r="A713" t="inlineStr">
        <is>
          <t>639,14 CLASSE III CRISTAL MASTER IND E COM LTDA</t>
        </is>
      </c>
      <c r="B713" s="10" t="n">
        <v>316130.61</v>
      </c>
      <c r="C713" t="inlineStr">
        <is>
          <t>Base | AJ RUIZ - Administração Judicial</t>
        </is>
      </c>
      <c r="D713" t="inlineStr"/>
      <c r="E713" t="inlineStr">
        <is>
          <t>QGC</t>
        </is>
      </c>
      <c r="F713" t="inlineStr">
        <is>
          <t>OK_NO_TOTALS</t>
        </is>
      </c>
      <c r="G713" s="19" t="inlineStr">
        <is>
          <t>https://ajruiz.com.br/sites/default/files/public/arquivos-processos/2023-12/2._relacao_de_credores.pdf</t>
        </is>
      </c>
      <c r="H713" t="inlineStr">
        <is>
          <t>p1 r10</t>
        </is>
      </c>
      <c r="I713" t="inlineStr">
        <is>
          <t>NO_DOCUMENT</t>
        </is>
      </c>
    </row>
    <row r="714">
      <c r="A714" t="inlineStr">
        <is>
          <t>388,36 CLASSE III MDG INDUSTRIA E COMERCIO DE PLASTICOS LTDA</t>
        </is>
      </c>
      <c r="B714" s="10" t="n">
        <v>239945.16</v>
      </c>
      <c r="C714" t="inlineStr">
        <is>
          <t>Base | AJ RUIZ - Administração Judicial</t>
        </is>
      </c>
      <c r="D714" t="inlineStr"/>
      <c r="E714" t="inlineStr">
        <is>
          <t>QGC</t>
        </is>
      </c>
      <c r="F714" t="inlineStr">
        <is>
          <t>OK_NO_TOTALS</t>
        </is>
      </c>
      <c r="G714" s="19" t="inlineStr">
        <is>
          <t>https://ajruiz.com.br/sites/default/files/public/arquivos-processos/2023-12/2._relacao_de_credores.pdf</t>
        </is>
      </c>
      <c r="H714" t="inlineStr">
        <is>
          <t>p1 r11</t>
        </is>
      </c>
      <c r="I714" t="inlineStr">
        <is>
          <t>NO_DOCUMENT</t>
        </is>
      </c>
    </row>
    <row r="715">
      <c r="A715" t="inlineStr">
        <is>
          <t>UNIÃO - FAZENDA NACIONAL</t>
        </is>
      </c>
      <c r="B715" s="10" t="n">
        <v>3940381.19</v>
      </c>
      <c r="C715" t="inlineStr">
        <is>
          <t>5127763-65.2022.8.21.0001 | CB2D</t>
        </is>
      </c>
      <c r="D715" t="inlineStr">
        <is>
          <t>5127763-65.2022.8.21.0001</t>
        </is>
      </c>
      <c r="E715" t="inlineStr">
        <is>
          <t>AJ_LIST</t>
        </is>
      </c>
      <c r="F715" t="inlineStr">
        <is>
          <t>OK_NO_TOTALS</t>
        </is>
      </c>
      <c r="G715" s="19" t="inlineStr">
        <is>
          <t>https://www.cb2d.com.br/portal/_uploads/49be2fec-2b78-48b0-966c-8d8f0b9d8220.pdf</t>
        </is>
      </c>
      <c r="H715" t="inlineStr">
        <is>
          <t>p2 r36</t>
        </is>
      </c>
      <c r="I715" t="inlineStr">
        <is>
          <t>NO_DOCUMENT</t>
        </is>
      </c>
    </row>
    <row r="716">
      <c r="A716" t="inlineStr">
        <is>
          <t>ANTÔNIO ROGES MALGARIN</t>
        </is>
      </c>
      <c r="B716" s="10" t="n">
        <v>288200</v>
      </c>
      <c r="C716" t="inlineStr">
        <is>
          <t>5127763-65.2022.8.21.0001 | CB2D</t>
        </is>
      </c>
      <c r="D716" t="inlineStr">
        <is>
          <t>5127763-65.2022.8.21.0001</t>
        </is>
      </c>
      <c r="E716" t="inlineStr">
        <is>
          <t>AJ_LIST</t>
        </is>
      </c>
      <c r="F716" t="inlineStr">
        <is>
          <t>OK_NO_TOTALS</t>
        </is>
      </c>
      <c r="G716" s="19" t="inlineStr">
        <is>
          <t>https://www.cb2d.com.br/portal/_uploads/49be2fec-2b78-48b0-966c-8d8f0b9d8220.pdf</t>
        </is>
      </c>
      <c r="H716" t="inlineStr">
        <is>
          <t>p2 r37</t>
        </is>
      </c>
      <c r="I716" t="inlineStr">
        <is>
          <t>NO_DOCUMENT</t>
        </is>
      </c>
    </row>
    <row r="717">
      <c r="A717" t="inlineStr">
        <is>
          <t>ACROSS RECUPERAÇÃO DE CRÉDITO LTDA</t>
        </is>
      </c>
      <c r="B717" s="10" t="n">
        <v>8092536.66</v>
      </c>
      <c r="C717" t="inlineStr">
        <is>
          <t>BRASSUCO INDÚSTRIA DE PRODUTOS ALIMENTÍCIOS LTDA</t>
        </is>
      </c>
      <c r="D717" t="inlineStr">
        <is>
          <t>1004824-39.2019.8.26.0286</t>
        </is>
      </c>
      <c r="E717" t="inlineStr">
        <is>
          <t>QGC</t>
        </is>
      </c>
      <c r="F717" t="inlineStr">
        <is>
          <t>OK</t>
        </is>
      </c>
      <c r="G717" s="19" t="inlineStr">
        <is>
          <t>https://ajruiz.com.br/sites/default/files/public/arquivos-processos/2025-10/brassuco_quadro_geral_de_credores_provisorio_mo.pdf</t>
        </is>
      </c>
      <c r="H717" t="inlineStr">
        <is>
          <t>p1 r16</t>
        </is>
      </c>
      <c r="I717" t="inlineStr">
        <is>
          <t>NO_DOCUMENT</t>
        </is>
      </c>
    </row>
    <row r="718">
      <c r="A718" t="inlineStr">
        <is>
          <t>BLACKPARTNERS MIRUNA FUNDO DE INVESTIMENTO EM DIREITOS CREDITÓRIOS NÃO PADRONIZADO</t>
        </is>
      </c>
      <c r="B718" s="10" t="n">
        <v>2622763.14</v>
      </c>
      <c r="C718" t="inlineStr">
        <is>
          <t>BRASSUCO INDÚSTRIA DE PRODUTOS ALIMENTÍCIOS LTDA</t>
        </is>
      </c>
      <c r="D718" t="inlineStr">
        <is>
          <t>1004824-39.2019.8.26.0286</t>
        </is>
      </c>
      <c r="E718" t="inlineStr">
        <is>
          <t>QGC</t>
        </is>
      </c>
      <c r="F718" t="inlineStr">
        <is>
          <t>OK</t>
        </is>
      </c>
      <c r="G718" s="19" t="inlineStr">
        <is>
          <t>https://ajruiz.com.br/sites/default/files/public/arquivos-processos/2025-10/brassuco_quadro_geral_de_credores_provisorio_mo.pdf</t>
        </is>
      </c>
      <c r="H718" t="inlineStr">
        <is>
          <t>p2 r3</t>
        </is>
      </c>
      <c r="I718" t="inlineStr">
        <is>
          <t>NO_DOCUMENT</t>
        </is>
      </c>
    </row>
    <row r="719">
      <c r="A719" t="inlineStr">
        <is>
          <t>PETROLINA DISTRIBUIDORA DE PRODUTOS ALIMENTICIOS EIRELI</t>
        </is>
      </c>
      <c r="B719" s="10" t="n">
        <v>2274225.5</v>
      </c>
      <c r="C719" t="inlineStr">
        <is>
          <t>BRASSUCO INDÚSTRIA DE PRODUTOS ALIMENTÍCIOS LTDA</t>
        </is>
      </c>
      <c r="D719" t="inlineStr">
        <is>
          <t>1004824-39.2019.8.26.0286</t>
        </is>
      </c>
      <c r="E719" t="inlineStr">
        <is>
          <t>QGC</t>
        </is>
      </c>
      <c r="F719" t="inlineStr">
        <is>
          <t>OK</t>
        </is>
      </c>
      <c r="G719" s="19" t="inlineStr">
        <is>
          <t>https://ajruiz.com.br/sites/default/files/public/arquivos-processos/2025-10/brassuco_quadro_geral_de_credores_provisorio_mo.pdf</t>
        </is>
      </c>
      <c r="H719" t="inlineStr">
        <is>
          <t>p3 r31</t>
        </is>
      </c>
      <c r="I719" t="inlineStr">
        <is>
          <t>NO_DOCUMENT</t>
        </is>
      </c>
    </row>
    <row r="720">
      <c r="A720" t="inlineStr">
        <is>
          <t>BANCO BRADESCO S.A.</t>
        </is>
      </c>
      <c r="B720" s="10" t="n">
        <v>2050018.62</v>
      </c>
      <c r="C720" t="inlineStr">
        <is>
          <t>BRASSUCO INDÚSTRIA DE PRODUTOS ALIMENTÍCIOS LTDA</t>
        </is>
      </c>
      <c r="D720" t="inlineStr">
        <is>
          <t>1004824-39.2019.8.26.0286</t>
        </is>
      </c>
      <c r="E720" t="inlineStr">
        <is>
          <t>QGC</t>
        </is>
      </c>
      <c r="F720" t="inlineStr">
        <is>
          <t>OK</t>
        </is>
      </c>
      <c r="G720" s="19" t="inlineStr">
        <is>
          <t>https://ajruiz.com.br/sites/default/files/public/arquivos-processos/2025-10/brassuco_quadro_geral_de_credores_provisorio_mo.pdf</t>
        </is>
      </c>
      <c r="H720" t="inlineStr">
        <is>
          <t>p1 r26</t>
        </is>
      </c>
      <c r="I720" t="inlineStr">
        <is>
          <t>NO_DOCUMENT</t>
        </is>
      </c>
    </row>
    <row r="721">
      <c r="A721" t="inlineStr">
        <is>
          <t>LBN IND E COM DE ALIMENTOS EIRELI PE</t>
        </is>
      </c>
      <c r="B721" s="10" t="n">
        <v>638054.28</v>
      </c>
      <c r="C721" t="inlineStr">
        <is>
          <t>BRASSUCO INDÚSTRIA DE PRODUTOS ALIMENTÍCIOS LTDA</t>
        </is>
      </c>
      <c r="D721" t="inlineStr">
        <is>
          <t>1004824-39.2019.8.26.0286</t>
        </is>
      </c>
      <c r="E721" t="inlineStr">
        <is>
          <t>QGC</t>
        </is>
      </c>
      <c r="F721" t="inlineStr">
        <is>
          <t>OK</t>
        </is>
      </c>
      <c r="G721" s="19" t="inlineStr">
        <is>
          <t>https://ajruiz.com.br/sites/default/files/public/arquivos-processos/2025-10/brassuco_quadro_geral_de_credores_provisorio_mo.pdf</t>
        </is>
      </c>
      <c r="H721" t="inlineStr">
        <is>
          <t>p3 r6</t>
        </is>
      </c>
      <c r="I721" t="inlineStr">
        <is>
          <t>NO_DOCUMENT</t>
        </is>
      </c>
    </row>
    <row r="722">
      <c r="A722" t="inlineStr">
        <is>
          <t>U S J ACUCAR E ALCOOL S/A USINA SAO JOAO</t>
        </is>
      </c>
      <c r="B722" s="10" t="n">
        <v>539839.12</v>
      </c>
      <c r="C722" t="inlineStr">
        <is>
          <t>BRASSUCO INDÚSTRIA DE PRODUTOS ALIMENTÍCIOS LTDA</t>
        </is>
      </c>
      <c r="D722" t="inlineStr">
        <is>
          <t>1004824-39.2019.8.26.0286</t>
        </is>
      </c>
      <c r="E722" t="inlineStr">
        <is>
          <t>QGC</t>
        </is>
      </c>
      <c r="F722" t="inlineStr">
        <is>
          <t>OK</t>
        </is>
      </c>
      <c r="G722" s="19" t="inlineStr">
        <is>
          <t>https://ajruiz.com.br/sites/default/files/public/arquivos-processos/2025-10/brassuco_quadro_geral_de_credores_provisorio_mo.pdf</t>
        </is>
      </c>
      <c r="H722" t="inlineStr">
        <is>
          <t>p3 r64</t>
        </is>
      </c>
      <c r="I722" t="inlineStr">
        <is>
          <t>NO_DOCUMENT</t>
        </is>
      </c>
    </row>
    <row r="723">
      <c r="A723" t="inlineStr">
        <is>
          <t>ITAÚ UNIBANCO S.A</t>
        </is>
      </c>
      <c r="B723" s="10" t="n">
        <v>2920484.42</v>
      </c>
      <c r="C723" t="inlineStr">
        <is>
          <t>5000333-25.2024.8.24.0536 | CB2D</t>
        </is>
      </c>
      <c r="D723" t="inlineStr">
        <is>
          <t>5000333-25.2024.8.24.0536</t>
        </is>
      </c>
      <c r="E723" t="inlineStr">
        <is>
          <t>AJ_LIST</t>
        </is>
      </c>
      <c r="F723" t="inlineStr">
        <is>
          <t>OK_NO_TOTALS</t>
        </is>
      </c>
      <c r="G723" s="19" t="inlineStr">
        <is>
          <t>https://www.cb2d.com.br/portal/_uploads/3d6194a9-0d18-41a2-81df-1e270464997f.pdf</t>
        </is>
      </c>
      <c r="H723" t="inlineStr">
        <is>
          <t>p2 r18</t>
        </is>
      </c>
      <c r="I723" t="inlineStr">
        <is>
          <t>NO_DOCUMENT</t>
        </is>
      </c>
    </row>
    <row r="724">
      <c r="A724" t="inlineStr">
        <is>
          <t>RECIN SECURITIZADORA S.A</t>
        </is>
      </c>
      <c r="B724" s="10" t="n">
        <v>2126400</v>
      </c>
      <c r="C724" t="inlineStr">
        <is>
          <t>5000333-25.2024.8.24.0536 | CB2D</t>
        </is>
      </c>
      <c r="D724" t="inlineStr">
        <is>
          <t>5000333-25.2024.8.24.0536</t>
        </is>
      </c>
      <c r="E724" t="inlineStr">
        <is>
          <t>AJ_LIST</t>
        </is>
      </c>
      <c r="F724" t="inlineStr">
        <is>
          <t>OK_NO_TOTALS</t>
        </is>
      </c>
      <c r="G724" s="19" t="inlineStr">
        <is>
          <t>https://www.cb2d.com.br/portal/_uploads/3d6194a9-0d18-41a2-81df-1e270464997f.pdf</t>
        </is>
      </c>
      <c r="H724" t="inlineStr">
        <is>
          <t>p2 r47</t>
        </is>
      </c>
      <c r="I724" t="inlineStr">
        <is>
          <t>NO_DOCUMENT</t>
        </is>
      </c>
    </row>
    <row r="725">
      <c r="A725" t="inlineStr">
        <is>
          <t>BANCO SANTANDER (BRASIL) S.A</t>
        </is>
      </c>
      <c r="B725" s="10" t="n">
        <v>888060.75</v>
      </c>
      <c r="C725" t="inlineStr">
        <is>
          <t>5000333-25.2024.8.24.0536 | CB2D</t>
        </is>
      </c>
      <c r="D725" t="inlineStr">
        <is>
          <t>5000333-25.2024.8.24.0536</t>
        </is>
      </c>
      <c r="E725" t="inlineStr">
        <is>
          <t>AJ_LIST</t>
        </is>
      </c>
      <c r="F725" t="inlineStr">
        <is>
          <t>OK_NO_TOTALS</t>
        </is>
      </c>
      <c r="G725" s="19" t="inlineStr">
        <is>
          <t>https://www.cb2d.com.br/portal/_uploads/3d6194a9-0d18-41a2-81df-1e270464997f.pdf</t>
        </is>
      </c>
      <c r="H725" t="inlineStr">
        <is>
          <t>p1 r12</t>
        </is>
      </c>
      <c r="I725" t="inlineStr">
        <is>
          <t>NO_DOCUMENT</t>
        </is>
      </c>
    </row>
    <row r="726">
      <c r="A726" t="inlineStr">
        <is>
          <t>MAKE COMERCIAL DE PRODUTOS METALURGICOS LTDA</t>
        </is>
      </c>
      <c r="B726" s="10" t="n">
        <v>430151.69</v>
      </c>
      <c r="C726" t="inlineStr">
        <is>
          <t>5000333-25.2024.8.24.0536 | CB2D</t>
        </is>
      </c>
      <c r="D726" t="inlineStr">
        <is>
          <t>5000333-25.2024.8.24.0536</t>
        </is>
      </c>
      <c r="E726" t="inlineStr">
        <is>
          <t>AJ_LIST</t>
        </is>
      </c>
      <c r="F726" t="inlineStr">
        <is>
          <t>OK_NO_TOTALS</t>
        </is>
      </c>
      <c r="G726" s="19" t="inlineStr">
        <is>
          <t>https://www.cb2d.com.br/portal/_uploads/3d6194a9-0d18-41a2-81df-1e270464997f.pdf</t>
        </is>
      </c>
      <c r="H726" t="inlineStr">
        <is>
          <t>p2 r32</t>
        </is>
      </c>
      <c r="I726" t="inlineStr">
        <is>
          <t>NO_DOCUMENT</t>
        </is>
      </c>
    </row>
    <row r="727">
      <c r="A727" t="inlineStr">
        <is>
          <t>SULGESSO INDÚSTRIA E COMÉRCIO S.A</t>
        </is>
      </c>
      <c r="B727" s="10" t="n">
        <v>292724.89</v>
      </c>
      <c r="C727" t="inlineStr">
        <is>
          <t>5000333-25.2024.8.24.0536 | CB2D</t>
        </is>
      </c>
      <c r="D727" t="inlineStr">
        <is>
          <t>5000333-25.2024.8.24.0536</t>
        </is>
      </c>
      <c r="E727" t="inlineStr">
        <is>
          <t>AJ_LIST</t>
        </is>
      </c>
      <c r="F727" t="inlineStr">
        <is>
          <t>OK_NO_TOTALS</t>
        </is>
      </c>
      <c r="G727" s="19" t="inlineStr">
        <is>
          <t>https://www.cb2d.com.br/portal/_uploads/3d6194a9-0d18-41a2-81df-1e270464997f.pdf</t>
        </is>
      </c>
      <c r="H727" t="inlineStr">
        <is>
          <t>p2 r60</t>
        </is>
      </c>
      <c r="I727" t="inlineStr">
        <is>
          <t>NO_DOCUMENT</t>
        </is>
      </c>
    </row>
    <row r="728">
      <c r="A728" t="inlineStr">
        <is>
          <t>TRADEMASTER INSTITUIÇÃO DE PAGAMENTO, SERVIÇOS E PARTICIPAÇÕES S.A</t>
        </is>
      </c>
      <c r="B728" s="10" t="n">
        <v>263454.54</v>
      </c>
      <c r="C728" t="inlineStr">
        <is>
          <t>5000333-25.2024.8.24.0536 | CB2D</t>
        </is>
      </c>
      <c r="D728" t="inlineStr">
        <is>
          <t>5000333-25.2024.8.24.0536</t>
        </is>
      </c>
      <c r="E728" t="inlineStr">
        <is>
          <t>AJ_LIST</t>
        </is>
      </c>
      <c r="F728" t="inlineStr">
        <is>
          <t>OK_NO_TOTALS</t>
        </is>
      </c>
      <c r="G728" s="19" t="inlineStr">
        <is>
          <t>https://www.cb2d.com.br/portal/_uploads/3d6194a9-0d18-41a2-81df-1e270464997f.pdf</t>
        </is>
      </c>
      <c r="H728" t="inlineStr">
        <is>
          <t>p2 r66</t>
        </is>
      </c>
      <c r="I728" t="inlineStr">
        <is>
          <t>NO_DOCUMENT</t>
        </is>
      </c>
    </row>
    <row r="729">
      <c r="A729" t="inlineStr">
        <is>
          <t>COFACE DO BRASIL SEGUROS DE CRÉDITO S.A</t>
        </is>
      </c>
      <c r="B729" s="10" t="n">
        <v>261250</v>
      </c>
      <c r="C729" t="inlineStr">
        <is>
          <t>5000333-25.2024.8.24.0536 | CB2D</t>
        </is>
      </c>
      <c r="D729" t="inlineStr">
        <is>
          <t>5000333-25.2024.8.24.0536</t>
        </is>
      </c>
      <c r="E729" t="inlineStr">
        <is>
          <t>AJ_LIST</t>
        </is>
      </c>
      <c r="F729" t="inlineStr">
        <is>
          <t>OK_NO_TOTALS</t>
        </is>
      </c>
      <c r="G729" s="19" t="inlineStr">
        <is>
          <t>https://www.cb2d.com.br/portal/_uploads/3d6194a9-0d18-41a2-81df-1e270464997f.pdf</t>
        </is>
      </c>
      <c r="H729" t="inlineStr">
        <is>
          <t>p1 r18</t>
        </is>
      </c>
      <c r="I729" t="inlineStr">
        <is>
          <t>NO_DOCUMENT</t>
        </is>
      </c>
    </row>
    <row r="730">
      <c r="A730" t="inlineStr"/>
      <c r="B730" s="10" t="n">
        <v>49316269.82</v>
      </c>
      <c r="C730" t="inlineStr">
        <is>
          <t>em epígrafe, vem, respeitosa</t>
        </is>
      </c>
      <c r="D730" t="inlineStr">
        <is>
          <t>4000167-23.2025.8.26.0373</t>
        </is>
      </c>
      <c r="E730" t="inlineStr">
        <is>
          <t>AJ_LIST</t>
        </is>
      </c>
      <c r="F730" t="inlineStr">
        <is>
          <t>OK_NO_TOTALS</t>
        </is>
      </c>
      <c r="G730" s="19" t="inlineStr">
        <is>
          <t>https://ajruiz.com.br/sites/default/files/public/arquivos-processos/2026-01/safrasul_relacao_de_credores_recuperanda.pdf</t>
        </is>
      </c>
      <c r="H730" t="inlineStr">
        <is>
          <t>p8 r41</t>
        </is>
      </c>
      <c r="I730" t="inlineStr">
        <is>
          <t>NO_DOCUMENT NAME_MISSING</t>
        </is>
      </c>
    </row>
    <row r="731">
      <c r="A731" t="inlineStr"/>
      <c r="B731" s="10" t="n">
        <v>46897655.74</v>
      </c>
      <c r="C731" t="inlineStr">
        <is>
          <t>Ativos</t>
        </is>
      </c>
      <c r="D731" t="inlineStr">
        <is>
          <t>4000064-73.2025.8.26.0354</t>
        </is>
      </c>
      <c r="E731" t="inlineStr">
        <is>
          <t>UNKNOWN</t>
        </is>
      </c>
      <c r="F731" t="inlineStr">
        <is>
          <t>OK_NO_TOTALS</t>
        </is>
      </c>
      <c r="G731" s="19" t="inlineStr">
        <is>
          <t>https://ativosajce.com.br/admin/download.php?file=files/processo_documento/processo_documento14321031072026_1_.pdf&amp;nome=Relação de credores - 27/10/2025</t>
        </is>
      </c>
      <c r="H731" t="inlineStr">
        <is>
          <t>p11 r7</t>
        </is>
      </c>
      <c r="I731" t="inlineStr">
        <is>
          <t>NO_DOCUMENT NAME_MISSING</t>
        </is>
      </c>
    </row>
    <row r="732">
      <c r="A732" t="inlineStr">
        <is>
          <t>Monte Alegre Futebol 1013784-51.2015.8.26.0309</t>
        </is>
      </c>
      <c r="B732" s="10" t="n">
        <v>44541080.46</v>
      </c>
      <c r="C732" t="inlineStr">
        <is>
          <t>Ativos</t>
        </is>
      </c>
      <c r="D732" t="inlineStr">
        <is>
          <t>4000064-73.2025.8.26.0354</t>
        </is>
      </c>
      <c r="E732" t="inlineStr">
        <is>
          <t>UNKNOWN</t>
        </is>
      </c>
      <c r="F732" t="inlineStr">
        <is>
          <t>OK_NO_TOTALS</t>
        </is>
      </c>
      <c r="G732" s="19" t="inlineStr">
        <is>
          <t>https://ativosajce.com.br/admin/download.php?file=files/processo_documento/processo_documento14321031072026_1_.pdf&amp;nome=Relação de credores - 27/10/2025</t>
        </is>
      </c>
      <c r="H732" t="inlineStr">
        <is>
          <t>p11 r5</t>
        </is>
      </c>
      <c r="I732" t="inlineStr">
        <is>
          <t>DOC_LEN_20</t>
        </is>
      </c>
    </row>
    <row r="733">
      <c r="A733" t="inlineStr">
        <is>
          <t>Christiano de Souza Magri</t>
        </is>
      </c>
      <c r="B733" s="10" t="n">
        <v>806470.54</v>
      </c>
      <c r="C733" t="inlineStr">
        <is>
          <t>Ativos</t>
        </is>
      </c>
      <c r="D733" t="inlineStr">
        <is>
          <t>4000064-73.2025.8.26.0354</t>
        </is>
      </c>
      <c r="E733" t="inlineStr">
        <is>
          <t>UNKNOWN</t>
        </is>
      </c>
      <c r="F733" t="inlineStr">
        <is>
          <t>OK_NO_TOTALS</t>
        </is>
      </c>
      <c r="G733" s="19" t="inlineStr">
        <is>
          <t>https://ativosajce.com.br/admin/download.php?file=files/processo_documento/processo_documento14321031072026_1_.pdf&amp;nome=Relação de credores - 27/10/2025</t>
        </is>
      </c>
      <c r="H733" t="inlineStr">
        <is>
          <t>p11 r1</t>
        </is>
      </c>
      <c r="I733" t="inlineStr">
        <is>
          <t>DOC_LEN_20</t>
        </is>
      </c>
    </row>
    <row r="734">
      <c r="A734" t="inlineStr">
        <is>
          <t>Head Soccer Brasil Por se tratar de dados sensíveis, o acesso ao documento completo deve ser realizado</t>
        </is>
      </c>
      <c r="B734" s="10" t="n">
        <v>442792.61</v>
      </c>
      <c r="C734" t="inlineStr">
        <is>
          <t>Ativos</t>
        </is>
      </c>
      <c r="D734" t="inlineStr">
        <is>
          <t>4000064-73.2025.8.26.0354</t>
        </is>
      </c>
      <c r="E734" t="inlineStr">
        <is>
          <t>UNKNOWN</t>
        </is>
      </c>
      <c r="F734" t="inlineStr">
        <is>
          <t>OK_NO_TOTALS</t>
        </is>
      </c>
      <c r="G734" s="19" t="inlineStr">
        <is>
          <t>https://ativosajce.com.br/admin/download.php?file=files/processo_documento/processo_documento14321031072026_1_.pdf&amp;nome=Relação de credores - 27/10/2025</t>
        </is>
      </c>
      <c r="H734" t="inlineStr">
        <is>
          <t>p11 r3</t>
        </is>
      </c>
      <c r="I734" t="inlineStr">
        <is>
          <t>DOC_LEN_20</t>
        </is>
      </c>
    </row>
    <row r="735">
      <c r="A735" t="inlineStr">
        <is>
          <t>exclusivamente pelo processo oficial, conforme Hehisini Taha Abou Abas número já disponível no site.</t>
        </is>
      </c>
      <c r="B735" s="10" t="n">
        <v>422060.07</v>
      </c>
      <c r="C735" t="inlineStr">
        <is>
          <t>Ativos</t>
        </is>
      </c>
      <c r="D735" t="inlineStr">
        <is>
          <t>4000064-73.2025.8.26.0354</t>
        </is>
      </c>
      <c r="E735" t="inlineStr">
        <is>
          <t>UNKNOWN</t>
        </is>
      </c>
      <c r="F735" t="inlineStr">
        <is>
          <t>OK_NO_TOTALS</t>
        </is>
      </c>
      <c r="G735" s="19" t="inlineStr">
        <is>
          <t>https://ativosajce.com.br/admin/download.php?file=files/processo_documento/processo_documento14321031072026_1_.pdf&amp;nome=Relação de credores - 27/10/2025</t>
        </is>
      </c>
      <c r="H735" t="inlineStr">
        <is>
          <t>p11 r4</t>
        </is>
      </c>
      <c r="I735" t="inlineStr">
        <is>
          <t>DOC_LEN_20</t>
        </is>
      </c>
    </row>
    <row r="736">
      <c r="A736" t="inlineStr">
        <is>
          <t>Gilvan Ferreira da Costa</t>
        </is>
      </c>
      <c r="B736" s="10" t="n">
        <v>347586.08</v>
      </c>
      <c r="C736" t="inlineStr">
        <is>
          <t>Ativos</t>
        </is>
      </c>
      <c r="D736" t="inlineStr">
        <is>
          <t>4000064-73.2025.8.26.0354</t>
        </is>
      </c>
      <c r="E736" t="inlineStr">
        <is>
          <t>UNKNOWN</t>
        </is>
      </c>
      <c r="F736" t="inlineStr">
        <is>
          <t>OK_NO_TOTALS</t>
        </is>
      </c>
      <c r="G736" s="19" t="inlineStr">
        <is>
          <t>https://ativosajce.com.br/admin/download.php?file=files/processo_documento/processo_documento14321031072026_1_.pdf&amp;nome=Relação de credores - 27/10/2025</t>
        </is>
      </c>
      <c r="H736" t="inlineStr">
        <is>
          <t>p11 r2</t>
        </is>
      </c>
      <c r="I736" t="inlineStr">
        <is>
          <t>DOC_LEN_20</t>
        </is>
      </c>
    </row>
    <row r="737">
      <c r="A737" t="inlineStr">
        <is>
          <t>Vanildo José Bogajo</t>
        </is>
      </c>
      <c r="B737" s="10" t="n">
        <v>225175.43</v>
      </c>
      <c r="C737" t="inlineStr">
        <is>
          <t>Ativos</t>
        </is>
      </c>
      <c r="D737" t="inlineStr">
        <is>
          <t>4000064-73.2025.8.26.0354</t>
        </is>
      </c>
      <c r="E737" t="inlineStr">
        <is>
          <t>UNKNOWN</t>
        </is>
      </c>
      <c r="F737" t="inlineStr">
        <is>
          <t>OK_NO_TOTALS</t>
        </is>
      </c>
      <c r="G737" s="19" t="inlineStr">
        <is>
          <t>https://ativosajce.com.br/admin/download.php?file=files/processo_documento/processo_documento14321031072026_1_.pdf&amp;nome=Relação de credores - 27/10/2025</t>
        </is>
      </c>
      <c r="H737" t="inlineStr">
        <is>
          <t>p11 r6</t>
        </is>
      </c>
      <c r="I737" t="inlineStr">
        <is>
          <t>DOC_LEN_20</t>
        </is>
      </c>
    </row>
    <row r="738">
      <c r="A738" t="inlineStr">
        <is>
          <t>ADRIANO AMARAL LOPES</t>
        </is>
      </c>
      <c r="B738" s="10" t="n">
        <v>1765456.79</v>
      </c>
      <c r="C738" t="inlineStr">
        <is>
          <t>e Falência</t>
        </is>
      </c>
      <c r="D738" t="inlineStr">
        <is>
          <t>1029567-94.2016.8.26.0100</t>
        </is>
      </c>
      <c r="E738" t="inlineStr">
        <is>
          <t>DEBTOR_LIST</t>
        </is>
      </c>
      <c r="F738" t="inlineStr">
        <is>
          <t>OK_NO_TOTALS</t>
        </is>
      </c>
      <c r="G738" s="19" t="inlineStr">
        <is>
          <t>https://ajruiz.com.br/sites/default/files/public/arquivos-processos/2023-11/4_edital_de_convocacao_de_credores_art._52_parag_1o_da_lei_11.101.2005_dje_11.07.2018.pdf</t>
        </is>
      </c>
      <c r="H738" t="inlineStr">
        <is>
          <t>p2 r6</t>
        </is>
      </c>
      <c r="I738" t="inlineStr">
        <is>
          <t>NO_DOCUMENT</t>
        </is>
      </c>
    </row>
    <row r="739">
      <c r="A739" t="inlineStr">
        <is>
          <t>EDUARDO MARTINS DE OLIVEIRA</t>
        </is>
      </c>
      <c r="B739" s="10" t="n">
        <v>1455960.78</v>
      </c>
      <c r="C739" t="inlineStr">
        <is>
          <t>e Falência</t>
        </is>
      </c>
      <c r="D739" t="inlineStr">
        <is>
          <t>1029567-94.2016.8.26.0100</t>
        </is>
      </c>
      <c r="E739" t="inlineStr">
        <is>
          <t>DEBTOR_LIST</t>
        </is>
      </c>
      <c r="F739" t="inlineStr">
        <is>
          <t>OK_NO_TOTALS</t>
        </is>
      </c>
      <c r="G739" s="19" t="inlineStr">
        <is>
          <t>https://ajruiz.com.br/sites/default/files/public/arquivos-processos/2023-11/4_edital_de_convocacao_de_credores_art._52_parag_1o_da_lei_11.101.2005_dje_11.07.2018.pdf</t>
        </is>
      </c>
      <c r="H739" t="inlineStr">
        <is>
          <t>p2 r2</t>
        </is>
      </c>
      <c r="I739" t="inlineStr">
        <is>
          <t>NO_DOCUMENT</t>
        </is>
      </c>
    </row>
    <row r="740">
      <c r="A740" t="inlineStr">
        <is>
          <t>EDUARDO DOS SANTOS</t>
        </is>
      </c>
      <c r="B740" s="10" t="n">
        <v>642096.5</v>
      </c>
      <c r="C740" t="inlineStr">
        <is>
          <t>e Falência</t>
        </is>
      </c>
      <c r="D740" t="inlineStr">
        <is>
          <t>1029567-94.2016.8.26.0100</t>
        </is>
      </c>
      <c r="E740" t="inlineStr">
        <is>
          <t>DEBTOR_LIST</t>
        </is>
      </c>
      <c r="F740" t="inlineStr">
        <is>
          <t>OK_NO_TOTALS</t>
        </is>
      </c>
      <c r="G740" s="19" t="inlineStr">
        <is>
          <t>https://ajruiz.com.br/sites/default/files/public/arquivos-processos/2023-11/4_edital_de_convocacao_de_credores_art._52_parag_1o_da_lei_11.101.2005_dje_11.07.2018.pdf</t>
        </is>
      </c>
      <c r="H740" t="inlineStr">
        <is>
          <t>p2 r7</t>
        </is>
      </c>
      <c r="I740" t="inlineStr">
        <is>
          <t>NO_DOCUMENT</t>
        </is>
      </c>
    </row>
    <row r="741">
      <c r="A741" t="inlineStr">
        <is>
          <t>M2S PARTICIPAÇÕES LTDA</t>
        </is>
      </c>
      <c r="B741" s="10" t="n">
        <v>563098.77</v>
      </c>
      <c r="C741" t="inlineStr">
        <is>
          <t>e Falência</t>
        </is>
      </c>
      <c r="D741" t="inlineStr">
        <is>
          <t>1029567-94.2016.8.26.0100</t>
        </is>
      </c>
      <c r="E741" t="inlineStr">
        <is>
          <t>DEBTOR_LIST</t>
        </is>
      </c>
      <c r="F741" t="inlineStr">
        <is>
          <t>OK_NO_TOTALS</t>
        </is>
      </c>
      <c r="G741" s="19" t="inlineStr">
        <is>
          <t>https://ajruiz.com.br/sites/default/files/public/arquivos-processos/2023-11/4_edital_de_convocacao_de_credores_art._52_parag_1o_da_lei_11.101.2005_dje_11.07.2018.pdf</t>
        </is>
      </c>
      <c r="H741" t="inlineStr">
        <is>
          <t>p2 r1</t>
        </is>
      </c>
      <c r="I741" t="inlineStr">
        <is>
          <t>NO_DOCUMENT</t>
        </is>
      </c>
    </row>
    <row r="742">
      <c r="A742" t="inlineStr">
        <is>
          <t>BANCO ITAÚ UNIBANCO S.A</t>
        </is>
      </c>
      <c r="B742" s="10" t="n">
        <v>505412.24</v>
      </c>
      <c r="C742" t="inlineStr">
        <is>
          <t>e Falência</t>
        </is>
      </c>
      <c r="D742" t="inlineStr">
        <is>
          <t>1029567-94.2016.8.26.0100</t>
        </is>
      </c>
      <c r="E742" t="inlineStr">
        <is>
          <t>DEBTOR_LIST</t>
        </is>
      </c>
      <c r="F742" t="inlineStr">
        <is>
          <t>OK_NO_TOTALS</t>
        </is>
      </c>
      <c r="G742" s="19" t="inlineStr">
        <is>
          <t>https://ajruiz.com.br/sites/default/files/public/arquivos-processos/2023-11/4_edital_de_convocacao_de_credores_art._52_parag_1o_da_lei_11.101.2005_dje_11.07.2018.pdf</t>
        </is>
      </c>
      <c r="H742" t="inlineStr">
        <is>
          <t>p2 r5</t>
        </is>
      </c>
      <c r="I742" t="inlineStr">
        <is>
          <t>NO_DOCUMENT</t>
        </is>
      </c>
    </row>
    <row r="743">
      <c r="A743" t="inlineStr">
        <is>
          <t>MÁRCIO VALÉRIO SANT’ANNA</t>
        </is>
      </c>
      <c r="B743" s="10" t="n">
        <v>503950</v>
      </c>
      <c r="C743" t="inlineStr">
        <is>
          <t>e Falência</t>
        </is>
      </c>
      <c r="D743" t="inlineStr">
        <is>
          <t>1029567-94.2016.8.26.0100</t>
        </is>
      </c>
      <c r="E743" t="inlineStr">
        <is>
          <t>DEBTOR_LIST</t>
        </is>
      </c>
      <c r="F743" t="inlineStr">
        <is>
          <t>OK_NO_TOTALS</t>
        </is>
      </c>
      <c r="G743" s="19" t="inlineStr">
        <is>
          <t>https://ajruiz.com.br/sites/default/files/public/arquivos-processos/2023-11/4_edital_de_convocacao_de_credores_art._52_parag_1o_da_lei_11.101.2005_dje_11.07.2018.pdf</t>
        </is>
      </c>
      <c r="H743" t="inlineStr">
        <is>
          <t>p2 r10</t>
        </is>
      </c>
      <c r="I743" t="inlineStr">
        <is>
          <t>NO_DOCUMENT</t>
        </is>
      </c>
    </row>
    <row r="744">
      <c r="A744" t="inlineStr">
        <is>
          <t>PAULO ROBERTO DUARTE DE TOLEDO</t>
        </is>
      </c>
      <c r="B744" s="10" t="n">
        <v>499000</v>
      </c>
      <c r="C744" t="inlineStr">
        <is>
          <t>e Falência</t>
        </is>
      </c>
      <c r="D744" t="inlineStr">
        <is>
          <t>1029567-94.2016.8.26.0100</t>
        </is>
      </c>
      <c r="E744" t="inlineStr">
        <is>
          <t>DEBTOR_LIST</t>
        </is>
      </c>
      <c r="F744" t="inlineStr">
        <is>
          <t>OK_NO_TOTALS</t>
        </is>
      </c>
      <c r="G744" s="19" t="inlineStr">
        <is>
          <t>https://ajruiz.com.br/sites/default/files/public/arquivos-processos/2023-11/4_edital_de_convocacao_de_credores_art._52_parag_1o_da_lei_11.101.2005_dje_11.07.2018.pdf</t>
        </is>
      </c>
      <c r="H744" t="inlineStr">
        <is>
          <t>p2 r9</t>
        </is>
      </c>
      <c r="I744" t="inlineStr">
        <is>
          <t>NO_DOCUMENT</t>
        </is>
      </c>
    </row>
    <row r="745">
      <c r="A745" t="inlineStr">
        <is>
          <t>JOSÉ MAURÍCIO EUGÊNIO DELFINO DE CARVALHO</t>
        </is>
      </c>
      <c r="B745" s="10" t="n">
        <v>459000</v>
      </c>
      <c r="C745" t="inlineStr">
        <is>
          <t>e Falência</t>
        </is>
      </c>
      <c r="D745" t="inlineStr">
        <is>
          <t>1029567-94.2016.8.26.0100</t>
        </is>
      </c>
      <c r="E745" t="inlineStr">
        <is>
          <t>DEBTOR_LIST</t>
        </is>
      </c>
      <c r="F745" t="inlineStr">
        <is>
          <t>OK_NO_TOTALS</t>
        </is>
      </c>
      <c r="G745" s="19" t="inlineStr">
        <is>
          <t>https://ajruiz.com.br/sites/default/files/public/arquivos-processos/2023-11/4_edital_de_convocacao_de_credores_art._52_parag_1o_da_lei_11.101.2005_dje_11.07.2018.pdf</t>
        </is>
      </c>
      <c r="H745" t="inlineStr">
        <is>
          <t>p2 r11</t>
        </is>
      </c>
      <c r="I745" t="inlineStr">
        <is>
          <t>NO_DOCUMENT</t>
        </is>
      </c>
    </row>
    <row r="746">
      <c r="A746" t="inlineStr">
        <is>
          <t>MÁRCIO VALÉRIO SANT’ANNA</t>
        </is>
      </c>
      <c r="B746" s="10" t="n">
        <v>404112.81</v>
      </c>
      <c r="C746" t="inlineStr">
        <is>
          <t>e Falência</t>
        </is>
      </c>
      <c r="D746" t="inlineStr">
        <is>
          <t>1029567-94.2016.8.26.0100</t>
        </is>
      </c>
      <c r="E746" t="inlineStr">
        <is>
          <t>DEBTOR_LIST</t>
        </is>
      </c>
      <c r="F746" t="inlineStr">
        <is>
          <t>OK_NO_TOTALS</t>
        </is>
      </c>
      <c r="G746" s="19" t="inlineStr">
        <is>
          <t>https://ajruiz.com.br/sites/default/files/public/arquivos-processos/2023-11/4_edital_de_convocacao_de_credores_art._52_parag_1o_da_lei_11.101.2005_dje_11.07.2018.pdf</t>
        </is>
      </c>
      <c r="H746" t="inlineStr">
        <is>
          <t>p2 r8</t>
        </is>
      </c>
      <c r="I746" t="inlineStr">
        <is>
          <t>NO_DOCUMENT</t>
        </is>
      </c>
    </row>
    <row r="747">
      <c r="A747" t="inlineStr">
        <is>
          <t>e documentos de recolhimento de impostos ser fiscalizadas as atividades de forma mil, trezentos e vinte e dois reais, trinta e</t>
        </is>
      </c>
      <c r="B747" s="10" t="n">
        <v>512427.89</v>
      </c>
      <c r="C747" t="inlineStr">
        <is>
          <t>EATALY BRASIL COMERCIO E DISTRIBUIÇÃO DE ALIMENTOS LTDA</t>
        </is>
      </c>
      <c r="D747" t="inlineStr">
        <is>
          <t>0324544-58.2009.8.26.0100</t>
        </is>
      </c>
      <c r="E747" t="inlineStr">
        <is>
          <t>QGC</t>
        </is>
      </c>
      <c r="F747" t="inlineStr">
        <is>
          <t>OK_NO_TOTALS</t>
        </is>
      </c>
      <c r="G747" s="19" t="inlineStr">
        <is>
          <t>https://ativosajce.com.br/admin/download.php?file=files/processo_documento/processo_documento18363702062025_1_.pdf&amp;nome=Edital de Relação de Credores - Art. 7º, § 2º - 24/04/2025</t>
        </is>
      </c>
      <c r="H747" t="inlineStr">
        <is>
          <t>p2 r2</t>
        </is>
      </c>
      <c r="I747" t="inlineStr">
        <is>
          <t>NO_DOCUMENT</t>
        </is>
      </c>
    </row>
    <row r="748">
      <c r="A748" t="inlineStr">
        <is>
          <t>victor@nedstar.com / steven@nedstar.com</t>
        </is>
      </c>
      <c r="B748" s="10" t="n">
        <v>408619</v>
      </c>
      <c r="C748" t="inlineStr">
        <is>
          <t>Base | AJ RUIZ - Administração Judicial</t>
        </is>
      </c>
      <c r="D748" t="inlineStr"/>
      <c r="E748" t="inlineStr">
        <is>
          <t>UNKNOWN</t>
        </is>
      </c>
      <c r="F748" t="inlineStr">
        <is>
          <t>OK_NO_TOTALS</t>
        </is>
      </c>
      <c r="G748" s="19" t="inlineStr">
        <is>
          <t>https://ajruiz.com.br/sites/default/files/public/arquivos-processos/2026-05/1._relacao_de_credores_empresas.pdf</t>
        </is>
      </c>
      <c r="H748" t="inlineStr">
        <is>
          <t>p12 r3</t>
        </is>
      </c>
      <c r="I748" t="inlineStr">
        <is>
          <t>NO_DOCUMENT VALUE_COL:Valor</t>
        </is>
      </c>
    </row>
    <row r="749">
      <c r="A749" t="inlineStr">
        <is>
          <t>Antonio@gapuma.com</t>
        </is>
      </c>
      <c r="B749" s="10" t="n">
        <v>266418.7</v>
      </c>
      <c r="C749" t="inlineStr">
        <is>
          <t>Base | AJ RUIZ - Administração Judicial</t>
        </is>
      </c>
      <c r="D749" t="inlineStr"/>
      <c r="E749" t="inlineStr">
        <is>
          <t>UNKNOWN</t>
        </is>
      </c>
      <c r="F749" t="inlineStr">
        <is>
          <t>OK_NO_TOTALS</t>
        </is>
      </c>
      <c r="G749" s="19" t="inlineStr">
        <is>
          <t>https://ajruiz.com.br/sites/default/files/public/arquivos-processos/2026-05/1._relacao_de_credores_empresas.pdf</t>
        </is>
      </c>
      <c r="H749" t="inlineStr">
        <is>
          <t>p9 r60</t>
        </is>
      </c>
      <c r="I749" t="inlineStr">
        <is>
          <t>NO_DOCUMENT VALUE_COL:Valor</t>
        </is>
      </c>
    </row>
    <row r="750">
      <c r="A750" t="inlineStr">
        <is>
          <t>IMOBILIARIA ROCHA LTDA</t>
        </is>
      </c>
      <c r="B750" s="10" t="n">
        <v>2698172.09</v>
      </c>
      <c r="C750" t="inlineStr">
        <is>
          <t>ABF ENGENHARIA, SERVIÇOS E COMÉRCIO LTDA – LRF Líderes em Recuperação Judicial e Falência</t>
        </is>
      </c>
      <c r="D750" t="inlineStr">
        <is>
          <t>0000742-29.2017.8.17.3090</t>
        </is>
      </c>
      <c r="E750" t="inlineStr">
        <is>
          <t>UNKNOWN</t>
        </is>
      </c>
      <c r="F750" t="inlineStr">
        <is>
          <t>OK_NO_TOTALS</t>
        </is>
      </c>
      <c r="G750" s="19" t="inlineStr">
        <is>
          <t>https://lrflideres.com.br/wp-content/plugins/download-attachments/includes/download.php?id=3469</t>
        </is>
      </c>
      <c r="H750" t="inlineStr">
        <is>
          <t>p11 r32</t>
        </is>
      </c>
      <c r="I750" t="inlineStr">
        <is>
          <t>NO_DOCUMENT ALT_VALUE:2.698.172,09</t>
        </is>
      </c>
    </row>
    <row r="751">
      <c r="A751" t="inlineStr">
        <is>
          <t>IMOBILIARIA ROCHA LTDA</t>
        </is>
      </c>
      <c r="B751" s="10" t="n">
        <v>2698172.09</v>
      </c>
      <c r="C751" t="inlineStr">
        <is>
          <t>ABF ENGENHARIA, SERVIÇOS E COMÉRCIO LTDA – LRF Líderes em Recuperação Judicial e Falência</t>
        </is>
      </c>
      <c r="D751" t="inlineStr">
        <is>
          <t>0000742-29.2017.8.17.3090</t>
        </is>
      </c>
      <c r="E751" t="inlineStr">
        <is>
          <t>UNKNOWN</t>
        </is>
      </c>
      <c r="F751" t="inlineStr">
        <is>
          <t>OK_NO_TOTALS</t>
        </is>
      </c>
      <c r="G751" s="19" t="inlineStr">
        <is>
          <t>https://lrflideres.com.br/wp-content/plugins/download-attachments/includes/download.php?id=3469</t>
        </is>
      </c>
      <c r="H751" t="inlineStr">
        <is>
          <t>p19 r32</t>
        </is>
      </c>
      <c r="I751" t="inlineStr">
        <is>
          <t>NO_DOCUMENT ALT_VALUE:2.698.172,09</t>
        </is>
      </c>
    </row>
    <row r="752">
      <c r="A752" t="inlineStr">
        <is>
          <t>INTER LOCAÇÕES LTDA.</t>
        </is>
      </c>
      <c r="B752" s="10" t="n">
        <v>857288.8199999999</v>
      </c>
      <c r="C752" t="inlineStr">
        <is>
          <t>ABF ENGENHARIA, SERVIÇOS E COMÉRCIO LTDA – LRF Líderes em Recuperação Judicial e Falência</t>
        </is>
      </c>
      <c r="D752" t="inlineStr">
        <is>
          <t>0000742-29.2017.8.17.3090</t>
        </is>
      </c>
      <c r="E752" t="inlineStr">
        <is>
          <t>UNKNOWN</t>
        </is>
      </c>
      <c r="F752" t="inlineStr">
        <is>
          <t>OK_NO_TOTALS</t>
        </is>
      </c>
      <c r="G752" s="19" t="inlineStr">
        <is>
          <t>https://lrflideres.com.br/wp-content/plugins/download-attachments/includes/download.php?id=3469</t>
        </is>
      </c>
      <c r="H752" t="inlineStr">
        <is>
          <t>p11 r35</t>
        </is>
      </c>
      <c r="I752" t="inlineStr">
        <is>
          <t>NO_DOCUMENT ALT_VALUE:857.288,82</t>
        </is>
      </c>
    </row>
    <row r="753">
      <c r="A753" t="inlineStr">
        <is>
          <t>INTER LOCAÇÕES LTDA.</t>
        </is>
      </c>
      <c r="B753" s="10" t="n">
        <v>857288.8199999999</v>
      </c>
      <c r="C753" t="inlineStr">
        <is>
          <t>ABF ENGENHARIA, SERVIÇOS E COMÉRCIO LTDA – LRF Líderes em Recuperação Judicial e Falência</t>
        </is>
      </c>
      <c r="D753" t="inlineStr">
        <is>
          <t>0000742-29.2017.8.17.3090</t>
        </is>
      </c>
      <c r="E753" t="inlineStr">
        <is>
          <t>UNKNOWN</t>
        </is>
      </c>
      <c r="F753" t="inlineStr">
        <is>
          <t>OK_NO_TOTALS</t>
        </is>
      </c>
      <c r="G753" s="19" t="inlineStr">
        <is>
          <t>https://lrflideres.com.br/wp-content/plugins/download-attachments/includes/download.php?id=3469</t>
        </is>
      </c>
      <c r="H753" t="inlineStr">
        <is>
          <t>p19 r35</t>
        </is>
      </c>
      <c r="I753" t="inlineStr">
        <is>
          <t>NO_DOCUMENT ALT_VALUE:857.288,82</t>
        </is>
      </c>
    </row>
    <row r="754">
      <c r="A754" t="inlineStr">
        <is>
          <t>AMERICA LOCACAO E SERVICOS LTDA</t>
        </is>
      </c>
      <c r="B754" s="10" t="n">
        <v>486100.94</v>
      </c>
      <c r="C754" t="inlineStr">
        <is>
          <t>ABF ENGENHARIA, SERVIÇOS E COMÉRCIO LTDA – LRF Líderes em Recuperação Judicial e Falência</t>
        </is>
      </c>
      <c r="D754" t="inlineStr">
        <is>
          <t>0000742-29.2017.8.17.3090</t>
        </is>
      </c>
      <c r="E754" t="inlineStr">
        <is>
          <t>UNKNOWN</t>
        </is>
      </c>
      <c r="F754" t="inlineStr">
        <is>
          <t>OK_NO_TOTALS</t>
        </is>
      </c>
      <c r="G754" s="19" t="inlineStr">
        <is>
          <t>https://lrflideres.com.br/wp-content/plugins/download-attachments/includes/download.php?id=3469</t>
        </is>
      </c>
      <c r="H754" t="inlineStr">
        <is>
          <t>p10 r7</t>
        </is>
      </c>
      <c r="I754" t="inlineStr">
        <is>
          <t>NO_DOCUMENT ALT_VALUE:486.100,94</t>
        </is>
      </c>
    </row>
    <row r="755">
      <c r="A755" t="inlineStr">
        <is>
          <t>AMERICA LOCACAO E SERVICOS LTDA</t>
        </is>
      </c>
      <c r="B755" s="10" t="n">
        <v>486100.94</v>
      </c>
      <c r="C755" t="inlineStr">
        <is>
          <t>ABF ENGENHARIA, SERVIÇOS E COMÉRCIO LTDA – LRF Líderes em Recuperação Judicial e Falência</t>
        </is>
      </c>
      <c r="D755" t="inlineStr">
        <is>
          <t>0000742-29.2017.8.17.3090</t>
        </is>
      </c>
      <c r="E755" t="inlineStr">
        <is>
          <t>UNKNOWN</t>
        </is>
      </c>
      <c r="F755" t="inlineStr">
        <is>
          <t>OK_NO_TOTALS</t>
        </is>
      </c>
      <c r="G755" s="19" t="inlineStr">
        <is>
          <t>https://lrflideres.com.br/wp-content/plugins/download-attachments/includes/download.php?id=3469</t>
        </is>
      </c>
      <c r="H755" t="inlineStr">
        <is>
          <t>p18 r7</t>
        </is>
      </c>
      <c r="I755" t="inlineStr">
        <is>
          <t>NO_DOCUMENT ALT_VALUE:486.100,94</t>
        </is>
      </c>
    </row>
    <row r="756">
      <c r="A756" t="inlineStr">
        <is>
          <t>TICKET SERVICOS S/A</t>
        </is>
      </c>
      <c r="B756" s="10" t="n">
        <v>444535.38</v>
      </c>
      <c r="C756" t="inlineStr">
        <is>
          <t>ABF ENGENHARIA, SERVIÇOS E COMÉRCIO LTDA – LRF Líderes em Recuperação Judicial e Falência</t>
        </is>
      </c>
      <c r="D756" t="inlineStr">
        <is>
          <t>0000742-29.2017.8.17.3090</t>
        </is>
      </c>
      <c r="E756" t="inlineStr">
        <is>
          <t>UNKNOWN</t>
        </is>
      </c>
      <c r="F756" t="inlineStr">
        <is>
          <t>OK_NO_TOTALS</t>
        </is>
      </c>
      <c r="G756" s="19" t="inlineStr">
        <is>
          <t>https://lrflideres.com.br/wp-content/plugins/download-attachments/includes/download.php?id=3469</t>
        </is>
      </c>
      <c r="H756" t="inlineStr">
        <is>
          <t>p13 r10</t>
        </is>
      </c>
      <c r="I756" t="inlineStr">
        <is>
          <t>NO_DOCUMENT ALT_VALUE:444.535,38</t>
        </is>
      </c>
    </row>
    <row r="757">
      <c r="A757" t="inlineStr">
        <is>
          <t>TICKET SERVICOS S/A</t>
        </is>
      </c>
      <c r="B757" s="10" t="n">
        <v>444535.38</v>
      </c>
      <c r="C757" t="inlineStr">
        <is>
          <t>ABF ENGENHARIA, SERVIÇOS E COMÉRCIO LTDA – LRF Líderes em Recuperação Judicial e Falência</t>
        </is>
      </c>
      <c r="D757" t="inlineStr">
        <is>
          <t>0000742-29.2017.8.17.3090</t>
        </is>
      </c>
      <c r="E757" t="inlineStr">
        <is>
          <t>UNKNOWN</t>
        </is>
      </c>
      <c r="F757" t="inlineStr">
        <is>
          <t>OK_NO_TOTALS</t>
        </is>
      </c>
      <c r="G757" s="19" t="inlineStr">
        <is>
          <t>https://lrflideres.com.br/wp-content/plugins/download-attachments/includes/download.php?id=3469</t>
        </is>
      </c>
      <c r="H757" t="inlineStr">
        <is>
          <t>p21 r10</t>
        </is>
      </c>
      <c r="I757" t="inlineStr">
        <is>
          <t>NO_DOCUMENT ALT_VALUE:444.535,38</t>
        </is>
      </c>
    </row>
    <row r="758">
      <c r="A758" t="inlineStr">
        <is>
          <t>ACQUA PLAN ESTUDOS, PROJETOS E CONSULTORIA</t>
        </is>
      </c>
      <c r="B758" s="10" t="n">
        <v>341525</v>
      </c>
      <c r="C758" t="inlineStr">
        <is>
          <t>ABF ENGENHARIA, SERVIÇOS E COMÉRCIO LTDA – LRF Líderes em Recuperação Judicial e Falência</t>
        </is>
      </c>
      <c r="D758" t="inlineStr">
        <is>
          <t>0000742-29.2017.8.17.3090</t>
        </is>
      </c>
      <c r="E758" t="inlineStr">
        <is>
          <t>UNKNOWN</t>
        </is>
      </c>
      <c r="F758" t="inlineStr">
        <is>
          <t>OK_NO_TOTALS</t>
        </is>
      </c>
      <c r="G758" s="19" t="inlineStr">
        <is>
          <t>https://lrflideres.com.br/wp-content/plugins/download-attachments/includes/download.php?id=3469</t>
        </is>
      </c>
      <c r="H758" t="inlineStr">
        <is>
          <t>p10 r3</t>
        </is>
      </c>
      <c r="I758" t="inlineStr">
        <is>
          <t>NO_DOCUMENT ALT_VALUE:341.525,00</t>
        </is>
      </c>
    </row>
    <row r="759">
      <c r="A759" t="inlineStr">
        <is>
          <t>ACQUA PLAN ESTUDOS, PROJETOS E CONSULTORIA</t>
        </is>
      </c>
      <c r="B759" s="10" t="n">
        <v>341525</v>
      </c>
      <c r="C759" t="inlineStr">
        <is>
          <t>ABF ENGENHARIA, SERVIÇOS E COMÉRCIO LTDA – LRF Líderes em Recuperação Judicial e Falência</t>
        </is>
      </c>
      <c r="D759" t="inlineStr">
        <is>
          <t>0000742-29.2017.8.17.3090</t>
        </is>
      </c>
      <c r="E759" t="inlineStr">
        <is>
          <t>UNKNOWN</t>
        </is>
      </c>
      <c r="F759" t="inlineStr">
        <is>
          <t>OK_NO_TOTALS</t>
        </is>
      </c>
      <c r="G759" s="19" t="inlineStr">
        <is>
          <t>https://lrflideres.com.br/wp-content/plugins/download-attachments/includes/download.php?id=3469</t>
        </is>
      </c>
      <c r="H759" t="inlineStr">
        <is>
          <t>p18 r3</t>
        </is>
      </c>
      <c r="I759" t="inlineStr">
        <is>
          <t>NO_DOCUMENT ALT_VALUE:341.525,00</t>
        </is>
      </c>
    </row>
    <row r="760">
      <c r="A760" t="inlineStr">
        <is>
          <t>MARQUISE ENGENHARIA LTDA</t>
        </is>
      </c>
      <c r="B760" s="10" t="n">
        <v>339686.42</v>
      </c>
      <c r="C760" t="inlineStr">
        <is>
          <t>ABF ENGENHARIA, SERVIÇOS E COMÉRCIO LTDA – LRF Líderes em Recuperação Judicial e Falência</t>
        </is>
      </c>
      <c r="D760" t="inlineStr">
        <is>
          <t>0000742-29.2017.8.17.3090</t>
        </is>
      </c>
      <c r="E760" t="inlineStr">
        <is>
          <t>UNKNOWN</t>
        </is>
      </c>
      <c r="F760" t="inlineStr">
        <is>
          <t>OK_NO_TOTALS</t>
        </is>
      </c>
      <c r="G760" s="19" t="inlineStr">
        <is>
          <t>https://lrflideres.com.br/wp-content/plugins/download-attachments/includes/download.php?id=3469</t>
        </is>
      </c>
      <c r="H760" t="inlineStr">
        <is>
          <t>p12 r3</t>
        </is>
      </c>
      <c r="I760" t="inlineStr">
        <is>
          <t>NO_DOCUMENT ALT_VALUE:339.686,42</t>
        </is>
      </c>
    </row>
    <row r="761">
      <c r="A761" t="inlineStr">
        <is>
          <t>MARQUISE ENGENHARIA LTDA</t>
        </is>
      </c>
      <c r="B761" s="10" t="n">
        <v>339686.42</v>
      </c>
      <c r="C761" t="inlineStr">
        <is>
          <t>ABF ENGENHARIA, SERVIÇOS E COMÉRCIO LTDA – LRF Líderes em Recuperação Judicial e Falência</t>
        </is>
      </c>
      <c r="D761" t="inlineStr">
        <is>
          <t>0000742-29.2017.8.17.3090</t>
        </is>
      </c>
      <c r="E761" t="inlineStr">
        <is>
          <t>UNKNOWN</t>
        </is>
      </c>
      <c r="F761" t="inlineStr">
        <is>
          <t>OK_NO_TOTALS</t>
        </is>
      </c>
      <c r="G761" s="19" t="inlineStr">
        <is>
          <t>https://lrflideres.com.br/wp-content/plugins/download-attachments/includes/download.php?id=3469</t>
        </is>
      </c>
      <c r="H761" t="inlineStr">
        <is>
          <t>p20 r3</t>
        </is>
      </c>
      <c r="I761" t="inlineStr">
        <is>
          <t>NO_DOCUMENT ALT_VALUE:339.686,42</t>
        </is>
      </c>
    </row>
    <row r="762">
      <c r="A762" t="inlineStr">
        <is>
          <t>BANCO DO NORDESTE DO BRASIL S.A.</t>
        </is>
      </c>
      <c r="B762" s="10" t="n">
        <v>326904.46</v>
      </c>
      <c r="C762" t="inlineStr">
        <is>
          <t>ABF ENGENHARIA, SERVIÇOS E COMÉRCIO LTDA – LRF Líderes em Recuperação Judicial e Falência</t>
        </is>
      </c>
      <c r="D762" t="inlineStr">
        <is>
          <t>0000742-29.2017.8.17.3090</t>
        </is>
      </c>
      <c r="E762" t="inlineStr">
        <is>
          <t>UNKNOWN</t>
        </is>
      </c>
      <c r="F762" t="inlineStr">
        <is>
          <t>OK_NO_TOTALS</t>
        </is>
      </c>
      <c r="G762" s="19" t="inlineStr">
        <is>
          <t>https://lrflideres.com.br/wp-content/plugins/download-attachments/includes/download.php?id=3469</t>
        </is>
      </c>
      <c r="H762" t="inlineStr">
        <is>
          <t>p10 r24</t>
        </is>
      </c>
      <c r="I762" t="inlineStr">
        <is>
          <t>NO_DOCUMENT ALT_VALUE:260.527,86</t>
        </is>
      </c>
    </row>
    <row r="763">
      <c r="A763" t="inlineStr">
        <is>
          <t>BANCO DO NORDESTE DO BRASIL S.A.</t>
        </is>
      </c>
      <c r="B763" s="10" t="n">
        <v>326904.46</v>
      </c>
      <c r="C763" t="inlineStr">
        <is>
          <t>ABF ENGENHARIA, SERVIÇOS E COMÉRCIO LTDA – LRF Líderes em Recuperação Judicial e Falência</t>
        </is>
      </c>
      <c r="D763" t="inlineStr">
        <is>
          <t>0000742-29.2017.8.17.3090</t>
        </is>
      </c>
      <c r="E763" t="inlineStr">
        <is>
          <t>UNKNOWN</t>
        </is>
      </c>
      <c r="F763" t="inlineStr">
        <is>
          <t>OK_NO_TOTALS</t>
        </is>
      </c>
      <c r="G763" s="19" t="inlineStr">
        <is>
          <t>https://lrflideres.com.br/wp-content/plugins/download-attachments/includes/download.php?id=3469</t>
        </is>
      </c>
      <c r="H763" t="inlineStr">
        <is>
          <t>p18 r24</t>
        </is>
      </c>
      <c r="I763" t="inlineStr">
        <is>
          <t>NO_DOCUMENT ALT_VALUE:260.527,86</t>
        </is>
      </c>
    </row>
    <row r="764">
      <c r="A764" t="inlineStr">
        <is>
          <t>TECNOSENG - TECNOLOGIA SERVICOS E ENGENHARIA LTDA</t>
        </is>
      </c>
      <c r="B764" s="10" t="n">
        <v>269551.79</v>
      </c>
      <c r="C764" t="inlineStr">
        <is>
          <t>ABF ENGENHARIA, SERVIÇOS E COMÉRCIO LTDA – LRF Líderes em Recuperação Judicial e Falência</t>
        </is>
      </c>
      <c r="D764" t="inlineStr">
        <is>
          <t>0000742-29.2017.8.17.3090</t>
        </is>
      </c>
      <c r="E764" t="inlineStr">
        <is>
          <t>UNKNOWN</t>
        </is>
      </c>
      <c r="F764" t="inlineStr">
        <is>
          <t>OK_NO_TOTALS</t>
        </is>
      </c>
      <c r="G764" s="19" t="inlineStr">
        <is>
          <t>https://lrflideres.com.br/wp-content/plugins/download-attachments/includes/download.php?id=3469</t>
        </is>
      </c>
      <c r="H764" t="inlineStr">
        <is>
          <t>p13 r4</t>
        </is>
      </c>
      <c r="I764" t="inlineStr">
        <is>
          <t>NO_DOCUMENT ALT_VALUE:269.551,79</t>
        </is>
      </c>
    </row>
    <row r="765">
      <c r="A765" t="inlineStr">
        <is>
          <t>TECNOSENG - TECNOLOGIA SERVICOS E ENGENHARIA LTDA</t>
        </is>
      </c>
      <c r="B765" s="10" t="n">
        <v>269551.79</v>
      </c>
      <c r="C765" t="inlineStr">
        <is>
          <t>ABF ENGENHARIA, SERVIÇOS E COMÉRCIO LTDA – LRF Líderes em Recuperação Judicial e Falência</t>
        </is>
      </c>
      <c r="D765" t="inlineStr">
        <is>
          <t>0000742-29.2017.8.17.3090</t>
        </is>
      </c>
      <c r="E765" t="inlineStr">
        <is>
          <t>UNKNOWN</t>
        </is>
      </c>
      <c r="F765" t="inlineStr">
        <is>
          <t>OK_NO_TOTALS</t>
        </is>
      </c>
      <c r="G765" s="19" t="inlineStr">
        <is>
          <t>https://lrflideres.com.br/wp-content/plugins/download-attachments/includes/download.php?id=3469</t>
        </is>
      </c>
      <c r="H765" t="inlineStr">
        <is>
          <t>p21 r4</t>
        </is>
      </c>
      <c r="I765" t="inlineStr">
        <is>
          <t>NO_DOCUMENT ALT_VALUE:269.551,79</t>
        </is>
      </c>
    </row>
    <row r="766">
      <c r="A766" t="inlineStr">
        <is>
          <t>RANKING LOCACAO E SERVICOS LTDA</t>
        </is>
      </c>
      <c r="B766" s="10" t="n">
        <v>226470.39</v>
      </c>
      <c r="C766" t="inlineStr">
        <is>
          <t>ABF ENGENHARIA, SERVIÇOS E COMÉRCIO LTDA – LRF Líderes em Recuperação Judicial e Falência</t>
        </is>
      </c>
      <c r="D766" t="inlineStr">
        <is>
          <t>0000742-29.2017.8.17.3090</t>
        </is>
      </c>
      <c r="E766" t="inlineStr">
        <is>
          <t>UNKNOWN</t>
        </is>
      </c>
      <c r="F766" t="inlineStr">
        <is>
          <t>OK_NO_TOTALS</t>
        </is>
      </c>
      <c r="G766" s="19" t="inlineStr">
        <is>
          <t>https://lrflideres.com.br/wp-content/plugins/download-attachments/includes/download.php?id=3469</t>
        </is>
      </c>
      <c r="H766" t="inlineStr">
        <is>
          <t>p12 r25</t>
        </is>
      </c>
      <c r="I766" t="inlineStr">
        <is>
          <t>NO_DOCUMENT ALT_VALUE:226.470,39</t>
        </is>
      </c>
    </row>
    <row r="767">
      <c r="A767" t="inlineStr">
        <is>
          <t>RANKING LOCACAO E SERVICOS LTDA</t>
        </is>
      </c>
      <c r="B767" s="10" t="n">
        <v>226470.39</v>
      </c>
      <c r="C767" t="inlineStr">
        <is>
          <t>ABF ENGENHARIA, SERVIÇOS E COMÉRCIO LTDA – LRF Líderes em Recuperação Judicial e Falência</t>
        </is>
      </c>
      <c r="D767" t="inlineStr">
        <is>
          <t>0000742-29.2017.8.17.3090</t>
        </is>
      </c>
      <c r="E767" t="inlineStr">
        <is>
          <t>UNKNOWN</t>
        </is>
      </c>
      <c r="F767" t="inlineStr">
        <is>
          <t>OK_NO_TOTALS</t>
        </is>
      </c>
      <c r="G767" s="19" t="inlineStr">
        <is>
          <t>https://lrflideres.com.br/wp-content/plugins/download-attachments/includes/download.php?id=3469</t>
        </is>
      </c>
      <c r="H767" t="inlineStr">
        <is>
          <t>p20 r25</t>
        </is>
      </c>
      <c r="I767" t="inlineStr">
        <is>
          <t>NO_DOCUMENT ALT_VALUE:226.470,39</t>
        </is>
      </c>
    </row>
    <row r="768">
      <c r="A768" t="inlineStr">
        <is>
          <t>ARCAN ENGENHARIA LTDA</t>
        </is>
      </c>
      <c r="B768" s="10" t="n">
        <v>210536.58</v>
      </c>
      <c r="C768" t="inlineStr">
        <is>
          <t>ABF ENGENHARIA, SERVIÇOS E COMÉRCIO LTDA – LRF Líderes em Recuperação Judicial e Falência</t>
        </is>
      </c>
      <c r="D768" t="inlineStr">
        <is>
          <t>0000742-29.2017.8.17.3090</t>
        </is>
      </c>
      <c r="E768" t="inlineStr">
        <is>
          <t>UNKNOWN</t>
        </is>
      </c>
      <c r="F768" t="inlineStr">
        <is>
          <t>OK_NO_TOTALS</t>
        </is>
      </c>
      <c r="G768" s="19" t="inlineStr">
        <is>
          <t>https://lrflideres.com.br/wp-content/plugins/download-attachments/includes/download.php?id=3469</t>
        </is>
      </c>
      <c r="H768" t="inlineStr">
        <is>
          <t>p10 r11</t>
        </is>
      </c>
      <c r="I768" t="inlineStr">
        <is>
          <t>NO_DOCUMENT ALT_VALUE:210.536,58</t>
        </is>
      </c>
    </row>
    <row r="769">
      <c r="A769" t="inlineStr">
        <is>
          <t>ARCAN ENGENHARIA LTDA</t>
        </is>
      </c>
      <c r="B769" s="10" t="n">
        <v>210536.58</v>
      </c>
      <c r="C769" t="inlineStr">
        <is>
          <t>ABF ENGENHARIA, SERVIÇOS E COMÉRCIO LTDA – LRF Líderes em Recuperação Judicial e Falência</t>
        </is>
      </c>
      <c r="D769" t="inlineStr">
        <is>
          <t>0000742-29.2017.8.17.3090</t>
        </is>
      </c>
      <c r="E769" t="inlineStr">
        <is>
          <t>UNKNOWN</t>
        </is>
      </c>
      <c r="F769" t="inlineStr">
        <is>
          <t>OK_NO_TOTALS</t>
        </is>
      </c>
      <c r="G769" s="19" t="inlineStr">
        <is>
          <t>https://lrflideres.com.br/wp-content/plugins/download-attachments/includes/download.php?id=3469</t>
        </is>
      </c>
      <c r="H769" t="inlineStr">
        <is>
          <t>p18 r11</t>
        </is>
      </c>
      <c r="I769" t="inlineStr">
        <is>
          <t>NO_DOCUMENT ALT_VALUE:210.536,58</t>
        </is>
      </c>
    </row>
    <row r="770">
      <c r="A770" t="inlineStr">
        <is>
          <t>5003832-33.2020.8.13.0481, MM. Juiz Walney Alves Diniz</t>
        </is>
      </c>
      <c r="B770" s="10" t="n">
        <v>120756000</v>
      </c>
      <c r="C770" t="inlineStr">
        <is>
          <t>e na falência</t>
        </is>
      </c>
      <c r="D770" t="inlineStr">
        <is>
          <t>5315944-66.2023.8.13.0024</t>
        </is>
      </c>
      <c r="E770" t="inlineStr">
        <is>
          <t>QGC</t>
        </is>
      </c>
      <c r="F770" t="inlineStr">
        <is>
          <t>OK_NO_TOTALS</t>
        </is>
      </c>
      <c r="G770" s="19" t="inlineStr">
        <is>
          <t>https://3fmodas.madgav.com.br/wp-content/uploads/2025/05/Quadro-Geral-de-Credores.pdf</t>
        </is>
      </c>
      <c r="H770" t="inlineStr">
        <is>
          <t>p11 r1</t>
        </is>
      </c>
      <c r="I770" t="inlineStr">
        <is>
          <t>NO_DOCUMENT</t>
        </is>
      </c>
    </row>
    <row r="771">
      <c r="A771" t="inlineStr">
        <is>
          <t>63996-89.2011, Des. Ricardo Negrão</t>
        </is>
      </c>
      <c r="B771" s="10" t="n">
        <v>10679861</v>
      </c>
      <c r="C771" t="inlineStr">
        <is>
          <t>e na falência</t>
        </is>
      </c>
      <c r="D771" t="inlineStr">
        <is>
          <t>5315944-66.2023.8.13.0024</t>
        </is>
      </c>
      <c r="E771" t="inlineStr">
        <is>
          <t>QGC</t>
        </is>
      </c>
      <c r="F771" t="inlineStr">
        <is>
          <t>OK_NO_TOTALS</t>
        </is>
      </c>
      <c r="G771" s="19" t="inlineStr">
        <is>
          <t>https://3fmodas.madgav.com.br/wp-content/uploads/2025/05/Quadro-Geral-de-Credores.pdf</t>
        </is>
      </c>
      <c r="H771" t="inlineStr">
        <is>
          <t>p10 r2</t>
        </is>
      </c>
      <c r="I771" t="inlineStr">
        <is>
          <t>NO_DOCUMENT</t>
        </is>
      </c>
    </row>
    <row r="772">
      <c r="A772" t="inlineStr">
        <is>
          <t>2120425-37.2014, Des. Tasso Duarte de Melo 573241-04.2010, Des. Pereira Calças</t>
        </is>
      </c>
      <c r="B772" s="10" t="n">
        <v>9080756.85</v>
      </c>
      <c r="C772" t="inlineStr">
        <is>
          <t>e na falência</t>
        </is>
      </c>
      <c r="D772" t="inlineStr">
        <is>
          <t>5315944-66.2023.8.13.0024</t>
        </is>
      </c>
      <c r="E772" t="inlineStr">
        <is>
          <t>QGC</t>
        </is>
      </c>
      <c r="F772" t="inlineStr">
        <is>
          <t>OK_NO_TOTALS</t>
        </is>
      </c>
      <c r="G772" s="19" t="inlineStr">
        <is>
          <t>https://3fmodas.madgav.com.br/wp-content/uploads/2025/05/Quadro-Geral-de-Credores.pdf</t>
        </is>
      </c>
      <c r="H772" t="inlineStr">
        <is>
          <t>p10 r1</t>
        </is>
      </c>
      <c r="I772" t="inlineStr">
        <is>
          <t>NO_DOCUMENT</t>
        </is>
      </c>
    </row>
    <row r="773">
      <c r="A773" t="inlineStr">
        <is>
          <t>5003689-63.2020.8.13.0701, MM. Juíza Raquel Agreli Melo</t>
        </is>
      </c>
      <c r="B773" s="10" t="n">
        <v>4537554.16</v>
      </c>
      <c r="C773" t="inlineStr">
        <is>
          <t>e na falência</t>
        </is>
      </c>
      <c r="D773" t="inlineStr">
        <is>
          <t>5315944-66.2023.8.13.0024</t>
        </is>
      </c>
      <c r="E773" t="inlineStr">
        <is>
          <t>QGC</t>
        </is>
      </c>
      <c r="F773" t="inlineStr">
        <is>
          <t>OK_NO_TOTALS</t>
        </is>
      </c>
      <c r="G773" s="19" t="inlineStr">
        <is>
          <t>https://3fmodas.madgav.com.br/wp-content/uploads/2025/05/Quadro-Geral-de-Credores.pdf</t>
        </is>
      </c>
      <c r="H773" t="inlineStr">
        <is>
          <t>p11 r3</t>
        </is>
      </c>
      <c r="I773" t="inlineStr">
        <is>
          <t>NO_DOCUMENT</t>
        </is>
      </c>
    </row>
    <row r="774">
      <c r="A774" t="inlineStr">
        <is>
          <t>II. Assim, nas condições</t>
        </is>
      </c>
      <c r="B774" s="10" t="n">
        <v>1092397.07</v>
      </c>
      <c r="C774" t="inlineStr">
        <is>
          <t>e na falência</t>
        </is>
      </c>
      <c r="D774" t="inlineStr">
        <is>
          <t>5315944-66.2023.8.13.0024</t>
        </is>
      </c>
      <c r="E774" t="inlineStr">
        <is>
          <t>QGC</t>
        </is>
      </c>
      <c r="F774" t="inlineStr">
        <is>
          <t>OK_NO_TOTALS</t>
        </is>
      </c>
      <c r="G774" s="19" t="inlineStr">
        <is>
          <t>https://3fmodas.madgav.com.br/wp-content/uploads/2025/05/Quadro-Geral-de-Credores.pdf</t>
        </is>
      </c>
      <c r="H774" t="inlineStr">
        <is>
          <t>p9 r2</t>
        </is>
      </c>
      <c r="I774" t="inlineStr">
        <is>
          <t>NO_DOCUMENT</t>
        </is>
      </c>
    </row>
    <row r="775">
      <c r="A775" t="inlineStr">
        <is>
          <t>5001043-66.2015.8.13.0245, MM. Juiz Rogério Santos Araújo Abreu</t>
        </is>
      </c>
      <c r="B775" s="10" t="n">
        <v>1054440.22</v>
      </c>
      <c r="C775" t="inlineStr">
        <is>
          <t>e na falência</t>
        </is>
      </c>
      <c r="D775" t="inlineStr">
        <is>
          <t>5315944-66.2023.8.13.0024</t>
        </is>
      </c>
      <c r="E775" t="inlineStr">
        <is>
          <t>QGC</t>
        </is>
      </c>
      <c r="F775" t="inlineStr">
        <is>
          <t>OK_NO_TOTALS</t>
        </is>
      </c>
      <c r="G775" s="19" t="inlineStr">
        <is>
          <t>https://3fmodas.madgav.com.br/wp-content/uploads/2025/05/Quadro-Geral-de-Credores.pdf</t>
        </is>
      </c>
      <c r="H775" t="inlineStr">
        <is>
          <t>p11 r2</t>
        </is>
      </c>
      <c r="I775" t="inlineStr">
        <is>
          <t>NO_DOCUMENT</t>
        </is>
      </c>
    </row>
    <row r="776">
      <c r="A776" t="inlineStr">
        <is>
          <t>Banco do Brasil</t>
        </is>
      </c>
      <c r="B776" s="10" t="n">
        <v>2406789.63</v>
      </c>
      <c r="C776" t="inlineStr">
        <is>
          <t>e Falência</t>
        </is>
      </c>
      <c r="D776" t="inlineStr">
        <is>
          <t>0003283-70.2015.8.17.2810</t>
        </is>
      </c>
      <c r="E776" t="inlineStr">
        <is>
          <t>UNKNOWN</t>
        </is>
      </c>
      <c r="F776" t="inlineStr">
        <is>
          <t>OK_NO_TOTALS</t>
        </is>
      </c>
      <c r="G776" s="19" t="inlineStr">
        <is>
          <t>https://lrflideres.com.br/wp-content/uploads/2021/09/LISTA-DE-CREDORES-FALENCIA.pdf</t>
        </is>
      </c>
      <c r="H776" t="inlineStr">
        <is>
          <t>p9 r6</t>
        </is>
      </c>
      <c r="I776" t="inlineStr">
        <is>
          <t>NO_DOCUMENT</t>
        </is>
      </c>
    </row>
    <row r="777">
      <c r="A777" t="inlineStr">
        <is>
          <t>Caixa Economica Federal</t>
        </is>
      </c>
      <c r="B777" s="10" t="n">
        <v>1931764.67</v>
      </c>
      <c r="C777" t="inlineStr">
        <is>
          <t>e Falência</t>
        </is>
      </c>
      <c r="D777" t="inlineStr">
        <is>
          <t>0003283-70.2015.8.17.2810</t>
        </is>
      </c>
      <c r="E777" t="inlineStr">
        <is>
          <t>UNKNOWN</t>
        </is>
      </c>
      <c r="F777" t="inlineStr">
        <is>
          <t>OK_NO_TOTALS</t>
        </is>
      </c>
      <c r="G777" s="19" t="inlineStr">
        <is>
          <t>https://lrflideres.com.br/wp-content/uploads/2021/09/LISTA-DE-CREDORES-FALENCIA.pdf</t>
        </is>
      </c>
      <c r="H777" t="inlineStr">
        <is>
          <t>p9 r7</t>
        </is>
      </c>
      <c r="I777" t="inlineStr">
        <is>
          <t>NO_DOCUMENT</t>
        </is>
      </c>
    </row>
    <row r="778">
      <c r="A778" t="inlineStr">
        <is>
          <t>Itau Unibanco S.a</t>
        </is>
      </c>
      <c r="B778" s="10" t="n">
        <v>1351841.79</v>
      </c>
      <c r="C778" t="inlineStr">
        <is>
          <t>e Falência</t>
        </is>
      </c>
      <c r="D778" t="inlineStr">
        <is>
          <t>0003283-70.2015.8.17.2810</t>
        </is>
      </c>
      <c r="E778" t="inlineStr">
        <is>
          <t>UNKNOWN</t>
        </is>
      </c>
      <c r="F778" t="inlineStr">
        <is>
          <t>OK_NO_TOTALS</t>
        </is>
      </c>
      <c r="G778" s="19" t="inlineStr">
        <is>
          <t>https://lrflideres.com.br/wp-content/uploads/2021/09/LISTA-DE-CREDORES-FALENCIA.pdf</t>
        </is>
      </c>
      <c r="H778" t="inlineStr">
        <is>
          <t>p9 r23</t>
        </is>
      </c>
      <c r="I778" t="inlineStr">
        <is>
          <t>NO_DOCUMENT</t>
        </is>
      </c>
    </row>
    <row r="779">
      <c r="A779" t="inlineStr">
        <is>
          <t>Hsbc Bank Brasil S/A</t>
        </is>
      </c>
      <c r="B779" s="10" t="n">
        <v>663042.34</v>
      </c>
      <c r="C779" t="inlineStr">
        <is>
          <t>e Falência</t>
        </is>
      </c>
      <c r="D779" t="inlineStr">
        <is>
          <t>0003283-70.2015.8.17.2810</t>
        </is>
      </c>
      <c r="E779" t="inlineStr">
        <is>
          <t>UNKNOWN</t>
        </is>
      </c>
      <c r="F779" t="inlineStr">
        <is>
          <t>OK_NO_TOTALS</t>
        </is>
      </c>
      <c r="G779" s="19" t="inlineStr">
        <is>
          <t>https://lrflideres.com.br/wp-content/uploads/2021/09/LISTA-DE-CREDORES-FALENCIA.pdf</t>
        </is>
      </c>
      <c r="H779" t="inlineStr">
        <is>
          <t>p9 r20</t>
        </is>
      </c>
      <c r="I779" t="inlineStr">
        <is>
          <t>NO_DOCUMENT</t>
        </is>
      </c>
    </row>
    <row r="780">
      <c r="A780" t="inlineStr">
        <is>
          <t>Imobiliaria CM Ltda</t>
        </is>
      </c>
      <c r="B780" s="10" t="n">
        <v>379898.08</v>
      </c>
      <c r="C780" t="inlineStr">
        <is>
          <t>e Falência</t>
        </is>
      </c>
      <c r="D780" t="inlineStr">
        <is>
          <t>0003283-70.2015.8.17.2810</t>
        </is>
      </c>
      <c r="E780" t="inlineStr">
        <is>
          <t>UNKNOWN</t>
        </is>
      </c>
      <c r="F780" t="inlineStr">
        <is>
          <t>OK_NO_TOTALS</t>
        </is>
      </c>
      <c r="G780" s="19" t="inlineStr">
        <is>
          <t>https://lrflideres.com.br/wp-content/uploads/2021/09/LISTA-DE-CREDORES-FALENCIA.pdf</t>
        </is>
      </c>
      <c r="H780" t="inlineStr">
        <is>
          <t>p9 r21</t>
        </is>
      </c>
      <c r="I780" t="inlineStr">
        <is>
          <t>NO_DOCUMENT</t>
        </is>
      </c>
    </row>
    <row r="781">
      <c r="A781" t="inlineStr">
        <is>
          <t>Emami Participacoes S.a</t>
        </is>
      </c>
      <c r="B781" s="10" t="n">
        <v>264190.34</v>
      </c>
      <c r="C781" t="inlineStr">
        <is>
          <t>e Falência</t>
        </is>
      </c>
      <c r="D781" t="inlineStr">
        <is>
          <t>0003283-70.2015.8.17.2810</t>
        </is>
      </c>
      <c r="E781" t="inlineStr">
        <is>
          <t>UNKNOWN</t>
        </is>
      </c>
      <c r="F781" t="inlineStr">
        <is>
          <t>OK_NO_TOTALS</t>
        </is>
      </c>
      <c r="G781" s="19" t="inlineStr">
        <is>
          <t>https://lrflideres.com.br/wp-content/uploads/2021/09/LISTA-DE-CREDORES-FALENCIA.pdf</t>
        </is>
      </c>
      <c r="H781" t="inlineStr">
        <is>
          <t>p9 r14</t>
        </is>
      </c>
      <c r="I781" t="inlineStr">
        <is>
          <t>NO_DOCUMENT</t>
        </is>
      </c>
    </row>
    <row r="782">
      <c r="A782" t="inlineStr">
        <is>
          <t>Tacaruna Participacoes e Empreendimentos Ltda</t>
        </is>
      </c>
      <c r="B782" s="10" t="n">
        <v>220519.5</v>
      </c>
      <c r="C782" t="inlineStr">
        <is>
          <t>e Falência</t>
        </is>
      </c>
      <c r="D782" t="inlineStr">
        <is>
          <t>0003283-70.2015.8.17.2810</t>
        </is>
      </c>
      <c r="E782" t="inlineStr">
        <is>
          <t>UNKNOWN</t>
        </is>
      </c>
      <c r="F782" t="inlineStr">
        <is>
          <t>OK_NO_TOTALS</t>
        </is>
      </c>
      <c r="G782" s="19" t="inlineStr">
        <is>
          <t>https://lrflideres.com.br/wp-content/uploads/2021/09/LISTA-DE-CREDORES-FALENCIA.pdf</t>
        </is>
      </c>
      <c r="H782" t="inlineStr">
        <is>
          <t>p10 r5</t>
        </is>
      </c>
      <c r="I782" t="inlineStr">
        <is>
          <t>NO_DOCUMENT</t>
        </is>
      </c>
    </row>
    <row r="783">
      <c r="A783" t="inlineStr">
        <is>
          <t>PARATI S.A.</t>
        </is>
      </c>
      <c r="B783" s="10" t="n">
        <v>1404520.82</v>
      </c>
      <c r="C783" t="inlineStr"/>
      <c r="D783" t="inlineStr"/>
      <c r="E783" t="inlineStr">
        <is>
          <t>QGC</t>
        </is>
      </c>
      <c r="F783" t="inlineStr">
        <is>
          <t>OK</t>
        </is>
      </c>
      <c r="G783" s="19" t="inlineStr">
        <is>
          <t>https://vivanteaj.com.br/wp-content/uploads/2024/11/Primeira-relacao-de-credores-da-Falencia-Multidia.pdf</t>
        </is>
      </c>
      <c r="H783" t="inlineStr">
        <is>
          <t>p4 r4</t>
        </is>
      </c>
      <c r="I783" t="inlineStr">
        <is>
          <t>NO_DOCUMENT</t>
        </is>
      </c>
    </row>
    <row r="784">
      <c r="A784" t="inlineStr">
        <is>
          <t>BANCO BRADESCO S.A</t>
        </is>
      </c>
      <c r="B784" s="10" t="n">
        <v>1320665.09</v>
      </c>
      <c r="C784" t="inlineStr"/>
      <c r="D784" t="inlineStr"/>
      <c r="E784" t="inlineStr">
        <is>
          <t>QGC</t>
        </is>
      </c>
      <c r="F784" t="inlineStr">
        <is>
          <t>OK</t>
        </is>
      </c>
      <c r="G784" s="19" t="inlineStr">
        <is>
          <t>https://vivanteaj.com.br/wp-content/uploads/2024/11/Primeira-relacao-de-credores-da-Falencia-Multidia.pdf</t>
        </is>
      </c>
      <c r="H784" t="inlineStr">
        <is>
          <t>p1 r12</t>
        </is>
      </c>
      <c r="I784" t="inlineStr">
        <is>
          <t>NO_DOCUMENT</t>
        </is>
      </c>
    </row>
    <row r="785">
      <c r="A785" t="inlineStr">
        <is>
          <t>SC JOHNSON DISTRIBUICAO LTDA</t>
        </is>
      </c>
      <c r="B785" s="10" t="n">
        <v>696429.12</v>
      </c>
      <c r="C785" t="inlineStr"/>
      <c r="D785" t="inlineStr"/>
      <c r="E785" t="inlineStr">
        <is>
          <t>QGC</t>
        </is>
      </c>
      <c r="F785" t="inlineStr">
        <is>
          <t>OK</t>
        </is>
      </c>
      <c r="G785" s="19" t="inlineStr">
        <is>
          <t>https://vivanteaj.com.br/wp-content/uploads/2024/11/Primeira-relacao-de-credores-da-Falencia-Multidia.pdf</t>
        </is>
      </c>
      <c r="H785" t="inlineStr">
        <is>
          <t>p5 r1</t>
        </is>
      </c>
      <c r="I785" t="inlineStr">
        <is>
          <t>NO_DOCUMENT</t>
        </is>
      </c>
    </row>
    <row r="786">
      <c r="A786" t="inlineStr">
        <is>
          <t>INCOPLAST EMBALAGENS DO NORDESTE LTDA</t>
        </is>
      </c>
      <c r="B786" s="10" t="n">
        <v>527975.23</v>
      </c>
      <c r="C786" t="inlineStr"/>
      <c r="D786" t="inlineStr"/>
      <c r="E786" t="inlineStr">
        <is>
          <t>QGC</t>
        </is>
      </c>
      <c r="F786" t="inlineStr">
        <is>
          <t>OK</t>
        </is>
      </c>
      <c r="G786" s="19" t="inlineStr">
        <is>
          <t>https://vivanteaj.com.br/wp-content/uploads/2024/11/Primeira-relacao-de-credores-da-Falencia-Multidia.pdf</t>
        </is>
      </c>
      <c r="H786" t="inlineStr">
        <is>
          <t>p3 r1</t>
        </is>
      </c>
      <c r="I786" t="inlineStr">
        <is>
          <t>NO_DOCUMENT</t>
        </is>
      </c>
    </row>
    <row r="787">
      <c r="A787" t="inlineStr">
        <is>
          <t>HYPERMARCAS S/A</t>
        </is>
      </c>
      <c r="B787" s="10" t="n">
        <v>521765</v>
      </c>
      <c r="C787" t="inlineStr"/>
      <c r="D787" t="inlineStr"/>
      <c r="E787" t="inlineStr">
        <is>
          <t>QGC</t>
        </is>
      </c>
      <c r="F787" t="inlineStr">
        <is>
          <t>OK</t>
        </is>
      </c>
      <c r="G787" s="19" t="inlineStr">
        <is>
          <t>https://vivanteaj.com.br/wp-content/uploads/2024/11/Primeira-relacao-de-credores-da-Falencia-Multidia.pdf</t>
        </is>
      </c>
      <c r="H787" t="inlineStr">
        <is>
          <t>p2 r43</t>
        </is>
      </c>
      <c r="I787" t="inlineStr">
        <is>
          <t>NO_DOCUMENT</t>
        </is>
      </c>
    </row>
    <row r="788">
      <c r="A788" t="inlineStr">
        <is>
          <t>ITAÚ UNIBANCO S.A.</t>
        </is>
      </c>
      <c r="B788" s="10" t="n">
        <v>509873.77</v>
      </c>
      <c r="C788" t="inlineStr"/>
      <c r="D788" t="inlineStr"/>
      <c r="E788" t="inlineStr">
        <is>
          <t>QGC</t>
        </is>
      </c>
      <c r="F788" t="inlineStr">
        <is>
          <t>OK</t>
        </is>
      </c>
      <c r="G788" s="19" t="inlineStr">
        <is>
          <t>https://vivanteaj.com.br/wp-content/uploads/2024/11/Primeira-relacao-de-credores-da-Falencia-Multidia.pdf</t>
        </is>
      </c>
      <c r="H788" t="inlineStr">
        <is>
          <t>p3 r6</t>
        </is>
      </c>
      <c r="I788" t="inlineStr">
        <is>
          <t>NO_DOCUMENT</t>
        </is>
      </c>
    </row>
    <row r="789">
      <c r="A789" t="inlineStr">
        <is>
          <t>BANCO DO BRASIL S.A.</t>
        </is>
      </c>
      <c r="B789" s="10" t="n">
        <v>404883.25</v>
      </c>
      <c r="C789" t="inlineStr"/>
      <c r="D789" t="inlineStr"/>
      <c r="E789" t="inlineStr">
        <is>
          <t>QGC</t>
        </is>
      </c>
      <c r="F789" t="inlineStr">
        <is>
          <t>OK</t>
        </is>
      </c>
      <c r="G789" s="19" t="inlineStr">
        <is>
          <t>https://vivanteaj.com.br/wp-content/uploads/2024/11/Primeira-relacao-de-credores-da-Falencia-Multidia.pdf</t>
        </is>
      </c>
      <c r="H789" t="inlineStr">
        <is>
          <t>p1 r14</t>
        </is>
      </c>
      <c r="I789" t="inlineStr">
        <is>
          <t>NO_DOCUMENT</t>
        </is>
      </c>
    </row>
    <row r="790">
      <c r="A790" t="inlineStr">
        <is>
          <t>SBB COMERCIO E MOAGEM DE CEREAIS LTD</t>
        </is>
      </c>
      <c r="B790" s="10" t="n">
        <v>390943.31</v>
      </c>
      <c r="C790" t="inlineStr"/>
      <c r="D790" t="inlineStr"/>
      <c r="E790" t="inlineStr">
        <is>
          <t>QGC</t>
        </is>
      </c>
      <c r="F790" t="inlineStr">
        <is>
          <t>OK</t>
        </is>
      </c>
      <c r="G790" s="19" t="inlineStr">
        <is>
          <t>https://vivanteaj.com.br/wp-content/uploads/2024/11/Primeira-relacao-de-credores-da-Falencia-Multidia.pdf</t>
        </is>
      </c>
      <c r="H790" t="inlineStr">
        <is>
          <t>p4 r45</t>
        </is>
      </c>
      <c r="I790" t="inlineStr">
        <is>
          <t>NO_DOCUMENT</t>
        </is>
      </c>
    </row>
    <row r="791">
      <c r="A791" t="inlineStr">
        <is>
          <t>EMIFOR IND DE ALIM S/A</t>
        </is>
      </c>
      <c r="B791" s="10" t="n">
        <v>382918.33</v>
      </c>
      <c r="C791" t="inlineStr"/>
      <c r="D791" t="inlineStr"/>
      <c r="E791" t="inlineStr">
        <is>
          <t>QGC</t>
        </is>
      </c>
      <c r="F791" t="inlineStr">
        <is>
          <t>OK</t>
        </is>
      </c>
      <c r="G791" s="19" t="inlineStr">
        <is>
          <t>https://vivanteaj.com.br/wp-content/uploads/2024/11/Primeira-relacao-de-credores-da-Falencia-Multidia.pdf</t>
        </is>
      </c>
      <c r="H791" t="inlineStr">
        <is>
          <t>p2 r24</t>
        </is>
      </c>
      <c r="I791" t="inlineStr">
        <is>
          <t>NO_DOCUMENT</t>
        </is>
      </c>
    </row>
    <row r="792">
      <c r="A792" t="inlineStr">
        <is>
          <t>COMDAL COM DIST ALIM LTDA</t>
        </is>
      </c>
      <c r="B792" s="10" t="n">
        <v>370867.14</v>
      </c>
      <c r="C792" t="inlineStr"/>
      <c r="D792" t="inlineStr"/>
      <c r="E792" t="inlineStr">
        <is>
          <t>QGC</t>
        </is>
      </c>
      <c r="F792" t="inlineStr">
        <is>
          <t>OK</t>
        </is>
      </c>
      <c r="G792" s="19" t="inlineStr">
        <is>
          <t>https://vivanteaj.com.br/wp-content/uploads/2024/11/Primeira-relacao-de-credores-da-Falencia-Multidia.pdf</t>
        </is>
      </c>
      <c r="H792" t="inlineStr">
        <is>
          <t>p1 r36</t>
        </is>
      </c>
      <c r="I792" t="inlineStr">
        <is>
          <t>NO_DOCUMENT</t>
        </is>
      </c>
    </row>
    <row r="793">
      <c r="A793" t="inlineStr">
        <is>
          <t>LATICINIOS BOM GOSTO S A</t>
        </is>
      </c>
      <c r="B793" s="10" t="n">
        <v>286155.96</v>
      </c>
      <c r="C793" t="inlineStr"/>
      <c r="D793" t="inlineStr"/>
      <c r="E793" t="inlineStr">
        <is>
          <t>QGC</t>
        </is>
      </c>
      <c r="F793" t="inlineStr">
        <is>
          <t>OK</t>
        </is>
      </c>
      <c r="G793" s="19" t="inlineStr">
        <is>
          <t>https://vivanteaj.com.br/wp-content/uploads/2024/11/Primeira-relacao-de-credores-da-Falencia-Multidia.pdf</t>
        </is>
      </c>
      <c r="H793" t="inlineStr">
        <is>
          <t>p3 r20</t>
        </is>
      </c>
      <c r="I793" t="inlineStr">
        <is>
          <t>NO_DOCUMENT</t>
        </is>
      </c>
    </row>
    <row r="794">
      <c r="A794" t="inlineStr">
        <is>
          <t>R.K.TRANSPORTES COMERCIO E REPRESENTACOES LTDA</t>
        </is>
      </c>
      <c r="B794" s="10" t="n">
        <v>273536.05</v>
      </c>
      <c r="C794" t="inlineStr"/>
      <c r="D794" t="inlineStr"/>
      <c r="E794" t="inlineStr">
        <is>
          <t>QGC</t>
        </is>
      </c>
      <c r="F794" t="inlineStr">
        <is>
          <t>OK</t>
        </is>
      </c>
      <c r="G794" s="19" t="inlineStr">
        <is>
          <t>https://vivanteaj.com.br/wp-content/uploads/2024/11/Primeira-relacao-de-credores-da-Falencia-Multidia.pdf</t>
        </is>
      </c>
      <c r="H794" t="inlineStr">
        <is>
          <t>p4 r24</t>
        </is>
      </c>
      <c r="I794" t="inlineStr">
        <is>
          <t>NO_DOCUMENT</t>
        </is>
      </c>
    </row>
    <row r="795">
      <c r="A795" t="inlineStr">
        <is>
          <t>SC JOHNSON DISTRIBUICAO LTDA</t>
        </is>
      </c>
      <c r="B795" s="10" t="n">
        <v>239576.43</v>
      </c>
      <c r="C795" t="inlineStr"/>
      <c r="D795" t="inlineStr"/>
      <c r="E795" t="inlineStr">
        <is>
          <t>QGC</t>
        </is>
      </c>
      <c r="F795" t="inlineStr">
        <is>
          <t>OK</t>
        </is>
      </c>
      <c r="G795" s="19" t="inlineStr">
        <is>
          <t>https://vivanteaj.com.br/wp-content/uploads/2024/11/Primeira-relacao-de-credores-da-Falencia-Multidia.pdf</t>
        </is>
      </c>
      <c r="H795" t="inlineStr">
        <is>
          <t>p5 r2</t>
        </is>
      </c>
      <c r="I795" t="inlineStr">
        <is>
          <t>NO_DOCUMENT</t>
        </is>
      </c>
    </row>
    <row r="796">
      <c r="A796" t="inlineStr">
        <is>
          <t>URBANO AGROINDUSTRIAL LTDA</t>
        </is>
      </c>
      <c r="B796" s="10" t="n">
        <v>225863.06</v>
      </c>
      <c r="C796" t="inlineStr"/>
      <c r="D796" t="inlineStr"/>
      <c r="E796" t="inlineStr">
        <is>
          <t>QGC</t>
        </is>
      </c>
      <c r="F796" t="inlineStr">
        <is>
          <t>OK</t>
        </is>
      </c>
      <c r="G796" s="19" t="inlineStr">
        <is>
          <t>https://vivanteaj.com.br/wp-content/uploads/2024/11/Primeira-relacao-de-credores-da-Falencia-Multidia.pdf</t>
        </is>
      </c>
      <c r="H796" t="inlineStr">
        <is>
          <t>p5 r35</t>
        </is>
      </c>
      <c r="I796" t="inlineStr">
        <is>
          <t>NO_DOCUMENT</t>
        </is>
      </c>
    </row>
    <row r="797">
      <c r="A797" t="inlineStr">
        <is>
          <t>ROBERT BOSCH TECNOLOGIA DE EMBALAGEM LTDA.</t>
        </is>
      </c>
      <c r="B797" s="10" t="n">
        <v>225156.18</v>
      </c>
      <c r="C797" t="inlineStr"/>
      <c r="D797" t="inlineStr"/>
      <c r="E797" t="inlineStr">
        <is>
          <t>QGC</t>
        </is>
      </c>
      <c r="F797" t="inlineStr">
        <is>
          <t>OK</t>
        </is>
      </c>
      <c r="G797" s="19" t="inlineStr">
        <is>
          <t>https://vivanteaj.com.br/wp-content/uploads/2024/11/Primeira-relacao-de-credores-da-Falencia-Multidia.pdf</t>
        </is>
      </c>
      <c r="H797" t="inlineStr">
        <is>
          <t>p4 r35</t>
        </is>
      </c>
      <c r="I797" t="inlineStr">
        <is>
          <t>NO_DOCUMENT</t>
        </is>
      </c>
    </row>
    <row r="798">
      <c r="A798" t="inlineStr">
        <is>
          <t>KERRY DO BRASIL LTDA</t>
        </is>
      </c>
      <c r="B798" s="10" t="n">
        <v>215628.3</v>
      </c>
      <c r="C798" t="inlineStr"/>
      <c r="D798" t="inlineStr"/>
      <c r="E798" t="inlineStr">
        <is>
          <t>QGC</t>
        </is>
      </c>
      <c r="F798" t="inlineStr">
        <is>
          <t>OK</t>
        </is>
      </c>
      <c r="G798" s="19" t="inlineStr">
        <is>
          <t>https://vivanteaj.com.br/wp-content/uploads/2024/11/Primeira-relacao-de-credores-da-Falencia-Multidia.pdf</t>
        </is>
      </c>
      <c r="H798" t="inlineStr">
        <is>
          <t>p3 r14</t>
        </is>
      </c>
      <c r="I798" t="inlineStr">
        <is>
          <t>NO_DOCUMENT</t>
        </is>
      </c>
    </row>
    <row r="799">
      <c r="A799" t="inlineStr">
        <is>
          <t>LOVATO S/A</t>
        </is>
      </c>
      <c r="B799" s="10" t="n">
        <v>215166</v>
      </c>
      <c r="C799" t="inlineStr"/>
      <c r="D799" t="inlineStr"/>
      <c r="E799" t="inlineStr">
        <is>
          <t>QGC</t>
        </is>
      </c>
      <c r="F799" t="inlineStr">
        <is>
          <t>OK</t>
        </is>
      </c>
      <c r="G799" s="19" t="inlineStr">
        <is>
          <t>https://vivanteaj.com.br/wp-content/uploads/2024/11/Primeira-relacao-de-credores-da-Falencia-Multidia.pdf</t>
        </is>
      </c>
      <c r="H799" t="inlineStr">
        <is>
          <t>p3 r28</t>
        </is>
      </c>
      <c r="I799" t="inlineStr">
        <is>
          <t>NO_DOCUMENT</t>
        </is>
      </c>
    </row>
    <row r="800">
      <c r="A800" t="inlineStr">
        <is>
          <t>BANCO COOPERATIVO DO BRASIL S/A</t>
        </is>
      </c>
      <c r="B800" s="10" t="n">
        <v>616203.5</v>
      </c>
      <c r="C800" t="inlineStr">
        <is>
          <t>PELA RECUPERANDA. EXTRAÍDO DOS AUTOS DA AÇÃO DE RECUPERAÇÃO JUDICIA</t>
        </is>
      </c>
      <c r="D800" t="inlineStr">
        <is>
          <t>0829810-08.2022.8.12.0001</t>
        </is>
      </c>
      <c r="E800" t="inlineStr">
        <is>
          <t>AJ_LIST</t>
        </is>
      </c>
      <c r="F800" t="inlineStr">
        <is>
          <t>OK_NO_TOTALS</t>
        </is>
      </c>
      <c r="G800" s="19" t="inlineStr">
        <is>
          <t>https://www.vcpericia.com.br/wp-content/uploads/2023/02/Edital-de-aviso-aos-credores-sobre-Plano-e-Lista-do-AJ.pdf</t>
        </is>
      </c>
      <c r="H800" t="inlineStr">
        <is>
          <t>p3 r4</t>
        </is>
      </c>
      <c r="I800" t="inlineStr">
        <is>
          <t>NO_DOCUMENT</t>
        </is>
      </c>
    </row>
    <row r="801">
      <c r="A801" t="inlineStr">
        <is>
          <t>BANCO ITAU UNIBANCO S.A</t>
        </is>
      </c>
      <c r="B801" s="10" t="n">
        <v>318919.59</v>
      </c>
      <c r="C801" t="inlineStr">
        <is>
          <t>PELA RECUPERANDA. EXTRAÍDO DOS AUTOS DA AÇÃO DE RECUPERAÇÃO JUDICIA</t>
        </is>
      </c>
      <c r="D801" t="inlineStr">
        <is>
          <t>0829810-08.2022.8.12.0001</t>
        </is>
      </c>
      <c r="E801" t="inlineStr">
        <is>
          <t>AJ_LIST</t>
        </is>
      </c>
      <c r="F801" t="inlineStr">
        <is>
          <t>OK_NO_TOTALS</t>
        </is>
      </c>
      <c r="G801" s="19" t="inlineStr">
        <is>
          <t>https://www.vcpericia.com.br/wp-content/uploads/2023/02/Edital-de-aviso-aos-credores-sobre-Plano-e-Lista-do-AJ.pdf</t>
        </is>
      </c>
      <c r="H801" t="inlineStr">
        <is>
          <t>p3 r5</t>
        </is>
      </c>
      <c r="I801" t="inlineStr">
        <is>
          <t>NO_DOCUMENT</t>
        </is>
      </c>
    </row>
    <row r="802">
      <c r="A802" t="inlineStr">
        <is>
          <t>FAMCRED FACTORING MERCANTIL DE CRÉDITO LTDA</t>
        </is>
      </c>
      <c r="B802" s="10" t="n">
        <v>4997629</v>
      </c>
      <c r="C802" t="inlineStr">
        <is>
          <t>E FALENCIA</t>
        </is>
      </c>
      <c r="D802" t="inlineStr">
        <is>
          <t>0000206-72.2017.8.17.2490</t>
        </is>
      </c>
      <c r="E802" t="inlineStr">
        <is>
          <t>QGC</t>
        </is>
      </c>
      <c r="F802" t="inlineStr">
        <is>
          <t>OK_NO_TOTALS</t>
        </is>
      </c>
      <c r="G802" s="19" t="inlineStr">
        <is>
          <t>https://diligence.adm.br/wp-content/plugins/download-attachments/includes/download.php?id=4121</t>
        </is>
      </c>
      <c r="H802" t="inlineStr">
        <is>
          <t>p4 r64</t>
        </is>
      </c>
      <c r="I802" t="inlineStr">
        <is>
          <t>NO_DOCUMENT</t>
        </is>
      </c>
    </row>
    <row r="803">
      <c r="A803" t="inlineStr">
        <is>
          <t>MF EURO FATORING E FOMENTO MERCANTIL LTDA</t>
        </is>
      </c>
      <c r="B803" s="10" t="n">
        <v>3042690.92</v>
      </c>
      <c r="C803" t="inlineStr">
        <is>
          <t>E FALENCIA</t>
        </is>
      </c>
      <c r="D803" t="inlineStr">
        <is>
          <t>0000206-72.2017.8.17.2490</t>
        </is>
      </c>
      <c r="E803" t="inlineStr">
        <is>
          <t>QGC</t>
        </is>
      </c>
      <c r="F803" t="inlineStr">
        <is>
          <t>OK_NO_TOTALS</t>
        </is>
      </c>
      <c r="G803" s="19" t="inlineStr">
        <is>
          <t>https://diligence.adm.br/wp-content/plugins/download-attachments/includes/download.php?id=4121</t>
        </is>
      </c>
      <c r="H803" t="inlineStr">
        <is>
          <t>p4 r73</t>
        </is>
      </c>
      <c r="I803" t="inlineStr">
        <is>
          <t>NO_DOCUMENT</t>
        </is>
      </c>
    </row>
    <row r="804">
      <c r="A804" t="inlineStr">
        <is>
          <t>GUACU CABOS INDUSTRIA E COMERCIO LTDA</t>
        </is>
      </c>
      <c r="B804" s="10" t="n">
        <v>2598655.86</v>
      </c>
      <c r="C804" t="inlineStr">
        <is>
          <t>E FALENCIA</t>
        </is>
      </c>
      <c r="D804" t="inlineStr">
        <is>
          <t>0000206-72.2017.8.17.2490</t>
        </is>
      </c>
      <c r="E804" t="inlineStr">
        <is>
          <t>QGC</t>
        </is>
      </c>
      <c r="F804" t="inlineStr">
        <is>
          <t>OK_NO_TOTALS</t>
        </is>
      </c>
      <c r="G804" s="19" t="inlineStr">
        <is>
          <t>https://diligence.adm.br/wp-content/plugins/download-attachments/includes/download.php?id=4121</t>
        </is>
      </c>
      <c r="H804" t="inlineStr">
        <is>
          <t>p4 r66</t>
        </is>
      </c>
      <c r="I804" t="inlineStr">
        <is>
          <t>NO_DOCUMENT</t>
        </is>
      </c>
    </row>
    <row r="805">
      <c r="A805" t="inlineStr">
        <is>
          <t>CARAÍBA METAIS S/A</t>
        </is>
      </c>
      <c r="B805" s="10" t="n">
        <v>1954176.75</v>
      </c>
      <c r="C805" t="inlineStr">
        <is>
          <t>E FALENCIA</t>
        </is>
      </c>
      <c r="D805" t="inlineStr">
        <is>
          <t>0000206-72.2017.8.17.2490</t>
        </is>
      </c>
      <c r="E805" t="inlineStr">
        <is>
          <t>QGC</t>
        </is>
      </c>
      <c r="F805" t="inlineStr">
        <is>
          <t>OK_NO_TOTALS</t>
        </is>
      </c>
      <c r="G805" s="19" t="inlineStr">
        <is>
          <t>https://diligence.adm.br/wp-content/plugins/download-attachments/includes/download.php?id=4121</t>
        </is>
      </c>
      <c r="H805" t="inlineStr">
        <is>
          <t>p4 r45</t>
        </is>
      </c>
      <c r="I805" t="inlineStr">
        <is>
          <t>NO_DOCUMENT</t>
        </is>
      </c>
    </row>
    <row r="806">
      <c r="A806" t="inlineStr">
        <is>
          <t>DACARTO BENVIC LTDA</t>
        </is>
      </c>
      <c r="B806" s="10" t="n">
        <v>1923810.79</v>
      </c>
      <c r="C806" t="inlineStr">
        <is>
          <t>E FALENCIA</t>
        </is>
      </c>
      <c r="D806" t="inlineStr">
        <is>
          <t>0000206-72.2017.8.17.2490</t>
        </is>
      </c>
      <c r="E806" t="inlineStr">
        <is>
          <t>QGC</t>
        </is>
      </c>
      <c r="F806" t="inlineStr">
        <is>
          <t>OK_NO_TOTALS</t>
        </is>
      </c>
      <c r="G806" s="19" t="inlineStr">
        <is>
          <t>https://diligence.adm.br/wp-content/plugins/download-attachments/includes/download.php?id=4121</t>
        </is>
      </c>
      <c r="H806" t="inlineStr">
        <is>
          <t>p4 r57</t>
        </is>
      </c>
      <c r="I806" t="inlineStr">
        <is>
          <t>NO_DOCUMENT</t>
        </is>
      </c>
    </row>
    <row r="807">
      <c r="A807" t="inlineStr">
        <is>
          <t>GENERAL IND E COMERCIO PRODUTOS POLIMERICOS LTDA</t>
        </is>
      </c>
      <c r="B807" s="10" t="n">
        <v>1258416.38</v>
      </c>
      <c r="C807" t="inlineStr">
        <is>
          <t>E FALENCIA</t>
        </is>
      </c>
      <c r="D807" t="inlineStr">
        <is>
          <t>0000206-72.2017.8.17.2490</t>
        </is>
      </c>
      <c r="E807" t="inlineStr">
        <is>
          <t>QGC</t>
        </is>
      </c>
      <c r="F807" t="inlineStr">
        <is>
          <t>OK_NO_TOTALS</t>
        </is>
      </c>
      <c r="G807" s="19" t="inlineStr">
        <is>
          <t>https://diligence.adm.br/wp-content/plugins/download-attachments/includes/download.php?id=4121</t>
        </is>
      </c>
      <c r="H807" t="inlineStr">
        <is>
          <t>p4 r65</t>
        </is>
      </c>
      <c r="I807" t="inlineStr">
        <is>
          <t>NO_DOCUMENT</t>
        </is>
      </c>
    </row>
    <row r="808">
      <c r="A808" t="inlineStr">
        <is>
          <t>DONA ELÉTRICA FIOS E REATORES LTDA</t>
        </is>
      </c>
      <c r="B808" s="10" t="n">
        <v>472161.82</v>
      </c>
      <c r="C808" t="inlineStr">
        <is>
          <t>E FALENCIA</t>
        </is>
      </c>
      <c r="D808" t="inlineStr">
        <is>
          <t>0000206-72.2017.8.17.2490</t>
        </is>
      </c>
      <c r="E808" t="inlineStr">
        <is>
          <t>QGC</t>
        </is>
      </c>
      <c r="F808" t="inlineStr">
        <is>
          <t>OK_NO_TOTALS</t>
        </is>
      </c>
      <c r="G808" s="19" t="inlineStr">
        <is>
          <t>https://diligence.adm.br/wp-content/plugins/download-attachments/includes/download.php?id=4121</t>
        </is>
      </c>
      <c r="H808" t="inlineStr">
        <is>
          <t>p4 r60</t>
        </is>
      </c>
      <c r="I808" t="inlineStr">
        <is>
          <t>NO_DOCUMENT</t>
        </is>
      </c>
    </row>
    <row r="809">
      <c r="A809" t="inlineStr">
        <is>
          <t>ATHOS TIZZIANI FILHO</t>
        </is>
      </c>
      <c r="B809" s="10" t="n">
        <v>441269.92</v>
      </c>
      <c r="C809" t="inlineStr">
        <is>
          <t>E FALENCIA</t>
        </is>
      </c>
      <c r="D809" t="inlineStr">
        <is>
          <t>0000206-72.2017.8.17.2490</t>
        </is>
      </c>
      <c r="E809" t="inlineStr">
        <is>
          <t>QGC</t>
        </is>
      </c>
      <c r="F809" t="inlineStr">
        <is>
          <t>OK_NO_TOTALS</t>
        </is>
      </c>
      <c r="G809" s="19" t="inlineStr">
        <is>
          <t>https://diligence.adm.br/wp-content/plugins/download-attachments/includes/download.php?id=4121</t>
        </is>
      </c>
      <c r="H809" t="inlineStr">
        <is>
          <t>p5 r15</t>
        </is>
      </c>
      <c r="I809" t="inlineStr">
        <is>
          <t>NO_DOCUMENT</t>
        </is>
      </c>
    </row>
    <row r="810">
      <c r="A810" t="inlineStr">
        <is>
          <t>ATF EMPREENDIMENTOS LTDA</t>
        </is>
      </c>
      <c r="B810" s="10" t="n">
        <v>358695.5</v>
      </c>
      <c r="C810" t="inlineStr">
        <is>
          <t>E FALENCIA</t>
        </is>
      </c>
      <c r="D810" t="inlineStr">
        <is>
          <t>0000206-72.2017.8.17.2490</t>
        </is>
      </c>
      <c r="E810" t="inlineStr">
        <is>
          <t>QGC</t>
        </is>
      </c>
      <c r="F810" t="inlineStr">
        <is>
          <t>OK_NO_TOTALS</t>
        </is>
      </c>
      <c r="G810" s="19" t="inlineStr">
        <is>
          <t>https://diligence.adm.br/wp-content/plugins/download-attachments/includes/download.php?id=4121</t>
        </is>
      </c>
      <c r="H810" t="inlineStr">
        <is>
          <t>p5 r13</t>
        </is>
      </c>
      <c r="I810" t="inlineStr">
        <is>
          <t>NO_DOCUMENT</t>
        </is>
      </c>
    </row>
    <row r="811">
      <c r="A811" t="inlineStr">
        <is>
          <t>DINIZ AUGUSTO CEPEDA</t>
        </is>
      </c>
      <c r="B811" s="10" t="n">
        <v>358240.52</v>
      </c>
      <c r="C811" t="inlineStr">
        <is>
          <t>E FALENCIA</t>
        </is>
      </c>
      <c r="D811" t="inlineStr">
        <is>
          <t>0000206-72.2017.8.17.2490</t>
        </is>
      </c>
      <c r="E811" t="inlineStr">
        <is>
          <t>QGC</t>
        </is>
      </c>
      <c r="F811" t="inlineStr">
        <is>
          <t>OK_NO_TOTALS</t>
        </is>
      </c>
      <c r="G811" s="19" t="inlineStr">
        <is>
          <t>https://diligence.adm.br/wp-content/plugins/download-attachments/includes/download.php?id=4121</t>
        </is>
      </c>
      <c r="H811" t="inlineStr">
        <is>
          <t>p5 r16</t>
        </is>
      </c>
      <c r="I811" t="inlineStr">
        <is>
          <t>NO_DOCUMENT</t>
        </is>
      </c>
    </row>
    <row r="812">
      <c r="A812" t="inlineStr">
        <is>
          <t>ECOMET INDÚSTRIA COMÉRCIO E REC. DE MET. LTDA</t>
        </is>
      </c>
      <c r="B812" s="10" t="n">
        <v>266563.6</v>
      </c>
      <c r="C812" t="inlineStr">
        <is>
          <t>E FALENCIA</t>
        </is>
      </c>
      <c r="D812" t="inlineStr">
        <is>
          <t>0000206-72.2017.8.17.2490</t>
        </is>
      </c>
      <c r="E812" t="inlineStr">
        <is>
          <t>QGC</t>
        </is>
      </c>
      <c r="F812" t="inlineStr">
        <is>
          <t>OK_NO_TOTALS</t>
        </is>
      </c>
      <c r="G812" s="19" t="inlineStr">
        <is>
          <t>https://diligence.adm.br/wp-content/plugins/download-attachments/includes/download.php?id=4121</t>
        </is>
      </c>
      <c r="H812" t="inlineStr">
        <is>
          <t>p4 r61</t>
        </is>
      </c>
      <c r="I812" t="inlineStr">
        <is>
          <t>NO_DOCUMENT</t>
        </is>
      </c>
    </row>
    <row r="813">
      <c r="A813" t="inlineStr">
        <is>
          <t>VILFER COMÉRCIO DE METAIS LTDA</t>
        </is>
      </c>
      <c r="B813" s="10" t="n">
        <v>264517.5</v>
      </c>
      <c r="C813" t="inlineStr">
        <is>
          <t>E FALENCIA</t>
        </is>
      </c>
      <c r="D813" t="inlineStr">
        <is>
          <t>0000206-72.2017.8.17.2490</t>
        </is>
      </c>
      <c r="E813" t="inlineStr">
        <is>
          <t>QGC</t>
        </is>
      </c>
      <c r="F813" t="inlineStr">
        <is>
          <t>OK_NO_TOTALS</t>
        </is>
      </c>
      <c r="G813" s="19" t="inlineStr">
        <is>
          <t>https://diligence.adm.br/wp-content/plugins/download-attachments/includes/download.php?id=4121</t>
        </is>
      </c>
      <c r="H813" t="inlineStr">
        <is>
          <t>p5 r11</t>
        </is>
      </c>
      <c r="I813" t="inlineStr">
        <is>
          <t>NO_DOCUMENT</t>
        </is>
      </c>
    </row>
    <row r="814">
      <c r="A814" t="inlineStr">
        <is>
          <t>ATF PARTICIPAÇÕES LTDA</t>
        </is>
      </c>
      <c r="B814" s="10" t="n">
        <v>225480</v>
      </c>
      <c r="C814" t="inlineStr">
        <is>
          <t>E FALENCIA</t>
        </is>
      </c>
      <c r="D814" t="inlineStr">
        <is>
          <t>0000206-72.2017.8.17.2490</t>
        </is>
      </c>
      <c r="E814" t="inlineStr">
        <is>
          <t>QGC</t>
        </is>
      </c>
      <c r="F814" t="inlineStr">
        <is>
          <t>OK_NO_TOTALS</t>
        </is>
      </c>
      <c r="G814" s="19" t="inlineStr">
        <is>
          <t>https://diligence.adm.br/wp-content/plugins/download-attachments/includes/download.php?id=4121</t>
        </is>
      </c>
      <c r="H814" t="inlineStr">
        <is>
          <t>p5 r14</t>
        </is>
      </c>
      <c r="I814" t="inlineStr">
        <is>
          <t>NO_DOCUMENT</t>
        </is>
      </c>
    </row>
    <row r="815">
      <c r="A815" t="inlineStr"/>
      <c r="B815" s="10" t="n">
        <v>30304493.07</v>
      </c>
      <c r="C815" t="inlineStr">
        <is>
          <t>e Falência</t>
        </is>
      </c>
      <c r="D815" t="inlineStr">
        <is>
          <t>0000880-57.2020.8.17.2001</t>
        </is>
      </c>
      <c r="E815" t="inlineStr">
        <is>
          <t>AJ_LIST</t>
        </is>
      </c>
      <c r="F815" t="inlineStr">
        <is>
          <t>OK_NO_TOTALS</t>
        </is>
      </c>
      <c r="G815" s="19" t="inlineStr">
        <is>
          <t>https://diligence.adm.br/wp-content/plugins/download-attachments/includes/download.php?id=4599</t>
        </is>
      </c>
      <c r="H815" t="inlineStr">
        <is>
          <t>p11 r3</t>
        </is>
      </c>
      <c r="I815" t="inlineStr">
        <is>
          <t>NO_DOCUMENT NAME_MISSING</t>
        </is>
      </c>
    </row>
    <row r="816">
      <c r="A816" t="inlineStr">
        <is>
          <t>(quirografários); ▪ HUESKER LTDA: o crédito vai passar (quatrocentos e trinta e quatro mil, duzentos e cinco centavos) para 429.201,75 nove mil, duzentos e um reais e setenta</t>
        </is>
      </c>
      <c r="B816" s="10" t="n">
        <v>434201.75</v>
      </c>
      <c r="C816" t="inlineStr">
        <is>
          <t>e Falência</t>
        </is>
      </c>
      <c r="D816" t="inlineStr">
        <is>
          <t>0000880-57.2020.8.17.2001</t>
        </is>
      </c>
      <c r="E816" t="inlineStr">
        <is>
          <t>AJ_LIST</t>
        </is>
      </c>
      <c r="F816" t="inlineStr">
        <is>
          <t>OK_NO_TOTALS</t>
        </is>
      </c>
      <c r="G816" s="19" t="inlineStr">
        <is>
          <t>https://diligence.adm.br/wp-content/plugins/download-attachments/includes/download.php?id=4599</t>
        </is>
      </c>
      <c r="H816" t="inlineStr">
        <is>
          <t>p5 r1</t>
        </is>
      </c>
      <c r="I816" t="inlineStr">
        <is>
          <t>NO_DOCUMENT</t>
        </is>
      </c>
    </row>
    <row r="817">
      <c r="A817" t="inlineStr">
        <is>
          <t>COOPERATIVA DE CREDITO POUPANCA E INVESTIMENTO ENCOSTA SUPERIOR DO NORDESTE RS SICREDI NORDESTE RS</t>
        </is>
      </c>
      <c r="B817" s="10" t="n">
        <v>1019358.71</v>
      </c>
      <c r="C817" t="inlineStr">
        <is>
          <t>Catalise Administração Judicial</t>
        </is>
      </c>
      <c r="D817" t="inlineStr">
        <is>
          <t>5003572-94.2020.8.21.0072</t>
        </is>
      </c>
      <c r="E817" t="inlineStr">
        <is>
          <t>QGC</t>
        </is>
      </c>
      <c r="F817" t="inlineStr">
        <is>
          <t>OK_NO_TOTALS</t>
        </is>
      </c>
      <c r="G817" s="19" t="inlineStr">
        <is>
          <t>https://cataliseaj.com.br/sgc/download.php?file=files/processo_documento/processo_documento16031312062024_1_.pdf&amp;nome=14. RELAÇÃO DE CREDORES INDIVIDUALIZADA</t>
        </is>
      </c>
      <c r="H817" t="inlineStr">
        <is>
          <t>p2 r26</t>
        </is>
      </c>
      <c r="I817" t="inlineStr">
        <is>
          <t>NO_DOCUMENT</t>
        </is>
      </c>
    </row>
    <row r="818">
      <c r="A818" t="inlineStr">
        <is>
          <t>BANCO DO BRASIL</t>
        </is>
      </c>
      <c r="B818" s="10" t="n">
        <v>1014663.85</v>
      </c>
      <c r="C818" t="inlineStr">
        <is>
          <t>Catalise Administração Judicial</t>
        </is>
      </c>
      <c r="D818" t="inlineStr">
        <is>
          <t>5003572-94.2020.8.21.0072</t>
        </is>
      </c>
      <c r="E818" t="inlineStr">
        <is>
          <t>QGC</t>
        </is>
      </c>
      <c r="F818" t="inlineStr">
        <is>
          <t>OK_NO_TOTALS</t>
        </is>
      </c>
      <c r="G818" s="19" t="inlineStr">
        <is>
          <t>https://cataliseaj.com.br/sgc/download.php?file=files/processo_documento/processo_documento16031312062024_1_.pdf&amp;nome=14. RELAÇÃO DE CREDORES INDIVIDUALIZADA</t>
        </is>
      </c>
      <c r="H818" t="inlineStr">
        <is>
          <t>p1 r22</t>
        </is>
      </c>
      <c r="I818" t="inlineStr">
        <is>
          <t>NO_DOCUMENT</t>
        </is>
      </c>
    </row>
    <row r="819">
      <c r="A819" t="inlineStr">
        <is>
          <t>BRASIL FRUTAS LTDA</t>
        </is>
      </c>
      <c r="B819" s="10" t="n">
        <v>825121.5</v>
      </c>
      <c r="C819" t="inlineStr">
        <is>
          <t>Catalise Administração Judicial</t>
        </is>
      </c>
      <c r="D819" t="inlineStr">
        <is>
          <t>5003572-94.2020.8.21.0072</t>
        </is>
      </c>
      <c r="E819" t="inlineStr">
        <is>
          <t>QGC</t>
        </is>
      </c>
      <c r="F819" t="inlineStr">
        <is>
          <t>OK_NO_TOTALS</t>
        </is>
      </c>
      <c r="G819" s="19" t="inlineStr">
        <is>
          <t>https://cataliseaj.com.br/sgc/download.php?file=files/processo_documento/processo_documento16031312062024_1_.pdf&amp;nome=14. RELAÇÃO DE CREDORES INDIVIDUALIZADA</t>
        </is>
      </c>
      <c r="H819" t="inlineStr">
        <is>
          <t>p2 r24</t>
        </is>
      </c>
      <c r="I819" t="inlineStr">
        <is>
          <t>NO_DOCUMENT</t>
        </is>
      </c>
    </row>
    <row r="820">
      <c r="A820" t="inlineStr">
        <is>
          <t>JUREM CARLOS SHUTZ</t>
        </is>
      </c>
      <c r="B820" s="10" t="n">
        <v>680000</v>
      </c>
      <c r="C820" t="inlineStr">
        <is>
          <t>Catalise Administração Judicial</t>
        </is>
      </c>
      <c r="D820" t="inlineStr">
        <is>
          <t>5003572-94.2020.8.21.0072</t>
        </is>
      </c>
      <c r="E820" t="inlineStr">
        <is>
          <t>QGC</t>
        </is>
      </c>
      <c r="F820" t="inlineStr">
        <is>
          <t>OK_NO_TOTALS</t>
        </is>
      </c>
      <c r="G820" s="19" t="inlineStr">
        <is>
          <t>https://cataliseaj.com.br/sgc/download.php?file=files/processo_documento/processo_documento16031312062024_1_.pdf&amp;nome=14. RELAÇÃO DE CREDORES INDIVIDUALIZADA</t>
        </is>
      </c>
      <c r="H820" t="inlineStr">
        <is>
          <t>p1 r54</t>
        </is>
      </c>
      <c r="I820" t="inlineStr">
        <is>
          <t>NO_DOCUMENT</t>
        </is>
      </c>
    </row>
    <row r="821">
      <c r="A821" t="inlineStr">
        <is>
          <t>COOPERATIVA DE CREDITO POUPANCA E INVESTIMENTO ENCOSTA SUPERIOR DO NORDESTE RS SICREDI NORDESTE RS</t>
        </is>
      </c>
      <c r="B821" s="10" t="n">
        <v>599620.5699999999</v>
      </c>
      <c r="C821" t="inlineStr">
        <is>
          <t>Catalise Administração Judicial</t>
        </is>
      </c>
      <c r="D821" t="inlineStr">
        <is>
          <t>5003572-94.2020.8.21.0072</t>
        </is>
      </c>
      <c r="E821" t="inlineStr">
        <is>
          <t>QGC</t>
        </is>
      </c>
      <c r="F821" t="inlineStr">
        <is>
          <t>OK_NO_TOTALS</t>
        </is>
      </c>
      <c r="G821" s="19" t="inlineStr">
        <is>
          <t>https://cataliseaj.com.br/sgc/download.php?file=files/processo_documento/processo_documento16031312062024_1_.pdf&amp;nome=14. RELAÇÃO DE CREDORES INDIVIDUALIZADA</t>
        </is>
      </c>
      <c r="H821" t="inlineStr">
        <is>
          <t>p1 r31</t>
        </is>
      </c>
      <c r="I821" t="inlineStr">
        <is>
          <t>NO_DOCUMENT</t>
        </is>
      </c>
    </row>
    <row r="822">
      <c r="A822" t="inlineStr">
        <is>
          <t>DIOGO DE PAULA DIAS</t>
        </is>
      </c>
      <c r="B822" s="10" t="n">
        <v>560715.5</v>
      </c>
      <c r="C822" t="inlineStr">
        <is>
          <t>Catalise Administração Judicial</t>
        </is>
      </c>
      <c r="D822" t="inlineStr">
        <is>
          <t>5003572-94.2020.8.21.0072</t>
        </is>
      </c>
      <c r="E822" t="inlineStr">
        <is>
          <t>QGC</t>
        </is>
      </c>
      <c r="F822" t="inlineStr">
        <is>
          <t>OK_NO_TOTALS</t>
        </is>
      </c>
      <c r="G822" s="19" t="inlineStr">
        <is>
          <t>https://cataliseaj.com.br/sgc/download.php?file=files/processo_documento/processo_documento16031312062024_1_.pdf&amp;nome=14. RELAÇÃO DE CREDORES INDIVIDUALIZADA</t>
        </is>
      </c>
      <c r="H822" t="inlineStr">
        <is>
          <t>p1 r33</t>
        </is>
      </c>
      <c r="I822" t="inlineStr">
        <is>
          <t>NO_DOCUMENT</t>
        </is>
      </c>
    </row>
    <row r="823">
      <c r="A823" t="inlineStr">
        <is>
          <t>BANCO DO BRASIL</t>
        </is>
      </c>
      <c r="B823" s="10" t="n">
        <v>502543.09</v>
      </c>
      <c r="C823" t="inlineStr">
        <is>
          <t>Catalise Administração Judicial</t>
        </is>
      </c>
      <c r="D823" t="inlineStr">
        <is>
          <t>5003572-94.2020.8.21.0072</t>
        </is>
      </c>
      <c r="E823" t="inlineStr">
        <is>
          <t>QGC</t>
        </is>
      </c>
      <c r="F823" t="inlineStr">
        <is>
          <t>OK_NO_TOTALS</t>
        </is>
      </c>
      <c r="G823" s="19" t="inlineStr">
        <is>
          <t>https://cataliseaj.com.br/sgc/download.php?file=files/processo_documento/processo_documento16031312062024_1_.pdf&amp;nome=14. RELAÇÃO DE CREDORES INDIVIDUALIZADA</t>
        </is>
      </c>
      <c r="H823" t="inlineStr">
        <is>
          <t>p3 r16</t>
        </is>
      </c>
      <c r="I823" t="inlineStr">
        <is>
          <t>NO_DOCUMENT</t>
        </is>
      </c>
    </row>
    <row r="824">
      <c r="A824" t="inlineStr">
        <is>
          <t>AFRANIO BRAMBILA LEFFA</t>
        </is>
      </c>
      <c r="B824" s="10" t="n">
        <v>457561</v>
      </c>
      <c r="C824" t="inlineStr">
        <is>
          <t>Catalise Administração Judicial</t>
        </is>
      </c>
      <c r="D824" t="inlineStr">
        <is>
          <t>5003572-94.2020.8.21.0072</t>
        </is>
      </c>
      <c r="E824" t="inlineStr">
        <is>
          <t>QGC</t>
        </is>
      </c>
      <c r="F824" t="inlineStr">
        <is>
          <t>OK_NO_TOTALS</t>
        </is>
      </c>
      <c r="G824" s="19" t="inlineStr">
        <is>
          <t>https://cataliseaj.com.br/sgc/download.php?file=files/processo_documento/processo_documento16031312062024_1_.pdf&amp;nome=14. RELAÇÃO DE CREDORES INDIVIDUALIZADA</t>
        </is>
      </c>
      <c r="H824" t="inlineStr">
        <is>
          <t>p1 r17</t>
        </is>
      </c>
      <c r="I824" t="inlineStr">
        <is>
          <t>NO_DOCUMENT</t>
        </is>
      </c>
    </row>
    <row r="825">
      <c r="A825" t="inlineStr">
        <is>
          <t>PERBONI SA</t>
        </is>
      </c>
      <c r="B825" s="10" t="n">
        <v>312310.67</v>
      </c>
      <c r="C825" t="inlineStr">
        <is>
          <t>Catalise Administração Judicial</t>
        </is>
      </c>
      <c r="D825" t="inlineStr">
        <is>
          <t>5003572-94.2020.8.21.0072</t>
        </is>
      </c>
      <c r="E825" t="inlineStr">
        <is>
          <t>QGC</t>
        </is>
      </c>
      <c r="F825" t="inlineStr">
        <is>
          <t>OK_NO_TOTALS</t>
        </is>
      </c>
      <c r="G825" s="19" t="inlineStr">
        <is>
          <t>https://cataliseaj.com.br/sgc/download.php?file=files/processo_documento/processo_documento16031312062024_1_.pdf&amp;nome=14. RELAÇÃO DE CREDORES INDIVIDUALIZADA</t>
        </is>
      </c>
      <c r="H825" t="inlineStr">
        <is>
          <t>p1 r66</t>
        </is>
      </c>
      <c r="I825" t="inlineStr">
        <is>
          <t>NO_DOCUMENT</t>
        </is>
      </c>
    </row>
    <row r="826">
      <c r="A826" t="inlineStr">
        <is>
          <t>CRISTIANO FERREIRA DA SILVA</t>
        </is>
      </c>
      <c r="B826" s="10" t="n">
        <v>303797.5</v>
      </c>
      <c r="C826" t="inlineStr">
        <is>
          <t>Catalise Administração Judicial</t>
        </is>
      </c>
      <c r="D826" t="inlineStr">
        <is>
          <t>5003572-94.2020.8.21.0072</t>
        </is>
      </c>
      <c r="E826" t="inlineStr">
        <is>
          <t>QGC</t>
        </is>
      </c>
      <c r="F826" t="inlineStr">
        <is>
          <t>OK_NO_TOTALS</t>
        </is>
      </c>
      <c r="G826" s="19" t="inlineStr">
        <is>
          <t>https://cataliseaj.com.br/sgc/download.php?file=files/processo_documento/processo_documento16031312062024_1_.pdf&amp;nome=14. RELAÇÃO DE CREDORES INDIVIDUALIZADA</t>
        </is>
      </c>
      <c r="H826" t="inlineStr">
        <is>
          <t>p2 r27</t>
        </is>
      </c>
      <c r="I826" t="inlineStr">
        <is>
          <t>NO_DOCUMENT</t>
        </is>
      </c>
    </row>
    <row r="827">
      <c r="A827" t="inlineStr">
        <is>
          <t>COOPERATIVA DE CREDITO DE LIVRE ADMISSAO DE ASSOCIADOS SUL CATARINENSE (SICOOB)</t>
        </is>
      </c>
      <c r="B827" s="10" t="n">
        <v>300000</v>
      </c>
      <c r="C827" t="inlineStr">
        <is>
          <t>Catalise Administração Judicial</t>
        </is>
      </c>
      <c r="D827" t="inlineStr">
        <is>
          <t>5003572-94.2020.8.21.0072</t>
        </is>
      </c>
      <c r="E827" t="inlineStr">
        <is>
          <t>QGC</t>
        </is>
      </c>
      <c r="F827" t="inlineStr">
        <is>
          <t>OK_NO_TOTALS</t>
        </is>
      </c>
      <c r="G827" s="19" t="inlineStr">
        <is>
          <t>https://cataliseaj.com.br/sgc/download.php?file=files/processo_documento/processo_documento16031312062024_1_.pdf&amp;nome=14. RELAÇÃO DE CREDORES INDIVIDUALIZADA</t>
        </is>
      </c>
      <c r="H827" t="inlineStr">
        <is>
          <t>p1 r29</t>
        </is>
      </c>
      <c r="I827" t="inlineStr">
        <is>
          <t>NO_DOCUMENT</t>
        </is>
      </c>
    </row>
    <row r="828">
      <c r="A828" t="inlineStr">
        <is>
          <t>ADRIANO JUSTO LEFFA</t>
        </is>
      </c>
      <c r="B828" s="10" t="n">
        <v>250000</v>
      </c>
      <c r="C828" t="inlineStr">
        <is>
          <t>Catalise Administração Judicial</t>
        </is>
      </c>
      <c r="D828" t="inlineStr">
        <is>
          <t>5003572-94.2020.8.21.0072</t>
        </is>
      </c>
      <c r="E828" t="inlineStr">
        <is>
          <t>QGC</t>
        </is>
      </c>
      <c r="F828" t="inlineStr">
        <is>
          <t>OK_NO_TOTALS</t>
        </is>
      </c>
      <c r="G828" s="19" t="inlineStr">
        <is>
          <t>https://cataliseaj.com.br/sgc/download.php?file=files/processo_documento/processo_documento16031312062024_1_.pdf&amp;nome=14. RELAÇÃO DE CREDORES INDIVIDUALIZADA</t>
        </is>
      </c>
      <c r="H828" t="inlineStr">
        <is>
          <t>p1 r14</t>
        </is>
      </c>
      <c r="I828" t="inlineStr">
        <is>
          <t>NO_DOCUMENT</t>
        </is>
      </c>
    </row>
    <row r="829">
      <c r="A829" t="inlineStr">
        <is>
          <t>RAQUEL HAHN MATOS</t>
        </is>
      </c>
      <c r="B829" s="10" t="n">
        <v>225000</v>
      </c>
      <c r="C829" t="inlineStr">
        <is>
          <t>Catalise Administração Judicial</t>
        </is>
      </c>
      <c r="D829" t="inlineStr">
        <is>
          <t>5003572-94.2020.8.21.0072</t>
        </is>
      </c>
      <c r="E829" t="inlineStr">
        <is>
          <t>QGC</t>
        </is>
      </c>
      <c r="F829" t="inlineStr">
        <is>
          <t>OK_NO_TOTALS</t>
        </is>
      </c>
      <c r="G829" s="19" t="inlineStr">
        <is>
          <t>https://cataliseaj.com.br/sgc/download.php?file=files/processo_documento/processo_documento16031312062024_1_.pdf&amp;nome=14. RELAÇÃO DE CREDORES INDIVIDUALIZADA</t>
        </is>
      </c>
      <c r="H829" t="inlineStr">
        <is>
          <t>p3 r25</t>
        </is>
      </c>
      <c r="I829" t="inlineStr">
        <is>
          <t>NO_DOCUMENT</t>
        </is>
      </c>
    </row>
    <row r="830">
      <c r="A830" t="inlineStr">
        <is>
          <t>JONAS MELLO DE BITTENCOURT</t>
        </is>
      </c>
      <c r="B830" s="10" t="n">
        <v>208386.8</v>
      </c>
      <c r="C830" t="inlineStr">
        <is>
          <t>Catalise Administração Judicial</t>
        </is>
      </c>
      <c r="D830" t="inlineStr">
        <is>
          <t>5003572-94.2020.8.21.0072</t>
        </is>
      </c>
      <c r="E830" t="inlineStr">
        <is>
          <t>QGC</t>
        </is>
      </c>
      <c r="F830" t="inlineStr">
        <is>
          <t>OK_NO_TOTALS</t>
        </is>
      </c>
      <c r="G830" s="19" t="inlineStr">
        <is>
          <t>https://cataliseaj.com.br/sgc/download.php?file=files/processo_documento/processo_documento16031312062024_1_.pdf&amp;nome=14. RELAÇÃO DE CREDORES INDIVIDUALIZADA</t>
        </is>
      </c>
      <c r="H830" t="inlineStr">
        <is>
          <t>p1 r50</t>
        </is>
      </c>
      <c r="I830" t="inlineStr">
        <is>
          <t>NO_DOCUMENT</t>
        </is>
      </c>
    </row>
    <row r="831">
      <c r="A831" t="inlineStr">
        <is>
          <t>BANCO DO BRASIL</t>
        </is>
      </c>
      <c r="B831" s="10" t="n">
        <v>853682.52</v>
      </c>
      <c r="C831" t="inlineStr">
        <is>
          <t>SCZ Scalzilli Administração Judicial</t>
        </is>
      </c>
      <c r="D831" t="inlineStr">
        <is>
          <t>0042540-21.2012.8.21.0022</t>
        </is>
      </c>
      <c r="E831" t="inlineStr">
        <is>
          <t>AJ_LIST</t>
        </is>
      </c>
      <c r="F831" t="inlineStr">
        <is>
          <t>OK_NO_TOTALS</t>
        </is>
      </c>
      <c r="G831" s="19" t="inlineStr">
        <is>
          <t>https://scalzilliaj.com.br/sgc/download.php?file=files/processo_documento/processo_documento11504207012022_1_.pdf&amp;nome=07 - Edital do art. 7º, §2º (segunda lista de credores) e do art. 53 da Lei 11.101/2005 (recebimento do plano)</t>
        </is>
      </c>
      <c r="H831" t="inlineStr">
        <is>
          <t>p2 r45</t>
        </is>
      </c>
      <c r="I831" t="inlineStr">
        <is>
          <t>NO_DOCUMENT</t>
        </is>
      </c>
    </row>
    <row r="832">
      <c r="A832" t="inlineStr">
        <is>
          <t>CAIXA ECONÔMICA FEDERAL</t>
        </is>
      </c>
      <c r="B832" s="10" t="n">
        <v>357052.03</v>
      </c>
      <c r="C832" t="inlineStr">
        <is>
          <t>SCZ Scalzilli Administração Judicial</t>
        </is>
      </c>
      <c r="D832" t="inlineStr">
        <is>
          <t>0042540-21.2012.8.21.0022</t>
        </is>
      </c>
      <c r="E832" t="inlineStr">
        <is>
          <t>AJ_LIST</t>
        </is>
      </c>
      <c r="F832" t="inlineStr">
        <is>
          <t>OK_NO_TOTALS</t>
        </is>
      </c>
      <c r="G832" s="19" t="inlineStr">
        <is>
          <t>https://scalzilliaj.com.br/sgc/download.php?file=files/processo_documento/processo_documento11504207012022_1_.pdf&amp;nome=07 - Edital do art. 7º, §2º (segunda lista de credores) e do art. 53 da Lei 11.101/2005 (recebimento do plano)</t>
        </is>
      </c>
      <c r="H832" t="inlineStr">
        <is>
          <t>p2 r47</t>
        </is>
      </c>
      <c r="I832" t="inlineStr">
        <is>
          <t>NO_DOCUMENT</t>
        </is>
      </c>
    </row>
    <row r="833">
      <c r="A833" t="inlineStr">
        <is>
          <t>EDISON PIRES</t>
        </is>
      </c>
      <c r="B833" s="10" t="n">
        <v>344195.24</v>
      </c>
      <c r="C833" t="inlineStr">
        <is>
          <t>SCZ Scalzilli Administração Judicial</t>
        </is>
      </c>
      <c r="D833" t="inlineStr">
        <is>
          <t>0042540-21.2012.8.21.0022</t>
        </is>
      </c>
      <c r="E833" t="inlineStr">
        <is>
          <t>AJ_LIST</t>
        </is>
      </c>
      <c r="F833" t="inlineStr">
        <is>
          <t>OK_NO_TOTALS</t>
        </is>
      </c>
      <c r="G833" s="19" t="inlineStr">
        <is>
          <t>https://scalzilliaj.com.br/sgc/download.php?file=files/processo_documento/processo_documento11504207012022_1_.pdf&amp;nome=07 - Edital do art. 7º, §2º (segunda lista de credores) e do art. 53 da Lei 11.101/2005 (recebimento do plano)</t>
        </is>
      </c>
      <c r="H833" t="inlineStr">
        <is>
          <t>p2 r49</t>
        </is>
      </c>
      <c r="I833" t="inlineStr">
        <is>
          <t>NO_DOCUMENT</t>
        </is>
      </c>
    </row>
    <row r="834">
      <c r="A834" t="inlineStr">
        <is>
          <t>BANCO BRADESCO S.A</t>
        </is>
      </c>
      <c r="B834" s="10" t="n">
        <v>273209.12</v>
      </c>
      <c r="C834" t="inlineStr">
        <is>
          <t>SCZ Scalzilli Administração Judicial</t>
        </is>
      </c>
      <c r="D834" t="inlineStr">
        <is>
          <t>0042540-21.2012.8.21.0022</t>
        </is>
      </c>
      <c r="E834" t="inlineStr">
        <is>
          <t>AJ_LIST</t>
        </is>
      </c>
      <c r="F834" t="inlineStr">
        <is>
          <t>OK_NO_TOTALS</t>
        </is>
      </c>
      <c r="G834" s="19" t="inlineStr">
        <is>
          <t>https://scalzilliaj.com.br/sgc/download.php?file=files/processo_documento/processo_documento11504207012022_1_.pdf&amp;nome=07 - Edital do art. 7º, §2º (segunda lista de credores) e do art. 53 da Lei 11.101/2005 (recebimento do plano)</t>
        </is>
      </c>
      <c r="H834" t="inlineStr">
        <is>
          <t>p2 r46</t>
        </is>
      </c>
      <c r="I834" t="inlineStr">
        <is>
          <t>NO_DOCUMENT</t>
        </is>
      </c>
    </row>
    <row r="835">
      <c r="A835" t="inlineStr">
        <is>
          <t>AGROLEND HOLDING LTDA</t>
        </is>
      </c>
      <c r="B835" s="10" t="n">
        <v>1279801.08</v>
      </c>
      <c r="C835" t="inlineStr">
        <is>
          <t>SCZ Scalzilli Administração Judicial</t>
        </is>
      </c>
      <c r="D835" t="inlineStr">
        <is>
          <t>0028131-73.2024.8.16.0017</t>
        </is>
      </c>
      <c r="E835" t="inlineStr">
        <is>
          <t>AJ_LIST</t>
        </is>
      </c>
      <c r="F835" t="inlineStr">
        <is>
          <t>OK_NO_TOTALS</t>
        </is>
      </c>
      <c r="G835" s="19" t="inlineStr">
        <is>
          <t>https://scalzilliaj.com.br/sgc/download.php?file=files/processo_documento/processo_documento15542620022025_1_.pdf&amp;nome=11 - Relação de credores - art. 7º, §2º, da LREF</t>
        </is>
      </c>
      <c r="H835" t="inlineStr">
        <is>
          <t>p1 r11</t>
        </is>
      </c>
      <c r="I835" t="inlineStr">
        <is>
          <t>NO_DOCUMENT</t>
        </is>
      </c>
    </row>
    <row r="836">
      <c r="A836" t="inlineStr">
        <is>
          <t>AGROLEND BEM COMO DA ABERTURA DO PRAZO DE 10 (DEZ) DIAS, CONFORME SOCIEDADE DE CRÉDITO, FINANCIAMENTO E INVESTIMENTO S.A,, ART. 8º DO DIPLOMA LEGAL SUPRA, PARA, QUERENDO, APRESENTAREM</t>
        </is>
      </c>
      <c r="B836" s="10" t="n">
        <v>207598.54</v>
      </c>
      <c r="C836" t="inlineStr">
        <is>
          <t>SCZ Scalzilli Administração Judicial</t>
        </is>
      </c>
      <c r="D836" t="inlineStr">
        <is>
          <t>0028131-73.2024.8.16.0017</t>
        </is>
      </c>
      <c r="E836" t="inlineStr">
        <is>
          <t>AJ_LIST</t>
        </is>
      </c>
      <c r="F836" t="inlineStr">
        <is>
          <t>OK_NO_TOTALS</t>
        </is>
      </c>
      <c r="G836" s="19" t="inlineStr">
        <is>
          <t>https://scalzilliaj.com.br/sgc/download.php?file=files/processo_documento/processo_documento15542620022025_1_.pdf&amp;nome=11 - Relação de credores - art. 7º, §2º, da LREF</t>
        </is>
      </c>
      <c r="H836" t="inlineStr">
        <is>
          <t>p1 r12</t>
        </is>
      </c>
      <c r="I836" t="inlineStr">
        <is>
          <t>NO_DOCUMENT</t>
        </is>
      </c>
    </row>
    <row r="837">
      <c r="A837" t="inlineStr">
        <is>
          <t>BANCO BRADESCO S.A.</t>
        </is>
      </c>
      <c r="B837" s="10" t="n">
        <v>327199.97</v>
      </c>
      <c r="C837" t="inlineStr">
        <is>
          <t>Grupo Arnon de Mello — Lindoso e Araujo</t>
        </is>
      </c>
      <c r="D837" t="inlineStr">
        <is>
          <t>0700256-03.2019.8.02.0066</t>
        </is>
      </c>
      <c r="E837" t="inlineStr">
        <is>
          <t>AJ_LIST</t>
        </is>
      </c>
      <c r="F837" t="inlineStr">
        <is>
          <t>OK_NO_TOTALS</t>
        </is>
      </c>
      <c r="G837" s="19" t="inlineStr">
        <is>
          <t>https://recuperacaojudicial.squarespace.com/s/RJ-Grupo-Arnon-de-Melo-Lista-de-Credores-Consolidada-abril-2022.pdf</t>
        </is>
      </c>
      <c r="H837" t="inlineStr">
        <is>
          <t>p7 r20</t>
        </is>
      </c>
      <c r="I837" t="inlineStr">
        <is>
          <t>NO_DOCUMENT</t>
        </is>
      </c>
    </row>
    <row r="838">
      <c r="A838" t="inlineStr">
        <is>
          <t>WR Transportes e Distribuidora de Materiais de Construção LTDA</t>
        </is>
      </c>
      <c r="B838" s="10" t="n">
        <v>2466656.6</v>
      </c>
      <c r="C838" t="inlineStr">
        <is>
          <t>SCZ Scalzilli Administração Judicial</t>
        </is>
      </c>
      <c r="D838" t="inlineStr">
        <is>
          <t>5088952-81.2025.8.13.0024</t>
        </is>
      </c>
      <c r="E838" t="inlineStr">
        <is>
          <t>DEBTOR_LIST</t>
        </is>
      </c>
      <c r="F838" t="inlineStr">
        <is>
          <t>OK</t>
        </is>
      </c>
      <c r="G838" s="19" t="inlineStr">
        <is>
          <t>https://scalzilliaj.com.br/sgc/download.php?file=files/processo_documento/processo_documento09514021082025_1_.pdf&amp;nome=04 - Relação de credores das Recuperandas</t>
        </is>
      </c>
      <c r="H838" t="inlineStr">
        <is>
          <t>p76 r9</t>
        </is>
      </c>
      <c r="I838" t="inlineStr">
        <is>
          <t>NO_DOCUMENT VALUE_COL:Valor_Atualizado</t>
        </is>
      </c>
    </row>
    <row r="839">
      <c r="A839" t="inlineStr">
        <is>
          <t>ALLIED TECNOLOGIA S.A</t>
        </is>
      </c>
      <c r="B839" s="10" t="n">
        <v>9794018.4</v>
      </c>
      <c r="C839" t="inlineStr">
        <is>
          <t>ATACADAO DOS ELETRODOMESTICOS DO NORDESTE LTDA – LRF Líderes em Recuperação Judicial e Falência</t>
        </is>
      </c>
      <c r="D839" t="inlineStr">
        <is>
          <t>0837278-92.2018.8.15.2001</t>
        </is>
      </c>
      <c r="E839" t="inlineStr">
        <is>
          <t>UNKNOWN</t>
        </is>
      </c>
      <c r="F839" t="inlineStr">
        <is>
          <t>OK</t>
        </is>
      </c>
      <c r="G839" s="19" t="inlineStr">
        <is>
          <t>https://lrflideres.com.br/wp-content/plugins/download-attachments/includes/download.php?id=3683</t>
        </is>
      </c>
      <c r="H839" t="inlineStr">
        <is>
          <t>p20 r10</t>
        </is>
      </c>
      <c r="I839" t="inlineStr">
        <is>
          <t>NO_DOCUMENT ALT_VALUE:9.794.018,40</t>
        </is>
      </c>
    </row>
    <row r="840">
      <c r="A840" t="inlineStr">
        <is>
          <t>WHIRLPOOL S.A.</t>
        </is>
      </c>
      <c r="B840" s="10" t="n">
        <v>8807809.57</v>
      </c>
      <c r="C840" t="inlineStr">
        <is>
          <t>ATACADAO DOS ELETRODOMESTICOS DO NORDESTE LTDA – LRF Líderes em Recuperação Judicial e Falência</t>
        </is>
      </c>
      <c r="D840" t="inlineStr">
        <is>
          <t>0837278-92.2018.8.15.2001</t>
        </is>
      </c>
      <c r="E840" t="inlineStr">
        <is>
          <t>UNKNOWN</t>
        </is>
      </c>
      <c r="F840" t="inlineStr">
        <is>
          <t>OK</t>
        </is>
      </c>
      <c r="G840" s="19" t="inlineStr">
        <is>
          <t>https://lrflideres.com.br/wp-content/plugins/download-attachments/includes/download.php?id=3683</t>
        </is>
      </c>
      <c r="H840" t="inlineStr">
        <is>
          <t>p22 r28</t>
        </is>
      </c>
      <c r="I840" t="inlineStr">
        <is>
          <t>NO_DOCUMENT ALT_VALUE:8.807.809,57</t>
        </is>
      </c>
    </row>
    <row r="841">
      <c r="A841" t="inlineStr">
        <is>
          <t>ESMALTEC S A</t>
        </is>
      </c>
      <c r="B841" s="10" t="n">
        <v>6462515.51</v>
      </c>
      <c r="C841" t="inlineStr">
        <is>
          <t>ATACADAO DOS ELETRODOMESTICOS DO NORDESTE LTDA – LRF Líderes em Recuperação Judicial e Falência</t>
        </is>
      </c>
      <c r="D841" t="inlineStr">
        <is>
          <t>0837278-92.2018.8.15.2001</t>
        </is>
      </c>
      <c r="E841" t="inlineStr">
        <is>
          <t>UNKNOWN</t>
        </is>
      </c>
      <c r="F841" t="inlineStr">
        <is>
          <t>OK</t>
        </is>
      </c>
      <c r="G841" s="19" t="inlineStr">
        <is>
          <t>https://lrflideres.com.br/wp-content/plugins/download-attachments/includes/download.php?id=3683</t>
        </is>
      </c>
      <c r="H841" t="inlineStr">
        <is>
          <t>p20 r73</t>
        </is>
      </c>
      <c r="I841" t="inlineStr">
        <is>
          <t>NO_DOCUMENT ALT_VALUE:6.462.515,51</t>
        </is>
      </c>
    </row>
    <row r="842">
      <c r="A842" t="inlineStr">
        <is>
          <t>BANCO SAFRA S/A</t>
        </is>
      </c>
      <c r="B842" s="10" t="n">
        <v>5518563.55</v>
      </c>
      <c r="C842" t="inlineStr">
        <is>
          <t>ATACADAO DOS ELETRODOMESTICOS DO NORDESTE LTDA – LRF Líderes em Recuperação Judicial e Falência</t>
        </is>
      </c>
      <c r="D842" t="inlineStr">
        <is>
          <t>0837278-92.2018.8.15.2001</t>
        </is>
      </c>
      <c r="E842" t="inlineStr">
        <is>
          <t>UNKNOWN</t>
        </is>
      </c>
      <c r="F842" t="inlineStr">
        <is>
          <t>OK</t>
        </is>
      </c>
      <c r="G842" s="19" t="inlineStr">
        <is>
          <t>https://lrflideres.com.br/wp-content/plugins/download-attachments/includes/download.php?id=3683</t>
        </is>
      </c>
      <c r="H842" t="inlineStr">
        <is>
          <t>p20 r23</t>
        </is>
      </c>
      <c r="I842" t="inlineStr">
        <is>
          <t>NO_DOCUMENT ALT_VALUE:5.518.563,55</t>
        </is>
      </c>
    </row>
    <row r="843">
      <c r="A843" t="inlineStr">
        <is>
          <t>SAMSUNG ELETRONICA DA AMAZONIA LTDA.</t>
        </is>
      </c>
      <c r="B843" s="10" t="n">
        <v>4969388.42</v>
      </c>
      <c r="C843" t="inlineStr">
        <is>
          <t>ATACADAO DOS ELETRODOMESTICOS DO NORDESTE LTDA – LRF Líderes em Recuperação Judicial e Falência</t>
        </is>
      </c>
      <c r="D843" t="inlineStr">
        <is>
          <t>0837278-92.2018.8.15.2001</t>
        </is>
      </c>
      <c r="E843" t="inlineStr">
        <is>
          <t>UNKNOWN</t>
        </is>
      </c>
      <c r="F843" t="inlineStr">
        <is>
          <t>OK</t>
        </is>
      </c>
      <c r="G843" s="19" t="inlineStr">
        <is>
          <t>https://lrflideres.com.br/wp-content/plugins/download-attachments/includes/download.php?id=3683</t>
        </is>
      </c>
      <c r="H843" t="inlineStr">
        <is>
          <t>p21 r79</t>
        </is>
      </c>
      <c r="I843" t="inlineStr">
        <is>
          <t>NO_DOCUMENT ALT_VALUE:4.969.388,42</t>
        </is>
      </c>
    </row>
    <row r="844">
      <c r="A844" t="inlineStr">
        <is>
          <t>BANCO BRADESCO S.A.</t>
        </is>
      </c>
      <c r="B844" s="10" t="n">
        <v>3639561.07</v>
      </c>
      <c r="C844" t="inlineStr">
        <is>
          <t>ATACADAO DOS ELETRODOMESTICOS DO NORDESTE LTDA – LRF Líderes em Recuperação Judicial e Falência</t>
        </is>
      </c>
      <c r="D844" t="inlineStr">
        <is>
          <t>0837278-92.2018.8.15.2001</t>
        </is>
      </c>
      <c r="E844" t="inlineStr">
        <is>
          <t>UNKNOWN</t>
        </is>
      </c>
      <c r="F844" t="inlineStr">
        <is>
          <t>OK</t>
        </is>
      </c>
      <c r="G844" s="19" t="inlineStr">
        <is>
          <t>https://lrflideres.com.br/wp-content/plugins/download-attachments/includes/download.php?id=3683</t>
        </is>
      </c>
      <c r="H844" t="inlineStr">
        <is>
          <t>p20 r22</t>
        </is>
      </c>
      <c r="I844" t="inlineStr">
        <is>
          <t>NO_DOCUMENT ALT_VALUE:3.639.561,07</t>
        </is>
      </c>
    </row>
    <row r="845">
      <c r="A845" t="inlineStr">
        <is>
          <t>LABOR FACTORING E CONSULTORIA LTDA</t>
        </is>
      </c>
      <c r="B845" s="10" t="n">
        <v>3220614.07</v>
      </c>
      <c r="C845" t="inlineStr">
        <is>
          <t>ATACADAO DOS ELETRODOMESTICOS DO NORDESTE LTDA – LRF Líderes em Recuperação Judicial e Falência</t>
        </is>
      </c>
      <c r="D845" t="inlineStr">
        <is>
          <t>0837278-92.2018.8.15.2001</t>
        </is>
      </c>
      <c r="E845" t="inlineStr">
        <is>
          <t>UNKNOWN</t>
        </is>
      </c>
      <c r="F845" t="inlineStr">
        <is>
          <t>OK</t>
        </is>
      </c>
      <c r="G845" s="19" t="inlineStr">
        <is>
          <t>https://lrflideres.com.br/wp-content/plugins/download-attachments/includes/download.php?id=3683</t>
        </is>
      </c>
      <c r="H845" t="inlineStr">
        <is>
          <t>p21 r33</t>
        </is>
      </c>
      <c r="I845" t="inlineStr">
        <is>
          <t>NO_DOCUMENT ALT_VALUE:3.220.614,07</t>
        </is>
      </c>
    </row>
    <row r="846">
      <c r="A846" t="inlineStr">
        <is>
          <t>ITAU UNIBANCO S.A.</t>
        </is>
      </c>
      <c r="B846" s="10" t="n">
        <v>2885179.21</v>
      </c>
      <c r="C846" t="inlineStr">
        <is>
          <t>ATACADAO DOS ELETRODOMESTICOS DO NORDESTE LTDA – LRF Líderes em Recuperação Judicial e Falência</t>
        </is>
      </c>
      <c r="D846" t="inlineStr">
        <is>
          <t>0837278-92.2018.8.15.2001</t>
        </is>
      </c>
      <c r="E846" t="inlineStr">
        <is>
          <t>UNKNOWN</t>
        </is>
      </c>
      <c r="F846" t="inlineStr">
        <is>
          <t>OK</t>
        </is>
      </c>
      <c r="G846" s="19" t="inlineStr">
        <is>
          <t>https://lrflideres.com.br/wp-content/plugins/download-attachments/includes/download.php?id=3683</t>
        </is>
      </c>
      <c r="H846" t="inlineStr">
        <is>
          <t>p21 r23</t>
        </is>
      </c>
      <c r="I846" t="inlineStr">
        <is>
          <t>NO_DOCUMENT ALT_VALUE:27.885.179,21</t>
        </is>
      </c>
    </row>
    <row r="847">
      <c r="A847" t="inlineStr">
        <is>
          <t>LG ELETRONICS DO BRASIL LTDA</t>
        </is>
      </c>
      <c r="B847" s="10" t="n">
        <v>2599536.37</v>
      </c>
      <c r="C847" t="inlineStr">
        <is>
          <t>ATACADAO DOS ELETRODOMESTICOS DO NORDESTE LTDA – LRF Líderes em Recuperação Judicial e Falência</t>
        </is>
      </c>
      <c r="D847" t="inlineStr">
        <is>
          <t>0837278-92.2018.8.15.2001</t>
        </is>
      </c>
      <c r="E847" t="inlineStr">
        <is>
          <t>UNKNOWN</t>
        </is>
      </c>
      <c r="F847" t="inlineStr">
        <is>
          <t>OK</t>
        </is>
      </c>
      <c r="G847" s="19" t="inlineStr">
        <is>
          <t>https://lrflideres.com.br/wp-content/plugins/download-attachments/includes/download.php?id=3683</t>
        </is>
      </c>
      <c r="H847" t="inlineStr">
        <is>
          <t>p21 r34</t>
        </is>
      </c>
      <c r="I847" t="inlineStr">
        <is>
          <t>NO_DOCUMENT ALT_VALUE:2.599.536,37</t>
        </is>
      </c>
    </row>
    <row r="848">
      <c r="A848" t="inlineStr">
        <is>
          <t>MULTILASER INDUSTRIAL LTDA</t>
        </is>
      </c>
      <c r="B848" s="10" t="n">
        <v>2333999.7</v>
      </c>
      <c r="C848" t="inlineStr">
        <is>
          <t>ATACADAO DOS ELETRODOMESTICOS DO NORDESTE LTDA – LRF Líderes em Recuperação Judicial e Falência</t>
        </is>
      </c>
      <c r="D848" t="inlineStr">
        <is>
          <t>0837278-92.2018.8.15.2001</t>
        </is>
      </c>
      <c r="E848" t="inlineStr">
        <is>
          <t>UNKNOWN</t>
        </is>
      </c>
      <c r="F848" t="inlineStr">
        <is>
          <t>OK</t>
        </is>
      </c>
      <c r="G848" s="19" t="inlineStr">
        <is>
          <t>https://lrflideres.com.br/wp-content/plugins/download-attachments/includes/download.php?id=3683</t>
        </is>
      </c>
      <c r="H848" t="inlineStr">
        <is>
          <t>p21 r57</t>
        </is>
      </c>
      <c r="I848" t="inlineStr">
        <is>
          <t>NO_DOCUMENT ALT_VALUE:2.333.999,70</t>
        </is>
      </c>
    </row>
    <row r="849">
      <c r="A849" t="inlineStr">
        <is>
          <t>SIRI-COMERCIO E SERVICO LTDA</t>
        </is>
      </c>
      <c r="B849" s="10" t="n">
        <v>2332414.64</v>
      </c>
      <c r="C849" t="inlineStr">
        <is>
          <t>ATACADAO DOS ELETRODOMESTICOS DO NORDESTE LTDA – LRF Líderes em Recuperação Judicial e Falência</t>
        </is>
      </c>
      <c r="D849" t="inlineStr">
        <is>
          <t>0837278-92.2018.8.15.2001</t>
        </is>
      </c>
      <c r="E849" t="inlineStr">
        <is>
          <t>UNKNOWN</t>
        </is>
      </c>
      <c r="F849" t="inlineStr">
        <is>
          <t>OK</t>
        </is>
      </c>
      <c r="G849" s="19" t="inlineStr">
        <is>
          <t>https://lrflideres.com.br/wp-content/plugins/download-attachments/includes/download.php?id=3683</t>
        </is>
      </c>
      <c r="H849" t="inlineStr">
        <is>
          <t>p22 r6</t>
        </is>
      </c>
      <c r="I849" t="inlineStr">
        <is>
          <t>NO_DOCUMENT ALT_VALUE:2.332.414,64</t>
        </is>
      </c>
    </row>
    <row r="850">
      <c r="A850" t="inlineStr">
        <is>
          <t>FUTURA ADM. DE IMOVEIS LTDA</t>
        </is>
      </c>
      <c r="B850" s="10" t="n">
        <v>2172902.21</v>
      </c>
      <c r="C850" t="inlineStr">
        <is>
          <t>ATACADAO DOS ELETRODOMESTICOS DO NORDESTE LTDA – LRF Líderes em Recuperação Judicial e Falência</t>
        </is>
      </c>
      <c r="D850" t="inlineStr">
        <is>
          <t>0837278-92.2018.8.15.2001</t>
        </is>
      </c>
      <c r="E850" t="inlineStr">
        <is>
          <t>UNKNOWN</t>
        </is>
      </c>
      <c r="F850" t="inlineStr">
        <is>
          <t>OK</t>
        </is>
      </c>
      <c r="G850" s="19" t="inlineStr">
        <is>
          <t>https://lrflideres.com.br/wp-content/plugins/download-attachments/includes/download.php?id=3683</t>
        </is>
      </c>
      <c r="H850" t="inlineStr">
        <is>
          <t>p21 r4</t>
        </is>
      </c>
      <c r="I850" t="inlineStr">
        <is>
          <t>NO_DOCUMENT ALT_VALUE:2.172.902,21</t>
        </is>
      </c>
    </row>
    <row r="851">
      <c r="A851" t="inlineStr">
        <is>
          <t>CESDE IND COM DE ELETROD LTDA - MALLORY</t>
        </is>
      </c>
      <c r="B851" s="10" t="n">
        <v>1997469.98</v>
      </c>
      <c r="C851" t="inlineStr">
        <is>
          <t>ATACADAO DOS ELETRODOMESTICOS DO NORDESTE LTDA – LRF Líderes em Recuperação Judicial e Falência</t>
        </is>
      </c>
      <c r="D851" t="inlineStr">
        <is>
          <t>0837278-92.2018.8.15.2001</t>
        </is>
      </c>
      <c r="E851" t="inlineStr">
        <is>
          <t>UNKNOWN</t>
        </is>
      </c>
      <c r="F851" t="inlineStr">
        <is>
          <t>OK</t>
        </is>
      </c>
      <c r="G851" s="19" t="inlineStr">
        <is>
          <t>https://lrflideres.com.br/wp-content/plugins/download-attachments/includes/download.php?id=3683</t>
        </is>
      </c>
      <c r="H851" t="inlineStr">
        <is>
          <t>p20 r38</t>
        </is>
      </c>
      <c r="I851" t="inlineStr">
        <is>
          <t>NO_DOCUMENT ALT_VALUE:1.997.469,98</t>
        </is>
      </c>
    </row>
    <row r="852">
      <c r="A852" t="inlineStr">
        <is>
          <t>SEB COML. DE PRODS. DOMESTICOS LTDA</t>
        </is>
      </c>
      <c r="B852" s="10" t="n">
        <v>1119649.42</v>
      </c>
      <c r="C852" t="inlineStr">
        <is>
          <t>ATACADAO DOS ELETRODOMESTICOS DO NORDESTE LTDA – LRF Líderes em Recuperação Judicial e Falência</t>
        </is>
      </c>
      <c r="D852" t="inlineStr">
        <is>
          <t>0837278-92.2018.8.15.2001</t>
        </is>
      </c>
      <c r="E852" t="inlineStr">
        <is>
          <t>UNKNOWN</t>
        </is>
      </c>
      <c r="F852" t="inlineStr">
        <is>
          <t>OK</t>
        </is>
      </c>
      <c r="G852" s="19" t="inlineStr">
        <is>
          <t>https://lrflideres.com.br/wp-content/plugins/download-attachments/includes/download.php?id=3683</t>
        </is>
      </c>
      <c r="H852" t="inlineStr">
        <is>
          <t>p21 r82</t>
        </is>
      </c>
      <c r="I852" t="inlineStr">
        <is>
          <t>NO_DOCUMENT ALT_VALUE:1.119.649,42</t>
        </is>
      </c>
    </row>
    <row r="853">
      <c r="A853" t="inlineStr">
        <is>
          <t>COOPERATIVA DE CREDITO SICREDI JOAO PESSOA</t>
        </is>
      </c>
      <c r="B853" s="10" t="n">
        <v>966846.29</v>
      </c>
      <c r="C853" t="inlineStr">
        <is>
          <t>ATACADAO DOS ELETRODOMESTICOS DO NORDESTE LTDA – LRF Líderes em Recuperação Judicial e Falência</t>
        </is>
      </c>
      <c r="D853" t="inlineStr">
        <is>
          <t>0837278-92.2018.8.15.2001</t>
        </is>
      </c>
      <c r="E853" t="inlineStr">
        <is>
          <t>UNKNOWN</t>
        </is>
      </c>
      <c r="F853" t="inlineStr">
        <is>
          <t>OK</t>
        </is>
      </c>
      <c r="G853" s="19" t="inlineStr">
        <is>
          <t>https://lrflideres.com.br/wp-content/plugins/download-attachments/includes/download.php?id=3683</t>
        </is>
      </c>
      <c r="H853" t="inlineStr">
        <is>
          <t>p20 r52</t>
        </is>
      </c>
      <c r="I853" t="inlineStr">
        <is>
          <t>NO_DOCUMENT ALT_VALUE:966.846,29</t>
        </is>
      </c>
    </row>
    <row r="854">
      <c r="A854" t="inlineStr">
        <is>
          <t>ARAMOVEIS IND. REUNIDAS DE MOVEIS LTDA</t>
        </is>
      </c>
      <c r="B854" s="10" t="n">
        <v>904930.8199999999</v>
      </c>
      <c r="C854" t="inlineStr">
        <is>
          <t>ATACADAO DOS ELETRODOMESTICOS DO NORDESTE LTDA – LRF Líderes em Recuperação Judicial e Falência</t>
        </is>
      </c>
      <c r="D854" t="inlineStr">
        <is>
          <t>0837278-92.2018.8.15.2001</t>
        </is>
      </c>
      <c r="E854" t="inlineStr">
        <is>
          <t>UNKNOWN</t>
        </is>
      </c>
      <c r="F854" t="inlineStr">
        <is>
          <t>OK</t>
        </is>
      </c>
      <c r="G854" s="19" t="inlineStr">
        <is>
          <t>https://lrflideres.com.br/wp-content/plugins/download-attachments/includes/download.php?id=3683</t>
        </is>
      </c>
      <c r="H854" t="inlineStr">
        <is>
          <t>p20 r13</t>
        </is>
      </c>
      <c r="I854" t="inlineStr">
        <is>
          <t>NO_DOCUMENT ALT_VALUE:904.930,82</t>
        </is>
      </c>
    </row>
    <row r="855">
      <c r="A855" t="inlineStr">
        <is>
          <t>ALVAREZ &amp; MARSAL REESTRUTURACAO LTDA</t>
        </is>
      </c>
      <c r="B855" s="10" t="n">
        <v>855548.5</v>
      </c>
      <c r="C855" t="inlineStr">
        <is>
          <t>ATACADAO DOS ELETRODOMESTICOS DO NORDESTE LTDA – LRF Líderes em Recuperação Judicial e Falência</t>
        </is>
      </c>
      <c r="D855" t="inlineStr">
        <is>
          <t>0837278-92.2018.8.15.2001</t>
        </is>
      </c>
      <c r="E855" t="inlineStr">
        <is>
          <t>UNKNOWN</t>
        </is>
      </c>
      <c r="F855" t="inlineStr">
        <is>
          <t>OK</t>
        </is>
      </c>
      <c r="G855" s="19" t="inlineStr">
        <is>
          <t>https://lrflideres.com.br/wp-content/plugins/download-attachments/includes/download.php?id=3683</t>
        </is>
      </c>
      <c r="H855" t="inlineStr">
        <is>
          <t>p20 r11</t>
        </is>
      </c>
      <c r="I855" t="inlineStr">
        <is>
          <t>NO_DOCUMENT ALT_VALUE:855.548,50</t>
        </is>
      </c>
    </row>
    <row r="856">
      <c r="A856" t="inlineStr">
        <is>
          <t>WHIRLPOOL ELETRODOMESTICOS AM S A</t>
        </is>
      </c>
      <c r="B856" s="10" t="n">
        <v>786346.6800000001</v>
      </c>
      <c r="C856" t="inlineStr">
        <is>
          <t>ATACADAO DOS ELETRODOMESTICOS DO NORDESTE LTDA – LRF Líderes em Recuperação Judicial e Falência</t>
        </is>
      </c>
      <c r="D856" t="inlineStr">
        <is>
          <t>0837278-92.2018.8.15.2001</t>
        </is>
      </c>
      <c r="E856" t="inlineStr">
        <is>
          <t>UNKNOWN</t>
        </is>
      </c>
      <c r="F856" t="inlineStr">
        <is>
          <t>OK</t>
        </is>
      </c>
      <c r="G856" s="19" t="inlineStr">
        <is>
          <t>https://lrflideres.com.br/wp-content/plugins/download-attachments/includes/download.php?id=3683</t>
        </is>
      </c>
      <c r="H856" t="inlineStr">
        <is>
          <t>p22 r27</t>
        </is>
      </c>
      <c r="I856" t="inlineStr">
        <is>
          <t>NO_DOCUMENT ALT_VALUE:786.346,68</t>
        </is>
      </c>
    </row>
    <row r="857">
      <c r="A857" t="inlineStr">
        <is>
          <t>AULIK COMERCIAL LTDA</t>
        </is>
      </c>
      <c r="B857" s="10" t="n">
        <v>562623.1899999999</v>
      </c>
      <c r="C857" t="inlineStr">
        <is>
          <t>ATACADAO DOS ELETRODOMESTICOS DO NORDESTE LTDA – LRF Líderes em Recuperação Judicial e Falência</t>
        </is>
      </c>
      <c r="D857" t="inlineStr">
        <is>
          <t>0837278-92.2018.8.15.2001</t>
        </is>
      </c>
      <c r="E857" t="inlineStr">
        <is>
          <t>UNKNOWN</t>
        </is>
      </c>
      <c r="F857" t="inlineStr">
        <is>
          <t>OK</t>
        </is>
      </c>
      <c r="G857" s="19" t="inlineStr">
        <is>
          <t>https://lrflideres.com.br/wp-content/plugins/download-attachments/includes/download.php?id=3683</t>
        </is>
      </c>
      <c r="H857" t="inlineStr">
        <is>
          <t>p20 r20</t>
        </is>
      </c>
      <c r="I857" t="inlineStr">
        <is>
          <t>NO_DOCUMENT ALT_VALUE:562.623,19</t>
        </is>
      </c>
    </row>
    <row r="858">
      <c r="A858" t="inlineStr">
        <is>
          <t>PHILCO ELETRONICOS S A</t>
        </is>
      </c>
      <c r="B858" s="10" t="n">
        <v>553469.1800000001</v>
      </c>
      <c r="C858" t="inlineStr">
        <is>
          <t>ATACADAO DOS ELETRODOMESTICOS DO NORDESTE LTDA – LRF Líderes em Recuperação Judicial e Falência</t>
        </is>
      </c>
      <c r="D858" t="inlineStr">
        <is>
          <t>0837278-92.2018.8.15.2001</t>
        </is>
      </c>
      <c r="E858" t="inlineStr">
        <is>
          <t>UNKNOWN</t>
        </is>
      </c>
      <c r="F858" t="inlineStr">
        <is>
          <t>OK</t>
        </is>
      </c>
      <c r="G858" s="19" t="inlineStr">
        <is>
          <t>https://lrflideres.com.br/wp-content/plugins/download-attachments/includes/download.php?id=3683</t>
        </is>
      </c>
      <c r="H858" t="inlineStr">
        <is>
          <t>p21 r67</t>
        </is>
      </c>
      <c r="I858" t="inlineStr">
        <is>
          <t>NO_DOCUMENT ALT_VALUE:553.469,18</t>
        </is>
      </c>
    </row>
    <row r="859">
      <c r="A859" t="inlineStr">
        <is>
          <t>CNOVA COMERCIO ELETRONICO SA</t>
        </is>
      </c>
      <c r="B859" s="10" t="n">
        <v>552348.98</v>
      </c>
      <c r="C859" t="inlineStr">
        <is>
          <t>ATACADAO DOS ELETRODOMESTICOS DO NORDESTE LTDA – LRF Líderes em Recuperação Judicial e Falência</t>
        </is>
      </c>
      <c r="D859" t="inlineStr">
        <is>
          <t>0837278-92.2018.8.15.2001</t>
        </is>
      </c>
      <c r="E859" t="inlineStr">
        <is>
          <t>UNKNOWN</t>
        </is>
      </c>
      <c r="F859" t="inlineStr">
        <is>
          <t>OK</t>
        </is>
      </c>
      <c r="G859" s="19" t="inlineStr">
        <is>
          <t>https://lrflideres.com.br/wp-content/plugins/download-attachments/includes/download.php?id=3683</t>
        </is>
      </c>
      <c r="H859" t="inlineStr">
        <is>
          <t>p20 r42</t>
        </is>
      </c>
      <c r="I859" t="inlineStr">
        <is>
          <t>NO_DOCUMENT ALT_VALUE:552.348,98</t>
        </is>
      </c>
    </row>
    <row r="860">
      <c r="A860" t="inlineStr">
        <is>
          <t>MK ELETRODOMESTICOS LTDA</t>
        </is>
      </c>
      <c r="B860" s="10" t="n">
        <v>548482.15</v>
      </c>
      <c r="C860" t="inlineStr">
        <is>
          <t>ATACADAO DOS ELETRODOMESTICOS DO NORDESTE LTDA – LRF Líderes em Recuperação Judicial e Falência</t>
        </is>
      </c>
      <c r="D860" t="inlineStr">
        <is>
          <t>0837278-92.2018.8.15.2001</t>
        </is>
      </c>
      <c r="E860" t="inlineStr">
        <is>
          <t>UNKNOWN</t>
        </is>
      </c>
      <c r="F860" t="inlineStr">
        <is>
          <t>OK</t>
        </is>
      </c>
      <c r="G860" s="19" t="inlineStr">
        <is>
          <t>https://lrflideres.com.br/wp-content/plugins/download-attachments/includes/download.php?id=3683</t>
        </is>
      </c>
      <c r="H860" t="inlineStr">
        <is>
          <t>p21 r50</t>
        </is>
      </c>
      <c r="I860" t="inlineStr">
        <is>
          <t>NO_DOCUMENT ALT_VALUE:548.482,15</t>
        </is>
      </c>
    </row>
    <row r="861">
      <c r="A861" t="inlineStr">
        <is>
          <t>ATLAS ELETRODOMESTICOS</t>
        </is>
      </c>
      <c r="B861" s="10" t="n">
        <v>444053.61</v>
      </c>
      <c r="C861" t="inlineStr">
        <is>
          <t>ATACADAO DOS ELETRODOMESTICOS DO NORDESTE LTDA – LRF Líderes em Recuperação Judicial e Falência</t>
        </is>
      </c>
      <c r="D861" t="inlineStr">
        <is>
          <t>0837278-92.2018.8.15.2001</t>
        </is>
      </c>
      <c r="E861" t="inlineStr">
        <is>
          <t>UNKNOWN</t>
        </is>
      </c>
      <c r="F861" t="inlineStr">
        <is>
          <t>OK</t>
        </is>
      </c>
      <c r="G861" s="19" t="inlineStr">
        <is>
          <t>https://lrflideres.com.br/wp-content/plugins/download-attachments/includes/download.php?id=3683</t>
        </is>
      </c>
      <c r="H861" t="inlineStr">
        <is>
          <t>p20 r18</t>
        </is>
      </c>
      <c r="I861" t="inlineStr">
        <is>
          <t>NO_DOCUMENT ALT_VALUE:444.053,61</t>
        </is>
      </c>
    </row>
    <row r="862">
      <c r="A862" t="inlineStr">
        <is>
          <t>MERCOFRICON S A</t>
        </is>
      </c>
      <c r="B862" s="10" t="n">
        <v>387822.47</v>
      </c>
      <c r="C862" t="inlineStr">
        <is>
          <t>ATACADAO DOS ELETRODOMESTICOS DO NORDESTE LTDA – LRF Líderes em Recuperação Judicial e Falência</t>
        </is>
      </c>
      <c r="D862" t="inlineStr">
        <is>
          <t>0837278-92.2018.8.15.2001</t>
        </is>
      </c>
      <c r="E862" t="inlineStr">
        <is>
          <t>UNKNOWN</t>
        </is>
      </c>
      <c r="F862" t="inlineStr">
        <is>
          <t>OK</t>
        </is>
      </c>
      <c r="G862" s="19" t="inlineStr">
        <is>
          <t>https://lrflideres.com.br/wp-content/plugins/download-attachments/includes/download.php?id=3683</t>
        </is>
      </c>
      <c r="H862" t="inlineStr">
        <is>
          <t>p21 r49</t>
        </is>
      </c>
      <c r="I862" t="inlineStr">
        <is>
          <t>NO_DOCUMENT ALT_VALUE:387.822,47</t>
        </is>
      </c>
    </row>
    <row r="863">
      <c r="A863" t="inlineStr">
        <is>
          <t>OLINDA IND.E COM.DE COLCHOES LTDA</t>
        </is>
      </c>
      <c r="B863" s="10" t="n">
        <v>349433.01</v>
      </c>
      <c r="C863" t="inlineStr">
        <is>
          <t>ATACADAO DOS ELETRODOMESTICOS DO NORDESTE LTDA – LRF Líderes em Recuperação Judicial e Falência</t>
        </is>
      </c>
      <c r="D863" t="inlineStr">
        <is>
          <t>0837278-92.2018.8.15.2001</t>
        </is>
      </c>
      <c r="E863" t="inlineStr">
        <is>
          <t>UNKNOWN</t>
        </is>
      </c>
      <c r="F863" t="inlineStr">
        <is>
          <t>OK</t>
        </is>
      </c>
      <c r="G863" s="19" t="inlineStr">
        <is>
          <t>https://lrflideres.com.br/wp-content/plugins/download-attachments/includes/download.php?id=3683</t>
        </is>
      </c>
      <c r="H863" t="inlineStr">
        <is>
          <t>p21 r61</t>
        </is>
      </c>
      <c r="I863" t="inlineStr">
        <is>
          <t>NO_DOCUMENT ALT_VALUE:349.433,01</t>
        </is>
      </c>
    </row>
    <row r="864">
      <c r="A864" t="inlineStr">
        <is>
          <t>TCT MOBILE - TELEFONES LTDA</t>
        </is>
      </c>
      <c r="B864" s="10" t="n">
        <v>318494.44</v>
      </c>
      <c r="C864" t="inlineStr">
        <is>
          <t>ATACADAO DOS ELETRODOMESTICOS DO NORDESTE LTDA – LRF Líderes em Recuperação Judicial e Falência</t>
        </is>
      </c>
      <c r="D864" t="inlineStr">
        <is>
          <t>0837278-92.2018.8.15.2001</t>
        </is>
      </c>
      <c r="E864" t="inlineStr">
        <is>
          <t>UNKNOWN</t>
        </is>
      </c>
      <c r="F864" t="inlineStr">
        <is>
          <t>OK</t>
        </is>
      </c>
      <c r="G864" s="19" t="inlineStr">
        <is>
          <t>https://lrflideres.com.br/wp-content/plugins/download-attachments/includes/download.php?id=3683</t>
        </is>
      </c>
      <c r="H864" t="inlineStr">
        <is>
          <t>p22 r13</t>
        </is>
      </c>
      <c r="I864" t="inlineStr">
        <is>
          <t>NO_DOCUMENT ALT_VALUE:318.494,44</t>
        </is>
      </c>
    </row>
    <row r="865">
      <c r="A865" t="inlineStr">
        <is>
          <t>COLIBRI IND.E COMERCIO DE MOVEIS LTDA</t>
        </is>
      </c>
      <c r="B865" s="10" t="n">
        <v>300186.6</v>
      </c>
      <c r="C865" t="inlineStr">
        <is>
          <t>ATACADAO DOS ELETRODOMESTICOS DO NORDESTE LTDA – LRF Líderes em Recuperação Judicial e Falência</t>
        </is>
      </c>
      <c r="D865" t="inlineStr">
        <is>
          <t>0837278-92.2018.8.15.2001</t>
        </is>
      </c>
      <c r="E865" t="inlineStr">
        <is>
          <t>UNKNOWN</t>
        </is>
      </c>
      <c r="F865" t="inlineStr">
        <is>
          <t>OK</t>
        </is>
      </c>
      <c r="G865" s="19" t="inlineStr">
        <is>
          <t>https://lrflideres.com.br/wp-content/plugins/download-attachments/includes/download.php?id=3683</t>
        </is>
      </c>
      <c r="H865" t="inlineStr">
        <is>
          <t>p20 r43</t>
        </is>
      </c>
      <c r="I865" t="inlineStr">
        <is>
          <t>NO_DOCUMENT ALT_VALUE:300.186,60</t>
        </is>
      </c>
    </row>
    <row r="866">
      <c r="A866" t="inlineStr">
        <is>
          <t>MLOG ARMAZEM GERAL LTDA</t>
        </is>
      </c>
      <c r="B866" s="10" t="n">
        <v>254609.77</v>
      </c>
      <c r="C866" t="inlineStr">
        <is>
          <t>ATACADAO DOS ELETRODOMESTICOS DO NORDESTE LTDA – LRF Líderes em Recuperação Judicial e Falência</t>
        </is>
      </c>
      <c r="D866" t="inlineStr">
        <is>
          <t>0837278-92.2018.8.15.2001</t>
        </is>
      </c>
      <c r="E866" t="inlineStr">
        <is>
          <t>UNKNOWN</t>
        </is>
      </c>
      <c r="F866" t="inlineStr">
        <is>
          <t>OK</t>
        </is>
      </c>
      <c r="G866" s="19" t="inlineStr">
        <is>
          <t>https://lrflideres.com.br/wp-content/plugins/download-attachments/includes/download.php?id=3683</t>
        </is>
      </c>
      <c r="H866" t="inlineStr">
        <is>
          <t>p21 r51</t>
        </is>
      </c>
      <c r="I866" t="inlineStr">
        <is>
          <t>NO_DOCUMENT ALT_VALUE:254.609,77</t>
        </is>
      </c>
    </row>
    <row r="867">
      <c r="A867" t="inlineStr">
        <is>
          <t>ITATIAIA MOVEIS SA</t>
        </is>
      </c>
      <c r="B867" s="10" t="n">
        <v>250581.03</v>
      </c>
      <c r="C867" t="inlineStr">
        <is>
          <t>ATACADAO DOS ELETRODOMESTICOS DO NORDESTE LTDA – LRF Líderes em Recuperação Judicial e Falência</t>
        </is>
      </c>
      <c r="D867" t="inlineStr">
        <is>
          <t>0837278-92.2018.8.15.2001</t>
        </is>
      </c>
      <c r="E867" t="inlineStr">
        <is>
          <t>UNKNOWN</t>
        </is>
      </c>
      <c r="F867" t="inlineStr">
        <is>
          <t>OK</t>
        </is>
      </c>
      <c r="G867" s="19" t="inlineStr">
        <is>
          <t>https://lrflideres.com.br/wp-content/plugins/download-attachments/includes/download.php?id=3683</t>
        </is>
      </c>
      <c r="H867" t="inlineStr">
        <is>
          <t>p21 r22</t>
        </is>
      </c>
      <c r="I867" t="inlineStr">
        <is>
          <t>NO_DOCUMENT ALT_VALUE:250.581,03</t>
        </is>
      </c>
    </row>
    <row r="868">
      <c r="A868" t="inlineStr">
        <is>
          <t>LINEA BRASIL IND. E COM. DE MOVEIS LTDA</t>
        </is>
      </c>
      <c r="B868" s="10" t="n">
        <v>243332.37</v>
      </c>
      <c r="C868" t="inlineStr">
        <is>
          <t>ATACADAO DOS ELETRODOMESTICOS DO NORDESTE LTDA – LRF Líderes em Recuperação Judicial e Falência</t>
        </is>
      </c>
      <c r="D868" t="inlineStr">
        <is>
          <t>0837278-92.2018.8.15.2001</t>
        </is>
      </c>
      <c r="E868" t="inlineStr">
        <is>
          <t>UNKNOWN</t>
        </is>
      </c>
      <c r="F868" t="inlineStr">
        <is>
          <t>OK</t>
        </is>
      </c>
      <c r="G868" s="19" t="inlineStr">
        <is>
          <t>https://lrflideres.com.br/wp-content/plugins/download-attachments/includes/download.php?id=3683</t>
        </is>
      </c>
      <c r="H868" t="inlineStr">
        <is>
          <t>p21 r35</t>
        </is>
      </c>
      <c r="I868" t="inlineStr">
        <is>
          <t>NO_DOCUMENT ALT_VALUE:243.332,37</t>
        </is>
      </c>
    </row>
    <row r="869">
      <c r="A869" t="inlineStr">
        <is>
          <t>SEGUROS SURA SA</t>
        </is>
      </c>
      <c r="B869" s="10" t="n">
        <v>231960.08</v>
      </c>
      <c r="C869" t="inlineStr">
        <is>
          <t>ATACADAO DOS ELETRODOMESTICOS DO NORDESTE LTDA – LRF Líderes em Recuperação Judicial e Falência</t>
        </is>
      </c>
      <c r="D869" t="inlineStr">
        <is>
          <t>0837278-92.2018.8.15.2001</t>
        </is>
      </c>
      <c r="E869" t="inlineStr">
        <is>
          <t>UNKNOWN</t>
        </is>
      </c>
      <c r="F869" t="inlineStr">
        <is>
          <t>OK</t>
        </is>
      </c>
      <c r="G869" s="19" t="inlineStr">
        <is>
          <t>https://lrflideres.com.br/wp-content/plugins/download-attachments/includes/download.php?id=3683</t>
        </is>
      </c>
      <c r="H869" t="inlineStr">
        <is>
          <t>p21 r83</t>
        </is>
      </c>
      <c r="I869" t="inlineStr">
        <is>
          <t>NO_DOCUMENT ALT_VALUE:231.960,08</t>
        </is>
      </c>
    </row>
    <row r="870">
      <c r="A870" t="inlineStr">
        <is>
          <t>VIRGINIA SURETY COMPANHIA DE SEGUROS DO BRASIL</t>
        </is>
      </c>
      <c r="B870" s="10" t="n">
        <v>222615.06</v>
      </c>
      <c r="C870" t="inlineStr">
        <is>
          <t>ATACADAO DOS ELETRODOMESTICOS DO NORDESTE LTDA – LRF Líderes em Recuperação Judicial e Falência</t>
        </is>
      </c>
      <c r="D870" t="inlineStr">
        <is>
          <t>0837278-92.2018.8.15.2001</t>
        </is>
      </c>
      <c r="E870" t="inlineStr">
        <is>
          <t>UNKNOWN</t>
        </is>
      </c>
      <c r="F870" t="inlineStr">
        <is>
          <t>OK</t>
        </is>
      </c>
      <c r="G870" s="19" t="inlineStr">
        <is>
          <t>https://lrflideres.com.br/wp-content/plugins/download-attachments/includes/download.php?id=3683</t>
        </is>
      </c>
      <c r="H870" t="inlineStr">
        <is>
          <t>p22 r19</t>
        </is>
      </c>
      <c r="I870" t="inlineStr">
        <is>
          <t>NO_DOCUMENT ALT_VALUE:222.615,06</t>
        </is>
      </c>
    </row>
    <row r="871">
      <c r="A871" t="inlineStr">
        <is>
          <t>CLIMAZON INDUSTRIAL LTDA</t>
        </is>
      </c>
      <c r="B871" s="10" t="n">
        <v>213405.14</v>
      </c>
      <c r="C871" t="inlineStr">
        <is>
          <t>ATACADAO DOS ELETRODOMESTICOS DO NORDESTE LTDA – LRF Líderes em Recuperação Judicial e Falência</t>
        </is>
      </c>
      <c r="D871" t="inlineStr">
        <is>
          <t>0837278-92.2018.8.15.2001</t>
        </is>
      </c>
      <c r="E871" t="inlineStr">
        <is>
          <t>UNKNOWN</t>
        </is>
      </c>
      <c r="F871" t="inlineStr">
        <is>
          <t>OK</t>
        </is>
      </c>
      <c r="G871" s="19" t="inlineStr">
        <is>
          <t>https://lrflideres.com.br/wp-content/plugins/download-attachments/includes/download.php?id=3683</t>
        </is>
      </c>
      <c r="H871" t="inlineStr">
        <is>
          <t>p20 r41</t>
        </is>
      </c>
      <c r="I871" t="inlineStr">
        <is>
          <t>NO_DOCUMENT ALT_VALUE:213.405,14</t>
        </is>
      </c>
    </row>
    <row r="872">
      <c r="A872" t="inlineStr">
        <is>
          <t>PORTAL ADMINISTRADORA DE BENS LTDA</t>
        </is>
      </c>
      <c r="B872" s="10" t="n">
        <v>201950</v>
      </c>
      <c r="C872" t="inlineStr">
        <is>
          <t>ATACADAO DOS ELETRODOMESTICOS DO NORDESTE LTDA – LRF Líderes em Recuperação Judicial e Falência</t>
        </is>
      </c>
      <c r="D872" t="inlineStr">
        <is>
          <t>0837278-92.2018.8.15.2001</t>
        </is>
      </c>
      <c r="E872" t="inlineStr">
        <is>
          <t>UNKNOWN</t>
        </is>
      </c>
      <c r="F872" t="inlineStr">
        <is>
          <t>OK</t>
        </is>
      </c>
      <c r="G872" s="19" t="inlineStr">
        <is>
          <t>https://lrflideres.com.br/wp-content/plugins/download-attachments/includes/download.php?id=3683</t>
        </is>
      </c>
      <c r="H872" t="inlineStr">
        <is>
          <t>p21 r70</t>
        </is>
      </c>
      <c r="I872" t="inlineStr">
        <is>
          <t>NO_DOCUMENT ALT_VALUE:201.950,00</t>
        </is>
      </c>
    </row>
    <row r="873">
      <c r="A873" t="inlineStr">
        <is>
          <t>CONSTRUFOX - CONSTRUCOES E INCORPORACOES LTDA</t>
        </is>
      </c>
      <c r="B873" s="10" t="n">
        <v>1055065.58</v>
      </c>
      <c r="C873" t="inlineStr">
        <is>
          <t>E FALENCIA</t>
        </is>
      </c>
      <c r="D873" t="inlineStr">
        <is>
          <t>0067168-21.2019.8.17.2001</t>
        </is>
      </c>
      <c r="E873" t="inlineStr">
        <is>
          <t>QGC</t>
        </is>
      </c>
      <c r="F873" t="inlineStr">
        <is>
          <t>OK_NO_TOTALS</t>
        </is>
      </c>
      <c r="G873" s="19" t="inlineStr">
        <is>
          <t>https://lrflideres.com.br/wp-content/plugins/download-attachments/includes/download.php?id=3751</t>
        </is>
      </c>
      <c r="H873" t="inlineStr">
        <is>
          <t>p3 r13</t>
        </is>
      </c>
      <c r="I873" t="inlineStr">
        <is>
          <t>NO_DOCUMENT</t>
        </is>
      </c>
    </row>
    <row r="874">
      <c r="A874" t="inlineStr">
        <is>
          <t>UNIDAS LOCADORA DE VEICULOS LTDA</t>
        </is>
      </c>
      <c r="B874" s="10" t="n">
        <v>614934.05</v>
      </c>
      <c r="C874" t="inlineStr">
        <is>
          <t>E FALENCIA</t>
        </is>
      </c>
      <c r="D874" t="inlineStr">
        <is>
          <t>0067168-21.2019.8.17.2001</t>
        </is>
      </c>
      <c r="E874" t="inlineStr">
        <is>
          <t>QGC</t>
        </is>
      </c>
      <c r="F874" t="inlineStr">
        <is>
          <t>OK_NO_TOTALS</t>
        </is>
      </c>
      <c r="G874" s="19" t="inlineStr">
        <is>
          <t>https://lrflideres.com.br/wp-content/plugins/download-attachments/includes/download.php?id=3751</t>
        </is>
      </c>
      <c r="H874" t="inlineStr">
        <is>
          <t>p4 r103</t>
        </is>
      </c>
      <c r="I874" t="inlineStr">
        <is>
          <t>NO_DOCUMENT</t>
        </is>
      </c>
    </row>
    <row r="875">
      <c r="A875" t="inlineStr">
        <is>
          <t>EMPRESA BRASILEIRA DE TECNOLOGIA E ADMINISTRACAO DE CONVENIOS HOM LTDA</t>
        </is>
      </c>
      <c r="B875" s="10" t="n">
        <v>609168.47</v>
      </c>
      <c r="C875" t="inlineStr">
        <is>
          <t>E FALENCIA</t>
        </is>
      </c>
      <c r="D875" t="inlineStr">
        <is>
          <t>0067168-21.2019.8.17.2001</t>
        </is>
      </c>
      <c r="E875" t="inlineStr">
        <is>
          <t>QGC</t>
        </is>
      </c>
      <c r="F875" t="inlineStr">
        <is>
          <t>OK_NO_TOTALS</t>
        </is>
      </c>
      <c r="G875" s="19" t="inlineStr">
        <is>
          <t>https://lrflideres.com.br/wp-content/plugins/download-attachments/includes/download.php?id=3751</t>
        </is>
      </c>
      <c r="H875" t="inlineStr">
        <is>
          <t>p3 r37</t>
        </is>
      </c>
      <c r="I875" t="inlineStr">
        <is>
          <t>NO_DOCUMENT</t>
        </is>
      </c>
    </row>
    <row r="876">
      <c r="A876" t="inlineStr">
        <is>
          <t>LOUZEMAR LAUS</t>
        </is>
      </c>
      <c r="B876" s="10" t="n">
        <v>415999.99</v>
      </c>
      <c r="C876" t="inlineStr">
        <is>
          <t>E FALENCIA</t>
        </is>
      </c>
      <c r="D876" t="inlineStr">
        <is>
          <t>0067168-21.2019.8.17.2001</t>
        </is>
      </c>
      <c r="E876" t="inlineStr">
        <is>
          <t>QGC</t>
        </is>
      </c>
      <c r="F876" t="inlineStr">
        <is>
          <t>OK_NO_TOTALS</t>
        </is>
      </c>
      <c r="G876" s="19" t="inlineStr">
        <is>
          <t>https://lrflideres.com.br/wp-content/plugins/download-attachments/includes/download.php?id=3751</t>
        </is>
      </c>
      <c r="H876" t="inlineStr">
        <is>
          <t>p3 r120</t>
        </is>
      </c>
      <c r="I876" t="inlineStr">
        <is>
          <t>NO_DOCUMENT</t>
        </is>
      </c>
    </row>
    <row r="877">
      <c r="A877" t="inlineStr">
        <is>
          <t>THYSSENKRUPP BAUTECHNIK DO BRASIL LTDA</t>
        </is>
      </c>
      <c r="B877" s="10" t="n">
        <v>354867.67</v>
      </c>
      <c r="C877" t="inlineStr">
        <is>
          <t>E FALENCIA</t>
        </is>
      </c>
      <c r="D877" t="inlineStr">
        <is>
          <t>0067168-21.2019.8.17.2001</t>
        </is>
      </c>
      <c r="E877" t="inlineStr">
        <is>
          <t>QGC</t>
        </is>
      </c>
      <c r="F877" t="inlineStr">
        <is>
          <t>OK_NO_TOTALS</t>
        </is>
      </c>
      <c r="G877" s="19" t="inlineStr">
        <is>
          <t>https://lrflideres.com.br/wp-content/plugins/download-attachments/includes/download.php?id=3751</t>
        </is>
      </c>
      <c r="H877" t="inlineStr">
        <is>
          <t>p4 r88</t>
        </is>
      </c>
      <c r="I877" t="inlineStr">
        <is>
          <t>NO_DOCUMENT</t>
        </is>
      </c>
    </row>
    <row r="878">
      <c r="A878" t="inlineStr">
        <is>
          <t>TICKET SERVIÇOS - BARUERI/SP</t>
        </is>
      </c>
      <c r="B878" s="10" t="n">
        <v>289646.04</v>
      </c>
      <c r="C878" t="inlineStr">
        <is>
          <t>E FALENCIA</t>
        </is>
      </c>
      <c r="D878" t="inlineStr">
        <is>
          <t>0067168-21.2019.8.17.2001</t>
        </is>
      </c>
      <c r="E878" t="inlineStr">
        <is>
          <t>QGC</t>
        </is>
      </c>
      <c r="F878" t="inlineStr">
        <is>
          <t>OK_NO_TOTALS</t>
        </is>
      </c>
      <c r="G878" s="19" t="inlineStr">
        <is>
          <t>https://lrflideres.com.br/wp-content/plugins/download-attachments/includes/download.php?id=3751</t>
        </is>
      </c>
      <c r="H878" t="inlineStr">
        <is>
          <t>p4 r90</t>
        </is>
      </c>
      <c r="I878" t="inlineStr">
        <is>
          <t>NO_DOCUMENT</t>
        </is>
      </c>
    </row>
    <row r="879">
      <c r="A879" t="inlineStr">
        <is>
          <t>SEGURPRO VIGILANCIA PATRIMONIAL S.A</t>
        </is>
      </c>
      <c r="B879" s="10" t="n">
        <v>262369.6</v>
      </c>
      <c r="C879" t="inlineStr">
        <is>
          <t>E FALENCIA</t>
        </is>
      </c>
      <c r="D879" t="inlineStr">
        <is>
          <t>0067168-21.2019.8.17.2001</t>
        </is>
      </c>
      <c r="E879" t="inlineStr">
        <is>
          <t>QGC</t>
        </is>
      </c>
      <c r="F879" t="inlineStr">
        <is>
          <t>OK_NO_TOTALS</t>
        </is>
      </c>
      <c r="G879" s="19" t="inlineStr">
        <is>
          <t>https://lrflideres.com.br/wp-content/plugins/download-attachments/includes/download.php?id=3751</t>
        </is>
      </c>
      <c r="H879" t="inlineStr">
        <is>
          <t>p4 r55</t>
        </is>
      </c>
      <c r="I879" t="inlineStr">
        <is>
          <t>NO_DOCUMENT</t>
        </is>
      </c>
    </row>
    <row r="880">
      <c r="A880" t="inlineStr">
        <is>
          <t>ARCELORMITTAL BRASIL S.A</t>
        </is>
      </c>
      <c r="B880" s="10" t="n">
        <v>261441.43</v>
      </c>
      <c r="C880" t="inlineStr">
        <is>
          <t>E FALENCIA</t>
        </is>
      </c>
      <c r="D880" t="inlineStr">
        <is>
          <t>0067168-21.2019.8.17.2001</t>
        </is>
      </c>
      <c r="E880" t="inlineStr">
        <is>
          <t>QGC</t>
        </is>
      </c>
      <c r="F880" t="inlineStr">
        <is>
          <t>OK_NO_TOTALS</t>
        </is>
      </c>
      <c r="G880" s="19" t="inlineStr">
        <is>
          <t>https://lrflideres.com.br/wp-content/plugins/download-attachments/includes/download.php?id=3751</t>
        </is>
      </c>
      <c r="H880" t="inlineStr">
        <is>
          <t>p2 r24</t>
        </is>
      </c>
      <c r="I880" t="inlineStr">
        <is>
          <t>NO_DOCUMENT</t>
        </is>
      </c>
    </row>
    <row r="881">
      <c r="A881" t="inlineStr">
        <is>
          <t>AÇO MARANHÃO LTDA</t>
        </is>
      </c>
      <c r="B881" s="10" t="n">
        <v>230415.26</v>
      </c>
      <c r="C881" t="inlineStr">
        <is>
          <t>E FALENCIA</t>
        </is>
      </c>
      <c r="D881" t="inlineStr">
        <is>
          <t>0067168-21.2019.8.17.2001</t>
        </is>
      </c>
      <c r="E881" t="inlineStr">
        <is>
          <t>QGC</t>
        </is>
      </c>
      <c r="F881" t="inlineStr">
        <is>
          <t>OK_NO_TOTALS</t>
        </is>
      </c>
      <c r="G881" s="19" t="inlineStr">
        <is>
          <t>https://lrflideres.com.br/wp-content/plugins/download-attachments/includes/download.php?id=3751</t>
        </is>
      </c>
      <c r="H881" t="inlineStr">
        <is>
          <t>p2 r9</t>
        </is>
      </c>
      <c r="I881" t="inlineStr">
        <is>
          <t>NO_DOCUMENT</t>
        </is>
      </c>
    </row>
    <row r="882">
      <c r="A882" t="inlineStr">
        <is>
          <t>TIAGO CARVALHO SOARES</t>
        </is>
      </c>
      <c r="B882" s="10" t="n">
        <v>226800</v>
      </c>
      <c r="C882" t="inlineStr">
        <is>
          <t>E FALENCIA</t>
        </is>
      </c>
      <c r="D882" t="inlineStr">
        <is>
          <t>0067168-21.2019.8.17.2001</t>
        </is>
      </c>
      <c r="E882" t="inlineStr">
        <is>
          <t>QGC</t>
        </is>
      </c>
      <c r="F882" t="inlineStr">
        <is>
          <t>OK_NO_TOTALS</t>
        </is>
      </c>
      <c r="G882" s="19" t="inlineStr">
        <is>
          <t>https://lrflideres.com.br/wp-content/plugins/download-attachments/includes/download.php?id=3751</t>
        </is>
      </c>
      <c r="H882" t="inlineStr">
        <is>
          <t>p4 r89</t>
        </is>
      </c>
      <c r="I882" t="inlineStr">
        <is>
          <t>NO_DOCUMENT</t>
        </is>
      </c>
    </row>
    <row r="883">
      <c r="A883" t="inlineStr">
        <is>
          <t>SENAI-SERVIÇO NACIONAL DA INDUSTRIA</t>
        </is>
      </c>
      <c r="B883" s="10" t="n">
        <v>202415.72</v>
      </c>
      <c r="C883" t="inlineStr">
        <is>
          <t>E FALENCIA</t>
        </is>
      </c>
      <c r="D883" t="inlineStr">
        <is>
          <t>0067168-21.2019.8.17.2001</t>
        </is>
      </c>
      <c r="E883" t="inlineStr">
        <is>
          <t>QGC</t>
        </is>
      </c>
      <c r="F883" t="inlineStr">
        <is>
          <t>OK_NO_TOTALS</t>
        </is>
      </c>
      <c r="G883" s="19" t="inlineStr">
        <is>
          <t>https://lrflideres.com.br/wp-content/plugins/download-attachments/includes/download.php?id=3751</t>
        </is>
      </c>
      <c r="H883" t="inlineStr">
        <is>
          <t>p4 r56</t>
        </is>
      </c>
      <c r="I883" t="inlineStr">
        <is>
          <t>NO_DOCUMENT</t>
        </is>
      </c>
    </row>
    <row r="884">
      <c r="A884" t="inlineStr">
        <is>
          <t>MC BAUCHEMIE BRASIL INDUSTRIA E COM. LTDA</t>
        </is>
      </c>
      <c r="B884" s="10" t="n">
        <v>202213.31</v>
      </c>
      <c r="C884" t="inlineStr">
        <is>
          <t>E FALENCIA</t>
        </is>
      </c>
      <c r="D884" t="inlineStr">
        <is>
          <t>0067168-21.2019.8.17.2001</t>
        </is>
      </c>
      <c r="E884" t="inlineStr">
        <is>
          <t>QGC</t>
        </is>
      </c>
      <c r="F884" t="inlineStr">
        <is>
          <t>OK_NO_TOTALS</t>
        </is>
      </c>
      <c r="G884" s="19" t="inlineStr">
        <is>
          <t>https://lrflideres.com.br/wp-content/plugins/download-attachments/includes/download.php?id=3751</t>
        </is>
      </c>
      <c r="H884" t="inlineStr">
        <is>
          <t>p3 r142</t>
        </is>
      </c>
      <c r="I884" t="inlineStr">
        <is>
          <t>NO_DOCUMENT</t>
        </is>
      </c>
    </row>
    <row r="885">
      <c r="A885" t="inlineStr">
        <is>
          <t>363.824,37. LISTA DE CREDORES: CLASSE III QUIROGRAFÁRIO 11 CREDORES</t>
        </is>
      </c>
      <c r="B885" s="10" t="n">
        <v>2363824.37</v>
      </c>
      <c r="C885" t="inlineStr">
        <is>
          <t>JC Magalhães (Tecampo) e Biocampo — Lindoso e Araujo</t>
        </is>
      </c>
      <c r="D885" t="inlineStr">
        <is>
          <t>0705602-96.2020.8.02.0001</t>
        </is>
      </c>
      <c r="E885" t="inlineStr">
        <is>
          <t>AJ_LIST</t>
        </is>
      </c>
      <c r="F885" t="inlineStr">
        <is>
          <t>QUARANTINED</t>
        </is>
      </c>
      <c r="G885" s="19" t="inlineStr">
        <is>
          <t>https://recuperacaojudicial.squarespace.com/s/RJJCMagalhesEdital2alistapublicadomaio2021.pdf</t>
        </is>
      </c>
      <c r="H885" t="inlineStr">
        <is>
          <t>p2 r1</t>
        </is>
      </c>
      <c r="I885" t="inlineStr">
        <is>
          <t>NO_DOCUMENT</t>
        </is>
      </c>
    </row>
    <row r="886">
      <c r="A886" t="inlineStr">
        <is>
          <t>377.439,82: ADAMA BRASIL S.A</t>
        </is>
      </c>
      <c r="B886" s="10" t="n">
        <v>1190528.99</v>
      </c>
      <c r="C886" t="inlineStr">
        <is>
          <t>JC Magalhães (Tecampo) e Biocampo — Lindoso e Araujo</t>
        </is>
      </c>
      <c r="D886" t="inlineStr">
        <is>
          <t>0705602-96.2020.8.02.0001</t>
        </is>
      </c>
      <c r="E886" t="inlineStr">
        <is>
          <t>AJ_LIST</t>
        </is>
      </c>
      <c r="F886" t="inlineStr">
        <is>
          <t>QUARANTINED</t>
        </is>
      </c>
      <c r="G886" s="19" t="inlineStr">
        <is>
          <t>https://recuperacaojudicial.squarespace.com/s/RJJCMagalhesEdital2alistapublicadomaio2021.pdf</t>
        </is>
      </c>
      <c r="H886" t="inlineStr">
        <is>
          <t>p1 r3</t>
        </is>
      </c>
      <c r="I886" t="inlineStr">
        <is>
          <t>NO_DOCUMENT</t>
        </is>
      </c>
    </row>
    <row r="887">
      <c r="A887" t="inlineStr">
        <is>
          <t>UPL DO BRASIL INDUSTRIA E COMERCIO DE INSUMOS AGROPECUARIOS S.A</t>
        </is>
      </c>
      <c r="B887" s="10" t="n">
        <v>1119874.6</v>
      </c>
      <c r="C887" t="inlineStr">
        <is>
          <t>JC Magalhães (Tecampo) e Biocampo — Lindoso e Araujo</t>
        </is>
      </c>
      <c r="D887" t="inlineStr">
        <is>
          <t>0705602-96.2020.8.02.0001</t>
        </is>
      </c>
      <c r="E887" t="inlineStr">
        <is>
          <t>AJ_LIST</t>
        </is>
      </c>
      <c r="F887" t="inlineStr">
        <is>
          <t>QUARANTINED</t>
        </is>
      </c>
      <c r="G887" s="19" t="inlineStr">
        <is>
          <t>https://recuperacaojudicial.squarespace.com/s/RJJCMagalhesEdital2alistapublicadomaio2021.pdf</t>
        </is>
      </c>
      <c r="H887" t="inlineStr">
        <is>
          <t>p1 r48</t>
        </is>
      </c>
      <c r="I887" t="inlineStr">
        <is>
          <t>NO_DOCUMENT</t>
        </is>
      </c>
    </row>
    <row r="888">
      <c r="A888" t="inlineStr">
        <is>
          <t>ITAU UNIBANCO S.A</t>
        </is>
      </c>
      <c r="B888" s="10" t="n">
        <v>996252.05</v>
      </c>
      <c r="C888" t="inlineStr">
        <is>
          <t>JC Magalhães (Tecampo) e Biocampo — Lindoso e Araujo</t>
        </is>
      </c>
      <c r="D888" t="inlineStr">
        <is>
          <t>0705602-96.2020.8.02.0001</t>
        </is>
      </c>
      <c r="E888" t="inlineStr">
        <is>
          <t>AJ_LIST</t>
        </is>
      </c>
      <c r="F888" t="inlineStr">
        <is>
          <t>QUARANTINED</t>
        </is>
      </c>
      <c r="G888" s="19" t="inlineStr">
        <is>
          <t>https://recuperacaojudicial.squarespace.com/s/RJJCMagalhesEdital2alistapublicadomaio2021.pdf</t>
        </is>
      </c>
      <c r="H888" t="inlineStr">
        <is>
          <t>p1 r22</t>
        </is>
      </c>
      <c r="I888" t="inlineStr">
        <is>
          <t>NO_DOCUMENT</t>
        </is>
      </c>
    </row>
    <row r="889">
      <c r="A889" t="inlineStr">
        <is>
          <t>MONSANTO DO BRASIL LTDA</t>
        </is>
      </c>
      <c r="B889" s="10" t="n">
        <v>988849.7</v>
      </c>
      <c r="C889" t="inlineStr">
        <is>
          <t>JC Magalhães (Tecampo) e Biocampo — Lindoso e Araujo</t>
        </is>
      </c>
      <c r="D889" t="inlineStr">
        <is>
          <t>0705602-96.2020.8.02.0001</t>
        </is>
      </c>
      <c r="E889" t="inlineStr">
        <is>
          <t>AJ_LIST</t>
        </is>
      </c>
      <c r="F889" t="inlineStr">
        <is>
          <t>QUARANTINED</t>
        </is>
      </c>
      <c r="G889" s="19" t="inlineStr">
        <is>
          <t>https://recuperacaojudicial.squarespace.com/s/RJJCMagalhesEdital2alistapublicadomaio2021.pdf</t>
        </is>
      </c>
      <c r="H889" t="inlineStr">
        <is>
          <t>p2 r7</t>
        </is>
      </c>
      <c r="I889" t="inlineStr">
        <is>
          <t>NO_DOCUMENT</t>
        </is>
      </c>
    </row>
    <row r="890">
      <c r="A890" t="inlineStr">
        <is>
          <t>SUMITOMO CHEMICAL BRASIL INDUSTRIA QUIMICA S.A</t>
        </is>
      </c>
      <c r="B890" s="10" t="n">
        <v>547747.88</v>
      </c>
      <c r="C890" t="inlineStr">
        <is>
          <t>JC Magalhães (Tecampo) e Biocampo — Lindoso e Araujo</t>
        </is>
      </c>
      <c r="D890" t="inlineStr">
        <is>
          <t>0705602-96.2020.8.02.0001</t>
        </is>
      </c>
      <c r="E890" t="inlineStr">
        <is>
          <t>AJ_LIST</t>
        </is>
      </c>
      <c r="F890" t="inlineStr">
        <is>
          <t>QUARANTINED</t>
        </is>
      </c>
      <c r="G890" s="19" t="inlineStr">
        <is>
          <t>https://recuperacaojudicial.squarespace.com/s/RJJCMagalhesEdital2alistapublicadomaio2021.pdf</t>
        </is>
      </c>
      <c r="H890" t="inlineStr">
        <is>
          <t>p1 r44</t>
        </is>
      </c>
      <c r="I890" t="inlineStr">
        <is>
          <t>NO_DOCUMENT</t>
        </is>
      </c>
    </row>
    <row r="891">
      <c r="A891" t="inlineStr">
        <is>
          <t>MONSANTO DO BRASIL LTDA</t>
        </is>
      </c>
      <c r="B891" s="10" t="n">
        <v>402081.6</v>
      </c>
      <c r="C891" t="inlineStr">
        <is>
          <t>JC Magalhães (Tecampo) e Biocampo — Lindoso e Araujo</t>
        </is>
      </c>
      <c r="D891" t="inlineStr">
        <is>
          <t>0705602-96.2020.8.02.0001</t>
        </is>
      </c>
      <c r="E891" t="inlineStr">
        <is>
          <t>AJ_LIST</t>
        </is>
      </c>
      <c r="F891" t="inlineStr">
        <is>
          <t>QUARANTINED</t>
        </is>
      </c>
      <c r="G891" s="19" t="inlineStr">
        <is>
          <t>https://recuperacaojudicial.squarespace.com/s/RJJCMagalhesEdital2alistapublicadomaio2021.pdf</t>
        </is>
      </c>
      <c r="H891" t="inlineStr">
        <is>
          <t>p1 r31</t>
        </is>
      </c>
      <c r="I891" t="inlineStr">
        <is>
          <t>NO_DOCUMENT</t>
        </is>
      </c>
    </row>
    <row r="892">
      <c r="A892" t="inlineStr">
        <is>
          <t>OUROFINO QUÍMICA</t>
        </is>
      </c>
      <c r="B892" s="10" t="n">
        <v>270285.11</v>
      </c>
      <c r="C892" t="inlineStr">
        <is>
          <t>JC Magalhães (Tecampo) e Biocampo — Lindoso e Araujo</t>
        </is>
      </c>
      <c r="D892" t="inlineStr">
        <is>
          <t>0705602-96.2020.8.02.0001</t>
        </is>
      </c>
      <c r="E892" t="inlineStr">
        <is>
          <t>AJ_LIST</t>
        </is>
      </c>
      <c r="F892" t="inlineStr">
        <is>
          <t>QUARANTINED</t>
        </is>
      </c>
      <c r="G892" s="19" t="inlineStr">
        <is>
          <t>https://recuperacaojudicial.squarespace.com/s/RJJCMagalhesEdital2alistapublicadomaio2021.pdf</t>
        </is>
      </c>
      <c r="H892" t="inlineStr">
        <is>
          <t>p1 r37</t>
        </is>
      </c>
      <c r="I892" t="inlineStr">
        <is>
          <t>NO_DOCUMENT</t>
        </is>
      </c>
    </row>
    <row r="893">
      <c r="A893" t="inlineStr">
        <is>
          <t>NORTOX S.A</t>
        </is>
      </c>
      <c r="B893" s="10" t="n">
        <v>222438.87</v>
      </c>
      <c r="C893" t="inlineStr">
        <is>
          <t>JC Magalhães (Tecampo) e Biocampo — Lindoso e Araujo</t>
        </is>
      </c>
      <c r="D893" t="inlineStr">
        <is>
          <t>0705602-96.2020.8.02.0001</t>
        </is>
      </c>
      <c r="E893" t="inlineStr">
        <is>
          <t>AJ_LIST</t>
        </is>
      </c>
      <c r="F893" t="inlineStr">
        <is>
          <t>QUARANTINED</t>
        </is>
      </c>
      <c r="G893" s="19" t="inlineStr">
        <is>
          <t>https://recuperacaojudicial.squarespace.com/s/RJJCMagalhesEdital2alistapublicadomaio2021.pdf</t>
        </is>
      </c>
      <c r="H893" t="inlineStr">
        <is>
          <t>p2 r9</t>
        </is>
      </c>
      <c r="I893" t="inlineStr">
        <is>
          <t>NO_DOCUMENT</t>
        </is>
      </c>
    </row>
    <row r="894">
      <c r="A894" t="inlineStr">
        <is>
          <t>NORTOX S/A</t>
        </is>
      </c>
      <c r="B894" s="10" t="n">
        <v>214373.63</v>
      </c>
      <c r="C894" t="inlineStr">
        <is>
          <t>JC Magalhães (Tecampo) e Biocampo — Lindoso e Araujo</t>
        </is>
      </c>
      <c r="D894" t="inlineStr">
        <is>
          <t>0705602-96.2020.8.02.0001</t>
        </is>
      </c>
      <c r="E894" t="inlineStr">
        <is>
          <t>AJ_LIST</t>
        </is>
      </c>
      <c r="F894" t="inlineStr">
        <is>
          <t>QUARANTINED</t>
        </is>
      </c>
      <c r="G894" s="19" t="inlineStr">
        <is>
          <t>https://recuperacaojudicial.squarespace.com/s/RJJCMagalhesEdital2alistapublicadomaio2021.pdf</t>
        </is>
      </c>
      <c r="H894" t="inlineStr">
        <is>
          <t>p1 r33</t>
        </is>
      </c>
      <c r="I894" t="inlineStr">
        <is>
          <t>NO_DOCUMENT</t>
        </is>
      </c>
    </row>
    <row r="895">
      <c r="A895" t="inlineStr">
        <is>
          <t>BANCO DO BRASIL S.A</t>
        </is>
      </c>
      <c r="B895" s="10" t="n">
        <v>52319676.11</v>
      </c>
      <c r="C895" t="inlineStr">
        <is>
          <t>E FALENCIA</t>
        </is>
      </c>
      <c r="D895" t="inlineStr">
        <is>
          <t>0006775-56.2016.8.17.2480</t>
        </is>
      </c>
      <c r="E895" t="inlineStr">
        <is>
          <t>AJ_LIST</t>
        </is>
      </c>
      <c r="F895" t="inlineStr">
        <is>
          <t>OK_NO_TOTALS</t>
        </is>
      </c>
      <c r="G895" s="19" t="inlineStr">
        <is>
          <t>https://lrflideres.com.br/wp-content/plugins/download-attachments/includes/download.php?id=3615</t>
        </is>
      </c>
      <c r="H895" t="inlineStr">
        <is>
          <t>p4 r106</t>
        </is>
      </c>
      <c r="I895" t="inlineStr">
        <is>
          <t>NO_DOCUMENT</t>
        </is>
      </c>
    </row>
    <row r="896">
      <c r="A896" t="inlineStr">
        <is>
          <t>BANCO SANTANDER S.A</t>
        </is>
      </c>
      <c r="B896" s="10" t="n">
        <v>28361233.68</v>
      </c>
      <c r="C896" t="inlineStr">
        <is>
          <t>E FALENCIA</t>
        </is>
      </c>
      <c r="D896" t="inlineStr">
        <is>
          <t>0006775-56.2016.8.17.2480</t>
        </is>
      </c>
      <c r="E896" t="inlineStr">
        <is>
          <t>AJ_LIST</t>
        </is>
      </c>
      <c r="F896" t="inlineStr">
        <is>
          <t>OK_NO_TOTALS</t>
        </is>
      </c>
      <c r="G896" s="19" t="inlineStr">
        <is>
          <t>https://lrflideres.com.br/wp-content/plugins/download-attachments/includes/download.php?id=3615</t>
        </is>
      </c>
      <c r="H896" t="inlineStr">
        <is>
          <t>p4 r111</t>
        </is>
      </c>
      <c r="I896" t="inlineStr">
        <is>
          <t>NO_DOCUMENT</t>
        </is>
      </c>
    </row>
    <row r="897">
      <c r="A897" t="inlineStr">
        <is>
          <t>BONANZA SUPERMERCADOS LTDA</t>
        </is>
      </c>
      <c r="B897" s="10" t="n">
        <v>19868988.23</v>
      </c>
      <c r="C897" t="inlineStr">
        <is>
          <t>E FALENCIA</t>
        </is>
      </c>
      <c r="D897" t="inlineStr">
        <is>
          <t>0006775-56.2016.8.17.2480</t>
        </is>
      </c>
      <c r="E897" t="inlineStr">
        <is>
          <t>AJ_LIST</t>
        </is>
      </c>
      <c r="F897" t="inlineStr">
        <is>
          <t>OK_NO_TOTALS</t>
        </is>
      </c>
      <c r="G897" s="19" t="inlineStr">
        <is>
          <t>https://lrflideres.com.br/wp-content/plugins/download-attachments/includes/download.php?id=3615</t>
        </is>
      </c>
      <c r="H897" t="inlineStr">
        <is>
          <t>p4 r120</t>
        </is>
      </c>
      <c r="I897" t="inlineStr">
        <is>
          <t>NO_DOCUMENT</t>
        </is>
      </c>
    </row>
    <row r="898">
      <c r="A898" t="inlineStr">
        <is>
          <t>BANCO ITAÚ S.A</t>
        </is>
      </c>
      <c r="B898" s="10" t="n">
        <v>19395846.05</v>
      </c>
      <c r="C898" t="inlineStr">
        <is>
          <t>E FALENCIA</t>
        </is>
      </c>
      <c r="D898" t="inlineStr">
        <is>
          <t>0006775-56.2016.8.17.2480</t>
        </is>
      </c>
      <c r="E898" t="inlineStr">
        <is>
          <t>AJ_LIST</t>
        </is>
      </c>
      <c r="F898" t="inlineStr">
        <is>
          <t>OK_NO_TOTALS</t>
        </is>
      </c>
      <c r="G898" s="19" t="inlineStr">
        <is>
          <t>https://lrflideres.com.br/wp-content/plugins/download-attachments/includes/download.php?id=3615</t>
        </is>
      </c>
      <c r="H898" t="inlineStr">
        <is>
          <t>p4 r108</t>
        </is>
      </c>
      <c r="I898" t="inlineStr">
        <is>
          <t>NO_DOCUMENT</t>
        </is>
      </c>
    </row>
    <row r="899">
      <c r="A899" t="inlineStr">
        <is>
          <t>BANCO DAYCOVAL S.A</t>
        </is>
      </c>
      <c r="B899" s="10" t="n">
        <v>18777567.84</v>
      </c>
      <c r="C899" t="inlineStr">
        <is>
          <t>E FALENCIA</t>
        </is>
      </c>
      <c r="D899" t="inlineStr">
        <is>
          <t>0006775-56.2016.8.17.2480</t>
        </is>
      </c>
      <c r="E899" t="inlineStr">
        <is>
          <t>AJ_LIST</t>
        </is>
      </c>
      <c r="F899" t="inlineStr">
        <is>
          <t>OK_NO_TOTALS</t>
        </is>
      </c>
      <c r="G899" s="19" t="inlineStr">
        <is>
          <t>https://lrflideres.com.br/wp-content/plugins/download-attachments/includes/download.php?id=3615</t>
        </is>
      </c>
      <c r="H899" t="inlineStr">
        <is>
          <t>p4 r105</t>
        </is>
      </c>
      <c r="I899" t="inlineStr">
        <is>
          <t>NO_DOCUMENT</t>
        </is>
      </c>
    </row>
    <row r="900">
      <c r="A900" t="inlineStr">
        <is>
          <t>BANCO DO NORDESTE DO BRASIL S.A</t>
        </is>
      </c>
      <c r="B900" s="10" t="n">
        <v>15152337.5</v>
      </c>
      <c r="C900" t="inlineStr">
        <is>
          <t>E FALENCIA</t>
        </is>
      </c>
      <c r="D900" t="inlineStr">
        <is>
          <t>0006775-56.2016.8.17.2480</t>
        </is>
      </c>
      <c r="E900" t="inlineStr">
        <is>
          <t>AJ_LIST</t>
        </is>
      </c>
      <c r="F900" t="inlineStr">
        <is>
          <t>OK_NO_TOTALS</t>
        </is>
      </c>
      <c r="G900" s="19" t="inlineStr">
        <is>
          <t>https://lrflideres.com.br/wp-content/plugins/download-attachments/includes/download.php?id=3615</t>
        </is>
      </c>
      <c r="H900" t="inlineStr">
        <is>
          <t>p4 r107</t>
        </is>
      </c>
      <c r="I900" t="inlineStr">
        <is>
          <t>NO_DOCUMENT</t>
        </is>
      </c>
    </row>
    <row r="901">
      <c r="A901" t="inlineStr">
        <is>
          <t>BANCO SAFRA S.A</t>
        </is>
      </c>
      <c r="B901" s="10" t="n">
        <v>13333333.2</v>
      </c>
      <c r="C901" t="inlineStr">
        <is>
          <t>E FALENCIA</t>
        </is>
      </c>
      <c r="D901" t="inlineStr">
        <is>
          <t>0006775-56.2016.8.17.2480</t>
        </is>
      </c>
      <c r="E901" t="inlineStr">
        <is>
          <t>AJ_LIST</t>
        </is>
      </c>
      <c r="F901" t="inlineStr">
        <is>
          <t>OK_NO_TOTALS</t>
        </is>
      </c>
      <c r="G901" s="19" t="inlineStr">
        <is>
          <t>https://lrflideres.com.br/wp-content/plugins/download-attachments/includes/download.php?id=3615</t>
        </is>
      </c>
      <c r="H901" t="inlineStr">
        <is>
          <t>p4 r110</t>
        </is>
      </c>
      <c r="I901" t="inlineStr">
        <is>
          <t>NO_DOCUMENT</t>
        </is>
      </c>
    </row>
    <row r="902">
      <c r="A902" t="inlineStr">
        <is>
          <t>DFC ADMINISTRADORA DE IMOVEIS LTDA</t>
        </is>
      </c>
      <c r="B902" s="10" t="n">
        <v>7880000</v>
      </c>
      <c r="C902" t="inlineStr">
        <is>
          <t>E FALENCIA</t>
        </is>
      </c>
      <c r="D902" t="inlineStr">
        <is>
          <t>0006775-56.2016.8.17.2480</t>
        </is>
      </c>
      <c r="E902" t="inlineStr">
        <is>
          <t>AJ_LIST</t>
        </is>
      </c>
      <c r="F902" t="inlineStr">
        <is>
          <t>OK_NO_TOTALS</t>
        </is>
      </c>
      <c r="G902" s="19" t="inlineStr">
        <is>
          <t>https://lrflideres.com.br/wp-content/plugins/download-attachments/includes/download.php?id=3615</t>
        </is>
      </c>
      <c r="H902" t="inlineStr">
        <is>
          <t>p4 r173</t>
        </is>
      </c>
      <c r="I902" t="inlineStr">
        <is>
          <t>NO_DOCUMENT</t>
        </is>
      </c>
    </row>
    <row r="903">
      <c r="A903" t="inlineStr">
        <is>
          <t>ALIANÇA DISTRIBUIDORA DE GENEROS ALIMENTICIOS LTDA</t>
        </is>
      </c>
      <c r="B903" s="10" t="n">
        <v>4273657.02</v>
      </c>
      <c r="C903" t="inlineStr">
        <is>
          <t>E FALENCIA</t>
        </is>
      </c>
      <c r="D903" t="inlineStr">
        <is>
          <t>0006775-56.2016.8.17.2480</t>
        </is>
      </c>
      <c r="E903" t="inlineStr">
        <is>
          <t>AJ_LIST</t>
        </is>
      </c>
      <c r="F903" t="inlineStr">
        <is>
          <t>OK_NO_TOTALS</t>
        </is>
      </c>
      <c r="G903" s="19" t="inlineStr">
        <is>
          <t>https://lrflideres.com.br/wp-content/plugins/download-attachments/includes/download.php?id=3615</t>
        </is>
      </c>
      <c r="H903" t="inlineStr">
        <is>
          <t>p4 r79</t>
        </is>
      </c>
      <c r="I903" t="inlineStr">
        <is>
          <t>NO_DOCUMENT</t>
        </is>
      </c>
    </row>
    <row r="904">
      <c r="A904" t="inlineStr">
        <is>
          <t>CAIXA ECONÔMICA FEDERAL</t>
        </is>
      </c>
      <c r="B904" s="10" t="n">
        <v>3303206.97</v>
      </c>
      <c r="C904" t="inlineStr">
        <is>
          <t>E FALENCIA</t>
        </is>
      </c>
      <c r="D904" t="inlineStr">
        <is>
          <t>0006775-56.2016.8.17.2480</t>
        </is>
      </c>
      <c r="E904" t="inlineStr">
        <is>
          <t>AJ_LIST</t>
        </is>
      </c>
      <c r="F904" t="inlineStr">
        <is>
          <t>OK_NO_TOTALS</t>
        </is>
      </c>
      <c r="G904" s="19" t="inlineStr">
        <is>
          <t>https://lrflideres.com.br/wp-content/plugins/download-attachments/includes/download.php?id=3615</t>
        </is>
      </c>
      <c r="H904" t="inlineStr">
        <is>
          <t>p4 r131</t>
        </is>
      </c>
      <c r="I904" t="inlineStr">
        <is>
          <t>NO_DOCUMENT</t>
        </is>
      </c>
    </row>
    <row r="905">
      <c r="A905" t="inlineStr">
        <is>
          <t>DANONE LTDA</t>
        </is>
      </c>
      <c r="B905" s="10" t="n">
        <v>2591493.3</v>
      </c>
      <c r="C905" t="inlineStr">
        <is>
          <t>E FALENCIA</t>
        </is>
      </c>
      <c r="D905" t="inlineStr">
        <is>
          <t>0006775-56.2016.8.17.2480</t>
        </is>
      </c>
      <c r="E905" t="inlineStr">
        <is>
          <t>AJ_LIST</t>
        </is>
      </c>
      <c r="F905" t="inlineStr">
        <is>
          <t>OK_NO_TOTALS</t>
        </is>
      </c>
      <c r="G905" s="19" t="inlineStr">
        <is>
          <t>https://lrflideres.com.br/wp-content/plugins/download-attachments/includes/download.php?id=3615</t>
        </is>
      </c>
      <c r="H905" t="inlineStr">
        <is>
          <t>p4 r169</t>
        </is>
      </c>
      <c r="I905" t="inlineStr">
        <is>
          <t>NO_DOCUMENT</t>
        </is>
      </c>
    </row>
    <row r="906">
      <c r="A906" t="inlineStr">
        <is>
          <t>VERDAO DISTRIBUIDORA DE HORTIFRUTI LTDA</t>
        </is>
      </c>
      <c r="B906" s="10" t="n">
        <v>1706304.38</v>
      </c>
      <c r="C906" t="inlineStr">
        <is>
          <t>E FALENCIA</t>
        </is>
      </c>
      <c r="D906" t="inlineStr">
        <is>
          <t>0006775-56.2016.8.17.2480</t>
        </is>
      </c>
      <c r="E906" t="inlineStr">
        <is>
          <t>AJ_LIST</t>
        </is>
      </c>
      <c r="F906" t="inlineStr">
        <is>
          <t>OK_NO_TOTALS</t>
        </is>
      </c>
      <c r="G906" s="19" t="inlineStr">
        <is>
          <t>https://lrflideres.com.br/wp-content/plugins/download-attachments/includes/download.php?id=3615</t>
        </is>
      </c>
      <c r="H906" t="inlineStr">
        <is>
          <t>p6 r93</t>
        </is>
      </c>
      <c r="I906" t="inlineStr">
        <is>
          <t>NO_DOCUMENT</t>
        </is>
      </c>
    </row>
    <row r="907">
      <c r="A907" t="inlineStr">
        <is>
          <t>JAGUAR TRADING COMPANY IMPORTACAO E EXPO</t>
        </is>
      </c>
      <c r="B907" s="10" t="n">
        <v>1619761.58</v>
      </c>
      <c r="C907" t="inlineStr">
        <is>
          <t>E FALENCIA</t>
        </is>
      </c>
      <c r="D907" t="inlineStr">
        <is>
          <t>0006775-56.2016.8.17.2480</t>
        </is>
      </c>
      <c r="E907" t="inlineStr">
        <is>
          <t>AJ_LIST</t>
        </is>
      </c>
      <c r="F907" t="inlineStr">
        <is>
          <t>OK_NO_TOTALS</t>
        </is>
      </c>
      <c r="G907" s="19" t="inlineStr">
        <is>
          <t>https://lrflideres.com.br/wp-content/plugins/download-attachments/includes/download.php?id=3615</t>
        </is>
      </c>
      <c r="H907" t="inlineStr">
        <is>
          <t>p5 r84</t>
        </is>
      </c>
      <c r="I907" t="inlineStr">
        <is>
          <t>NO_DOCUMENT</t>
        </is>
      </c>
    </row>
    <row r="908">
      <c r="A908" t="inlineStr">
        <is>
          <t>BRF S.A</t>
        </is>
      </c>
      <c r="B908" s="10" t="n">
        <v>1368656.29</v>
      </c>
      <c r="C908" t="inlineStr">
        <is>
          <t>E FALENCIA</t>
        </is>
      </c>
      <c r="D908" t="inlineStr">
        <is>
          <t>0006775-56.2016.8.17.2480</t>
        </is>
      </c>
      <c r="E908" t="inlineStr">
        <is>
          <t>AJ_LIST</t>
        </is>
      </c>
      <c r="F908" t="inlineStr">
        <is>
          <t>OK_NO_TOTALS</t>
        </is>
      </c>
      <c r="G908" s="19" t="inlineStr">
        <is>
          <t>https://lrflideres.com.br/wp-content/plugins/download-attachments/includes/download.php?id=3615</t>
        </is>
      </c>
      <c r="H908" t="inlineStr">
        <is>
          <t>p4 r125</t>
        </is>
      </c>
      <c r="I908" t="inlineStr">
        <is>
          <t>NO_DOCUMENT</t>
        </is>
      </c>
    </row>
    <row r="909">
      <c r="A909" t="inlineStr">
        <is>
          <t>SC JOHNSON DISTRIBUICAO LTDA</t>
        </is>
      </c>
      <c r="B909" s="10" t="n">
        <v>1356523.15</v>
      </c>
      <c r="C909" t="inlineStr">
        <is>
          <t>E FALENCIA</t>
        </is>
      </c>
      <c r="D909" t="inlineStr">
        <is>
          <t>0006775-56.2016.8.17.2480</t>
        </is>
      </c>
      <c r="E909" t="inlineStr">
        <is>
          <t>AJ_LIST</t>
        </is>
      </c>
      <c r="F909" t="inlineStr">
        <is>
          <t>OK_NO_TOTALS</t>
        </is>
      </c>
      <c r="G909" s="19" t="inlineStr">
        <is>
          <t>https://lrflideres.com.br/wp-content/plugins/download-attachments/includes/download.php?id=3615</t>
        </is>
      </c>
      <c r="H909" t="inlineStr">
        <is>
          <t>p6 r45</t>
        </is>
      </c>
      <c r="I909" t="inlineStr">
        <is>
          <t>NO_DOCUMENT</t>
        </is>
      </c>
    </row>
    <row r="910">
      <c r="A910" t="inlineStr">
        <is>
          <t>CIPAN COM E IND DE PROD ALIMENT NE LTDA</t>
        </is>
      </c>
      <c r="B910" s="10" t="n">
        <v>1323703.6</v>
      </c>
      <c r="C910" t="inlineStr">
        <is>
          <t>E FALENCIA</t>
        </is>
      </c>
      <c r="D910" t="inlineStr">
        <is>
          <t>0006775-56.2016.8.17.2480</t>
        </is>
      </c>
      <c r="E910" t="inlineStr">
        <is>
          <t>AJ_LIST</t>
        </is>
      </c>
      <c r="F910" t="inlineStr">
        <is>
          <t>OK_NO_TOTALS</t>
        </is>
      </c>
      <c r="G910" s="19" t="inlineStr">
        <is>
          <t>https://lrflideres.com.br/wp-content/plugins/download-attachments/includes/download.php?id=3615</t>
        </is>
      </c>
      <c r="H910" t="inlineStr">
        <is>
          <t>p4 r150</t>
        </is>
      </c>
      <c r="I910" t="inlineStr">
        <is>
          <t>NO_DOCUMENT</t>
        </is>
      </c>
    </row>
    <row r="911">
      <c r="A911" t="inlineStr">
        <is>
          <t>MASTERBOI LTDA</t>
        </is>
      </c>
      <c r="B911" s="10" t="n">
        <v>1245883.68</v>
      </c>
      <c r="C911" t="inlineStr">
        <is>
          <t>E FALENCIA</t>
        </is>
      </c>
      <c r="D911" t="inlineStr">
        <is>
          <t>0006775-56.2016.8.17.2480</t>
        </is>
      </c>
      <c r="E911" t="inlineStr">
        <is>
          <t>AJ_LIST</t>
        </is>
      </c>
      <c r="F911" t="inlineStr">
        <is>
          <t>OK_NO_TOTALS</t>
        </is>
      </c>
      <c r="G911" s="19" t="inlineStr">
        <is>
          <t>https://lrflideres.com.br/wp-content/plugins/download-attachments/includes/download.php?id=3615</t>
        </is>
      </c>
      <c r="H911" t="inlineStr">
        <is>
          <t>p5 r135</t>
        </is>
      </c>
      <c r="I911" t="inlineStr">
        <is>
          <t>NO_DOCUMENT</t>
        </is>
      </c>
    </row>
    <row r="912">
      <c r="A912" t="inlineStr">
        <is>
          <t>BANCO BRADESCO S.A</t>
        </is>
      </c>
      <c r="B912" s="10" t="n">
        <v>1023432.27</v>
      </c>
      <c r="C912" t="inlineStr">
        <is>
          <t>E FALENCIA</t>
        </is>
      </c>
      <c r="D912" t="inlineStr">
        <is>
          <t>0006775-56.2016.8.17.2480</t>
        </is>
      </c>
      <c r="E912" t="inlineStr">
        <is>
          <t>AJ_LIST</t>
        </is>
      </c>
      <c r="F912" t="inlineStr">
        <is>
          <t>OK_NO_TOTALS</t>
        </is>
      </c>
      <c r="G912" s="19" t="inlineStr">
        <is>
          <t>https://lrflideres.com.br/wp-content/plugins/download-attachments/includes/download.php?id=3615</t>
        </is>
      </c>
      <c r="H912" t="inlineStr">
        <is>
          <t>p4 r104</t>
        </is>
      </c>
      <c r="I912" t="inlineStr">
        <is>
          <t>NO_DOCUMENT</t>
        </is>
      </c>
    </row>
    <row r="913">
      <c r="A913" t="inlineStr">
        <is>
          <t>GOIASMINAS INDUSTRIA DE LATICINIOS LTDA</t>
        </is>
      </c>
      <c r="B913" s="10" t="n">
        <v>1018070.6</v>
      </c>
      <c r="C913" t="inlineStr">
        <is>
          <t>E FALENCIA</t>
        </is>
      </c>
      <c r="D913" t="inlineStr">
        <is>
          <t>0006775-56.2016.8.17.2480</t>
        </is>
      </c>
      <c r="E913" t="inlineStr">
        <is>
          <t>AJ_LIST</t>
        </is>
      </c>
      <c r="F913" t="inlineStr">
        <is>
          <t>OK_NO_TOTALS</t>
        </is>
      </c>
      <c r="G913" s="19" t="inlineStr">
        <is>
          <t>https://lrflideres.com.br/wp-content/plugins/download-attachments/includes/download.php?id=3615</t>
        </is>
      </c>
      <c r="H913" t="inlineStr">
        <is>
          <t>p5 r26</t>
        </is>
      </c>
      <c r="I913" t="inlineStr">
        <is>
          <t>NO_DOCUMENT</t>
        </is>
      </c>
    </row>
    <row r="914">
      <c r="A914" t="inlineStr">
        <is>
          <t>JBS S.A</t>
        </is>
      </c>
      <c r="B914" s="10" t="n">
        <v>961015.12</v>
      </c>
      <c r="C914" t="inlineStr">
        <is>
          <t>E FALENCIA</t>
        </is>
      </c>
      <c r="D914" t="inlineStr">
        <is>
          <t>0006775-56.2016.8.17.2480</t>
        </is>
      </c>
      <c r="E914" t="inlineStr">
        <is>
          <t>AJ_LIST</t>
        </is>
      </c>
      <c r="F914" t="inlineStr">
        <is>
          <t>OK_NO_TOTALS</t>
        </is>
      </c>
      <c r="G914" s="19" t="inlineStr">
        <is>
          <t>https://lrflideres.com.br/wp-content/plugins/download-attachments/includes/download.php?id=3615</t>
        </is>
      </c>
      <c r="H914" t="inlineStr">
        <is>
          <t>p5 r88</t>
        </is>
      </c>
      <c r="I914" t="inlineStr">
        <is>
          <t>NO_DOCUMENT</t>
        </is>
      </c>
    </row>
    <row r="915">
      <c r="A915" t="inlineStr">
        <is>
          <t>DCL DISTRIBUIDORA CARDEAL LTDA</t>
        </is>
      </c>
      <c r="B915" s="10" t="n">
        <v>933843.74</v>
      </c>
      <c r="C915" t="inlineStr">
        <is>
          <t>E FALENCIA</t>
        </is>
      </c>
      <c r="D915" t="inlineStr">
        <is>
          <t>0006775-56.2016.8.17.2480</t>
        </is>
      </c>
      <c r="E915" t="inlineStr">
        <is>
          <t>AJ_LIST</t>
        </is>
      </c>
      <c r="F915" t="inlineStr">
        <is>
          <t>OK_NO_TOTALS</t>
        </is>
      </c>
      <c r="G915" s="19" t="inlineStr">
        <is>
          <t>https://lrflideres.com.br/wp-content/plugins/download-attachments/includes/download.php?id=3615</t>
        </is>
      </c>
      <c r="H915" t="inlineStr">
        <is>
          <t>p4 r170</t>
        </is>
      </c>
      <c r="I915" t="inlineStr">
        <is>
          <t>NO_DOCUMENT</t>
        </is>
      </c>
    </row>
    <row r="916">
      <c r="A916" t="inlineStr">
        <is>
          <t>SOMAR COMERCIO E TRANSPORTE DE ALIMENTOS</t>
        </is>
      </c>
      <c r="B916" s="10" t="n">
        <v>911626.09</v>
      </c>
      <c r="C916" t="inlineStr">
        <is>
          <t>E FALENCIA</t>
        </is>
      </c>
      <c r="D916" t="inlineStr">
        <is>
          <t>0006775-56.2016.8.17.2480</t>
        </is>
      </c>
      <c r="E916" t="inlineStr">
        <is>
          <t>AJ_LIST</t>
        </is>
      </c>
      <c r="F916" t="inlineStr">
        <is>
          <t>OK_NO_TOTALS</t>
        </is>
      </c>
      <c r="G916" s="19" t="inlineStr">
        <is>
          <t>https://lrflideres.com.br/wp-content/plugins/download-attachments/includes/download.php?id=3615</t>
        </is>
      </c>
      <c r="H916" t="inlineStr">
        <is>
          <t>p6 r61</t>
        </is>
      </c>
      <c r="I916" t="inlineStr">
        <is>
          <t>NO_DOCUMENT</t>
        </is>
      </c>
    </row>
    <row r="917">
      <c r="A917" t="inlineStr">
        <is>
          <t>NORSA REFRIGERANTES LTDA</t>
        </is>
      </c>
      <c r="B917" s="10" t="n">
        <v>904168.29</v>
      </c>
      <c r="C917" t="inlineStr">
        <is>
          <t>E FALENCIA</t>
        </is>
      </c>
      <c r="D917" t="inlineStr">
        <is>
          <t>0006775-56.2016.8.17.2480</t>
        </is>
      </c>
      <c r="E917" t="inlineStr">
        <is>
          <t>AJ_LIST</t>
        </is>
      </c>
      <c r="F917" t="inlineStr">
        <is>
          <t>OK_NO_TOTALS</t>
        </is>
      </c>
      <c r="G917" s="19" t="inlineStr">
        <is>
          <t>https://lrflideres.com.br/wp-content/plugins/download-attachments/includes/download.php?id=3615</t>
        </is>
      </c>
      <c r="H917" t="inlineStr">
        <is>
          <t>p5 r157</t>
        </is>
      </c>
      <c r="I917" t="inlineStr">
        <is>
          <t>NO_DOCUMENT</t>
        </is>
      </c>
    </row>
    <row r="918">
      <c r="A918" t="inlineStr">
        <is>
          <t>MAURICEA ALIMENTOS DO NORDESTE LTDA</t>
        </is>
      </c>
      <c r="B918" s="10" t="n">
        <v>711432.8199999999</v>
      </c>
      <c r="C918" t="inlineStr">
        <is>
          <t>E FALENCIA</t>
        </is>
      </c>
      <c r="D918" t="inlineStr">
        <is>
          <t>0006775-56.2016.8.17.2480</t>
        </is>
      </c>
      <c r="E918" t="inlineStr">
        <is>
          <t>AJ_LIST</t>
        </is>
      </c>
      <c r="F918" t="inlineStr">
        <is>
          <t>OK_NO_TOTALS</t>
        </is>
      </c>
      <c r="G918" s="19" t="inlineStr">
        <is>
          <t>https://lrflideres.com.br/wp-content/plugins/download-attachments/includes/download.php?id=3615</t>
        </is>
      </c>
      <c r="H918" t="inlineStr">
        <is>
          <t>p5 r138</t>
        </is>
      </c>
      <c r="I918" t="inlineStr">
        <is>
          <t>NO_DOCUMENT</t>
        </is>
      </c>
    </row>
    <row r="919">
      <c r="A919" t="inlineStr">
        <is>
          <t>BRILHO TERCEIRIZACOES LTDA</t>
        </is>
      </c>
      <c r="B919" s="10" t="n">
        <v>648126.36</v>
      </c>
      <c r="C919" t="inlineStr">
        <is>
          <t>E FALENCIA</t>
        </is>
      </c>
      <c r="D919" t="inlineStr">
        <is>
          <t>0006775-56.2016.8.17.2480</t>
        </is>
      </c>
      <c r="E919" t="inlineStr">
        <is>
          <t>AJ_LIST</t>
        </is>
      </c>
      <c r="F919" t="inlineStr">
        <is>
          <t>OK_NO_TOTALS</t>
        </is>
      </c>
      <c r="G919" s="19" t="inlineStr">
        <is>
          <t>https://lrflideres.com.br/wp-content/plugins/download-attachments/includes/download.php?id=3615</t>
        </is>
      </c>
      <c r="H919" t="inlineStr">
        <is>
          <t>p4 r126</t>
        </is>
      </c>
      <c r="I919" t="inlineStr">
        <is>
          <t>NO_DOCUMENT</t>
        </is>
      </c>
    </row>
    <row r="920">
      <c r="A920" t="inlineStr">
        <is>
          <t>KARNE KEIJO COM.IMPORT.EXPORT LTDA</t>
        </is>
      </c>
      <c r="B920" s="10" t="n">
        <v>550688.62</v>
      </c>
      <c r="C920" t="inlineStr">
        <is>
          <t>E FALENCIA</t>
        </is>
      </c>
      <c r="D920" t="inlineStr">
        <is>
          <t>0006775-56.2016.8.17.2480</t>
        </is>
      </c>
      <c r="E920" t="inlineStr">
        <is>
          <t>AJ_LIST</t>
        </is>
      </c>
      <c r="F920" t="inlineStr">
        <is>
          <t>OK_NO_TOTALS</t>
        </is>
      </c>
      <c r="G920" s="19" t="inlineStr">
        <is>
          <t>https://lrflideres.com.br/wp-content/plugins/download-attachments/includes/download.php?id=3615</t>
        </is>
      </c>
      <c r="H920" t="inlineStr">
        <is>
          <t>p5 r105</t>
        </is>
      </c>
      <c r="I920" t="inlineStr">
        <is>
          <t>NO_DOCUMENT</t>
        </is>
      </c>
    </row>
    <row r="921">
      <c r="A921" t="inlineStr">
        <is>
          <t>HSBC BANK BRASIL S.A</t>
        </is>
      </c>
      <c r="B921" s="10" t="n">
        <v>524135.35</v>
      </c>
      <c r="C921" t="inlineStr">
        <is>
          <t>E FALENCIA</t>
        </is>
      </c>
      <c r="D921" t="inlineStr">
        <is>
          <t>0006775-56.2016.8.17.2480</t>
        </is>
      </c>
      <c r="E921" t="inlineStr">
        <is>
          <t>AJ_LIST</t>
        </is>
      </c>
      <c r="F921" t="inlineStr">
        <is>
          <t>OK_NO_TOTALS</t>
        </is>
      </c>
      <c r="G921" s="19" t="inlineStr">
        <is>
          <t>https://lrflideres.com.br/wp-content/plugins/download-attachments/includes/download.php?id=3615</t>
        </is>
      </c>
      <c r="H921" t="inlineStr">
        <is>
          <t>p5 r41</t>
        </is>
      </c>
      <c r="I921" t="inlineStr">
        <is>
          <t>NO_DOCUMENT</t>
        </is>
      </c>
    </row>
    <row r="922">
      <c r="A922" t="inlineStr">
        <is>
          <t>NESTLE BRASIL LTDA</t>
        </is>
      </c>
      <c r="B922" s="10" t="n">
        <v>489501.67</v>
      </c>
      <c r="C922" t="inlineStr">
        <is>
          <t>E FALENCIA</t>
        </is>
      </c>
      <c r="D922" t="inlineStr">
        <is>
          <t>0006775-56.2016.8.17.2480</t>
        </is>
      </c>
      <c r="E922" t="inlineStr">
        <is>
          <t>AJ_LIST</t>
        </is>
      </c>
      <c r="F922" t="inlineStr">
        <is>
          <t>OK_NO_TOTALS</t>
        </is>
      </c>
      <c r="G922" s="19" t="inlineStr">
        <is>
          <t>https://lrflideres.com.br/wp-content/plugins/download-attachments/includes/download.php?id=3615</t>
        </is>
      </c>
      <c r="H922" t="inlineStr">
        <is>
          <t>p5 r150</t>
        </is>
      </c>
      <c r="I922" t="inlineStr">
        <is>
          <t>NO_DOCUMENT</t>
        </is>
      </c>
    </row>
    <row r="923">
      <c r="A923" t="inlineStr">
        <is>
          <t>ASA INDUSTRIA E COMERCIO LTDA</t>
        </is>
      </c>
      <c r="B923" s="10" t="n">
        <v>476378.08</v>
      </c>
      <c r="C923" t="inlineStr">
        <is>
          <t>E FALENCIA</t>
        </is>
      </c>
      <c r="D923" t="inlineStr">
        <is>
          <t>0006775-56.2016.8.17.2480</t>
        </is>
      </c>
      <c r="E923" t="inlineStr">
        <is>
          <t>AJ_LIST</t>
        </is>
      </c>
      <c r="F923" t="inlineStr">
        <is>
          <t>OK_NO_TOTALS</t>
        </is>
      </c>
      <c r="G923" s="19" t="inlineStr">
        <is>
          <t>https://lrflideres.com.br/wp-content/plugins/download-attachments/includes/download.php?id=3615</t>
        </is>
      </c>
      <c r="H923" t="inlineStr">
        <is>
          <t>p4 r91</t>
        </is>
      </c>
      <c r="I923" t="inlineStr">
        <is>
          <t>NO_DOCUMENT</t>
        </is>
      </c>
    </row>
    <row r="924">
      <c r="A924" t="inlineStr">
        <is>
          <t>PARATY ATACADO E DISTRIBUIDORA LTDA</t>
        </is>
      </c>
      <c r="B924" s="10" t="n">
        <v>453979.44</v>
      </c>
      <c r="C924" t="inlineStr">
        <is>
          <t>E FALENCIA</t>
        </is>
      </c>
      <c r="D924" t="inlineStr">
        <is>
          <t>0006775-56.2016.8.17.2480</t>
        </is>
      </c>
      <c r="E924" t="inlineStr">
        <is>
          <t>AJ_LIST</t>
        </is>
      </c>
      <c r="F924" t="inlineStr">
        <is>
          <t>OK_NO_TOTALS</t>
        </is>
      </c>
      <c r="G924" s="19" t="inlineStr">
        <is>
          <t>https://lrflideres.com.br/wp-content/plugins/download-attachments/includes/download.php?id=3615</t>
        </is>
      </c>
      <c r="H924" t="inlineStr">
        <is>
          <t>p5 r176</t>
        </is>
      </c>
      <c r="I924" t="inlineStr">
        <is>
          <t>NO_DOCUMENT</t>
        </is>
      </c>
    </row>
    <row r="925">
      <c r="A925" t="inlineStr">
        <is>
          <t>ONDUNORTE-CIA PAPEIS PAP.OND.NORTE</t>
        </is>
      </c>
      <c r="B925" s="10" t="n">
        <v>449619.63</v>
      </c>
      <c r="C925" t="inlineStr">
        <is>
          <t>E FALENCIA</t>
        </is>
      </c>
      <c r="D925" t="inlineStr">
        <is>
          <t>0006775-56.2016.8.17.2480</t>
        </is>
      </c>
      <c r="E925" t="inlineStr">
        <is>
          <t>AJ_LIST</t>
        </is>
      </c>
      <c r="F925" t="inlineStr">
        <is>
          <t>OK_NO_TOTALS</t>
        </is>
      </c>
      <c r="G925" s="19" t="inlineStr">
        <is>
          <t>https://lrflideres.com.br/wp-content/plugins/download-attachments/includes/download.php?id=3615</t>
        </is>
      </c>
      <c r="H925" t="inlineStr">
        <is>
          <t>p5 r166</t>
        </is>
      </c>
      <c r="I925" t="inlineStr">
        <is>
          <t>NO_DOCUMENT</t>
        </is>
      </c>
    </row>
    <row r="926">
      <c r="A926" t="inlineStr">
        <is>
          <t>UNIMED CARUARU COOPERATIVA DE TRABALHO MEDICO</t>
        </is>
      </c>
      <c r="B926" s="10" t="n">
        <v>436662.22</v>
      </c>
      <c r="C926" t="inlineStr">
        <is>
          <t>E FALENCIA</t>
        </is>
      </c>
      <c r="D926" t="inlineStr">
        <is>
          <t>0006775-56.2016.8.17.2480</t>
        </is>
      </c>
      <c r="E926" t="inlineStr">
        <is>
          <t>AJ_LIST</t>
        </is>
      </c>
      <c r="F926" t="inlineStr">
        <is>
          <t>OK_NO_TOTALS</t>
        </is>
      </c>
      <c r="G926" s="19" t="inlineStr">
        <is>
          <t>https://lrflideres.com.br/wp-content/plugins/download-attachments/includes/download.php?id=3615</t>
        </is>
      </c>
      <c r="H926" t="inlineStr">
        <is>
          <t>p6 r84</t>
        </is>
      </c>
      <c r="I926" t="inlineStr">
        <is>
          <t>NO_DOCUMENT</t>
        </is>
      </c>
    </row>
    <row r="927">
      <c r="A927" t="inlineStr">
        <is>
          <t>BARBOSA E MARQUES S.A</t>
        </is>
      </c>
      <c r="B927" s="10" t="n">
        <v>415916.79</v>
      </c>
      <c r="C927" t="inlineStr">
        <is>
          <t>E FALENCIA</t>
        </is>
      </c>
      <c r="D927" t="inlineStr">
        <is>
          <t>0006775-56.2016.8.17.2480</t>
        </is>
      </c>
      <c r="E927" t="inlineStr">
        <is>
          <t>AJ_LIST</t>
        </is>
      </c>
      <c r="F927" t="inlineStr">
        <is>
          <t>OK_NO_TOTALS</t>
        </is>
      </c>
      <c r="G927" s="19" t="inlineStr">
        <is>
          <t>https://lrflideres.com.br/wp-content/plugins/download-attachments/includes/download.php?id=3615</t>
        </is>
      </c>
      <c r="H927" t="inlineStr">
        <is>
          <t>p4 r112</t>
        </is>
      </c>
      <c r="I927" t="inlineStr">
        <is>
          <t>NO_DOCUMENT</t>
        </is>
      </c>
    </row>
    <row r="928">
      <c r="A928" t="inlineStr">
        <is>
          <t>O L INDUSTRIA DE PAPEIS LTDA</t>
        </is>
      </c>
      <c r="B928" s="10" t="n">
        <v>399796.22</v>
      </c>
      <c r="C928" t="inlineStr">
        <is>
          <t>E FALENCIA</t>
        </is>
      </c>
      <c r="D928" t="inlineStr">
        <is>
          <t>0006775-56.2016.8.17.2480</t>
        </is>
      </c>
      <c r="E928" t="inlineStr">
        <is>
          <t>AJ_LIST</t>
        </is>
      </c>
      <c r="F928" t="inlineStr">
        <is>
          <t>OK_NO_TOTALS</t>
        </is>
      </c>
      <c r="G928" s="19" t="inlineStr">
        <is>
          <t>https://lrflideres.com.br/wp-content/plugins/download-attachments/includes/download.php?id=3615</t>
        </is>
      </c>
      <c r="H928" t="inlineStr">
        <is>
          <t>p5 r162</t>
        </is>
      </c>
      <c r="I928" t="inlineStr">
        <is>
          <t>NO_DOCUMENT</t>
        </is>
      </c>
    </row>
    <row r="929">
      <c r="A929" t="inlineStr">
        <is>
          <t>EMP BRASILEIRA TECN ADM CONVEN HOM LTDA</t>
        </is>
      </c>
      <c r="B929" s="10" t="n">
        <v>398467.45</v>
      </c>
      <c r="C929" t="inlineStr">
        <is>
          <t>E FALENCIA</t>
        </is>
      </c>
      <c r="D929" t="inlineStr">
        <is>
          <t>0006775-56.2016.8.17.2480</t>
        </is>
      </c>
      <c r="E929" t="inlineStr">
        <is>
          <t>AJ_LIST</t>
        </is>
      </c>
      <c r="F929" t="inlineStr">
        <is>
          <t>OK_NO_TOTALS</t>
        </is>
      </c>
      <c r="G929" s="19" t="inlineStr">
        <is>
          <t>https://lrflideres.com.br/wp-content/plugins/download-attachments/includes/download.php?id=3615</t>
        </is>
      </c>
      <c r="H929" t="inlineStr">
        <is>
          <t>p4 r198</t>
        </is>
      </c>
      <c r="I929" t="inlineStr">
        <is>
          <t>NO_DOCUMENT</t>
        </is>
      </c>
    </row>
    <row r="930">
      <c r="A930" t="inlineStr">
        <is>
          <t>SAO BRAZ S/A INDUSTRIA E COMERCIO DE ALI</t>
        </is>
      </c>
      <c r="B930" s="10" t="n">
        <v>382751.25</v>
      </c>
      <c r="C930" t="inlineStr">
        <is>
          <t>E FALENCIA</t>
        </is>
      </c>
      <c r="D930" t="inlineStr">
        <is>
          <t>0006775-56.2016.8.17.2480</t>
        </is>
      </c>
      <c r="E930" t="inlineStr">
        <is>
          <t>AJ_LIST</t>
        </is>
      </c>
      <c r="F930" t="inlineStr">
        <is>
          <t>OK_NO_TOTALS</t>
        </is>
      </c>
      <c r="G930" s="19" t="inlineStr">
        <is>
          <t>https://lrflideres.com.br/wp-content/plugins/download-attachments/includes/download.php?id=3615</t>
        </is>
      </c>
      <c r="H930" t="inlineStr">
        <is>
          <t>p6 r44</t>
        </is>
      </c>
      <c r="I930" t="inlineStr">
        <is>
          <t>NO_DOCUMENT</t>
        </is>
      </c>
    </row>
    <row r="931">
      <c r="A931" t="inlineStr">
        <is>
          <t>NOTARO ALIMENTOS LTDA</t>
        </is>
      </c>
      <c r="B931" s="10" t="n">
        <v>366588.66</v>
      </c>
      <c r="C931" t="inlineStr">
        <is>
          <t>E FALENCIA</t>
        </is>
      </c>
      <c r="D931" t="inlineStr">
        <is>
          <t>0006775-56.2016.8.17.2480</t>
        </is>
      </c>
      <c r="E931" t="inlineStr">
        <is>
          <t>AJ_LIST</t>
        </is>
      </c>
      <c r="F931" t="inlineStr">
        <is>
          <t>OK_NO_TOTALS</t>
        </is>
      </c>
      <c r="G931" s="19" t="inlineStr">
        <is>
          <t>https://lrflideres.com.br/wp-content/plugins/download-attachments/includes/download.php?id=3615</t>
        </is>
      </c>
      <c r="H931" t="inlineStr">
        <is>
          <t>p5 r159</t>
        </is>
      </c>
      <c r="I931" t="inlineStr">
        <is>
          <t>NO_DOCUMENT</t>
        </is>
      </c>
    </row>
    <row r="932">
      <c r="A932" t="inlineStr">
        <is>
          <t>COMPANHIA ENERGETICA DE PERNAMBUCO</t>
        </is>
      </c>
      <c r="B932" s="10" t="n">
        <v>365523.24</v>
      </c>
      <c r="C932" t="inlineStr">
        <is>
          <t>E FALENCIA</t>
        </is>
      </c>
      <c r="D932" t="inlineStr">
        <is>
          <t>0006775-56.2016.8.17.2480</t>
        </is>
      </c>
      <c r="E932" t="inlineStr">
        <is>
          <t>AJ_LIST</t>
        </is>
      </c>
      <c r="F932" t="inlineStr">
        <is>
          <t>OK_NO_TOTALS</t>
        </is>
      </c>
      <c r="G932" s="19" t="inlineStr">
        <is>
          <t>https://lrflideres.com.br/wp-content/plugins/download-attachments/includes/download.php?id=3615</t>
        </is>
      </c>
      <c r="H932" t="inlineStr">
        <is>
          <t>p4 r155</t>
        </is>
      </c>
      <c r="I932" t="inlineStr">
        <is>
          <t>NO_DOCUMENT</t>
        </is>
      </c>
    </row>
    <row r="933">
      <c r="A933" t="inlineStr">
        <is>
          <t>SEARA ALIMENTOS LTDA</t>
        </is>
      </c>
      <c r="B933" s="10" t="n">
        <v>344095.06</v>
      </c>
      <c r="C933" t="inlineStr">
        <is>
          <t>E FALENCIA</t>
        </is>
      </c>
      <c r="D933" t="inlineStr">
        <is>
          <t>0006775-56.2016.8.17.2480</t>
        </is>
      </c>
      <c r="E933" t="inlineStr">
        <is>
          <t>AJ_LIST</t>
        </is>
      </c>
      <c r="F933" t="inlineStr">
        <is>
          <t>OK_NO_TOTALS</t>
        </is>
      </c>
      <c r="G933" s="19" t="inlineStr">
        <is>
          <t>https://lrflideres.com.br/wp-content/plugins/download-attachments/includes/download.php?id=3615</t>
        </is>
      </c>
      <c r="H933" t="inlineStr">
        <is>
          <t>p6 r47</t>
        </is>
      </c>
      <c r="I933" t="inlineStr">
        <is>
          <t>NO_DOCUMENT</t>
        </is>
      </c>
    </row>
    <row r="934">
      <c r="A934" t="inlineStr">
        <is>
          <t>LATICINIOS BELA VISTA LTDA</t>
        </is>
      </c>
      <c r="B934" s="10" t="n">
        <v>330552.57</v>
      </c>
      <c r="C934" t="inlineStr">
        <is>
          <t>E FALENCIA</t>
        </is>
      </c>
      <c r="D934" t="inlineStr">
        <is>
          <t>0006775-56.2016.8.17.2480</t>
        </is>
      </c>
      <c r="E934" t="inlineStr">
        <is>
          <t>AJ_LIST</t>
        </is>
      </c>
      <c r="F934" t="inlineStr">
        <is>
          <t>OK_NO_TOTALS</t>
        </is>
      </c>
      <c r="G934" s="19" t="inlineStr">
        <is>
          <t>https://lrflideres.com.br/wp-content/plugins/download-attachments/includes/download.php?id=3615</t>
        </is>
      </c>
      <c r="H934" t="inlineStr">
        <is>
          <t>p5 r113</t>
        </is>
      </c>
      <c r="I934" t="inlineStr">
        <is>
          <t>NO_DOCUMENT</t>
        </is>
      </c>
    </row>
    <row r="935">
      <c r="A935" t="inlineStr">
        <is>
          <t>TOTVS SA</t>
        </is>
      </c>
      <c r="B935" s="10" t="n">
        <v>327530.28</v>
      </c>
      <c r="C935" t="inlineStr">
        <is>
          <t>E FALENCIA</t>
        </is>
      </c>
      <c r="D935" t="inlineStr">
        <is>
          <t>0006775-56.2016.8.17.2480</t>
        </is>
      </c>
      <c r="E935" t="inlineStr">
        <is>
          <t>AJ_LIST</t>
        </is>
      </c>
      <c r="F935" t="inlineStr">
        <is>
          <t>OK_NO_TOTALS</t>
        </is>
      </c>
      <c r="G935" s="19" t="inlineStr">
        <is>
          <t>https://lrflideres.com.br/wp-content/plugins/download-attachments/includes/download.php?id=3615</t>
        </is>
      </c>
      <c r="H935" t="inlineStr">
        <is>
          <t>p6 r78</t>
        </is>
      </c>
      <c r="I935" t="inlineStr">
        <is>
          <t>NO_DOCUMENT</t>
        </is>
      </c>
    </row>
    <row r="936">
      <c r="A936" t="inlineStr">
        <is>
          <t>AMBEV S.A</t>
        </is>
      </c>
      <c r="B936" s="10" t="n">
        <v>325782.28</v>
      </c>
      <c r="C936" t="inlineStr">
        <is>
          <t>E FALENCIA</t>
        </is>
      </c>
      <c r="D936" t="inlineStr">
        <is>
          <t>0006775-56.2016.8.17.2480</t>
        </is>
      </c>
      <c r="E936" t="inlineStr">
        <is>
          <t>AJ_LIST</t>
        </is>
      </c>
      <c r="F936" t="inlineStr">
        <is>
          <t>OK_NO_TOTALS</t>
        </is>
      </c>
      <c r="G936" s="19" t="inlineStr">
        <is>
          <t>https://lrflideres.com.br/wp-content/plugins/download-attachments/includes/download.php?id=3615</t>
        </is>
      </c>
      <c r="H936" t="inlineStr">
        <is>
          <t>p4 r85</t>
        </is>
      </c>
      <c r="I936" t="inlineStr">
        <is>
          <t>NO_DOCUMENT</t>
        </is>
      </c>
    </row>
    <row r="937">
      <c r="A937" t="inlineStr">
        <is>
          <t>ADRAM S. A. IND. E COMERCIO</t>
        </is>
      </c>
      <c r="B937" s="10" t="n">
        <v>318633.34</v>
      </c>
      <c r="C937" t="inlineStr">
        <is>
          <t>E FALENCIA</t>
        </is>
      </c>
      <c r="D937" t="inlineStr">
        <is>
          <t>0006775-56.2016.8.17.2480</t>
        </is>
      </c>
      <c r="E937" t="inlineStr">
        <is>
          <t>AJ_LIST</t>
        </is>
      </c>
      <c r="F937" t="inlineStr">
        <is>
          <t>OK_NO_TOTALS</t>
        </is>
      </c>
      <c r="G937" s="19" t="inlineStr">
        <is>
          <t>https://lrflideres.com.br/wp-content/plugins/download-attachments/includes/download.php?id=3615</t>
        </is>
      </c>
      <c r="H937" t="inlineStr">
        <is>
          <t>p4 r71</t>
        </is>
      </c>
      <c r="I937" t="inlineStr">
        <is>
          <t>NO_DOCUMENT</t>
        </is>
      </c>
    </row>
    <row r="938">
      <c r="A938" t="inlineStr">
        <is>
          <t>GL INDUSTRIA E DISTRIBUICAO DE ALIMENTOS</t>
        </is>
      </c>
      <c r="B938" s="10" t="n">
        <v>317488.34</v>
      </c>
      <c r="C938" t="inlineStr">
        <is>
          <t>E FALENCIA</t>
        </is>
      </c>
      <c r="D938" t="inlineStr">
        <is>
          <t>0006775-56.2016.8.17.2480</t>
        </is>
      </c>
      <c r="E938" t="inlineStr">
        <is>
          <t>AJ_LIST</t>
        </is>
      </c>
      <c r="F938" t="inlineStr">
        <is>
          <t>OK_NO_TOTALS</t>
        </is>
      </c>
      <c r="G938" s="19" t="inlineStr">
        <is>
          <t>https://lrflideres.com.br/wp-content/plugins/download-attachments/includes/download.php?id=3615</t>
        </is>
      </c>
      <c r="H938" t="inlineStr">
        <is>
          <t>p5 r24</t>
        </is>
      </c>
      <c r="I938" t="inlineStr">
        <is>
          <t>NO_DOCUMENT</t>
        </is>
      </c>
    </row>
    <row r="939">
      <c r="A939" t="inlineStr">
        <is>
          <t>REFRESCOS GUARARAPES LTDA</t>
        </is>
      </c>
      <c r="B939" s="10" t="n">
        <v>311104.16</v>
      </c>
      <c r="C939" t="inlineStr">
        <is>
          <t>E FALENCIA</t>
        </is>
      </c>
      <c r="D939" t="inlineStr">
        <is>
          <t>0006775-56.2016.8.17.2480</t>
        </is>
      </c>
      <c r="E939" t="inlineStr">
        <is>
          <t>AJ_LIST</t>
        </is>
      </c>
      <c r="F939" t="inlineStr">
        <is>
          <t>OK_NO_TOTALS</t>
        </is>
      </c>
      <c r="G939" s="19" t="inlineStr">
        <is>
          <t>https://lrflideres.com.br/wp-content/plugins/download-attachments/includes/download.php?id=3615</t>
        </is>
      </c>
      <c r="H939" t="inlineStr">
        <is>
          <t>p6 r25</t>
        </is>
      </c>
      <c r="I939" t="inlineStr">
        <is>
          <t>NO_DOCUMENT</t>
        </is>
      </c>
    </row>
    <row r="940">
      <c r="A940" t="inlineStr">
        <is>
          <t>CERVEJARIA PETROPOLIS DE PERNAMBUCO LTDA</t>
        </is>
      </c>
      <c r="B940" s="10" t="n">
        <v>308380.12</v>
      </c>
      <c r="C940" t="inlineStr">
        <is>
          <t>E FALENCIA</t>
        </is>
      </c>
      <c r="D940" t="inlineStr">
        <is>
          <t>0006775-56.2016.8.17.2480</t>
        </is>
      </c>
      <c r="E940" t="inlineStr">
        <is>
          <t>AJ_LIST</t>
        </is>
      </c>
      <c r="F940" t="inlineStr">
        <is>
          <t>OK_NO_TOTALS</t>
        </is>
      </c>
      <c r="G940" s="19" t="inlineStr">
        <is>
          <t>https://lrflideres.com.br/wp-content/plugins/download-attachments/includes/download.php?id=3615</t>
        </is>
      </c>
      <c r="H940" t="inlineStr">
        <is>
          <t>p4 r144</t>
        </is>
      </c>
      <c r="I940" t="inlineStr">
        <is>
          <t>NO_DOCUMENT</t>
        </is>
      </c>
    </row>
    <row r="941">
      <c r="A941" t="inlineStr">
        <is>
          <t>FRIGOTIL FRIGORIFICO DE TIMON S/A</t>
        </is>
      </c>
      <c r="B941" s="10" t="n">
        <v>279757.43</v>
      </c>
      <c r="C941" t="inlineStr">
        <is>
          <t>E FALENCIA</t>
        </is>
      </c>
      <c r="D941" t="inlineStr">
        <is>
          <t>0006775-56.2016.8.17.2480</t>
        </is>
      </c>
      <c r="E941" t="inlineStr">
        <is>
          <t>AJ_LIST</t>
        </is>
      </c>
      <c r="F941" t="inlineStr">
        <is>
          <t>OK_NO_TOTALS</t>
        </is>
      </c>
      <c r="G941" s="19" t="inlineStr">
        <is>
          <t>https://lrflideres.com.br/wp-content/plugins/download-attachments/includes/download.php?id=3615</t>
        </is>
      </c>
      <c r="H941" t="inlineStr">
        <is>
          <t>p5 r18</t>
        </is>
      </c>
      <c r="I941" t="inlineStr">
        <is>
          <t>NO_DOCUMENT</t>
        </is>
      </c>
    </row>
    <row r="942">
      <c r="A942" t="inlineStr">
        <is>
          <t>DIAGEO BRASIL LTDA</t>
        </is>
      </c>
      <c r="B942" s="10" t="n">
        <v>265019.15</v>
      </c>
      <c r="C942" t="inlineStr">
        <is>
          <t>E FALENCIA</t>
        </is>
      </c>
      <c r="D942" t="inlineStr">
        <is>
          <t>0006775-56.2016.8.17.2480</t>
        </is>
      </c>
      <c r="E942" t="inlineStr">
        <is>
          <t>AJ_LIST</t>
        </is>
      </c>
      <c r="F942" t="inlineStr">
        <is>
          <t>OK_NO_TOTALS</t>
        </is>
      </c>
      <c r="G942" s="19" t="inlineStr">
        <is>
          <t>https://lrflideres.com.br/wp-content/plugins/download-attachments/includes/download.php?id=3615</t>
        </is>
      </c>
      <c r="H942" t="inlineStr">
        <is>
          <t>p4 r174</t>
        </is>
      </c>
      <c r="I942" t="inlineStr">
        <is>
          <t>NO_DOCUMENT</t>
        </is>
      </c>
    </row>
    <row r="943">
      <c r="A943" t="inlineStr">
        <is>
          <t>TOSHIBA GLOBAL COMERCIO DE SOLUCOES PARA</t>
        </is>
      </c>
      <c r="B943" s="10" t="n">
        <v>258831.26</v>
      </c>
      <c r="C943" t="inlineStr">
        <is>
          <t>E FALENCIA</t>
        </is>
      </c>
      <c r="D943" t="inlineStr">
        <is>
          <t>0006775-56.2016.8.17.2480</t>
        </is>
      </c>
      <c r="E943" t="inlineStr">
        <is>
          <t>AJ_LIST</t>
        </is>
      </c>
      <c r="F943" t="inlineStr">
        <is>
          <t>OK_NO_TOTALS</t>
        </is>
      </c>
      <c r="G943" s="19" t="inlineStr">
        <is>
          <t>https://lrflideres.com.br/wp-content/plugins/download-attachments/includes/download.php?id=3615</t>
        </is>
      </c>
      <c r="H943" t="inlineStr">
        <is>
          <t>p6 r76</t>
        </is>
      </c>
      <c r="I943" t="inlineStr">
        <is>
          <t>NO_DOCUMENT</t>
        </is>
      </c>
    </row>
    <row r="944">
      <c r="A944" t="inlineStr">
        <is>
          <t>BUNGE ALIMENTOS S.A</t>
        </is>
      </c>
      <c r="B944" s="10" t="n">
        <v>252690.82</v>
      </c>
      <c r="C944" t="inlineStr">
        <is>
          <t>E FALENCIA</t>
        </is>
      </c>
      <c r="D944" t="inlineStr">
        <is>
          <t>0006775-56.2016.8.17.2480</t>
        </is>
      </c>
      <c r="E944" t="inlineStr">
        <is>
          <t>AJ_LIST</t>
        </is>
      </c>
      <c r="F944" t="inlineStr">
        <is>
          <t>OK_NO_TOTALS</t>
        </is>
      </c>
      <c r="G944" s="19" t="inlineStr">
        <is>
          <t>https://lrflideres.com.br/wp-content/plugins/download-attachments/includes/download.php?id=3615</t>
        </is>
      </c>
      <c r="H944" t="inlineStr">
        <is>
          <t>p4 r127</t>
        </is>
      </c>
      <c r="I944" t="inlineStr">
        <is>
          <t>NO_DOCUMENT</t>
        </is>
      </c>
    </row>
    <row r="945">
      <c r="A945" t="inlineStr">
        <is>
          <t>MADEIRAS ESPLENDIDOS LTDA</t>
        </is>
      </c>
      <c r="B945" s="10" t="n">
        <v>248484.72</v>
      </c>
      <c r="C945" t="inlineStr">
        <is>
          <t>E FALENCIA</t>
        </is>
      </c>
      <c r="D945" t="inlineStr">
        <is>
          <t>0006775-56.2016.8.17.2480</t>
        </is>
      </c>
      <c r="E945" t="inlineStr">
        <is>
          <t>AJ_LIST</t>
        </is>
      </c>
      <c r="F945" t="inlineStr">
        <is>
          <t>OK_NO_TOTALS</t>
        </is>
      </c>
      <c r="G945" s="19" t="inlineStr">
        <is>
          <t>https://lrflideres.com.br/wp-content/plugins/download-attachments/includes/download.php?id=3615</t>
        </is>
      </c>
      <c r="H945" t="inlineStr">
        <is>
          <t>p5 r127</t>
        </is>
      </c>
      <c r="I945" t="inlineStr">
        <is>
          <t>NO_DOCUMENT</t>
        </is>
      </c>
    </row>
    <row r="946">
      <c r="A946" t="inlineStr">
        <is>
          <t>CAMIL ALIMENTOS S/A</t>
        </is>
      </c>
      <c r="B946" s="10" t="n">
        <v>242053.48</v>
      </c>
      <c r="C946" t="inlineStr">
        <is>
          <t>E FALENCIA</t>
        </is>
      </c>
      <c r="D946" t="inlineStr">
        <is>
          <t>0006775-56.2016.8.17.2480</t>
        </is>
      </c>
      <c r="E946" t="inlineStr">
        <is>
          <t>AJ_LIST</t>
        </is>
      </c>
      <c r="F946" t="inlineStr">
        <is>
          <t>OK_NO_TOTALS</t>
        </is>
      </c>
      <c r="G946" s="19" t="inlineStr">
        <is>
          <t>https://lrflideres.com.br/wp-content/plugins/download-attachments/includes/download.php?id=3615</t>
        </is>
      </c>
      <c r="H946" t="inlineStr">
        <is>
          <t>p4 r133</t>
        </is>
      </c>
      <c r="I946" t="inlineStr">
        <is>
          <t>NO_DOCUMENT</t>
        </is>
      </c>
    </row>
    <row r="947">
      <c r="A947" t="inlineStr">
        <is>
          <t>PANCRISTAL LTDA</t>
        </is>
      </c>
      <c r="B947" s="10" t="n">
        <v>229727.13</v>
      </c>
      <c r="C947" t="inlineStr">
        <is>
          <t>E FALENCIA</t>
        </is>
      </c>
      <c r="D947" t="inlineStr">
        <is>
          <t>0006775-56.2016.8.17.2480</t>
        </is>
      </c>
      <c r="E947" t="inlineStr">
        <is>
          <t>AJ_LIST</t>
        </is>
      </c>
      <c r="F947" t="inlineStr">
        <is>
          <t>OK_NO_TOTALS</t>
        </is>
      </c>
      <c r="G947" s="19" t="inlineStr">
        <is>
          <t>https://lrflideres.com.br/wp-content/plugins/download-attachments/includes/download.php?id=3615</t>
        </is>
      </c>
      <c r="H947" t="inlineStr">
        <is>
          <t>p5 r171</t>
        </is>
      </c>
      <c r="I947" t="inlineStr">
        <is>
          <t>NO_DOCUMENT</t>
        </is>
      </c>
    </row>
    <row r="948">
      <c r="A948" t="inlineStr">
        <is>
          <t>JOHNSON &amp; JOHNSON DO BRASIL IND. E COM. DE PROD. PARA SAÚDE LTDA</t>
        </is>
      </c>
      <c r="B948" s="10" t="n">
        <v>224292.24</v>
      </c>
      <c r="C948" t="inlineStr">
        <is>
          <t>E FALENCIA</t>
        </is>
      </c>
      <c r="D948" t="inlineStr">
        <is>
          <t>0006775-56.2016.8.17.2480</t>
        </is>
      </c>
      <c r="E948" t="inlineStr">
        <is>
          <t>AJ_LIST</t>
        </is>
      </c>
      <c r="F948" t="inlineStr">
        <is>
          <t>OK_NO_TOTALS</t>
        </is>
      </c>
      <c r="G948" s="19" t="inlineStr">
        <is>
          <t>https://lrflideres.com.br/wp-content/plugins/download-attachments/includes/download.php?id=3615</t>
        </is>
      </c>
      <c r="H948" t="inlineStr">
        <is>
          <t>p5 r91</t>
        </is>
      </c>
      <c r="I948" t="inlineStr">
        <is>
          <t>NO_DOCUMENT</t>
        </is>
      </c>
    </row>
    <row r="949">
      <c r="A949" t="inlineStr">
        <is>
          <t>EBD NORDESTE COMERCIO LTDA</t>
        </is>
      </c>
      <c r="B949" s="10" t="n">
        <v>220909.95</v>
      </c>
      <c r="C949" t="inlineStr">
        <is>
          <t>E FALENCIA</t>
        </is>
      </c>
      <c r="D949" t="inlineStr">
        <is>
          <t>0006775-56.2016.8.17.2480</t>
        </is>
      </c>
      <c r="E949" t="inlineStr">
        <is>
          <t>AJ_LIST</t>
        </is>
      </c>
      <c r="F949" t="inlineStr">
        <is>
          <t>OK_NO_TOTALS</t>
        </is>
      </c>
      <c r="G949" s="19" t="inlineStr">
        <is>
          <t>https://lrflideres.com.br/wp-content/plugins/download-attachments/includes/download.php?id=3615</t>
        </is>
      </c>
      <c r="H949" t="inlineStr">
        <is>
          <t>p4 r185</t>
        </is>
      </c>
      <c r="I949" t="inlineStr">
        <is>
          <t>NO_DOCUMENT</t>
        </is>
      </c>
    </row>
    <row r="950">
      <c r="A950" t="inlineStr">
        <is>
          <t>MACROPAC PROTECAO E EMBALAGEM LTDA</t>
        </is>
      </c>
      <c r="B950" s="10" t="n">
        <v>219018.36</v>
      </c>
      <c r="C950" t="inlineStr">
        <is>
          <t>E FALENCIA</t>
        </is>
      </c>
      <c r="D950" t="inlineStr">
        <is>
          <t>0006775-56.2016.8.17.2480</t>
        </is>
      </c>
      <c r="E950" t="inlineStr">
        <is>
          <t>AJ_LIST</t>
        </is>
      </c>
      <c r="F950" t="inlineStr">
        <is>
          <t>OK_NO_TOTALS</t>
        </is>
      </c>
      <c r="G950" s="19" t="inlineStr">
        <is>
          <t>https://lrflideres.com.br/wp-content/plugins/download-attachments/includes/download.php?id=3615</t>
        </is>
      </c>
      <c r="H950" t="inlineStr">
        <is>
          <t>p5 r126</t>
        </is>
      </c>
      <c r="I950" t="inlineStr">
        <is>
          <t>NO_DOCUMENT</t>
        </is>
      </c>
    </row>
    <row r="951">
      <c r="A951" t="inlineStr">
        <is>
          <t>J. FLORENCIO AVICULTURA LTDA</t>
        </is>
      </c>
      <c r="B951" s="10" t="n">
        <v>211685.54</v>
      </c>
      <c r="C951" t="inlineStr">
        <is>
          <t>E FALENCIA</t>
        </is>
      </c>
      <c r="D951" t="inlineStr">
        <is>
          <t>0006775-56.2016.8.17.2480</t>
        </is>
      </c>
      <c r="E951" t="inlineStr">
        <is>
          <t>AJ_LIST</t>
        </is>
      </c>
      <c r="F951" t="inlineStr">
        <is>
          <t>OK_NO_TOTALS</t>
        </is>
      </c>
      <c r="G951" s="19" t="inlineStr">
        <is>
          <t>https://lrflideres.com.br/wp-content/plugins/download-attachments/includes/download.php?id=3615</t>
        </is>
      </c>
      <c r="H951" t="inlineStr">
        <is>
          <t>p5 r82</t>
        </is>
      </c>
      <c r="I951" t="inlineStr">
        <is>
          <t>NO_DOCUMENT</t>
        </is>
      </c>
    </row>
    <row r="952">
      <c r="A952" t="inlineStr">
        <is>
          <t>M DIAS BRANCO S.A. INDUSTRIA E COMERCIO</t>
        </is>
      </c>
      <c r="B952" s="10" t="n">
        <v>208735.83</v>
      </c>
      <c r="C952" t="inlineStr">
        <is>
          <t>E FALENCIA</t>
        </is>
      </c>
      <c r="D952" t="inlineStr">
        <is>
          <t>0006775-56.2016.8.17.2480</t>
        </is>
      </c>
      <c r="E952" t="inlineStr">
        <is>
          <t>AJ_LIST</t>
        </is>
      </c>
      <c r="F952" t="inlineStr">
        <is>
          <t>OK_NO_TOTALS</t>
        </is>
      </c>
      <c r="G952" s="19" t="inlineStr">
        <is>
          <t>https://lrflideres.com.br/wp-content/plugins/download-attachments/includes/download.php?id=3615</t>
        </is>
      </c>
      <c r="H952" t="inlineStr">
        <is>
          <t>p5 r122</t>
        </is>
      </c>
      <c r="I952" t="inlineStr">
        <is>
          <t>NO_DOCUMENT</t>
        </is>
      </c>
    </row>
    <row r="953">
      <c r="A953" t="inlineStr">
        <is>
          <t>BRASIL KIRIN INDUSTRIA DE BEBIDAS LTDA</t>
        </is>
      </c>
      <c r="B953" s="10" t="n">
        <v>203915.63</v>
      </c>
      <c r="C953" t="inlineStr">
        <is>
          <t>E FALENCIA</t>
        </is>
      </c>
      <c r="D953" t="inlineStr">
        <is>
          <t>0006775-56.2016.8.17.2480</t>
        </is>
      </c>
      <c r="E953" t="inlineStr">
        <is>
          <t>AJ_LIST</t>
        </is>
      </c>
      <c r="F953" t="inlineStr">
        <is>
          <t>OK_NO_TOTALS</t>
        </is>
      </c>
      <c r="G953" s="19" t="inlineStr">
        <is>
          <t>https://lrflideres.com.br/wp-content/plugins/download-attachments/includes/download.php?id=3615</t>
        </is>
      </c>
      <c r="H953" t="inlineStr">
        <is>
          <t>p4 r124</t>
        </is>
      </c>
      <c r="I953" t="inlineStr">
        <is>
          <t>NO_DOCUMENT</t>
        </is>
      </c>
    </row>
    <row r="954">
      <c r="A954" t="inlineStr">
        <is>
          <t>APOSITIF RAW MATERIALS TRADING LLC</t>
        </is>
      </c>
      <c r="B954" s="10" t="n">
        <v>11354400.85</v>
      </c>
      <c r="C954" t="inlineStr">
        <is>
          <t>SCZ Scalzilli Administração Judicial</t>
        </is>
      </c>
      <c r="D954" t="inlineStr">
        <is>
          <t>5000561-63.2025.8.24.0536</t>
        </is>
      </c>
      <c r="E954" t="inlineStr">
        <is>
          <t>QGC</t>
        </is>
      </c>
      <c r="F954" t="inlineStr">
        <is>
          <t>OK_NO_TOTALS</t>
        </is>
      </c>
      <c r="G954" s="19" t="inlineStr">
        <is>
          <t>https://scalzilliaj.com.br/sgc/download.php?file=files/processo_documento/processo_documento13183320052026_1_.pdf&amp;nome=10 - QGC Provisório - atualizado até Maio de 2026</t>
        </is>
      </c>
      <c r="H954" t="inlineStr">
        <is>
          <t>p1 r7</t>
        </is>
      </c>
      <c r="I954" t="inlineStr">
        <is>
          <t>NO_DOCUMENT VALUE_COL:Valor_Do_Crédito</t>
        </is>
      </c>
    </row>
    <row r="955">
      <c r="A955" t="inlineStr">
        <is>
          <t>BANCO DO BRASIL - **.000.000/0001-**</t>
        </is>
      </c>
      <c r="B955" s="10" t="n">
        <v>1950000</v>
      </c>
      <c r="C955" t="inlineStr">
        <is>
          <t>requerida por MEGASA</t>
        </is>
      </c>
      <c r="D955" t="inlineStr">
        <is>
          <t>5006131-09.2023.8.24.0113</t>
        </is>
      </c>
      <c r="E955" t="inlineStr">
        <is>
          <t>DEBTOR_LIST</t>
        </is>
      </c>
      <c r="F955" t="inlineStr">
        <is>
          <t>OK_NO_TOTALS</t>
        </is>
      </c>
      <c r="G955" s="19" t="inlineStr">
        <is>
          <t>https://administradorajudicialgs.com.br/wp-content/uploads/2023/08/edital-relacao-de-credores-megasan.pdf</t>
        </is>
      </c>
      <c r="H955" t="inlineStr">
        <is>
          <t>p4 r56</t>
        </is>
      </c>
      <c r="I955" t="inlineStr">
        <is>
          <t>NO_DOCUMENT</t>
        </is>
      </c>
    </row>
    <row r="956">
      <c r="A956" t="inlineStr">
        <is>
          <t>TOPFUSIÓN TUBOS E CONEXÕES - **.432.397/0001-**</t>
        </is>
      </c>
      <c r="B956" s="10" t="n">
        <v>721067.61</v>
      </c>
      <c r="C956" t="inlineStr">
        <is>
          <t>requerida por MEGASA</t>
        </is>
      </c>
      <c r="D956" t="inlineStr">
        <is>
          <t>5006131-09.2023.8.24.0113</t>
        </is>
      </c>
      <c r="E956" t="inlineStr">
        <is>
          <t>DEBTOR_LIST</t>
        </is>
      </c>
      <c r="F956" t="inlineStr">
        <is>
          <t>OK_NO_TOTALS</t>
        </is>
      </c>
      <c r="G956" s="19" t="inlineStr">
        <is>
          <t>https://administradorajudicialgs.com.br/wp-content/uploads/2023/08/edital-relacao-de-credores-megasan.pdf</t>
        </is>
      </c>
      <c r="H956" t="inlineStr">
        <is>
          <t>p5 r21</t>
        </is>
      </c>
      <c r="I956" t="inlineStr">
        <is>
          <t>NO_DOCUMENT</t>
        </is>
      </c>
    </row>
    <row r="957">
      <c r="A957" t="inlineStr">
        <is>
          <t>CORR PLASTIK NORDESTE INDUSTRIAL LTDA - **.984.318/0001- **</t>
        </is>
      </c>
      <c r="B957" s="10" t="n">
        <v>693720.72</v>
      </c>
      <c r="C957" t="inlineStr">
        <is>
          <t>requerida por MEGASA</t>
        </is>
      </c>
      <c r="D957" t="inlineStr">
        <is>
          <t>5006131-09.2023.8.24.0113</t>
        </is>
      </c>
      <c r="E957" t="inlineStr">
        <is>
          <t>DEBTOR_LIST</t>
        </is>
      </c>
      <c r="F957" t="inlineStr">
        <is>
          <t>OK_NO_TOTALS</t>
        </is>
      </c>
      <c r="G957" s="19" t="inlineStr">
        <is>
          <t>https://administradorajudicialgs.com.br/wp-content/uploads/2023/08/edital-relacao-de-credores-megasan.pdf</t>
        </is>
      </c>
      <c r="H957" t="inlineStr">
        <is>
          <t>p5 r2</t>
        </is>
      </c>
      <c r="I957" t="inlineStr">
        <is>
          <t>NO_DOCUMENT</t>
        </is>
      </c>
    </row>
    <row r="958">
      <c r="A958" t="inlineStr">
        <is>
          <t>POLIERG INDUSTRIA COMERCIO LTDA - **.010.717/0001-**</t>
        </is>
      </c>
      <c r="B958" s="10" t="n">
        <v>587288.1899999999</v>
      </c>
      <c r="C958" t="inlineStr">
        <is>
          <t>requerida por MEGASA</t>
        </is>
      </c>
      <c r="D958" t="inlineStr">
        <is>
          <t>5006131-09.2023.8.24.0113</t>
        </is>
      </c>
      <c r="E958" t="inlineStr">
        <is>
          <t>DEBTOR_LIST</t>
        </is>
      </c>
      <c r="F958" t="inlineStr">
        <is>
          <t>OK_NO_TOTALS</t>
        </is>
      </c>
      <c r="G958" s="19" t="inlineStr">
        <is>
          <t>https://administradorajudicialgs.com.br/wp-content/uploads/2023/08/edital-relacao-de-credores-megasan.pdf</t>
        </is>
      </c>
      <c r="H958" t="inlineStr">
        <is>
          <t>p5 r15</t>
        </is>
      </c>
      <c r="I958" t="inlineStr">
        <is>
          <t>NO_DOCUMENT</t>
        </is>
      </c>
    </row>
    <row r="959">
      <c r="A959" t="inlineStr">
        <is>
          <t>AQUASTAR INDUSTRIA E COMERCIO LTDA - **.542.591/0002-**</t>
        </is>
      </c>
      <c r="B959" s="10" t="n">
        <v>486321.29</v>
      </c>
      <c r="C959" t="inlineStr">
        <is>
          <t>requerida por MEGASA</t>
        </is>
      </c>
      <c r="D959" t="inlineStr">
        <is>
          <t>5006131-09.2023.8.24.0113</t>
        </is>
      </c>
      <c r="E959" t="inlineStr">
        <is>
          <t>DEBTOR_LIST</t>
        </is>
      </c>
      <c r="F959" t="inlineStr">
        <is>
          <t>OK_NO_TOTALS</t>
        </is>
      </c>
      <c r="G959" s="19" t="inlineStr">
        <is>
          <t>https://administradorajudicialgs.com.br/wp-content/uploads/2023/08/edital-relacao-de-credores-megasan.pdf</t>
        </is>
      </c>
      <c r="H959" t="inlineStr">
        <is>
          <t>p4 r52</t>
        </is>
      </c>
      <c r="I959" t="inlineStr">
        <is>
          <t>NO_DOCUMENT</t>
        </is>
      </c>
    </row>
    <row r="960">
      <c r="A960" t="inlineStr">
        <is>
          <t>BANCO ITAU UNIBANCO S.A. - **.701.190/0001-**</t>
        </is>
      </c>
      <c r="B960" s="10" t="n">
        <v>338670.45</v>
      </c>
      <c r="C960" t="inlineStr">
        <is>
          <t>requerida por MEGASA</t>
        </is>
      </c>
      <c r="D960" t="inlineStr">
        <is>
          <t>5006131-09.2023.8.24.0113</t>
        </is>
      </c>
      <c r="E960" t="inlineStr">
        <is>
          <t>DEBTOR_LIST</t>
        </is>
      </c>
      <c r="F960" t="inlineStr">
        <is>
          <t>OK_NO_TOTALS</t>
        </is>
      </c>
      <c r="G960" s="19" t="inlineStr">
        <is>
          <t>https://administradorajudicialgs.com.br/wp-content/uploads/2023/08/edital-relacao-de-credores-megasan.pdf</t>
        </is>
      </c>
      <c r="H960" t="inlineStr">
        <is>
          <t>p4 r57</t>
        </is>
      </c>
      <c r="I960" t="inlineStr">
        <is>
          <t>NO_DOCUMENT</t>
        </is>
      </c>
    </row>
    <row r="961">
      <c r="A961" t="inlineStr">
        <is>
          <t>GRECA DISTRIBUIDORA DE ASFALTOS LTDA (ARAUCARIA-PR) - **.351.006/0001-**</t>
        </is>
      </c>
      <c r="B961" s="10" t="n">
        <v>280334.29</v>
      </c>
      <c r="C961" t="inlineStr">
        <is>
          <t>requerida por MEGASA</t>
        </is>
      </c>
      <c r="D961" t="inlineStr">
        <is>
          <t>5006131-09.2023.8.24.0113</t>
        </is>
      </c>
      <c r="E961" t="inlineStr">
        <is>
          <t>DEBTOR_LIST</t>
        </is>
      </c>
      <c r="F961" t="inlineStr">
        <is>
          <t>OK_NO_TOTALS</t>
        </is>
      </c>
      <c r="G961" s="19" t="inlineStr">
        <is>
          <t>https://administradorajudicialgs.com.br/wp-content/uploads/2023/08/edital-relacao-de-credores-megasan.pdf</t>
        </is>
      </c>
      <c r="H961" t="inlineStr">
        <is>
          <t>p5 r7</t>
        </is>
      </c>
      <c r="I961" t="inlineStr">
        <is>
          <t>NO_DOCUMENT</t>
        </is>
      </c>
    </row>
    <row r="962">
      <c r="A962" t="inlineStr">
        <is>
          <t>CORR PLASTIK SISTEMAS PLASTICOS LTDA - **.540.611/0001- **</t>
        </is>
      </c>
      <c r="B962" s="10" t="n">
        <v>221804.14</v>
      </c>
      <c r="C962" t="inlineStr">
        <is>
          <t>requerida por MEGASA</t>
        </is>
      </c>
      <c r="D962" t="inlineStr">
        <is>
          <t>5006131-09.2023.8.24.0113</t>
        </is>
      </c>
      <c r="E962" t="inlineStr">
        <is>
          <t>DEBTOR_LIST</t>
        </is>
      </c>
      <c r="F962" t="inlineStr">
        <is>
          <t>OK_NO_TOTALS</t>
        </is>
      </c>
      <c r="G962" s="19" t="inlineStr">
        <is>
          <t>https://administradorajudicialgs.com.br/wp-content/uploads/2023/08/edital-relacao-de-credores-megasan.pdf</t>
        </is>
      </c>
      <c r="H962" t="inlineStr">
        <is>
          <t>p5 r3</t>
        </is>
      </c>
      <c r="I962" t="inlineStr">
        <is>
          <t>NO_DOCUMENT</t>
        </is>
      </c>
    </row>
    <row r="963">
      <c r="A963" t="inlineStr">
        <is>
          <t>d. Subclasse "D", com créditos (setecentos mil reais e um e. Credores Colaboradores</t>
        </is>
      </c>
      <c r="B963" s="10" t="n">
        <v>700000.01</v>
      </c>
      <c r="C963" t="inlineStr">
        <is>
          <t>VARA DE DIREITO EMPRESA</t>
        </is>
      </c>
      <c r="D963" t="inlineStr">
        <is>
          <t>5044580-07.2019.8.21.0001</t>
        </is>
      </c>
      <c r="E963" t="inlineStr">
        <is>
          <t>QGC</t>
        </is>
      </c>
      <c r="F963" t="inlineStr">
        <is>
          <t>OK_NO_TOTALS</t>
        </is>
      </c>
      <c r="G963" s="19" t="inlineStr">
        <is>
          <t>https://cataliseaj.com.br/sgc/download.php?file=files/processo_documento/processo_documento15263203102024_1_.pdf&amp;nome=7. 2º MODIFICATIVO DO PLANO DE RECUPERAÇÃO JUDICIAL</t>
        </is>
      </c>
      <c r="H963" t="inlineStr">
        <is>
          <t>p26 r4</t>
        </is>
      </c>
      <c r="I963" t="inlineStr">
        <is>
          <t>NO_DOCUMENT</t>
        </is>
      </c>
    </row>
    <row r="964">
      <c r="A964" t="inlineStr">
        <is>
          <t>mil reais e um centavo) e reais);</t>
        </is>
      </c>
      <c r="B964" s="10" t="n">
        <v>700000</v>
      </c>
      <c r="C964" t="inlineStr">
        <is>
          <t>VARA DE DIREITO EMPRESA</t>
        </is>
      </c>
      <c r="D964" t="inlineStr">
        <is>
          <t>5044580-07.2019.8.21.0001</t>
        </is>
      </c>
      <c r="E964" t="inlineStr">
        <is>
          <t>QGC</t>
        </is>
      </c>
      <c r="F964" t="inlineStr">
        <is>
          <t>OK_NO_TOTALS</t>
        </is>
      </c>
      <c r="G964" s="19" t="inlineStr">
        <is>
          <t>https://cataliseaj.com.br/sgc/download.php?file=files/processo_documento/processo_documento15263203102024_1_.pdf&amp;nome=7. 2º MODIFICATIVO DO PLANO DE RECUPERAÇÃO JUDICIAL</t>
        </is>
      </c>
      <c r="H964" t="inlineStr">
        <is>
          <t>p26 r3</t>
        </is>
      </c>
      <c r="I964" t="inlineStr">
        <is>
          <t>NO_DOCUMENT</t>
        </is>
      </c>
    </row>
    <row r="965">
      <c r="A965" t="inlineStr">
        <is>
          <t>POLIMIX CONCRETO LTDA</t>
        </is>
      </c>
      <c r="B965" s="10" t="n">
        <v>1925946.07</v>
      </c>
      <c r="C965" t="inlineStr">
        <is>
          <t>CONSTRUTORA METRON LTDA – LRF Líderes em Recuperação Judicial e Falência</t>
        </is>
      </c>
      <c r="D965" t="inlineStr">
        <is>
          <t>0000890-94.2021.8.17.3350</t>
        </is>
      </c>
      <c r="E965" t="inlineStr">
        <is>
          <t>AJ_LIST</t>
        </is>
      </c>
      <c r="F965" t="inlineStr">
        <is>
          <t>QUARANTINED</t>
        </is>
      </c>
      <c r="G965" s="19" t="inlineStr">
        <is>
          <t>https://lrflideres.com.br/wp-content/plugins/download-attachments/includes/download.php?id=3743</t>
        </is>
      </c>
      <c r="H965" t="inlineStr">
        <is>
          <t>p3 r83</t>
        </is>
      </c>
      <c r="I965" t="inlineStr">
        <is>
          <t>NO_DOCUMENT</t>
        </is>
      </c>
    </row>
    <row r="966">
      <c r="A966" t="inlineStr">
        <is>
          <t>TECPISO DO BRASIL LTDA EPP</t>
        </is>
      </c>
      <c r="B966" s="10" t="n">
        <v>383910.08</v>
      </c>
      <c r="C966" t="inlineStr">
        <is>
          <t>CONSTRUTORA METRON LTDA – LRF Líderes em Recuperação Judicial e Falência</t>
        </is>
      </c>
      <c r="D966" t="inlineStr">
        <is>
          <t>0000890-94.2021.8.17.3350</t>
        </is>
      </c>
      <c r="E966" t="inlineStr">
        <is>
          <t>AJ_LIST</t>
        </is>
      </c>
      <c r="F966" t="inlineStr">
        <is>
          <t>QUARANTINED</t>
        </is>
      </c>
      <c r="G966" s="19" t="inlineStr">
        <is>
          <t>https://lrflideres.com.br/wp-content/plugins/download-attachments/includes/download.php?id=3743</t>
        </is>
      </c>
      <c r="H966" t="inlineStr">
        <is>
          <t>p4 r10</t>
        </is>
      </c>
      <c r="I966" t="inlineStr">
        <is>
          <t>NO_DOCUMENT</t>
        </is>
      </c>
    </row>
    <row r="967">
      <c r="A967" t="inlineStr">
        <is>
          <t>INOVAMETAL LTDA</t>
        </is>
      </c>
      <c r="B967" s="10" t="n">
        <v>202000</v>
      </c>
      <c r="C967" t="inlineStr">
        <is>
          <t>CONSTRUTORA METRON LTDA – LRF Líderes em Recuperação Judicial e Falência</t>
        </is>
      </c>
      <c r="D967" t="inlineStr">
        <is>
          <t>0000890-94.2021.8.17.3350</t>
        </is>
      </c>
      <c r="E967" t="inlineStr">
        <is>
          <t>AJ_LIST</t>
        </is>
      </c>
      <c r="F967" t="inlineStr">
        <is>
          <t>QUARANTINED</t>
        </is>
      </c>
      <c r="G967" s="19" t="inlineStr">
        <is>
          <t>https://lrflideres.com.br/wp-content/plugins/download-attachments/includes/download.php?id=3743</t>
        </is>
      </c>
      <c r="H967" t="inlineStr">
        <is>
          <t>p3 r43</t>
        </is>
      </c>
      <c r="I967" t="inlineStr">
        <is>
          <t>NO_DOCUMENT</t>
        </is>
      </c>
    </row>
    <row r="968">
      <c r="A968" t="inlineStr">
        <is>
          <t>(CRÉDITOS QUIROGRAFÁRIOS): BANCO BRADESCO 660.206,32 | BANCO DO BRASIL SA; 00.000.000/7738-08;</t>
        </is>
      </c>
      <c r="B968" s="10" t="n">
        <v>1024158.94</v>
      </c>
      <c r="C968" t="inlineStr">
        <is>
          <t>SCZ Scalzilli Administração Judicial</t>
        </is>
      </c>
      <c r="D968" t="inlineStr">
        <is>
          <t>5041328-27.2023.8.21.0010</t>
        </is>
      </c>
      <c r="E968" t="inlineStr">
        <is>
          <t>AJ_LIST</t>
        </is>
      </c>
      <c r="F968" t="inlineStr">
        <is>
          <t>OK_NO_TOTALS</t>
        </is>
      </c>
      <c r="G968" s="19" t="inlineStr">
        <is>
          <t>https://scalzilliaj.com.br/sgc/download.php?file=files/processo_documento/processo_documento18412415122023_1_.pdf&amp;nome=07 - Edital do art. 7º, §2º e 55 da Lei 11.101/2005 (segunda lista de credores e recebimento do plano)</t>
        </is>
      </c>
      <c r="H968" t="inlineStr">
        <is>
          <t>p1 r6</t>
        </is>
      </c>
      <c r="I968" t="inlineStr">
        <is>
          <t>NO_DOCUMENT</t>
        </is>
      </c>
    </row>
    <row r="969">
      <c r="A969" t="inlineStr">
        <is>
          <t>107.099,62 | COOPERATIVA DE CREDITO SICREDI 90.608.712/0001-80; 441.312,73 | DANIEL FERRARI; EDUARDO BREDA; 002.798.010-33; 50.002,70 |</t>
        </is>
      </c>
      <c r="B969" s="10" t="n">
        <v>825107.23</v>
      </c>
      <c r="C969" t="inlineStr">
        <is>
          <t>SCZ Scalzilli Administração Judicial</t>
        </is>
      </c>
      <c r="D969" t="inlineStr">
        <is>
          <t>5041328-27.2023.8.21.0010</t>
        </is>
      </c>
      <c r="E969" t="inlineStr">
        <is>
          <t>AJ_LIST</t>
        </is>
      </c>
      <c r="F969" t="inlineStr">
        <is>
          <t>OK_NO_TOTALS</t>
        </is>
      </c>
      <c r="G969" s="19" t="inlineStr">
        <is>
          <t>https://scalzilliaj.com.br/sgc/download.php?file=files/processo_documento/processo_documento18412415122023_1_.pdf&amp;nome=07 - Edital do art. 7º, §2º e 55 da Lei 11.101/2005 (segunda lista de credores e recebimento do plano)</t>
        </is>
      </c>
      <c r="H969" t="inlineStr">
        <is>
          <t>p1 r8</t>
        </is>
      </c>
      <c r="I969" t="inlineStr">
        <is>
          <t>NO_DOCUMENT</t>
        </is>
      </c>
    </row>
    <row r="970">
      <c r="A970" t="inlineStr">
        <is>
          <t>8.073,05 | MARIA DE LOURDES ZANELATTO; 287.629.750-72;</t>
        </is>
      </c>
      <c r="B970" s="10" t="n">
        <v>646055.46</v>
      </c>
      <c r="C970" t="inlineStr">
        <is>
          <t>SCZ Scalzilli Administração Judicial</t>
        </is>
      </c>
      <c r="D970" t="inlineStr">
        <is>
          <t>5041328-27.2023.8.21.0010</t>
        </is>
      </c>
      <c r="E970" t="inlineStr">
        <is>
          <t>AJ_LIST</t>
        </is>
      </c>
      <c r="F970" t="inlineStr">
        <is>
          <t>OK_NO_TOTALS</t>
        </is>
      </c>
      <c r="G970" s="19" t="inlineStr">
        <is>
          <t>https://scalzilliaj.com.br/sgc/download.php?file=files/processo_documento/processo_documento18412415122023_1_.pdf&amp;nome=07 - Edital do art. 7º, §2º e 55 da Lei 11.101/2005 (segunda lista de credores e recebimento do plano)</t>
        </is>
      </c>
      <c r="H970" t="inlineStr">
        <is>
          <t>p1 r11</t>
        </is>
      </c>
      <c r="I970" t="inlineStr">
        <is>
          <t>NO_DOCUMENT</t>
        </is>
      </c>
    </row>
    <row r="971">
      <c r="A971" t="inlineStr">
        <is>
          <t>ECONOMICA FEDERAL; 00.360.305/0001-04; 328.207.390-91; 690.380,28 | COOPERATIVA DE MERIDIONAL DO BRASIL - SICOOB UNICOOB MERIDIONAL;</t>
        </is>
      </c>
      <c r="B971" s="10" t="n">
        <v>449117.97</v>
      </c>
      <c r="C971" t="inlineStr">
        <is>
          <t>SCZ Scalzilli Administração Judicial</t>
        </is>
      </c>
      <c r="D971" t="inlineStr">
        <is>
          <t>5041328-27.2023.8.21.0010</t>
        </is>
      </c>
      <c r="E971" t="inlineStr">
        <is>
          <t>AJ_LIST</t>
        </is>
      </c>
      <c r="F971" t="inlineStr">
        <is>
          <t>OK_NO_TOTALS</t>
        </is>
      </c>
      <c r="G971" s="19" t="inlineStr">
        <is>
          <t>https://scalzilliaj.com.br/sgc/download.php?file=files/processo_documento/processo_documento18412415122023_1_.pdf&amp;nome=07 - Edital do art. 7º, §2º e 55 da Lei 11.101/2005 (segunda lista de credores e recebimento do plano)</t>
        </is>
      </c>
      <c r="H971" t="inlineStr">
        <is>
          <t>p1 r7</t>
        </is>
      </c>
      <c r="I971" t="inlineStr">
        <is>
          <t>NO_DOCUMENT</t>
        </is>
      </c>
    </row>
    <row r="972">
      <c r="A972" t="inlineStr">
        <is>
          <t>SHOPPING PARK RESIDENCE II</t>
        </is>
      </c>
      <c r="B972" s="10" t="n">
        <v>8207957.93</v>
      </c>
      <c r="C972" t="inlineStr">
        <is>
          <t>e sua posterior aprovação, mesmo em caso de discordância</t>
        </is>
      </c>
      <c r="D972" t="inlineStr">
        <is>
          <t>0075105-48.2020.8.17.2001</t>
        </is>
      </c>
      <c r="E972" t="inlineStr">
        <is>
          <t>QGC</t>
        </is>
      </c>
      <c r="F972" t="inlineStr">
        <is>
          <t>QUARANTINED</t>
        </is>
      </c>
      <c r="G972" s="19" t="inlineStr">
        <is>
          <t>https://lrflideres.com.br/wp-content/plugins/download-attachments/includes/download.php?id=6026</t>
        </is>
      </c>
      <c r="H972" t="inlineStr">
        <is>
          <t>p4 r130</t>
        </is>
      </c>
      <c r="I972" t="inlineStr">
        <is>
          <t>NO_DOCUMENT</t>
        </is>
      </c>
    </row>
    <row r="973">
      <c r="A973" t="inlineStr">
        <is>
          <t>VILA BRAGANÇA CONSTRUÇÕES S.A</t>
        </is>
      </c>
      <c r="B973" s="10" t="n">
        <v>6700794.02</v>
      </c>
      <c r="C973" t="inlineStr">
        <is>
          <t>e sua posterior aprovação, mesmo em caso de discordância</t>
        </is>
      </c>
      <c r="D973" t="inlineStr">
        <is>
          <t>0075105-48.2020.8.17.2001</t>
        </is>
      </c>
      <c r="E973" t="inlineStr">
        <is>
          <t>QGC</t>
        </is>
      </c>
      <c r="F973" t="inlineStr">
        <is>
          <t>QUARANTINED</t>
        </is>
      </c>
      <c r="G973" s="19" t="inlineStr">
        <is>
          <t>https://lrflideres.com.br/wp-content/plugins/download-attachments/includes/download.php?id=6026</t>
        </is>
      </c>
      <c r="H973" t="inlineStr">
        <is>
          <t>p4 r163</t>
        </is>
      </c>
      <c r="I973" t="inlineStr">
        <is>
          <t>NO_DOCUMENT</t>
        </is>
      </c>
    </row>
    <row r="974">
      <c r="A974" t="inlineStr">
        <is>
          <t>SHOPPING PARK RESIDENCE III</t>
        </is>
      </c>
      <c r="B974" s="10" t="n">
        <v>5993004.8</v>
      </c>
      <c r="C974" t="inlineStr">
        <is>
          <t>e sua posterior aprovação, mesmo em caso de discordância</t>
        </is>
      </c>
      <c r="D974" t="inlineStr">
        <is>
          <t>0075105-48.2020.8.17.2001</t>
        </is>
      </c>
      <c r="E974" t="inlineStr">
        <is>
          <t>QGC</t>
        </is>
      </c>
      <c r="F974" t="inlineStr">
        <is>
          <t>QUARANTINED</t>
        </is>
      </c>
      <c r="G974" s="19" t="inlineStr">
        <is>
          <t>https://lrflideres.com.br/wp-content/plugins/download-attachments/includes/download.php?id=6026</t>
        </is>
      </c>
      <c r="H974" t="inlineStr">
        <is>
          <t>p4 r131</t>
        </is>
      </c>
      <c r="I974" t="inlineStr">
        <is>
          <t>NO_DOCUMENT</t>
        </is>
      </c>
    </row>
    <row r="975">
      <c r="A975" t="inlineStr">
        <is>
          <t>CAIXA ECONOMICA FEDERAL</t>
        </is>
      </c>
      <c r="B975" s="10" t="n">
        <v>5293267.02</v>
      </c>
      <c r="C975" t="inlineStr">
        <is>
          <t>e sua posterior aprovação, mesmo em caso de discordância</t>
        </is>
      </c>
      <c r="D975" t="inlineStr">
        <is>
          <t>0075105-48.2020.8.17.2001</t>
        </is>
      </c>
      <c r="E975" t="inlineStr">
        <is>
          <t>QGC</t>
        </is>
      </c>
      <c r="F975" t="inlineStr">
        <is>
          <t>QUARANTINED</t>
        </is>
      </c>
      <c r="G975" s="19" t="inlineStr">
        <is>
          <t>https://lrflideres.com.br/wp-content/plugins/download-attachments/includes/download.php?id=6026</t>
        </is>
      </c>
      <c r="H975" t="inlineStr">
        <is>
          <t>p3 r202</t>
        </is>
      </c>
      <c r="I975" t="inlineStr">
        <is>
          <t>NO_DOCUMENT</t>
        </is>
      </c>
    </row>
    <row r="976">
      <c r="A976" t="inlineStr">
        <is>
          <t>DUARTE CONSTRUÇÕES S/A</t>
        </is>
      </c>
      <c r="B976" s="10" t="n">
        <v>3497407.85</v>
      </c>
      <c r="C976" t="inlineStr">
        <is>
          <t>e sua posterior aprovação, mesmo em caso de discordância</t>
        </is>
      </c>
      <c r="D976" t="inlineStr">
        <is>
          <t>0075105-48.2020.8.17.2001</t>
        </is>
      </c>
      <c r="E976" t="inlineStr">
        <is>
          <t>QGC</t>
        </is>
      </c>
      <c r="F976" t="inlineStr">
        <is>
          <t>QUARANTINED</t>
        </is>
      </c>
      <c r="G976" s="19" t="inlineStr">
        <is>
          <t>https://lrflideres.com.br/wp-content/plugins/download-attachments/includes/download.php?id=6026</t>
        </is>
      </c>
      <c r="H976" t="inlineStr">
        <is>
          <t>p4 r23</t>
        </is>
      </c>
      <c r="I976" t="inlineStr">
        <is>
          <t>NO_DOCUMENT</t>
        </is>
      </c>
    </row>
    <row r="977">
      <c r="A977" t="inlineStr">
        <is>
          <t>SHOPPING PARK RESIDENCE</t>
        </is>
      </c>
      <c r="B977" s="10" t="n">
        <v>2028971.35</v>
      </c>
      <c r="C977" t="inlineStr">
        <is>
          <t>e sua posterior aprovação, mesmo em caso de discordância</t>
        </is>
      </c>
      <c r="D977" t="inlineStr">
        <is>
          <t>0075105-48.2020.8.17.2001</t>
        </is>
      </c>
      <c r="E977" t="inlineStr">
        <is>
          <t>QGC</t>
        </is>
      </c>
      <c r="F977" t="inlineStr">
        <is>
          <t>QUARANTINED</t>
        </is>
      </c>
      <c r="G977" s="19" t="inlineStr">
        <is>
          <t>https://lrflideres.com.br/wp-content/plugins/download-attachments/includes/download.php?id=6026</t>
        </is>
      </c>
      <c r="H977" t="inlineStr">
        <is>
          <t>p4 r129</t>
        </is>
      </c>
      <c r="I977" t="inlineStr">
        <is>
          <t>NO_DOCUMENT</t>
        </is>
      </c>
    </row>
    <row r="978">
      <c r="A978" t="inlineStr">
        <is>
          <t>SILVA ARAUJO PARTICIPAÇÃO</t>
        </is>
      </c>
      <c r="B978" s="10" t="n">
        <v>1938089.28</v>
      </c>
      <c r="C978" t="inlineStr">
        <is>
          <t>e sua posterior aprovação, mesmo em caso de discordância</t>
        </is>
      </c>
      <c r="D978" t="inlineStr">
        <is>
          <t>0075105-48.2020.8.17.2001</t>
        </is>
      </c>
      <c r="E978" t="inlineStr">
        <is>
          <t>QGC</t>
        </is>
      </c>
      <c r="F978" t="inlineStr">
        <is>
          <t>QUARANTINED</t>
        </is>
      </c>
      <c r="G978" s="19" t="inlineStr">
        <is>
          <t>https://lrflideres.com.br/wp-content/plugins/download-attachments/includes/download.php?id=6026</t>
        </is>
      </c>
      <c r="H978" t="inlineStr">
        <is>
          <t>p4 r132</t>
        </is>
      </c>
      <c r="I978" t="inlineStr">
        <is>
          <t>NO_DOCUMENT</t>
        </is>
      </c>
    </row>
    <row r="979">
      <c r="A979" t="inlineStr">
        <is>
          <t>FORSA BRASIL IMP. EXP. E COM. DE EQUIP. E SERVIÇOS LTDA</t>
        </is>
      </c>
      <c r="B979" s="10" t="n">
        <v>417057.27</v>
      </c>
      <c r="C979" t="inlineStr">
        <is>
          <t>e sua posterior aprovação, mesmo em caso de discordância</t>
        </is>
      </c>
      <c r="D979" t="inlineStr">
        <is>
          <t>0075105-48.2020.8.17.2001</t>
        </is>
      </c>
      <c r="E979" t="inlineStr">
        <is>
          <t>QGC</t>
        </is>
      </c>
      <c r="F979" t="inlineStr">
        <is>
          <t>QUARANTINED</t>
        </is>
      </c>
      <c r="G979" s="19" t="inlineStr">
        <is>
          <t>https://lrflideres.com.br/wp-content/plugins/download-attachments/includes/download.php?id=6026</t>
        </is>
      </c>
      <c r="H979" t="inlineStr">
        <is>
          <t>p4 r41</t>
        </is>
      </c>
      <c r="I979" t="inlineStr">
        <is>
          <t>NO_DOCUMENT</t>
        </is>
      </c>
    </row>
    <row r="980">
      <c r="A980" t="inlineStr">
        <is>
          <t>BIC BANCO (CHINA CONSTRUCTION BANK (BRASIL) BANCO MULTIPLO S/A)</t>
        </is>
      </c>
      <c r="B980" s="10" t="n">
        <v>300000</v>
      </c>
      <c r="C980" t="inlineStr">
        <is>
          <t>e sua posterior aprovação, mesmo em caso de discordância</t>
        </is>
      </c>
      <c r="D980" t="inlineStr">
        <is>
          <t>0075105-48.2020.8.17.2001</t>
        </is>
      </c>
      <c r="E980" t="inlineStr">
        <is>
          <t>QGC</t>
        </is>
      </c>
      <c r="F980" t="inlineStr">
        <is>
          <t>QUARANTINED</t>
        </is>
      </c>
      <c r="G980" s="19" t="inlineStr">
        <is>
          <t>https://lrflideres.com.br/wp-content/plugins/download-attachments/includes/download.php?id=6026</t>
        </is>
      </c>
      <c r="H980" t="inlineStr">
        <is>
          <t>p3 r197</t>
        </is>
      </c>
      <c r="I980" t="inlineStr">
        <is>
          <t>NO_DOCUMENT</t>
        </is>
      </c>
    </row>
    <row r="981">
      <c r="A981" t="inlineStr">
        <is>
          <t>SINDICATO DOS TRABALHADORES NA IND. CONST. CIVIL</t>
        </is>
      </c>
      <c r="B981" s="10" t="n">
        <v>213377.42</v>
      </c>
      <c r="C981" t="inlineStr">
        <is>
          <t>e sua posterior aprovação, mesmo em caso de discordância</t>
        </is>
      </c>
      <c r="D981" t="inlineStr">
        <is>
          <t>0075105-48.2020.8.17.2001</t>
        </is>
      </c>
      <c r="E981" t="inlineStr">
        <is>
          <t>QGC</t>
        </is>
      </c>
      <c r="F981" t="inlineStr">
        <is>
          <t>QUARANTINED</t>
        </is>
      </c>
      <c r="G981" s="19" t="inlineStr">
        <is>
          <t>https://lrflideres.com.br/wp-content/plugins/download-attachments/includes/download.php?id=6026</t>
        </is>
      </c>
      <c r="H981" t="inlineStr">
        <is>
          <t>p4 r135</t>
        </is>
      </c>
      <c r="I981" t="inlineStr">
        <is>
          <t>NO_DOCUMENT</t>
        </is>
      </c>
    </row>
    <row r="982">
      <c r="A982" t="inlineStr">
        <is>
          <t>A.S.C INDUSTRIA E COMERCIO DE ROUPAS IMPORTACAO E EXPORTACAO LTDA - RAIZ CNPJ 08.062.888</t>
        </is>
      </c>
      <c r="B982" s="10" t="n">
        <v>1509505</v>
      </c>
      <c r="C982" t="inlineStr">
        <is>
          <t>em que figuram como demandantes CATÃO &amp; CIA</t>
        </is>
      </c>
      <c r="D982" t="inlineStr">
        <is>
          <t>0002484-82.2022.8.17.2001</t>
        </is>
      </c>
      <c r="E982" t="inlineStr">
        <is>
          <t>DEBTOR_LIST</t>
        </is>
      </c>
      <c r="F982" t="inlineStr">
        <is>
          <t>QUARANTINED</t>
        </is>
      </c>
      <c r="G982" s="19" t="inlineStr">
        <is>
          <t>https://lrflideres.com.br/wp-content/plugins/download-attachments/includes/download.php?id=4023</t>
        </is>
      </c>
      <c r="H982" t="inlineStr">
        <is>
          <t>p7 r67</t>
        </is>
      </c>
      <c r="I982" t="inlineStr">
        <is>
          <t>NO_DOCUMENT</t>
        </is>
      </c>
    </row>
    <row r="983">
      <c r="A983" t="inlineStr">
        <is>
          <t>LEXMAR INDUSTRIA E COMERCIO DE MALHAS LTDA - RAIZ CNPJ 28.829.109</t>
        </is>
      </c>
      <c r="B983" s="10" t="n">
        <v>1507137.7</v>
      </c>
      <c r="C983" t="inlineStr">
        <is>
          <t>em que figuram como demandantes CATÃO &amp; CIA</t>
        </is>
      </c>
      <c r="D983" t="inlineStr">
        <is>
          <t>0002484-82.2022.8.17.2001</t>
        </is>
      </c>
      <c r="E983" t="inlineStr">
        <is>
          <t>DEBTOR_LIST</t>
        </is>
      </c>
      <c r="F983" t="inlineStr">
        <is>
          <t>QUARANTINED</t>
        </is>
      </c>
      <c r="G983" s="19" t="inlineStr">
        <is>
          <t>https://lrflideres.com.br/wp-content/plugins/download-attachments/includes/download.php?id=4023</t>
        </is>
      </c>
      <c r="H983" t="inlineStr">
        <is>
          <t>p7 r109</t>
        </is>
      </c>
      <c r="I983" t="inlineStr">
        <is>
          <t>NO_DOCUMENT</t>
        </is>
      </c>
    </row>
    <row r="984">
      <c r="A984" t="inlineStr">
        <is>
          <t>GRENDENE S A - RAIZ CNPJ 89.850.341</t>
        </is>
      </c>
      <c r="B984" s="10" t="n">
        <v>1088002.92</v>
      </c>
      <c r="C984" t="inlineStr">
        <is>
          <t>em que figuram como demandantes CATÃO &amp; CIA</t>
        </is>
      </c>
      <c r="D984" t="inlineStr">
        <is>
          <t>0002484-82.2022.8.17.2001</t>
        </is>
      </c>
      <c r="E984" t="inlineStr">
        <is>
          <t>DEBTOR_LIST</t>
        </is>
      </c>
      <c r="F984" t="inlineStr">
        <is>
          <t>QUARANTINED</t>
        </is>
      </c>
      <c r="G984" s="19" t="inlineStr">
        <is>
          <t>https://lrflideres.com.br/wp-content/plugins/download-attachments/includes/download.php?id=4023</t>
        </is>
      </c>
      <c r="H984" t="inlineStr">
        <is>
          <t>p7 r99</t>
        </is>
      </c>
      <c r="I984" t="inlineStr">
        <is>
          <t>NO_DOCUMENT</t>
        </is>
      </c>
    </row>
    <row r="985">
      <c r="A985" t="inlineStr">
        <is>
          <t>LEXMAR INDUSTRIA E COMERCIO DE MALHAS LTDA - RAIZ CNPJ 28.829.109</t>
        </is>
      </c>
      <c r="B985" s="10" t="n">
        <v>781616</v>
      </c>
      <c r="C985" t="inlineStr">
        <is>
          <t>em que figuram como demandantes CATÃO &amp; CIA</t>
        </is>
      </c>
      <c r="D985" t="inlineStr">
        <is>
          <t>0002484-82.2022.8.17.2001</t>
        </is>
      </c>
      <c r="E985" t="inlineStr">
        <is>
          <t>DEBTOR_LIST</t>
        </is>
      </c>
      <c r="F985" t="inlineStr">
        <is>
          <t>QUARANTINED</t>
        </is>
      </c>
      <c r="G985" s="19" t="inlineStr">
        <is>
          <t>https://lrflideres.com.br/wp-content/plugins/download-attachments/includes/download.php?id=4023</t>
        </is>
      </c>
      <c r="H985" t="inlineStr">
        <is>
          <t>p4 r85</t>
        </is>
      </c>
      <c r="I985" t="inlineStr">
        <is>
          <t>NO_DOCUMENT</t>
        </is>
      </c>
    </row>
    <row r="986">
      <c r="A986" t="inlineStr">
        <is>
          <t>A.S.C INDUSTRIA E COMERCIO DE ROUPAS IMPORTACAO E EXPORTACAO LTDA - RAIZ CNPJ 08.062.888</t>
        </is>
      </c>
      <c r="B986" s="10" t="n">
        <v>465172</v>
      </c>
      <c r="C986" t="inlineStr">
        <is>
          <t>em que figuram como demandantes CATÃO &amp; CIA</t>
        </is>
      </c>
      <c r="D986" t="inlineStr">
        <is>
          <t>0002484-82.2022.8.17.2001</t>
        </is>
      </c>
      <c r="E986" t="inlineStr">
        <is>
          <t>DEBTOR_LIST</t>
        </is>
      </c>
      <c r="F986" t="inlineStr">
        <is>
          <t>QUARANTINED</t>
        </is>
      </c>
      <c r="G986" s="19" t="inlineStr">
        <is>
          <t>https://lrflideres.com.br/wp-content/plugins/download-attachments/includes/download.php?id=4023</t>
        </is>
      </c>
      <c r="H986" t="inlineStr">
        <is>
          <t>p4 r49</t>
        </is>
      </c>
      <c r="I986" t="inlineStr">
        <is>
          <t>NO_DOCUMENT</t>
        </is>
      </c>
    </row>
    <row r="987">
      <c r="A987" t="inlineStr">
        <is>
          <t>A.S.C INDUSTRIA E COMERCIO DE ROUPAS IMPORTACAO E EXPORTACAO LTDA - RAIZ CNPJ 08.062.888</t>
        </is>
      </c>
      <c r="B987" s="10" t="n">
        <v>353538</v>
      </c>
      <c r="C987" t="inlineStr">
        <is>
          <t>em que figuram como demandantes CATÃO &amp; CIA</t>
        </is>
      </c>
      <c r="D987" t="inlineStr">
        <is>
          <t>0002484-82.2022.8.17.2001</t>
        </is>
      </c>
      <c r="E987" t="inlineStr">
        <is>
          <t>DEBTOR_LIST</t>
        </is>
      </c>
      <c r="F987" t="inlineStr">
        <is>
          <t>QUARANTINED</t>
        </is>
      </c>
      <c r="G987" s="19" t="inlineStr">
        <is>
          <t>https://lrflideres.com.br/wp-content/plugins/download-attachments/includes/download.php?id=4023</t>
        </is>
      </c>
      <c r="H987" t="inlineStr">
        <is>
          <t>p9 r49</t>
        </is>
      </c>
      <c r="I987" t="inlineStr">
        <is>
          <t>NO_DOCUMENT</t>
        </is>
      </c>
    </row>
    <row r="988">
      <c r="A988" t="inlineStr">
        <is>
          <t>LEXMAR INDUSTRIA E COMERCIO DE MALHAS LTDA - RAIZ CNPJ 28.829.109</t>
        </is>
      </c>
      <c r="B988" s="10" t="n">
        <v>260737.86</v>
      </c>
      <c r="C988" t="inlineStr">
        <is>
          <t>em que figuram como demandantes CATÃO &amp; CIA</t>
        </is>
      </c>
      <c r="D988" t="inlineStr">
        <is>
          <t>0002484-82.2022.8.17.2001</t>
        </is>
      </c>
      <c r="E988" t="inlineStr">
        <is>
          <t>DEBTOR_LIST</t>
        </is>
      </c>
      <c r="F988" t="inlineStr">
        <is>
          <t>QUARANTINED</t>
        </is>
      </c>
      <c r="G988" s="19" t="inlineStr">
        <is>
          <t>https://lrflideres.com.br/wp-content/plugins/download-attachments/includes/download.php?id=4023</t>
        </is>
      </c>
      <c r="H988" t="inlineStr">
        <is>
          <t>p9 r83</t>
        </is>
      </c>
      <c r="I988" t="inlineStr">
        <is>
          <t>NO_DOCUMENT</t>
        </is>
      </c>
    </row>
    <row r="989">
      <c r="A989" t="inlineStr">
        <is>
          <t>ALPARGATAS S.A. - RAIZ CNPJ 61.079.117</t>
        </is>
      </c>
      <c r="B989" s="10" t="n">
        <v>222097.68</v>
      </c>
      <c r="C989" t="inlineStr">
        <is>
          <t>em que figuram como demandantes CATÃO &amp; CIA</t>
        </is>
      </c>
      <c r="D989" t="inlineStr">
        <is>
          <t>0002484-82.2022.8.17.2001</t>
        </is>
      </c>
      <c r="E989" t="inlineStr">
        <is>
          <t>DEBTOR_LIST</t>
        </is>
      </c>
      <c r="F989" t="inlineStr">
        <is>
          <t>QUARANTINED</t>
        </is>
      </c>
      <c r="G989" s="19" t="inlineStr">
        <is>
          <t>https://lrflideres.com.br/wp-content/plugins/download-attachments/includes/download.php?id=4023</t>
        </is>
      </c>
      <c r="H989" t="inlineStr">
        <is>
          <t>p4 r52</t>
        </is>
      </c>
      <c r="I989" t="inlineStr">
        <is>
          <t>NO_DOCUMENT</t>
        </is>
      </c>
    </row>
    <row r="990">
      <c r="A990" t="inlineStr">
        <is>
          <t>BANCO DO BRASIL SA</t>
        </is>
      </c>
      <c r="B990" s="10" t="n">
        <v>9806458.060000001</v>
      </c>
      <c r="C990" t="inlineStr">
        <is>
          <t>E FALÊNCIA</t>
        </is>
      </c>
      <c r="D990" t="inlineStr">
        <is>
          <t>0832598-25.2022.8.15.2001</t>
        </is>
      </c>
      <c r="E990" t="inlineStr">
        <is>
          <t>AJ_LIST</t>
        </is>
      </c>
      <c r="F990" t="inlineStr">
        <is>
          <t>QUARANTINED</t>
        </is>
      </c>
      <c r="G990" s="19" t="inlineStr">
        <is>
          <t>https://lrflideres.com.br/wp-content/plugins/download-attachments/includes/download.php?id=4856</t>
        </is>
      </c>
      <c r="H990" t="inlineStr">
        <is>
          <t>p2 r38</t>
        </is>
      </c>
      <c r="I990" t="inlineStr">
        <is>
          <t>NO_DOCUMENT</t>
        </is>
      </c>
    </row>
    <row r="991">
      <c r="A991" t="inlineStr">
        <is>
          <t>BANCO COOPERATIVO SICREDI S.A</t>
        </is>
      </c>
      <c r="B991" s="10" t="n">
        <v>3697394.49</v>
      </c>
      <c r="C991" t="inlineStr">
        <is>
          <t>E FALÊNCIA</t>
        </is>
      </c>
      <c r="D991" t="inlineStr">
        <is>
          <t>0832598-25.2022.8.15.2001</t>
        </is>
      </c>
      <c r="E991" t="inlineStr">
        <is>
          <t>AJ_LIST</t>
        </is>
      </c>
      <c r="F991" t="inlineStr">
        <is>
          <t>QUARANTINED</t>
        </is>
      </c>
      <c r="G991" s="19" t="inlineStr">
        <is>
          <t>https://lrflideres.com.br/wp-content/plugins/download-attachments/includes/download.php?id=4856</t>
        </is>
      </c>
      <c r="H991" t="inlineStr">
        <is>
          <t>p2 r36</t>
        </is>
      </c>
      <c r="I991" t="inlineStr">
        <is>
          <t>NO_DOCUMENT</t>
        </is>
      </c>
    </row>
    <row r="992">
      <c r="A992" t="inlineStr">
        <is>
          <t>BANCO DAYCOVAL S.A</t>
        </is>
      </c>
      <c r="B992" s="10" t="n">
        <v>3312361.05</v>
      </c>
      <c r="C992" t="inlineStr">
        <is>
          <t>E FALÊNCIA</t>
        </is>
      </c>
      <c r="D992" t="inlineStr">
        <is>
          <t>0832598-25.2022.8.15.2001</t>
        </is>
      </c>
      <c r="E992" t="inlineStr">
        <is>
          <t>AJ_LIST</t>
        </is>
      </c>
      <c r="F992" t="inlineStr">
        <is>
          <t>QUARANTINED</t>
        </is>
      </c>
      <c r="G992" s="19" t="inlineStr">
        <is>
          <t>https://lrflideres.com.br/wp-content/plugins/download-attachments/includes/download.php?id=4856</t>
        </is>
      </c>
      <c r="H992" t="inlineStr">
        <is>
          <t>p2 r37</t>
        </is>
      </c>
      <c r="I992" t="inlineStr">
        <is>
          <t>NO_DOCUMENT</t>
        </is>
      </c>
    </row>
    <row r="993">
      <c r="A993" t="inlineStr">
        <is>
          <t>BANCO SAFRA S A</t>
        </is>
      </c>
      <c r="B993" s="10" t="n">
        <v>3106322.42</v>
      </c>
      <c r="C993" t="inlineStr">
        <is>
          <t>E FALÊNCIA</t>
        </is>
      </c>
      <c r="D993" t="inlineStr">
        <is>
          <t>0832598-25.2022.8.15.2001</t>
        </is>
      </c>
      <c r="E993" t="inlineStr">
        <is>
          <t>AJ_LIST</t>
        </is>
      </c>
      <c r="F993" t="inlineStr">
        <is>
          <t>QUARANTINED</t>
        </is>
      </c>
      <c r="G993" s="19" t="inlineStr">
        <is>
          <t>https://lrflideres.com.br/wp-content/plugins/download-attachments/includes/download.php?id=4856</t>
        </is>
      </c>
      <c r="H993" t="inlineStr">
        <is>
          <t>p2 r41</t>
        </is>
      </c>
      <c r="I993" t="inlineStr">
        <is>
          <t>NO_DOCUMENT</t>
        </is>
      </c>
    </row>
    <row r="994">
      <c r="A994" t="inlineStr">
        <is>
          <t>OMNI BANCO S.A</t>
        </is>
      </c>
      <c r="B994" s="10" t="n">
        <v>2767452.42</v>
      </c>
      <c r="C994" t="inlineStr">
        <is>
          <t>E FALÊNCIA</t>
        </is>
      </c>
      <c r="D994" t="inlineStr">
        <is>
          <t>0832598-25.2022.8.15.2001</t>
        </is>
      </c>
      <c r="E994" t="inlineStr">
        <is>
          <t>AJ_LIST</t>
        </is>
      </c>
      <c r="F994" t="inlineStr">
        <is>
          <t>QUARANTINED</t>
        </is>
      </c>
      <c r="G994" s="19" t="inlineStr">
        <is>
          <t>https://lrflideres.com.br/wp-content/plugins/download-attachments/includes/download.php?id=4856</t>
        </is>
      </c>
      <c r="H994" t="inlineStr">
        <is>
          <t>p3 r74</t>
        </is>
      </c>
      <c r="I994" t="inlineStr">
        <is>
          <t>NO_DOCUMENT</t>
        </is>
      </c>
    </row>
    <row r="995">
      <c r="A995" t="inlineStr">
        <is>
          <t>ITAU UNIBANCO S.A</t>
        </is>
      </c>
      <c r="B995" s="10" t="n">
        <v>2535877.24</v>
      </c>
      <c r="C995" t="inlineStr">
        <is>
          <t>E FALÊNCIA</t>
        </is>
      </c>
      <c r="D995" t="inlineStr">
        <is>
          <t>0832598-25.2022.8.15.2001</t>
        </is>
      </c>
      <c r="E995" t="inlineStr">
        <is>
          <t>AJ_LIST</t>
        </is>
      </c>
      <c r="F995" t="inlineStr">
        <is>
          <t>QUARANTINED</t>
        </is>
      </c>
      <c r="G995" s="19" t="inlineStr">
        <is>
          <t>https://lrflideres.com.br/wp-content/plugins/download-attachments/includes/download.php?id=4856</t>
        </is>
      </c>
      <c r="H995" t="inlineStr">
        <is>
          <t>p3 r19</t>
        </is>
      </c>
      <c r="I995" t="inlineStr">
        <is>
          <t>NO_DOCUMENT</t>
        </is>
      </c>
    </row>
    <row r="996">
      <c r="A996" t="inlineStr">
        <is>
          <t>RIOGRANDENSE DISTRIBUIDORA LTDA</t>
        </is>
      </c>
      <c r="B996" s="10" t="n">
        <v>2300582.49</v>
      </c>
      <c r="C996" t="inlineStr">
        <is>
          <t>E FALÊNCIA</t>
        </is>
      </c>
      <c r="D996" t="inlineStr">
        <is>
          <t>0832598-25.2022.8.15.2001</t>
        </is>
      </c>
      <c r="E996" t="inlineStr">
        <is>
          <t>AJ_LIST</t>
        </is>
      </c>
      <c r="F996" t="inlineStr">
        <is>
          <t>QUARANTINED</t>
        </is>
      </c>
      <c r="G996" s="19" t="inlineStr">
        <is>
          <t>https://lrflideres.com.br/wp-content/plugins/download-attachments/includes/download.php?id=4856</t>
        </is>
      </c>
      <c r="H996" t="inlineStr">
        <is>
          <t>p3 r92</t>
        </is>
      </c>
      <c r="I996" t="inlineStr">
        <is>
          <t>NO_DOCUMENT</t>
        </is>
      </c>
    </row>
    <row r="997">
      <c r="A997" t="inlineStr">
        <is>
          <t>M DIAS BRANCO S.A. INDUSTRIA E COMERCIO DE ALIMENTOS</t>
        </is>
      </c>
      <c r="B997" s="10" t="n">
        <v>1903617.61</v>
      </c>
      <c r="C997" t="inlineStr">
        <is>
          <t>E FALÊNCIA</t>
        </is>
      </c>
      <c r="D997" t="inlineStr">
        <is>
          <t>0832598-25.2022.8.15.2001</t>
        </is>
      </c>
      <c r="E997" t="inlineStr">
        <is>
          <t>AJ_LIST</t>
        </is>
      </c>
      <c r="F997" t="inlineStr">
        <is>
          <t>QUARANTINED</t>
        </is>
      </c>
      <c r="G997" s="19" t="inlineStr">
        <is>
          <t>https://lrflideres.com.br/wp-content/plugins/download-attachments/includes/download.php?id=4856</t>
        </is>
      </c>
      <c r="H997" t="inlineStr">
        <is>
          <t>p3 r39</t>
        </is>
      </c>
      <c r="I997" t="inlineStr">
        <is>
          <t>NO_DOCUMENT</t>
        </is>
      </c>
    </row>
    <row r="998">
      <c r="A998" t="inlineStr">
        <is>
          <t>TRES CORACOES ALIMENTOS S.A</t>
        </is>
      </c>
      <c r="B998" s="10" t="n">
        <v>1533721.96</v>
      </c>
      <c r="C998" t="inlineStr">
        <is>
          <t>E FALÊNCIA</t>
        </is>
      </c>
      <c r="D998" t="inlineStr">
        <is>
          <t>0832598-25.2022.8.15.2001</t>
        </is>
      </c>
      <c r="E998" t="inlineStr">
        <is>
          <t>AJ_LIST</t>
        </is>
      </c>
      <c r="F998" t="inlineStr">
        <is>
          <t>QUARANTINED</t>
        </is>
      </c>
      <c r="G998" s="19" t="inlineStr">
        <is>
          <t>https://lrflideres.com.br/wp-content/plugins/download-attachments/includes/download.php?id=4856</t>
        </is>
      </c>
      <c r="H998" t="inlineStr">
        <is>
          <t>p4 r6</t>
        </is>
      </c>
      <c r="I998" t="inlineStr">
        <is>
          <t>NO_DOCUMENT</t>
        </is>
      </c>
    </row>
    <row r="999">
      <c r="A999" t="inlineStr">
        <is>
          <t>JBS S/A</t>
        </is>
      </c>
      <c r="B999" s="10" t="n">
        <v>1447866.74</v>
      </c>
      <c r="C999" t="inlineStr">
        <is>
          <t>E FALÊNCIA</t>
        </is>
      </c>
      <c r="D999" t="inlineStr">
        <is>
          <t>0832598-25.2022.8.15.2001</t>
        </is>
      </c>
      <c r="E999" t="inlineStr">
        <is>
          <t>AJ_LIST</t>
        </is>
      </c>
      <c r="F999" t="inlineStr">
        <is>
          <t>QUARANTINED</t>
        </is>
      </c>
      <c r="G999" s="19" t="inlineStr">
        <is>
          <t>https://lrflideres.com.br/wp-content/plugins/download-attachments/includes/download.php?id=4856</t>
        </is>
      </c>
      <c r="H999" t="inlineStr">
        <is>
          <t>p3 r25</t>
        </is>
      </c>
      <c r="I999" t="inlineStr">
        <is>
          <t>NO_DOCUMENT</t>
        </is>
      </c>
    </row>
    <row r="1000">
      <c r="A1000" t="inlineStr">
        <is>
          <t>BANCO DO NORDESTE DO BRASIL S.A</t>
        </is>
      </c>
      <c r="B1000" s="10" t="n">
        <v>1305101.05</v>
      </c>
      <c r="C1000" t="inlineStr">
        <is>
          <t>E FALÊNCIA</t>
        </is>
      </c>
      <c r="D1000" t="inlineStr">
        <is>
          <t>0832598-25.2022.8.15.2001</t>
        </is>
      </c>
      <c r="E1000" t="inlineStr">
        <is>
          <t>AJ_LIST</t>
        </is>
      </c>
      <c r="F1000" t="inlineStr">
        <is>
          <t>QUARANTINED</t>
        </is>
      </c>
      <c r="G1000" s="19" t="inlineStr">
        <is>
          <t>https://lrflideres.com.br/wp-content/plugins/download-attachments/includes/download.php?id=4856</t>
        </is>
      </c>
      <c r="H1000" t="inlineStr">
        <is>
          <t>p2 r39</t>
        </is>
      </c>
      <c r="I1000" t="inlineStr">
        <is>
          <t>NO_DOCUMENT</t>
        </is>
      </c>
    </row>
    <row r="1001">
      <c r="A1001" t="inlineStr">
        <is>
          <t>FRIGORIFICO RIO MARIA LTDA</t>
        </is>
      </c>
      <c r="B1001" s="10" t="n">
        <v>1198317.91</v>
      </c>
      <c r="C1001" t="inlineStr">
        <is>
          <t>E FALÊNCIA</t>
        </is>
      </c>
      <c r="D1001" t="inlineStr">
        <is>
          <t>0832598-25.2022.8.15.2001</t>
        </is>
      </c>
      <c r="E1001" t="inlineStr">
        <is>
          <t>AJ_LIST</t>
        </is>
      </c>
      <c r="F1001" t="inlineStr">
        <is>
          <t>QUARANTINED</t>
        </is>
      </c>
      <c r="G1001" s="19" t="inlineStr">
        <is>
          <t>https://lrflideres.com.br/wp-content/plugins/download-attachments/includes/download.php?id=4856</t>
        </is>
      </c>
      <c r="H1001" t="inlineStr">
        <is>
          <t>p2 r108</t>
        </is>
      </c>
      <c r="I1001" t="inlineStr">
        <is>
          <t>NO_DOCUMENT</t>
        </is>
      </c>
    </row>
    <row r="1002">
      <c r="A1002" t="inlineStr">
        <is>
          <t>ATACADAO S.A</t>
        </is>
      </c>
      <c r="B1002" s="10" t="n">
        <v>1197217.4</v>
      </c>
      <c r="C1002" t="inlineStr">
        <is>
          <t>E FALÊNCIA</t>
        </is>
      </c>
      <c r="D1002" t="inlineStr">
        <is>
          <t>0832598-25.2022.8.15.2001</t>
        </is>
      </c>
      <c r="E1002" t="inlineStr">
        <is>
          <t>AJ_LIST</t>
        </is>
      </c>
      <c r="F1002" t="inlineStr">
        <is>
          <t>QUARANTINED</t>
        </is>
      </c>
      <c r="G1002" s="19" t="inlineStr">
        <is>
          <t>https://lrflideres.com.br/wp-content/plugins/download-attachments/includes/download.php?id=4856</t>
        </is>
      </c>
      <c r="H1002" t="inlineStr">
        <is>
          <t>p2 r31</t>
        </is>
      </c>
      <c r="I1002" t="inlineStr">
        <is>
          <t>NO_DOCUMENT</t>
        </is>
      </c>
    </row>
    <row r="1003">
      <c r="A1003" t="inlineStr">
        <is>
          <t>BANCO BRADESCO S.A</t>
        </is>
      </c>
      <c r="B1003" s="10" t="n">
        <v>1044446.97</v>
      </c>
      <c r="C1003" t="inlineStr">
        <is>
          <t>E FALÊNCIA</t>
        </is>
      </c>
      <c r="D1003" t="inlineStr">
        <is>
          <t>0832598-25.2022.8.15.2001</t>
        </is>
      </c>
      <c r="E1003" t="inlineStr">
        <is>
          <t>AJ_LIST</t>
        </is>
      </c>
      <c r="F1003" t="inlineStr">
        <is>
          <t>QUARANTINED</t>
        </is>
      </c>
      <c r="G1003" s="19" t="inlineStr">
        <is>
          <t>https://lrflideres.com.br/wp-content/plugins/download-attachments/includes/download.php?id=4856</t>
        </is>
      </c>
      <c r="H1003" t="inlineStr">
        <is>
          <t>p2 r35</t>
        </is>
      </c>
      <c r="I1003" t="inlineStr">
        <is>
          <t>NO_DOCUMENT</t>
        </is>
      </c>
    </row>
    <row r="1004">
      <c r="A1004" t="inlineStr">
        <is>
          <t>CAIXA ECONOMICA FEDERAL</t>
        </is>
      </c>
      <c r="B1004" s="10" t="n">
        <v>1000446.35</v>
      </c>
      <c r="C1004" t="inlineStr">
        <is>
          <t>E FALÊNCIA</t>
        </is>
      </c>
      <c r="D1004" t="inlineStr">
        <is>
          <t>0832598-25.2022.8.15.2001</t>
        </is>
      </c>
      <c r="E1004" t="inlineStr">
        <is>
          <t>AJ_LIST</t>
        </is>
      </c>
      <c r="F1004" t="inlineStr">
        <is>
          <t>QUARANTINED</t>
        </is>
      </c>
      <c r="G1004" s="19" t="inlineStr">
        <is>
          <t>https://lrflideres.com.br/wp-content/plugins/download-attachments/includes/download.php?id=4856</t>
        </is>
      </c>
      <c r="H1004" t="inlineStr">
        <is>
          <t>p2 r51</t>
        </is>
      </c>
      <c r="I1004" t="inlineStr">
        <is>
          <t>NO_DOCUMENT</t>
        </is>
      </c>
    </row>
    <row r="1005">
      <c r="A1005" t="inlineStr">
        <is>
          <t>SÃO BRAZ S/A INDUSTRIA E COMERCIO DE ALIMENTOS</t>
        </is>
      </c>
      <c r="B1005" s="10" t="n">
        <v>979596.03</v>
      </c>
      <c r="C1005" t="inlineStr">
        <is>
          <t>E FALÊNCIA</t>
        </is>
      </c>
      <c r="D1005" t="inlineStr">
        <is>
          <t>0832598-25.2022.8.15.2001</t>
        </is>
      </c>
      <c r="E1005" t="inlineStr">
        <is>
          <t>AJ_LIST</t>
        </is>
      </c>
      <c r="F1005" t="inlineStr">
        <is>
          <t>QUARANTINED</t>
        </is>
      </c>
      <c r="G1005" s="19" t="inlineStr">
        <is>
          <t>https://lrflideres.com.br/wp-content/plugins/download-attachments/includes/download.php?id=4856</t>
        </is>
      </c>
      <c r="H1005" t="inlineStr">
        <is>
          <t>p3 r95</t>
        </is>
      </c>
      <c r="I1005" t="inlineStr">
        <is>
          <t>NO_DOCUMENT</t>
        </is>
      </c>
    </row>
    <row r="1006">
      <c r="A1006" t="inlineStr">
        <is>
          <t>NORDIL-NORDESTE DISTRIBUICAO E LOGISTICA LTDA</t>
        </is>
      </c>
      <c r="B1006" s="10" t="n">
        <v>922765.0600000001</v>
      </c>
      <c r="C1006" t="inlineStr">
        <is>
          <t>E FALÊNCIA</t>
        </is>
      </c>
      <c r="D1006" t="inlineStr">
        <is>
          <t>0832598-25.2022.8.15.2001</t>
        </is>
      </c>
      <c r="E1006" t="inlineStr">
        <is>
          <t>AJ_LIST</t>
        </is>
      </c>
      <c r="F1006" t="inlineStr">
        <is>
          <t>QUARANTINED</t>
        </is>
      </c>
      <c r="G1006" s="19" t="inlineStr">
        <is>
          <t>https://lrflideres.com.br/wp-content/plugins/download-attachments/includes/download.php?id=4856</t>
        </is>
      </c>
      <c r="H1006" t="inlineStr">
        <is>
          <t>p3 r65</t>
        </is>
      </c>
      <c r="I1006" t="inlineStr">
        <is>
          <t>NO_DOCUMENT</t>
        </is>
      </c>
    </row>
    <row r="1007">
      <c r="A1007" t="inlineStr">
        <is>
          <t>WMS SUPERMERCADOS DO BRASIL LTDA</t>
        </is>
      </c>
      <c r="B1007" s="10" t="n">
        <v>901028.4</v>
      </c>
      <c r="C1007" t="inlineStr">
        <is>
          <t>E FALÊNCIA</t>
        </is>
      </c>
      <c r="D1007" t="inlineStr">
        <is>
          <t>0832598-25.2022.8.15.2001</t>
        </is>
      </c>
      <c r="E1007" t="inlineStr">
        <is>
          <t>AJ_LIST</t>
        </is>
      </c>
      <c r="F1007" t="inlineStr">
        <is>
          <t>QUARANTINED</t>
        </is>
      </c>
      <c r="G1007" s="19" t="inlineStr">
        <is>
          <t>https://lrflideres.com.br/wp-content/plugins/download-attachments/includes/download.php?id=4856</t>
        </is>
      </c>
      <c r="H1007" t="inlineStr">
        <is>
          <t>p4 r16</t>
        </is>
      </c>
      <c r="I1007" t="inlineStr">
        <is>
          <t>NO_DOCUMENT</t>
        </is>
      </c>
    </row>
    <row r="1008">
      <c r="A1008" t="inlineStr">
        <is>
          <t>TMC DISTRIBUIDOR E ATACADISTA DE ALIMENTOS LTDA</t>
        </is>
      </c>
      <c r="B1008" s="10" t="n">
        <v>822793.29</v>
      </c>
      <c r="C1008" t="inlineStr">
        <is>
          <t>E FALÊNCIA</t>
        </is>
      </c>
      <c r="D1008" t="inlineStr">
        <is>
          <t>0832598-25.2022.8.15.2001</t>
        </is>
      </c>
      <c r="E1008" t="inlineStr">
        <is>
          <t>AJ_LIST</t>
        </is>
      </c>
      <c r="F1008" t="inlineStr">
        <is>
          <t>QUARANTINED</t>
        </is>
      </c>
      <c r="G1008" s="19" t="inlineStr">
        <is>
          <t>https://lrflideres.com.br/wp-content/plugins/download-attachments/includes/download.php?id=4856</t>
        </is>
      </c>
      <c r="H1008" t="inlineStr">
        <is>
          <t>p4 r3</t>
        </is>
      </c>
      <c r="I1008" t="inlineStr">
        <is>
          <t>NO_DOCUMENT</t>
        </is>
      </c>
    </row>
    <row r="1009">
      <c r="A1009" t="inlineStr">
        <is>
          <t>B E A COMERCIAL LTDA</t>
        </is>
      </c>
      <c r="B1009" s="10" t="n">
        <v>707673.6899999999</v>
      </c>
      <c r="C1009" t="inlineStr">
        <is>
          <t>E FALÊNCIA</t>
        </is>
      </c>
      <c r="D1009" t="inlineStr">
        <is>
          <t>0832598-25.2022.8.15.2001</t>
        </is>
      </c>
      <c r="E1009" t="inlineStr">
        <is>
          <t>AJ_LIST</t>
        </is>
      </c>
      <c r="F1009" t="inlineStr">
        <is>
          <t>QUARANTINED</t>
        </is>
      </c>
      <c r="G1009" s="19" t="inlineStr">
        <is>
          <t>https://lrflideres.com.br/wp-content/plugins/download-attachments/includes/download.php?id=4856</t>
        </is>
      </c>
      <c r="H1009" t="inlineStr">
        <is>
          <t>p2 r34</t>
        </is>
      </c>
      <c r="I1009" t="inlineStr">
        <is>
          <t>NO_DOCUMENT</t>
        </is>
      </c>
    </row>
    <row r="1010">
      <c r="A1010" t="inlineStr">
        <is>
          <t>GUARAVES GUARABIRA AVES LTDA</t>
        </is>
      </c>
      <c r="B1010" s="10" t="n">
        <v>658629.55</v>
      </c>
      <c r="C1010" t="inlineStr">
        <is>
          <t>E FALÊNCIA</t>
        </is>
      </c>
      <c r="D1010" t="inlineStr">
        <is>
          <t>0832598-25.2022.8.15.2001</t>
        </is>
      </c>
      <c r="E1010" t="inlineStr">
        <is>
          <t>AJ_LIST</t>
        </is>
      </c>
      <c r="F1010" t="inlineStr">
        <is>
          <t>QUARANTINED</t>
        </is>
      </c>
      <c r="G1010" s="19" t="inlineStr">
        <is>
          <t>https://lrflideres.com.br/wp-content/plugins/download-attachments/includes/download.php?id=4856</t>
        </is>
      </c>
      <c r="H1010" t="inlineStr">
        <is>
          <t>p3 r5</t>
        </is>
      </c>
      <c r="I1010" t="inlineStr">
        <is>
          <t>NO_DOCUMENT</t>
        </is>
      </c>
    </row>
    <row r="1011">
      <c r="A1011" t="inlineStr">
        <is>
          <t>POLYBALAS DISTRIBUIDORA E LOGISTICA LTDA</t>
        </is>
      </c>
      <c r="B1011" s="10" t="n">
        <v>581138.88</v>
      </c>
      <c r="C1011" t="inlineStr">
        <is>
          <t>E FALÊNCIA</t>
        </is>
      </c>
      <c r="D1011" t="inlineStr">
        <is>
          <t>0832598-25.2022.8.15.2001</t>
        </is>
      </c>
      <c r="E1011" t="inlineStr">
        <is>
          <t>AJ_LIST</t>
        </is>
      </c>
      <c r="F1011" t="inlineStr">
        <is>
          <t>QUARANTINED</t>
        </is>
      </c>
      <c r="G1011" s="19" t="inlineStr">
        <is>
          <t>https://lrflideres.com.br/wp-content/plugins/download-attachments/includes/download.php?id=4856</t>
        </is>
      </c>
      <c r="H1011" t="inlineStr">
        <is>
          <t>p3 r82</t>
        </is>
      </c>
      <c r="I1011" t="inlineStr">
        <is>
          <t>NO_DOCUMENT</t>
        </is>
      </c>
    </row>
    <row r="1012">
      <c r="A1012" t="inlineStr">
        <is>
          <t>EBANO DISTRIBUIDORA DE ALIMENTOS LTDA</t>
        </is>
      </c>
      <c r="B1012" s="10" t="n">
        <v>549582.03</v>
      </c>
      <c r="C1012" t="inlineStr">
        <is>
          <t>E FALÊNCIA</t>
        </is>
      </c>
      <c r="D1012" t="inlineStr">
        <is>
          <t>0832598-25.2022.8.15.2001</t>
        </is>
      </c>
      <c r="E1012" t="inlineStr">
        <is>
          <t>AJ_LIST</t>
        </is>
      </c>
      <c r="F1012" t="inlineStr">
        <is>
          <t>QUARANTINED</t>
        </is>
      </c>
      <c r="G1012" s="19" t="inlineStr">
        <is>
          <t>https://lrflideres.com.br/wp-content/plugins/download-attachments/includes/download.php?id=4856</t>
        </is>
      </c>
      <c r="H1012" t="inlineStr">
        <is>
          <t>p2 r95</t>
        </is>
      </c>
      <c r="I1012" t="inlineStr">
        <is>
          <t>NO_DOCUMENT</t>
        </is>
      </c>
    </row>
    <row r="1013">
      <c r="A1013" t="inlineStr">
        <is>
          <t>MULTIGIRO DISTRIBUIDORA LTDA</t>
        </is>
      </c>
      <c r="B1013" s="10" t="n">
        <v>545964.22</v>
      </c>
      <c r="C1013" t="inlineStr">
        <is>
          <t>E FALÊNCIA</t>
        </is>
      </c>
      <c r="D1013" t="inlineStr">
        <is>
          <t>0832598-25.2022.8.15.2001</t>
        </is>
      </c>
      <c r="E1013" t="inlineStr">
        <is>
          <t>AJ_LIST</t>
        </is>
      </c>
      <c r="F1013" t="inlineStr">
        <is>
          <t>QUARANTINED</t>
        </is>
      </c>
      <c r="G1013" s="19" t="inlineStr">
        <is>
          <t>https://lrflideres.com.br/wp-content/plugins/download-attachments/includes/download.php?id=4856</t>
        </is>
      </c>
      <c r="H1013" t="inlineStr">
        <is>
          <t>p3 r52</t>
        </is>
      </c>
      <c r="I1013" t="inlineStr">
        <is>
          <t>NO_DOCUMENT</t>
        </is>
      </c>
    </row>
    <row r="1014">
      <c r="A1014" t="inlineStr">
        <is>
          <t>FRANCISCO DE SOUSA PIRES ARMAZEM</t>
        </is>
      </c>
      <c r="B1014" s="10" t="n">
        <v>534519.99</v>
      </c>
      <c r="C1014" t="inlineStr">
        <is>
          <t>E FALÊNCIA</t>
        </is>
      </c>
      <c r="D1014" t="inlineStr">
        <is>
          <t>0832598-25.2022.8.15.2001</t>
        </is>
      </c>
      <c r="E1014" t="inlineStr">
        <is>
          <t>AJ_LIST</t>
        </is>
      </c>
      <c r="F1014" t="inlineStr">
        <is>
          <t>QUARANTINED</t>
        </is>
      </c>
      <c r="G1014" s="19" t="inlineStr">
        <is>
          <t>https://lrflideres.com.br/wp-content/plugins/download-attachments/includes/download.php?id=4856</t>
        </is>
      </c>
      <c r="H1014" t="inlineStr">
        <is>
          <t>p2 r105</t>
        </is>
      </c>
      <c r="I1014" t="inlineStr">
        <is>
          <t>NO_DOCUMENT</t>
        </is>
      </c>
    </row>
    <row r="1015">
      <c r="A1015" t="inlineStr">
        <is>
          <t>USINA MONTE ALEGRE S/A</t>
        </is>
      </c>
      <c r="B1015" s="10" t="n">
        <v>508500</v>
      </c>
      <c r="C1015" t="inlineStr">
        <is>
          <t>E FALÊNCIA</t>
        </is>
      </c>
      <c r="D1015" t="inlineStr">
        <is>
          <t>0832598-25.2022.8.15.2001</t>
        </is>
      </c>
      <c r="E1015" t="inlineStr">
        <is>
          <t>AJ_LIST</t>
        </is>
      </c>
      <c r="F1015" t="inlineStr">
        <is>
          <t>QUARANTINED</t>
        </is>
      </c>
      <c r="G1015" s="19" t="inlineStr">
        <is>
          <t>https://lrflideres.com.br/wp-content/plugins/download-attachments/includes/download.php?id=4856</t>
        </is>
      </c>
      <c r="H1015" t="inlineStr">
        <is>
          <t>p4 r12</t>
        </is>
      </c>
      <c r="I1015" t="inlineStr">
        <is>
          <t>NO_DOCUMENT</t>
        </is>
      </c>
    </row>
    <row r="1016">
      <c r="A1016" t="inlineStr">
        <is>
          <t>NESTLE BRASIL LTDA</t>
        </is>
      </c>
      <c r="B1016" s="10" t="n">
        <v>476267.74</v>
      </c>
      <c r="C1016" t="inlineStr">
        <is>
          <t>E FALÊNCIA</t>
        </is>
      </c>
      <c r="D1016" t="inlineStr">
        <is>
          <t>0832598-25.2022.8.15.2001</t>
        </is>
      </c>
      <c r="E1016" t="inlineStr">
        <is>
          <t>AJ_LIST</t>
        </is>
      </c>
      <c r="F1016" t="inlineStr">
        <is>
          <t>QUARANTINED</t>
        </is>
      </c>
      <c r="G1016" s="19" t="inlineStr">
        <is>
          <t>https://lrflideres.com.br/wp-content/plugins/download-attachments/includes/download.php?id=4856</t>
        </is>
      </c>
      <c r="H1016" t="inlineStr">
        <is>
          <t>p3 r61</t>
        </is>
      </c>
      <c r="I1016" t="inlineStr">
        <is>
          <t>NO_DOCUMENT</t>
        </is>
      </c>
    </row>
    <row r="1017">
      <c r="A1017" t="inlineStr">
        <is>
          <t>LATICINIOS REZENDE LTDA</t>
        </is>
      </c>
      <c r="B1017" s="10" t="n">
        <v>447906.1</v>
      </c>
      <c r="C1017" t="inlineStr">
        <is>
          <t>E FALÊNCIA</t>
        </is>
      </c>
      <c r="D1017" t="inlineStr">
        <is>
          <t>0832598-25.2022.8.15.2001</t>
        </is>
      </c>
      <c r="E1017" t="inlineStr">
        <is>
          <t>AJ_LIST</t>
        </is>
      </c>
      <c r="F1017" t="inlineStr">
        <is>
          <t>QUARANTINED</t>
        </is>
      </c>
      <c r="G1017" s="19" t="inlineStr">
        <is>
          <t>https://lrflideres.com.br/wp-content/plugins/download-attachments/includes/download.php?id=4856</t>
        </is>
      </c>
      <c r="H1017" t="inlineStr">
        <is>
          <t>p3 r34</t>
        </is>
      </c>
      <c r="I1017" t="inlineStr">
        <is>
          <t>NO_DOCUMENT</t>
        </is>
      </c>
    </row>
    <row r="1018">
      <c r="A1018" t="inlineStr">
        <is>
          <t>REFRESCOS GUARARAPES LTDA</t>
        </is>
      </c>
      <c r="B1018" s="10" t="n">
        <v>409539.55</v>
      </c>
      <c r="C1018" t="inlineStr">
        <is>
          <t>E FALÊNCIA</t>
        </is>
      </c>
      <c r="D1018" t="inlineStr">
        <is>
          <t>0832598-25.2022.8.15.2001</t>
        </is>
      </c>
      <c r="E1018" t="inlineStr">
        <is>
          <t>AJ_LIST</t>
        </is>
      </c>
      <c r="F1018" t="inlineStr">
        <is>
          <t>QUARANTINED</t>
        </is>
      </c>
      <c r="G1018" s="19" t="inlineStr">
        <is>
          <t>https://lrflideres.com.br/wp-content/plugins/download-attachments/includes/download.php?id=4856</t>
        </is>
      </c>
      <c r="H1018" t="inlineStr">
        <is>
          <t>p3 r90</t>
        </is>
      </c>
      <c r="I1018" t="inlineStr">
        <is>
          <t>NO_DOCUMENT</t>
        </is>
      </c>
    </row>
    <row r="1019">
      <c r="A1019" t="inlineStr">
        <is>
          <t>NORDECE - NORDESTE REPRESENTACAO E DISTRIBUICAO LTDA</t>
        </is>
      </c>
      <c r="B1019" s="10" t="n">
        <v>400775.85</v>
      </c>
      <c r="C1019" t="inlineStr">
        <is>
          <t>E FALÊNCIA</t>
        </is>
      </c>
      <c r="D1019" t="inlineStr">
        <is>
          <t>0832598-25.2022.8.15.2001</t>
        </is>
      </c>
      <c r="E1019" t="inlineStr">
        <is>
          <t>AJ_LIST</t>
        </is>
      </c>
      <c r="F1019" t="inlineStr">
        <is>
          <t>QUARANTINED</t>
        </is>
      </c>
      <c r="G1019" s="19" t="inlineStr">
        <is>
          <t>https://lrflideres.com.br/wp-content/plugins/download-attachments/includes/download.php?id=4856</t>
        </is>
      </c>
      <c r="H1019" t="inlineStr">
        <is>
          <t>p3 r63</t>
        </is>
      </c>
      <c r="I1019" t="inlineStr">
        <is>
          <t>NO_DOCUMENT</t>
        </is>
      </c>
    </row>
    <row r="1020">
      <c r="A1020" t="inlineStr">
        <is>
          <t>GRANDE MOINHO CEARENSE SA</t>
        </is>
      </c>
      <c r="B1020" s="10" t="n">
        <v>396080.8</v>
      </c>
      <c r="C1020" t="inlineStr">
        <is>
          <t>E FALÊNCIA</t>
        </is>
      </c>
      <c r="D1020" t="inlineStr">
        <is>
          <t>0832598-25.2022.8.15.2001</t>
        </is>
      </c>
      <c r="E1020" t="inlineStr">
        <is>
          <t>AJ_LIST</t>
        </is>
      </c>
      <c r="F1020" t="inlineStr">
        <is>
          <t>QUARANTINED</t>
        </is>
      </c>
      <c r="G1020" s="19" t="inlineStr">
        <is>
          <t>https://lrflideres.com.br/wp-content/plugins/download-attachments/includes/download.php?id=4856</t>
        </is>
      </c>
      <c r="H1020" t="inlineStr">
        <is>
          <t>p3 r3</t>
        </is>
      </c>
      <c r="I1020" t="inlineStr">
        <is>
          <t>NO_DOCUMENT</t>
        </is>
      </c>
    </row>
    <row r="1021">
      <c r="A1021" t="inlineStr">
        <is>
          <t>GOIASMINAS INDUSTRIA DE LATICINIOS LTDA</t>
        </is>
      </c>
      <c r="B1021" s="10" t="n">
        <v>393027.4</v>
      </c>
      <c r="C1021" t="inlineStr">
        <is>
          <t>E FALÊNCIA</t>
        </is>
      </c>
      <c r="D1021" t="inlineStr">
        <is>
          <t>0832598-25.2022.8.15.2001</t>
        </is>
      </c>
      <c r="E1021" t="inlineStr">
        <is>
          <t>AJ_LIST</t>
        </is>
      </c>
      <c r="F1021" t="inlineStr">
        <is>
          <t>QUARANTINED</t>
        </is>
      </c>
      <c r="G1021" s="19" t="inlineStr">
        <is>
          <t>https://lrflideres.com.br/wp-content/plugins/download-attachments/includes/download.php?id=4856</t>
        </is>
      </c>
      <c r="H1021" t="inlineStr">
        <is>
          <t>p2 r113</t>
        </is>
      </c>
      <c r="I1021" t="inlineStr">
        <is>
          <t>NO_DOCUMENT</t>
        </is>
      </c>
    </row>
    <row r="1022">
      <c r="A1022" t="inlineStr">
        <is>
          <t>NG DISTRIBUIDORA DE ALIMENTOS LTDA</t>
        </is>
      </c>
      <c r="B1022" s="10" t="n">
        <v>366750.84</v>
      </c>
      <c r="C1022" t="inlineStr">
        <is>
          <t>E FALÊNCIA</t>
        </is>
      </c>
      <c r="D1022" t="inlineStr">
        <is>
          <t>0832598-25.2022.8.15.2001</t>
        </is>
      </c>
      <c r="E1022" t="inlineStr">
        <is>
          <t>AJ_LIST</t>
        </is>
      </c>
      <c r="F1022" t="inlineStr">
        <is>
          <t>QUARANTINED</t>
        </is>
      </c>
      <c r="G1022" s="19" t="inlineStr">
        <is>
          <t>https://lrflideres.com.br/wp-content/plugins/download-attachments/includes/download.php?id=4856</t>
        </is>
      </c>
      <c r="H1022" t="inlineStr">
        <is>
          <t>p3 r62</t>
        </is>
      </c>
      <c r="I1022" t="inlineStr">
        <is>
          <t>NO_DOCUMENT</t>
        </is>
      </c>
    </row>
    <row r="1023">
      <c r="A1023" t="inlineStr">
        <is>
          <t>DSG - DISTRIBUIDORA DE ALIMENTOS LTDA</t>
        </is>
      </c>
      <c r="B1023" s="10" t="n">
        <v>337856.94</v>
      </c>
      <c r="C1023" t="inlineStr">
        <is>
          <t>E FALÊNCIA</t>
        </is>
      </c>
      <c r="D1023" t="inlineStr">
        <is>
          <t>0832598-25.2022.8.15.2001</t>
        </is>
      </c>
      <c r="E1023" t="inlineStr">
        <is>
          <t>AJ_LIST</t>
        </is>
      </c>
      <c r="F1023" t="inlineStr">
        <is>
          <t>QUARANTINED</t>
        </is>
      </c>
      <c r="G1023" s="19" t="inlineStr">
        <is>
          <t>https://lrflideres.com.br/wp-content/plugins/download-attachments/includes/download.php?id=4856</t>
        </is>
      </c>
      <c r="H1023" t="inlineStr">
        <is>
          <t>p2 r93</t>
        </is>
      </c>
      <c r="I1023" t="inlineStr">
        <is>
          <t>NO_DOCUMENT</t>
        </is>
      </c>
    </row>
    <row r="1024">
      <c r="A1024" t="inlineStr">
        <is>
          <t>LINEU PINZON INDUSTRIA E COMERCIO DE CEREAIS LTDA</t>
        </is>
      </c>
      <c r="B1024" s="10" t="n">
        <v>334300</v>
      </c>
      <c r="C1024" t="inlineStr">
        <is>
          <t>E FALÊNCIA</t>
        </is>
      </c>
      <c r="D1024" t="inlineStr">
        <is>
          <t>0832598-25.2022.8.15.2001</t>
        </is>
      </c>
      <c r="E1024" t="inlineStr">
        <is>
          <t>AJ_LIST</t>
        </is>
      </c>
      <c r="F1024" t="inlineStr">
        <is>
          <t>QUARANTINED</t>
        </is>
      </c>
      <c r="G1024" s="19" t="inlineStr">
        <is>
          <t>https://lrflideres.com.br/wp-content/plugins/download-attachments/includes/download.php?id=4856</t>
        </is>
      </c>
      <c r="H1024" t="inlineStr">
        <is>
          <t>p3 r36</t>
        </is>
      </c>
      <c r="I1024" t="inlineStr">
        <is>
          <t>NO_DOCUMENT</t>
        </is>
      </c>
    </row>
    <row r="1025">
      <c r="A1025" t="inlineStr">
        <is>
          <t>FRIGORIFICO AVICOLA VOTUPORANGA LTDA</t>
        </is>
      </c>
      <c r="B1025" s="10" t="n">
        <v>329453.5</v>
      </c>
      <c r="C1025" t="inlineStr">
        <is>
          <t>E FALÊNCIA</t>
        </is>
      </c>
      <c r="D1025" t="inlineStr">
        <is>
          <t>0832598-25.2022.8.15.2001</t>
        </is>
      </c>
      <c r="E1025" t="inlineStr">
        <is>
          <t>AJ_LIST</t>
        </is>
      </c>
      <c r="F1025" t="inlineStr">
        <is>
          <t>QUARANTINED</t>
        </is>
      </c>
      <c r="G1025" s="19" t="inlineStr">
        <is>
          <t>https://lrflideres.com.br/wp-content/plugins/download-attachments/includes/download.php?id=4856</t>
        </is>
      </c>
      <c r="H1025" t="inlineStr">
        <is>
          <t>p2 r106</t>
        </is>
      </c>
      <c r="I1025" t="inlineStr">
        <is>
          <t>NO_DOCUMENT</t>
        </is>
      </c>
    </row>
    <row r="1026">
      <c r="A1026" t="inlineStr">
        <is>
          <t>JAGUAFRANGOS INDUSTRIA E COMERCIO DE ALIMENTOS LTDA</t>
        </is>
      </c>
      <c r="B1026" s="10" t="n">
        <v>327947.1</v>
      </c>
      <c r="C1026" t="inlineStr">
        <is>
          <t>E FALÊNCIA</t>
        </is>
      </c>
      <c r="D1026" t="inlineStr">
        <is>
          <t>0832598-25.2022.8.15.2001</t>
        </is>
      </c>
      <c r="E1026" t="inlineStr">
        <is>
          <t>AJ_LIST</t>
        </is>
      </c>
      <c r="F1026" t="inlineStr">
        <is>
          <t>QUARANTINED</t>
        </is>
      </c>
      <c r="G1026" s="19" t="inlineStr">
        <is>
          <t>https://lrflideres.com.br/wp-content/plugins/download-attachments/includes/download.php?id=4856</t>
        </is>
      </c>
      <c r="H1026" t="inlineStr">
        <is>
          <t>p3 r23</t>
        </is>
      </c>
      <c r="I1026" t="inlineStr">
        <is>
          <t>NO_DOCUMENT</t>
        </is>
      </c>
    </row>
    <row r="1027">
      <c r="A1027" t="inlineStr">
        <is>
          <t>BUNGE ALIMENTOS S/A</t>
        </is>
      </c>
      <c r="B1027" s="10" t="n">
        <v>318150</v>
      </c>
      <c r="C1027" t="inlineStr">
        <is>
          <t>E FALÊNCIA</t>
        </is>
      </c>
      <c r="D1027" t="inlineStr">
        <is>
          <t>0832598-25.2022.8.15.2001</t>
        </is>
      </c>
      <c r="E1027" t="inlineStr">
        <is>
          <t>AJ_LIST</t>
        </is>
      </c>
      <c r="F1027" t="inlineStr">
        <is>
          <t>QUARANTINED</t>
        </is>
      </c>
      <c r="G1027" s="19" t="inlineStr">
        <is>
          <t>https://lrflideres.com.br/wp-content/plugins/download-attachments/includes/download.php?id=4856</t>
        </is>
      </c>
      <c r="H1027" t="inlineStr">
        <is>
          <t>p2 r50</t>
        </is>
      </c>
      <c r="I1027" t="inlineStr">
        <is>
          <t>NO_DOCUMENT</t>
        </is>
      </c>
    </row>
    <row r="1028">
      <c r="A1028" t="inlineStr">
        <is>
          <t>ADM DO BRASIL LTDA</t>
        </is>
      </c>
      <c r="B1028" s="10" t="n">
        <v>309582</v>
      </c>
      <c r="C1028" t="inlineStr">
        <is>
          <t>E FALÊNCIA</t>
        </is>
      </c>
      <c r="D1028" t="inlineStr">
        <is>
          <t>0832598-25.2022.8.15.2001</t>
        </is>
      </c>
      <c r="E1028" t="inlineStr">
        <is>
          <t>AJ_LIST</t>
        </is>
      </c>
      <c r="F1028" t="inlineStr">
        <is>
          <t>QUARANTINED</t>
        </is>
      </c>
      <c r="G1028" s="19" t="inlineStr">
        <is>
          <t>https://lrflideres.com.br/wp-content/plugins/download-attachments/includes/download.php?id=4856</t>
        </is>
      </c>
      <c r="H1028" t="inlineStr">
        <is>
          <t>p2 r19</t>
        </is>
      </c>
      <c r="I1028" t="inlineStr">
        <is>
          <t>NO_DOCUMENT</t>
        </is>
      </c>
    </row>
    <row r="1029">
      <c r="A1029" t="inlineStr">
        <is>
          <t>DPC DISTRIBUIDOR ATACADISTA S/A</t>
        </is>
      </c>
      <c r="B1029" s="10" t="n">
        <v>299426.12</v>
      </c>
      <c r="C1029" t="inlineStr">
        <is>
          <t>E FALÊNCIA</t>
        </is>
      </c>
      <c r="D1029" t="inlineStr">
        <is>
          <t>0832598-25.2022.8.15.2001</t>
        </is>
      </c>
      <c r="E1029" t="inlineStr">
        <is>
          <t>AJ_LIST</t>
        </is>
      </c>
      <c r="F1029" t="inlineStr">
        <is>
          <t>QUARANTINED</t>
        </is>
      </c>
      <c r="G1029" s="19" t="inlineStr">
        <is>
          <t>https://lrflideres.com.br/wp-content/plugins/download-attachments/includes/download.php?id=4856</t>
        </is>
      </c>
      <c r="H1029" t="inlineStr">
        <is>
          <t>p2 r91</t>
        </is>
      </c>
      <c r="I1029" t="inlineStr">
        <is>
          <t>NO_DOCUMENT</t>
        </is>
      </c>
    </row>
    <row r="1030">
      <c r="A1030" t="inlineStr">
        <is>
          <t>CERVEJARIA PETROPOLIS S/A</t>
        </is>
      </c>
      <c r="B1030" s="10" t="n">
        <v>281628.93</v>
      </c>
      <c r="C1030" t="inlineStr">
        <is>
          <t>E FALÊNCIA</t>
        </is>
      </c>
      <c r="D1030" t="inlineStr">
        <is>
          <t>0832598-25.2022.8.15.2001</t>
        </is>
      </c>
      <c r="E1030" t="inlineStr">
        <is>
          <t>AJ_LIST</t>
        </is>
      </c>
      <c r="F1030" t="inlineStr">
        <is>
          <t>QUARANTINED</t>
        </is>
      </c>
      <c r="G1030" s="19" t="inlineStr">
        <is>
          <t>https://lrflideres.com.br/wp-content/plugins/download-attachments/includes/download.php?id=4856</t>
        </is>
      </c>
      <c r="H1030" t="inlineStr">
        <is>
          <t>p2 r60</t>
        </is>
      </c>
      <c r="I1030" t="inlineStr">
        <is>
          <t>NO_DOCUMENT</t>
        </is>
      </c>
    </row>
    <row r="1031">
      <c r="A1031" t="inlineStr">
        <is>
          <t>COOPERATIVA CENTRAL AURORA ALIMENTOS</t>
        </is>
      </c>
      <c r="B1031" s="10" t="n">
        <v>274662.09</v>
      </c>
      <c r="C1031" t="inlineStr">
        <is>
          <t>E FALÊNCIA</t>
        </is>
      </c>
      <c r="D1031" t="inlineStr">
        <is>
          <t>0832598-25.2022.8.15.2001</t>
        </is>
      </c>
      <c r="E1031" t="inlineStr">
        <is>
          <t>AJ_LIST</t>
        </is>
      </c>
      <c r="F1031" t="inlineStr">
        <is>
          <t>QUARANTINED</t>
        </is>
      </c>
      <c r="G1031" s="19" t="inlineStr">
        <is>
          <t>https://lrflideres.com.br/wp-content/plugins/download-attachments/includes/download.php?id=4856</t>
        </is>
      </c>
      <c r="H1031" t="inlineStr">
        <is>
          <t>p2 r70</t>
        </is>
      </c>
      <c r="I1031" t="inlineStr">
        <is>
          <t>NO_DOCUMENT</t>
        </is>
      </c>
    </row>
    <row r="1032">
      <c r="A1032" t="inlineStr">
        <is>
          <t>MOCOCA S/A PRODUTOS ALIMENTICIOS</t>
        </is>
      </c>
      <c r="B1032" s="10" t="n">
        <v>270499.5</v>
      </c>
      <c r="C1032" t="inlineStr">
        <is>
          <t>E FALÊNCIA</t>
        </is>
      </c>
      <c r="D1032" t="inlineStr">
        <is>
          <t>0832598-25.2022.8.15.2001</t>
        </is>
      </c>
      <c r="E1032" t="inlineStr">
        <is>
          <t>AJ_LIST</t>
        </is>
      </c>
      <c r="F1032" t="inlineStr">
        <is>
          <t>QUARANTINED</t>
        </is>
      </c>
      <c r="G1032" s="19" t="inlineStr">
        <is>
          <t>https://lrflideres.com.br/wp-content/plugins/download-attachments/includes/download.php?id=4856</t>
        </is>
      </c>
      <c r="H1032" t="inlineStr">
        <is>
          <t>p3 r51</t>
        </is>
      </c>
      <c r="I1032" t="inlineStr">
        <is>
          <t>NO_DOCUMENT</t>
        </is>
      </c>
    </row>
    <row r="1033">
      <c r="A1033" t="inlineStr">
        <is>
          <t>HIPER TEXTIL CAMA MESA E BANHO LTDA</t>
        </is>
      </c>
      <c r="B1033" s="10" t="n">
        <v>269079.54</v>
      </c>
      <c r="C1033" t="inlineStr">
        <is>
          <t>E FALÊNCIA</t>
        </is>
      </c>
      <c r="D1033" t="inlineStr">
        <is>
          <t>0832598-25.2022.8.15.2001</t>
        </is>
      </c>
      <c r="E1033" t="inlineStr">
        <is>
          <t>AJ_LIST</t>
        </is>
      </c>
      <c r="F1033" t="inlineStr">
        <is>
          <t>QUARANTINED</t>
        </is>
      </c>
      <c r="G1033" s="19" t="inlineStr">
        <is>
          <t>https://lrflideres.com.br/wp-content/plugins/download-attachments/includes/download.php?id=4856</t>
        </is>
      </c>
      <c r="H1033" t="inlineStr">
        <is>
          <t>p3 r6</t>
        </is>
      </c>
      <c r="I1033" t="inlineStr">
        <is>
          <t>NO_DOCUMENT</t>
        </is>
      </c>
    </row>
    <row r="1034">
      <c r="A1034" t="inlineStr">
        <is>
          <t>INDUSTRIA DE LATICINIOS SANTO EXPEDITO LTDA</t>
        </is>
      </c>
      <c r="B1034" s="10" t="n">
        <v>262352.85</v>
      </c>
      <c r="C1034" t="inlineStr">
        <is>
          <t>E FALÊNCIA</t>
        </is>
      </c>
      <c r="D1034" t="inlineStr">
        <is>
          <t>0832598-25.2022.8.15.2001</t>
        </is>
      </c>
      <c r="E1034" t="inlineStr">
        <is>
          <t>AJ_LIST</t>
        </is>
      </c>
      <c r="F1034" t="inlineStr">
        <is>
          <t>QUARANTINED</t>
        </is>
      </c>
      <c r="G1034" s="19" t="inlineStr">
        <is>
          <t>https://lrflideres.com.br/wp-content/plugins/download-attachments/includes/download.php?id=4856</t>
        </is>
      </c>
      <c r="H1034" t="inlineStr">
        <is>
          <t>p3 r11</t>
        </is>
      </c>
      <c r="I1034" t="inlineStr">
        <is>
          <t>NO_DOCUMENT</t>
        </is>
      </c>
    </row>
    <row r="1035">
      <c r="A1035" t="inlineStr">
        <is>
          <t>BETANIA LACTEOS S.A</t>
        </is>
      </c>
      <c r="B1035" s="10" t="n">
        <v>250778.12</v>
      </c>
      <c r="C1035" t="inlineStr">
        <is>
          <t>E FALÊNCIA</t>
        </is>
      </c>
      <c r="D1035" t="inlineStr">
        <is>
          <t>0832598-25.2022.8.15.2001</t>
        </is>
      </c>
      <c r="E1035" t="inlineStr">
        <is>
          <t>AJ_LIST</t>
        </is>
      </c>
      <c r="F1035" t="inlineStr">
        <is>
          <t>QUARANTINED</t>
        </is>
      </c>
      <c r="G1035" s="19" t="inlineStr">
        <is>
          <t>https://lrflideres.com.br/wp-content/plugins/download-attachments/includes/download.php?id=4856</t>
        </is>
      </c>
      <c r="H1035" t="inlineStr">
        <is>
          <t>p2 r44</t>
        </is>
      </c>
      <c r="I1035" t="inlineStr">
        <is>
          <t>NO_DOCUMENT</t>
        </is>
      </c>
    </row>
    <row r="1036">
      <c r="A1036" t="inlineStr">
        <is>
          <t>MARFIM DISTRIBUIDORA DE ALIMENTOS DA PARAIBA LTDA</t>
        </is>
      </c>
      <c r="B1036" s="10" t="n">
        <v>250689.57</v>
      </c>
      <c r="C1036" t="inlineStr">
        <is>
          <t>E FALÊNCIA</t>
        </is>
      </c>
      <c r="D1036" t="inlineStr">
        <is>
          <t>0832598-25.2022.8.15.2001</t>
        </is>
      </c>
      <c r="E1036" t="inlineStr">
        <is>
          <t>AJ_LIST</t>
        </is>
      </c>
      <c r="F1036" t="inlineStr">
        <is>
          <t>QUARANTINED</t>
        </is>
      </c>
      <c r="G1036" s="19" t="inlineStr">
        <is>
          <t>https://lrflideres.com.br/wp-content/plugins/download-attachments/includes/download.php?id=4856</t>
        </is>
      </c>
      <c r="H1036" t="inlineStr">
        <is>
          <t>p3 r44</t>
        </is>
      </c>
      <c r="I1036" t="inlineStr">
        <is>
          <t>NO_DOCUMENT</t>
        </is>
      </c>
    </row>
    <row r="1037">
      <c r="A1037" t="inlineStr">
        <is>
          <t>COMERCIAL E INDUSTRIAL DE ALIMENTOS PAU BRASIL LTDA</t>
        </is>
      </c>
      <c r="B1037" s="10" t="n">
        <v>244869.74</v>
      </c>
      <c r="C1037" t="inlineStr">
        <is>
          <t>E FALÊNCIA</t>
        </is>
      </c>
      <c r="D1037" t="inlineStr">
        <is>
          <t>0832598-25.2022.8.15.2001</t>
        </is>
      </c>
      <c r="E1037" t="inlineStr">
        <is>
          <t>AJ_LIST</t>
        </is>
      </c>
      <c r="F1037" t="inlineStr">
        <is>
          <t>QUARANTINED</t>
        </is>
      </c>
      <c r="G1037" s="19" t="inlineStr">
        <is>
          <t>https://lrflideres.com.br/wp-content/plugins/download-attachments/includes/download.php?id=4856</t>
        </is>
      </c>
      <c r="H1037" t="inlineStr">
        <is>
          <t>p2 r66</t>
        </is>
      </c>
      <c r="I1037" t="inlineStr">
        <is>
          <t>NO_DOCUMENT</t>
        </is>
      </c>
    </row>
    <row r="1038">
      <c r="A1038" t="inlineStr">
        <is>
          <t>COOPERATIVA AGROINDUSTRIAL COOPERJA</t>
        </is>
      </c>
      <c r="B1038" s="10" t="n">
        <v>227762.52</v>
      </c>
      <c r="C1038" t="inlineStr">
        <is>
          <t>E FALÊNCIA</t>
        </is>
      </c>
      <c r="D1038" t="inlineStr">
        <is>
          <t>0832598-25.2022.8.15.2001</t>
        </is>
      </c>
      <c r="E1038" t="inlineStr">
        <is>
          <t>AJ_LIST</t>
        </is>
      </c>
      <c r="F1038" t="inlineStr">
        <is>
          <t>QUARANTINED</t>
        </is>
      </c>
      <c r="G1038" s="19" t="inlineStr">
        <is>
          <t>https://lrflideres.com.br/wp-content/plugins/download-attachments/includes/download.php?id=4856</t>
        </is>
      </c>
      <c r="H1038" t="inlineStr">
        <is>
          <t>p2 r69</t>
        </is>
      </c>
      <c r="I1038" t="inlineStr">
        <is>
          <t>NO_DOCUMENT</t>
        </is>
      </c>
    </row>
    <row r="1039">
      <c r="A1039" t="inlineStr">
        <is>
          <t>MARTINS COMERCIO E SERVICOS DE DISTRIBUICAO S/A</t>
        </is>
      </c>
      <c r="B1039" s="10" t="n">
        <v>225563.88</v>
      </c>
      <c r="C1039" t="inlineStr">
        <is>
          <t>E FALÊNCIA</t>
        </is>
      </c>
      <c r="D1039" t="inlineStr">
        <is>
          <t>0832598-25.2022.8.15.2001</t>
        </is>
      </c>
      <c r="E1039" t="inlineStr">
        <is>
          <t>AJ_LIST</t>
        </is>
      </c>
      <c r="F1039" t="inlineStr">
        <is>
          <t>QUARANTINED</t>
        </is>
      </c>
      <c r="G1039" s="19" t="inlineStr">
        <is>
          <t>https://lrflideres.com.br/wp-content/plugins/download-attachments/includes/download.php?id=4856</t>
        </is>
      </c>
      <c r="H1039" t="inlineStr">
        <is>
          <t>p3 r48</t>
        </is>
      </c>
      <c r="I1039" t="inlineStr">
        <is>
          <t>NO_DOCUMENT</t>
        </is>
      </c>
    </row>
    <row r="1040">
      <c r="A1040" t="inlineStr">
        <is>
          <t>BANCO MERCEDES-BENZ DO BRASIL S/A</t>
        </is>
      </c>
      <c r="B1040" s="10" t="n">
        <v>222616.86</v>
      </c>
      <c r="C1040" t="inlineStr">
        <is>
          <t>E FALÊNCIA</t>
        </is>
      </c>
      <c r="D1040" t="inlineStr">
        <is>
          <t>0832598-25.2022.8.15.2001</t>
        </is>
      </c>
      <c r="E1040" t="inlineStr">
        <is>
          <t>AJ_LIST</t>
        </is>
      </c>
      <c r="F1040" t="inlineStr">
        <is>
          <t>QUARANTINED</t>
        </is>
      </c>
      <c r="G1040" s="19" t="inlineStr">
        <is>
          <t>https://lrflideres.com.br/wp-content/plugins/download-attachments/includes/download.php?id=4856</t>
        </is>
      </c>
      <c r="H1040" t="inlineStr">
        <is>
          <t>p2 r40</t>
        </is>
      </c>
      <c r="I1040" t="inlineStr">
        <is>
          <t>NO_DOCUMENT</t>
        </is>
      </c>
    </row>
    <row r="1041">
      <c r="A1041" t="inlineStr">
        <is>
          <t>LATICINIO BELO VALE LTDA</t>
        </is>
      </c>
      <c r="B1041" s="10" t="n">
        <v>202304.35</v>
      </c>
      <c r="C1041" t="inlineStr">
        <is>
          <t>E FALÊNCIA</t>
        </is>
      </c>
      <c r="D1041" t="inlineStr">
        <is>
          <t>0832598-25.2022.8.15.2001</t>
        </is>
      </c>
      <c r="E1041" t="inlineStr">
        <is>
          <t>AJ_LIST</t>
        </is>
      </c>
      <c r="F1041" t="inlineStr">
        <is>
          <t>QUARANTINED</t>
        </is>
      </c>
      <c r="G1041" s="19" t="inlineStr">
        <is>
          <t>https://lrflideres.com.br/wp-content/plugins/download-attachments/includes/download.php?id=4856</t>
        </is>
      </c>
      <c r="H1041" t="inlineStr">
        <is>
          <t>p3 r30</t>
        </is>
      </c>
      <c r="I1041" t="inlineStr">
        <is>
          <t>NO_DOCUMENT</t>
        </is>
      </c>
    </row>
    <row r="1042">
      <c r="A1042" t="inlineStr">
        <is>
          <t>BANCO BRADESCO S/A</t>
        </is>
      </c>
      <c r="B1042" s="10" t="n">
        <v>279537.38</v>
      </c>
      <c r="C1042" t="inlineStr">
        <is>
          <t>empresa</t>
        </is>
      </c>
      <c r="D1042" t="inlineStr">
        <is>
          <t>0800158-20.2017.8.12.0033</t>
        </is>
      </c>
      <c r="E1042" t="inlineStr">
        <is>
          <t>QGC</t>
        </is>
      </c>
      <c r="F1042" t="inlineStr">
        <is>
          <t>QUARANTINED</t>
        </is>
      </c>
      <c r="G1042" s="19" t="inlineStr">
        <is>
          <t>https://realbrasil.com.br/wp-content/uploads/2017/07/QGC-AJ.pdf</t>
        </is>
      </c>
      <c r="H1042" t="inlineStr">
        <is>
          <t>p16 r3</t>
        </is>
      </c>
      <c r="I1042" t="inlineStr">
        <is>
          <t>NO_DOCUMENT</t>
        </is>
      </c>
    </row>
    <row r="1043">
      <c r="A1043" t="inlineStr">
        <is>
          <t>BANCO DO BRASIL S/A</t>
        </is>
      </c>
      <c r="B1043" s="10" t="n">
        <v>260980.44</v>
      </c>
      <c r="C1043" t="inlineStr">
        <is>
          <t>empresa</t>
        </is>
      </c>
      <c r="D1043" t="inlineStr">
        <is>
          <t>0800158-20.2017.8.12.0033</t>
        </is>
      </c>
      <c r="E1043" t="inlineStr">
        <is>
          <t>QGC</t>
        </is>
      </c>
      <c r="F1043" t="inlineStr">
        <is>
          <t>QUARANTINED</t>
        </is>
      </c>
      <c r="G1043" s="19" t="inlineStr">
        <is>
          <t>https://realbrasil.com.br/wp-content/uploads/2017/07/QGC-AJ.pdf</t>
        </is>
      </c>
      <c r="H1043" t="inlineStr">
        <is>
          <t>p16 r4</t>
        </is>
      </c>
      <c r="I1043" t="inlineStr">
        <is>
          <t>NO_DOCUMENT</t>
        </is>
      </c>
    </row>
    <row r="1044">
      <c r="A1044" t="inlineStr"/>
      <c r="B1044" s="10" t="n">
        <v>32492482.57</v>
      </c>
      <c r="C1044" t="inlineStr">
        <is>
          <t>GateKeeper | Recuperação Judicial em São Paulo – Ética, técnica e profissionalismo na administração judicial de processos de recuperação e falência.</t>
        </is>
      </c>
      <c r="D1044" t="inlineStr">
        <is>
          <t>1132347-05.2022.8.26.0100</t>
        </is>
      </c>
      <c r="E1044" t="inlineStr">
        <is>
          <t>QGC</t>
        </is>
      </c>
      <c r="F1044" t="inlineStr">
        <is>
          <t>QUARANTINED</t>
        </is>
      </c>
      <c r="G1044" s="19" t="inlineStr">
        <is>
          <t>https://gatekeeperaj.com.br/wp-content/uploads/2026/06/BS-Relacao-de-Credores-RJ-para-Falencia.pdf</t>
        </is>
      </c>
      <c r="H1044" t="inlineStr">
        <is>
          <t>p1 r2</t>
        </is>
      </c>
      <c r="I1044" t="inlineStr">
        <is>
          <t>NO_DOCUMENT NAME_MISSING</t>
        </is>
      </c>
    </row>
    <row r="1045">
      <c r="A1045" t="inlineStr">
        <is>
          <t>BANCO DO BRASIL S. A</t>
        </is>
      </c>
      <c r="B1045" s="10" t="n">
        <v>19147020.34</v>
      </c>
      <c r="C1045" t="inlineStr">
        <is>
          <t>GateKeeper | Recuperação Judicial em São Paulo – Ética, técnica e profissionalismo na administração judicial de processos de recuperação e falência.</t>
        </is>
      </c>
      <c r="D1045" t="inlineStr">
        <is>
          <t>1132347-05.2022.8.26.0100</t>
        </is>
      </c>
      <c r="E1045" t="inlineStr">
        <is>
          <t>QGC</t>
        </is>
      </c>
      <c r="F1045" t="inlineStr">
        <is>
          <t>QUARANTINED</t>
        </is>
      </c>
      <c r="G1045" s="19" t="inlineStr">
        <is>
          <t>https://gatekeeperaj.com.br/wp-content/uploads/2026/06/BS-Relacao-de-Credores-RJ-para-Falencia.pdf</t>
        </is>
      </c>
      <c r="H1045" t="inlineStr">
        <is>
          <t>p14 r20</t>
        </is>
      </c>
      <c r="I1045" t="inlineStr">
        <is>
          <t>NO_DOCUMENT ALT_VALUE:R$16.260.408,69</t>
        </is>
      </c>
    </row>
    <row r="1046">
      <c r="A1046" t="inlineStr">
        <is>
          <t>ANDRÉ GUIMARAES CONSTRUÇÕES, MONTAGENS E SERVIÇOS LTDA</t>
        </is>
      </c>
      <c r="B1046" s="10" t="n">
        <v>3825869.92</v>
      </c>
      <c r="C1046" t="inlineStr">
        <is>
          <t>GateKeeper | Recuperação Judicial em São Paulo – Ética, técnica e profissionalismo na administração judicial de processos de recuperação e falência.</t>
        </is>
      </c>
      <c r="D1046" t="inlineStr">
        <is>
          <t>1132347-05.2022.8.26.0100</t>
        </is>
      </c>
      <c r="E1046" t="inlineStr">
        <is>
          <t>QGC</t>
        </is>
      </c>
      <c r="F1046" t="inlineStr">
        <is>
          <t>QUARANTINED</t>
        </is>
      </c>
      <c r="G1046" s="19" t="inlineStr">
        <is>
          <t>https://gatekeeperaj.com.br/wp-content/uploads/2026/06/BS-Relacao-de-Credores-RJ-para-Falencia.pdf</t>
        </is>
      </c>
      <c r="H1046" t="inlineStr">
        <is>
          <t>p14 r17</t>
        </is>
      </c>
      <c r="I1046" t="inlineStr">
        <is>
          <t>NO_DOCUMENT ALT_VALUE:R$3.249.080,40</t>
        </is>
      </c>
    </row>
    <row r="1047">
      <c r="A1047" t="inlineStr">
        <is>
          <t>TICKET SERVIÇOS S/A</t>
        </is>
      </c>
      <c r="B1047" s="10" t="n">
        <v>2617796.78</v>
      </c>
      <c r="C1047" t="inlineStr">
        <is>
          <t>GateKeeper | Recuperação Judicial em São Paulo – Ética, técnica e profissionalismo na administração judicial de processos de recuperação e falência.</t>
        </is>
      </c>
      <c r="D1047" t="inlineStr">
        <is>
          <t>1132347-05.2022.8.26.0100</t>
        </is>
      </c>
      <c r="E1047" t="inlineStr">
        <is>
          <t>QGC</t>
        </is>
      </c>
      <c r="F1047" t="inlineStr">
        <is>
          <t>QUARANTINED</t>
        </is>
      </c>
      <c r="G1047" s="19" t="inlineStr">
        <is>
          <t>https://gatekeeperaj.com.br/wp-content/uploads/2026/06/BS-Relacao-de-Credores-RJ-para-Falencia.pdf</t>
        </is>
      </c>
      <c r="H1047" t="inlineStr">
        <is>
          <t>p14 r38</t>
        </is>
      </c>
      <c r="I1047" t="inlineStr">
        <is>
          <t>NO_DOCUMENT ALT_VALUE:R$2.223.136,80</t>
        </is>
      </c>
    </row>
    <row r="1048">
      <c r="A1048" t="inlineStr">
        <is>
          <t>BANCO ABC BRASIL S.A.</t>
        </is>
      </c>
      <c r="B1048" s="10" t="n">
        <v>2015023.12</v>
      </c>
      <c r="C1048" t="inlineStr">
        <is>
          <t>GateKeeper | Recuperação Judicial em São Paulo – Ética, técnica e profissionalismo na administração judicial de processos de recuperação e falência.</t>
        </is>
      </c>
      <c r="D1048" t="inlineStr">
        <is>
          <t>1132347-05.2022.8.26.0100</t>
        </is>
      </c>
      <c r="E1048" t="inlineStr">
        <is>
          <t>QGC</t>
        </is>
      </c>
      <c r="F1048" t="inlineStr">
        <is>
          <t>QUARANTINED</t>
        </is>
      </c>
      <c r="G1048" s="19" t="inlineStr">
        <is>
          <t>https://gatekeeperaj.com.br/wp-content/uploads/2026/06/BS-Relacao-de-Credores-RJ-para-Falencia.pdf</t>
        </is>
      </c>
      <c r="H1048" t="inlineStr">
        <is>
          <t>p14 r19</t>
        </is>
      </c>
      <c r="I1048" t="inlineStr">
        <is>
          <t>NO_DOCUMENT ALT_VALUE:R$1.711.237,51</t>
        </is>
      </c>
    </row>
    <row r="1049">
      <c r="A1049" t="inlineStr">
        <is>
          <t>ITAÚ UNIBANCO S.A.</t>
        </is>
      </c>
      <c r="B1049" s="10" t="n">
        <v>1358449.41</v>
      </c>
      <c r="C1049" t="inlineStr">
        <is>
          <t>GateKeeper | Recuperação Judicial em São Paulo – Ética, técnica e profissionalismo na administração judicial de processos de recuperação e falência.</t>
        </is>
      </c>
      <c r="D1049" t="inlineStr">
        <is>
          <t>1132347-05.2022.8.26.0100</t>
        </is>
      </c>
      <c r="E1049" t="inlineStr">
        <is>
          <t>QGC</t>
        </is>
      </c>
      <c r="F1049" t="inlineStr">
        <is>
          <t>QUARANTINED</t>
        </is>
      </c>
      <c r="G1049" s="19" t="inlineStr">
        <is>
          <t>https://gatekeeperaj.com.br/wp-content/uploads/2026/06/BS-Relacao-de-Credores-RJ-para-Falencia.pdf</t>
        </is>
      </c>
      <c r="H1049" t="inlineStr">
        <is>
          <t>p14 r25</t>
        </is>
      </c>
      <c r="I1049" t="inlineStr">
        <is>
          <t>NO_DOCUMENT ALT_VALUE:R$1.153.649,09</t>
        </is>
      </c>
    </row>
    <row r="1050">
      <c r="A1050" t="inlineStr">
        <is>
          <t>SIL INVESTIMENTOS IMOBILIÁRIOS LTDA.</t>
        </is>
      </c>
      <c r="B1050" s="10" t="n">
        <v>1091373.41</v>
      </c>
      <c r="C1050" t="inlineStr">
        <is>
          <t>GateKeeper | Recuperação Judicial em São Paulo – Ética, técnica e profissionalismo na administração judicial de processos de recuperação e falência.</t>
        </is>
      </c>
      <c r="D1050" t="inlineStr">
        <is>
          <t>1132347-05.2022.8.26.0100</t>
        </is>
      </c>
      <c r="E1050" t="inlineStr">
        <is>
          <t>QGC</t>
        </is>
      </c>
      <c r="F1050" t="inlineStr">
        <is>
          <t>QUARANTINED</t>
        </is>
      </c>
      <c r="G1050" s="19" t="inlineStr">
        <is>
          <t>https://gatekeeperaj.com.br/wp-content/uploads/2026/06/BS-Relacao-de-Credores-RJ-para-Falencia.pdf</t>
        </is>
      </c>
      <c r="H1050" t="inlineStr">
        <is>
          <t>p14 r32</t>
        </is>
      </c>
      <c r="I1050" t="inlineStr">
        <is>
          <t>NO_DOCUMENT ALT_VALUE:R$926.837,56</t>
        </is>
      </c>
    </row>
    <row r="1051">
      <c r="A1051" t="inlineStr">
        <is>
          <t>AR EMPREENDIMENTOS E PARTICIPAÇÕES</t>
        </is>
      </c>
      <c r="B1051" s="10" t="n">
        <v>1070996.7</v>
      </c>
      <c r="C1051" t="inlineStr">
        <is>
          <t>GateKeeper | Recuperação Judicial em São Paulo – Ética, técnica e profissionalismo na administração judicial de processos de recuperação e falência.</t>
        </is>
      </c>
      <c r="D1051" t="inlineStr">
        <is>
          <t>1132347-05.2022.8.26.0100</t>
        </is>
      </c>
      <c r="E1051" t="inlineStr">
        <is>
          <t>QGC</t>
        </is>
      </c>
      <c r="F1051" t="inlineStr">
        <is>
          <t>QUARANTINED</t>
        </is>
      </c>
      <c r="G1051" s="19" t="inlineStr">
        <is>
          <t>https://gatekeeperaj.com.br/wp-content/uploads/2026/06/BS-Relacao-de-Credores-RJ-para-Falencia.pdf</t>
        </is>
      </c>
      <c r="H1051" t="inlineStr">
        <is>
          <t>p14 r18</t>
        </is>
      </c>
      <c r="I1051" t="inlineStr">
        <is>
          <t>NO_DOCUMENT ALT_VALUE:R$909.532,85</t>
        </is>
      </c>
    </row>
    <row r="1052">
      <c r="A1052" t="inlineStr">
        <is>
          <t>BB TECNOLOGIA E SERVIÇOS S.A.</t>
        </is>
      </c>
      <c r="B1052" s="10" t="n">
        <v>481772.69</v>
      </c>
      <c r="C1052" t="inlineStr">
        <is>
          <t>GateKeeper | Recuperação Judicial em São Paulo – Ética, técnica e profissionalismo na administração judicial de processos de recuperação e falência.</t>
        </is>
      </c>
      <c r="D1052" t="inlineStr">
        <is>
          <t>1132347-05.2022.8.26.0100</t>
        </is>
      </c>
      <c r="E1052" t="inlineStr">
        <is>
          <t>QGC</t>
        </is>
      </c>
      <c r="F1052" t="inlineStr">
        <is>
          <t>QUARANTINED</t>
        </is>
      </c>
      <c r="G1052" s="19" t="inlineStr">
        <is>
          <t>https://gatekeeperaj.com.br/wp-content/uploads/2026/06/BS-Relacao-de-Credores-RJ-para-Falencia.pdf</t>
        </is>
      </c>
      <c r="H1052" t="inlineStr">
        <is>
          <t>p14 r21</t>
        </is>
      </c>
      <c r="I1052" t="inlineStr">
        <is>
          <t>NO_DOCUMENT ALT_VALUE:R$409.140,47</t>
        </is>
      </c>
    </row>
    <row r="1053">
      <c r="A1053" t="inlineStr">
        <is>
          <t>CAIXA ECONÔMICA FEDERAL</t>
        </is>
      </c>
      <c r="B1053" s="10" t="n">
        <v>223793.3</v>
      </c>
      <c r="C1053" t="inlineStr">
        <is>
          <t>GateKeeper | Recuperação Judicial em São Paulo – Ética, técnica e profissionalismo na administração judicial de processos de recuperação e falência.</t>
        </is>
      </c>
      <c r="D1053" t="inlineStr">
        <is>
          <t>1132347-05.2022.8.26.0100</t>
        </is>
      </c>
      <c r="E1053" t="inlineStr">
        <is>
          <t>QGC</t>
        </is>
      </c>
      <c r="F1053" t="inlineStr">
        <is>
          <t>QUARANTINED</t>
        </is>
      </c>
      <c r="G1053" s="19" t="inlineStr">
        <is>
          <t>https://gatekeeperaj.com.br/wp-content/uploads/2026/06/BS-Relacao-de-Credores-RJ-para-Falencia.pdf</t>
        </is>
      </c>
      <c r="H1053" t="inlineStr">
        <is>
          <t>p14 r22</t>
        </is>
      </c>
      <c r="I1053" t="inlineStr">
        <is>
          <t>NO_DOCUMENT ALT_VALUE:R$190.054,14</t>
        </is>
      </c>
    </row>
    <row r="1054">
      <c r="A1054" t="inlineStr">
        <is>
          <t>Não há credores habilitados a) Fazenda Nacional DIVERSAS - AJUSTAR</t>
        </is>
      </c>
      <c r="B1054" s="10" t="n">
        <v>10818811.54</v>
      </c>
      <c r="C1054" t="inlineStr">
        <is>
          <t>5119022-07.2020.8.21.0001 | CB2D</t>
        </is>
      </c>
      <c r="D1054" t="inlineStr">
        <is>
          <t>0154367-27.2017.8.21.0001</t>
        </is>
      </c>
      <c r="E1054" t="inlineStr">
        <is>
          <t>QGC</t>
        </is>
      </c>
      <c r="F1054" t="inlineStr">
        <is>
          <t>QUARANTINED</t>
        </is>
      </c>
      <c r="G1054" s="19" t="inlineStr">
        <is>
          <t>https://www.cb2d.com.br/portal/_uploads/24b4d427-81ae-408d-8b0f-b7ab974117be.pdf</t>
        </is>
      </c>
      <c r="H1054" t="inlineStr">
        <is>
          <t>p3 r1</t>
        </is>
      </c>
      <c r="I1054" t="inlineStr">
        <is>
          <t>NO_DOCUMENT</t>
        </is>
      </c>
    </row>
    <row r="1055">
      <c r="A1055" t="inlineStr">
        <is>
          <t>b) Estado do Rio Grande do Sul DIVERSAS - AJUSTAR</t>
        </is>
      </c>
      <c r="B1055" s="10" t="n">
        <v>9912122.189999999</v>
      </c>
      <c r="C1055" t="inlineStr">
        <is>
          <t>5119022-07.2020.8.21.0001 | CB2D</t>
        </is>
      </c>
      <c r="D1055" t="inlineStr">
        <is>
          <t>0154367-27.2017.8.21.0001</t>
        </is>
      </c>
      <c r="E1055" t="inlineStr">
        <is>
          <t>QGC</t>
        </is>
      </c>
      <c r="F1055" t="inlineStr">
        <is>
          <t>QUARANTINED</t>
        </is>
      </c>
      <c r="G1055" s="19" t="inlineStr">
        <is>
          <t>https://www.cb2d.com.br/portal/_uploads/24b4d427-81ae-408d-8b0f-b7ab974117be.pdf</t>
        </is>
      </c>
      <c r="H1055" t="inlineStr">
        <is>
          <t>p3 r2</t>
        </is>
      </c>
      <c r="I1055" t="inlineStr">
        <is>
          <t>NO_DOCUMENT</t>
        </is>
      </c>
    </row>
    <row r="1056">
      <c r="A1056" t="inlineStr">
        <is>
          <t>BANCO BRADESCO</t>
        </is>
      </c>
      <c r="B1056" s="10" t="n">
        <v>884962.3</v>
      </c>
      <c r="C1056" t="inlineStr">
        <is>
          <t>Base | AJ RUIZ - Administração Judicial</t>
        </is>
      </c>
      <c r="D1056" t="inlineStr">
        <is>
          <t>1022634-27.2024.8.26.0100</t>
        </is>
      </c>
      <c r="E1056" t="inlineStr">
        <is>
          <t>QGC</t>
        </is>
      </c>
      <c r="F1056" t="inlineStr">
        <is>
          <t>OK</t>
        </is>
      </c>
      <c r="G1056" s="19" t="inlineStr">
        <is>
          <t>https://ajruiz.com.br/sites/default/files/public/arquivos-processos/2024-04/relacao_de_credores_recuperanda_1.pdf</t>
        </is>
      </c>
      <c r="H1056" t="inlineStr">
        <is>
          <t>p3 r5</t>
        </is>
      </c>
      <c r="I1056" t="inlineStr">
        <is>
          <t>NO_DOCUMENT</t>
        </is>
      </c>
    </row>
    <row r="1057">
      <c r="A1057" t="inlineStr">
        <is>
          <t>BANCO BRADESCO</t>
        </is>
      </c>
      <c r="B1057" s="10" t="n">
        <v>371787.12</v>
      </c>
      <c r="C1057" t="inlineStr">
        <is>
          <t>Base | AJ RUIZ - Administração Judicial</t>
        </is>
      </c>
      <c r="D1057" t="inlineStr">
        <is>
          <t>1022634-27.2024.8.26.0100</t>
        </is>
      </c>
      <c r="E1057" t="inlineStr">
        <is>
          <t>QGC</t>
        </is>
      </c>
      <c r="F1057" t="inlineStr">
        <is>
          <t>OK</t>
        </is>
      </c>
      <c r="G1057" s="19" t="inlineStr">
        <is>
          <t>https://ajruiz.com.br/sites/default/files/public/arquivos-processos/2024-04/relacao_de_credores_recuperanda_1.pdf</t>
        </is>
      </c>
      <c r="H1057" t="inlineStr">
        <is>
          <t>p3 r4</t>
        </is>
      </c>
      <c r="I1057" t="inlineStr">
        <is>
          <t>NO_DOCUMENT</t>
        </is>
      </c>
    </row>
    <row r="1058">
      <c r="A1058" t="inlineStr">
        <is>
          <t>BANCO ITAÚ</t>
        </is>
      </c>
      <c r="B1058" s="10" t="n">
        <v>4550068.43</v>
      </c>
      <c r="C1058" t="inlineStr">
        <is>
          <t>GRUPO MEGAÓ - Recupera Soluções Empresariais</t>
        </is>
      </c>
      <c r="D1058" t="inlineStr">
        <is>
          <t>0009971-62.2026.8.17.2810</t>
        </is>
      </c>
      <c r="E1058" t="inlineStr">
        <is>
          <t>UNKNOWN</t>
        </is>
      </c>
      <c r="F1058" t="inlineStr">
        <is>
          <t>QUARANTINED</t>
        </is>
      </c>
      <c r="G1058" s="19" t="inlineStr">
        <is>
          <t>https://recuperasolucoes.com/wp-content/plugins/download-attachments/includes/download.php?id=1653</t>
        </is>
      </c>
      <c r="H1058" t="inlineStr">
        <is>
          <t>p98 r5</t>
        </is>
      </c>
      <c r="I1058" t="inlineStr">
        <is>
          <t>NO_DOCUMENT</t>
        </is>
      </c>
    </row>
    <row r="1059">
      <c r="A1059" t="inlineStr">
        <is>
          <t>BANCO DO NORDESTE</t>
        </is>
      </c>
      <c r="B1059" s="10" t="n">
        <v>3719107.59</v>
      </c>
      <c r="C1059" t="inlineStr">
        <is>
          <t>GRUPO MEGAÓ - Recupera Soluções Empresariais</t>
        </is>
      </c>
      <c r="D1059" t="inlineStr">
        <is>
          <t>0009971-62.2026.8.17.2810</t>
        </is>
      </c>
      <c r="E1059" t="inlineStr">
        <is>
          <t>UNKNOWN</t>
        </is>
      </c>
      <c r="F1059" t="inlineStr">
        <is>
          <t>QUARANTINED</t>
        </is>
      </c>
      <c r="G1059" s="19" t="inlineStr">
        <is>
          <t>https://recuperasolucoes.com/wp-content/plugins/download-attachments/includes/download.php?id=1653</t>
        </is>
      </c>
      <c r="H1059" t="inlineStr">
        <is>
          <t>p98 r4</t>
        </is>
      </c>
      <c r="I1059" t="inlineStr">
        <is>
          <t>NO_DOCUMENT</t>
        </is>
      </c>
    </row>
    <row r="1060">
      <c r="A1060" t="inlineStr">
        <is>
          <t>BANCO SANTANDER</t>
        </is>
      </c>
      <c r="B1060" s="10" t="n">
        <v>3564724.04</v>
      </c>
      <c r="C1060" t="inlineStr">
        <is>
          <t>GRUPO MEGAÓ - Recupera Soluções Empresariais</t>
        </is>
      </c>
      <c r="D1060" t="inlineStr">
        <is>
          <t>0009971-62.2026.8.17.2810</t>
        </is>
      </c>
      <c r="E1060" t="inlineStr">
        <is>
          <t>UNKNOWN</t>
        </is>
      </c>
      <c r="F1060" t="inlineStr">
        <is>
          <t>QUARANTINED</t>
        </is>
      </c>
      <c r="G1060" s="19" t="inlineStr">
        <is>
          <t>https://recuperasolucoes.com/wp-content/plugins/download-attachments/includes/download.php?id=1653</t>
        </is>
      </c>
      <c r="H1060" t="inlineStr">
        <is>
          <t>p98 r7</t>
        </is>
      </c>
      <c r="I1060" t="inlineStr">
        <is>
          <t>NO_DOCUMENT</t>
        </is>
      </c>
    </row>
    <row r="1061">
      <c r="A1061" t="inlineStr">
        <is>
          <t>BANCO SAFRA</t>
        </is>
      </c>
      <c r="B1061" s="10" t="n">
        <v>3278755.43</v>
      </c>
      <c r="C1061" t="inlineStr">
        <is>
          <t>GRUPO MEGAÓ - Recupera Soluções Empresariais</t>
        </is>
      </c>
      <c r="D1061" t="inlineStr">
        <is>
          <t>0009971-62.2026.8.17.2810</t>
        </is>
      </c>
      <c r="E1061" t="inlineStr">
        <is>
          <t>UNKNOWN</t>
        </is>
      </c>
      <c r="F1061" t="inlineStr">
        <is>
          <t>QUARANTINED</t>
        </is>
      </c>
      <c r="G1061" s="19" t="inlineStr">
        <is>
          <t>https://recuperasolucoes.com/wp-content/plugins/download-attachments/includes/download.php?id=1653</t>
        </is>
      </c>
      <c r="H1061" t="inlineStr">
        <is>
          <t>p98 r6</t>
        </is>
      </c>
      <c r="I1061" t="inlineStr">
        <is>
          <t>NO_DOCUMENT</t>
        </is>
      </c>
    </row>
    <row r="1062">
      <c r="A1062" t="inlineStr">
        <is>
          <t>BANCO DAYCOVAL</t>
        </is>
      </c>
      <c r="B1062" s="10" t="n">
        <v>3262456.16</v>
      </c>
      <c r="C1062" t="inlineStr">
        <is>
          <t>GRUPO MEGAÓ - Recupera Soluções Empresariais</t>
        </is>
      </c>
      <c r="D1062" t="inlineStr">
        <is>
          <t>0009971-62.2026.8.17.2810</t>
        </is>
      </c>
      <c r="E1062" t="inlineStr">
        <is>
          <t>UNKNOWN</t>
        </is>
      </c>
      <c r="F1062" t="inlineStr">
        <is>
          <t>QUARANTINED</t>
        </is>
      </c>
      <c r="G1062" s="19" t="inlineStr">
        <is>
          <t>https://recuperasolucoes.com/wp-content/plugins/download-attachments/includes/download.php?id=1653</t>
        </is>
      </c>
      <c r="H1062" t="inlineStr">
        <is>
          <t>p98 r3</t>
        </is>
      </c>
      <c r="I1062" t="inlineStr">
        <is>
          <t>NO_DOCUMENT</t>
        </is>
      </c>
    </row>
    <row r="1063">
      <c r="A1063" t="inlineStr">
        <is>
          <t>GOLD MEGAO INDUSTRIA DE TINTAS</t>
        </is>
      </c>
      <c r="B1063" s="10" t="n">
        <v>2483088.76</v>
      </c>
      <c r="C1063" t="inlineStr">
        <is>
          <t>GRUPO MEGAÓ - Recupera Soluções Empresariais</t>
        </is>
      </c>
      <c r="D1063" t="inlineStr">
        <is>
          <t>0009971-62.2026.8.17.2810</t>
        </is>
      </c>
      <c r="E1063" t="inlineStr">
        <is>
          <t>UNKNOWN</t>
        </is>
      </c>
      <c r="F1063" t="inlineStr">
        <is>
          <t>QUARANTINED</t>
        </is>
      </c>
      <c r="G1063" s="19" t="inlineStr">
        <is>
          <t>https://recuperasolucoes.com/wp-content/plugins/download-attachments/includes/download.php?id=1653</t>
        </is>
      </c>
      <c r="H1063" t="inlineStr">
        <is>
          <t>p99 r14</t>
        </is>
      </c>
      <c r="I1063" t="inlineStr">
        <is>
          <t>NO_DOCUMENT</t>
        </is>
      </c>
    </row>
    <row r="1064">
      <c r="A1064" t="inlineStr">
        <is>
          <t>BANCO SOFISA</t>
        </is>
      </c>
      <c r="B1064" s="10" t="n">
        <v>1736183.36</v>
      </c>
      <c r="C1064" t="inlineStr">
        <is>
          <t>GRUPO MEGAÓ - Recupera Soluções Empresariais</t>
        </is>
      </c>
      <c r="D1064" t="inlineStr">
        <is>
          <t>0009971-62.2026.8.17.2810</t>
        </is>
      </c>
      <c r="E1064" t="inlineStr">
        <is>
          <t>UNKNOWN</t>
        </is>
      </c>
      <c r="F1064" t="inlineStr">
        <is>
          <t>QUARANTINED</t>
        </is>
      </c>
      <c r="G1064" s="19" t="inlineStr">
        <is>
          <t>https://recuperasolucoes.com/wp-content/plugins/download-attachments/includes/download.php?id=1653</t>
        </is>
      </c>
      <c r="H1064" t="inlineStr">
        <is>
          <t>p98 r8</t>
        </is>
      </c>
      <c r="I1064" t="inlineStr">
        <is>
          <t>NO_DOCUMENT</t>
        </is>
      </c>
    </row>
    <row r="1065">
      <c r="A1065" t="inlineStr">
        <is>
          <t>MEGAO SHOP FRANQUIA</t>
        </is>
      </c>
      <c r="B1065" s="10" t="n">
        <v>1597152.14</v>
      </c>
      <c r="C1065" t="inlineStr">
        <is>
          <t>GRUPO MEGAÓ - Recupera Soluções Empresariais</t>
        </is>
      </c>
      <c r="D1065" t="inlineStr">
        <is>
          <t>0009971-62.2026.8.17.2810</t>
        </is>
      </c>
      <c r="E1065" t="inlineStr">
        <is>
          <t>UNKNOWN</t>
        </is>
      </c>
      <c r="F1065" t="inlineStr">
        <is>
          <t>QUARANTINED</t>
        </is>
      </c>
      <c r="G1065" s="19" t="inlineStr">
        <is>
          <t>https://recuperasolucoes.com/wp-content/plugins/download-attachments/includes/download.php?id=1653</t>
        </is>
      </c>
      <c r="H1065" t="inlineStr">
        <is>
          <t>p99 r15</t>
        </is>
      </c>
      <c r="I1065" t="inlineStr">
        <is>
          <t>NO_DOCUMENT</t>
        </is>
      </c>
    </row>
    <row r="1066">
      <c r="A1066" t="inlineStr">
        <is>
          <t>BOMIX INDUSTRIA DE EMBALAGENS LTDA</t>
        </is>
      </c>
      <c r="B1066" s="10" t="n">
        <v>1127693.74</v>
      </c>
      <c r="C1066" t="inlineStr">
        <is>
          <t>GRUPO MEGAÓ - Recupera Soluções Empresariais</t>
        </is>
      </c>
      <c r="D1066" t="inlineStr">
        <is>
          <t>0009971-62.2026.8.17.2810</t>
        </is>
      </c>
      <c r="E1066" t="inlineStr">
        <is>
          <t>UNKNOWN</t>
        </is>
      </c>
      <c r="F1066" t="inlineStr">
        <is>
          <t>QUARANTINED</t>
        </is>
      </c>
      <c r="G1066" s="19" t="inlineStr">
        <is>
          <t>https://recuperasolucoes.com/wp-content/plugins/download-attachments/includes/download.php?id=1653</t>
        </is>
      </c>
      <c r="H1066" t="inlineStr">
        <is>
          <t>p98 r10</t>
        </is>
      </c>
      <c r="I1066" t="inlineStr">
        <is>
          <t>NO_DOCUMENT</t>
        </is>
      </c>
    </row>
    <row r="1067">
      <c r="A1067" t="inlineStr">
        <is>
          <t>BANCO C6</t>
        </is>
      </c>
      <c r="B1067" s="10" t="n">
        <v>1099943.82</v>
      </c>
      <c r="C1067" t="inlineStr">
        <is>
          <t>GRUPO MEGAÓ - Recupera Soluções Empresariais</t>
        </is>
      </c>
      <c r="D1067" t="inlineStr">
        <is>
          <t>0009971-62.2026.8.17.2810</t>
        </is>
      </c>
      <c r="E1067" t="inlineStr">
        <is>
          <t>UNKNOWN</t>
        </is>
      </c>
      <c r="F1067" t="inlineStr">
        <is>
          <t>QUARANTINED</t>
        </is>
      </c>
      <c r="G1067" s="19" t="inlineStr">
        <is>
          <t>https://recuperasolucoes.com/wp-content/plugins/download-attachments/includes/download.php?id=1653</t>
        </is>
      </c>
      <c r="H1067" t="inlineStr">
        <is>
          <t>p98 r2</t>
        </is>
      </c>
      <c r="I1067" t="inlineStr">
        <is>
          <t>NO_DOCUMENT</t>
        </is>
      </c>
    </row>
    <row r="1068">
      <c r="A1068" t="inlineStr">
        <is>
          <t>BANCO BRADESCO</t>
        </is>
      </c>
      <c r="B1068" s="10" t="n">
        <v>937750.26</v>
      </c>
      <c r="C1068" t="inlineStr">
        <is>
          <t>GRUPO MEGAÓ - Recupera Soluções Empresariais</t>
        </is>
      </c>
      <c r="D1068" t="inlineStr">
        <is>
          <t>0009971-62.2026.8.17.2810</t>
        </is>
      </c>
      <c r="E1068" t="inlineStr">
        <is>
          <t>UNKNOWN</t>
        </is>
      </c>
      <c r="F1068" t="inlineStr">
        <is>
          <t>QUARANTINED</t>
        </is>
      </c>
      <c r="G1068" s="19" t="inlineStr">
        <is>
          <t>https://recuperasolucoes.com/wp-content/plugins/download-attachments/includes/download.php?id=1653</t>
        </is>
      </c>
      <c r="H1068" t="inlineStr">
        <is>
          <t>p98 r1</t>
        </is>
      </c>
      <c r="I1068" t="inlineStr">
        <is>
          <t>NO_DOCUMENT</t>
        </is>
      </c>
    </row>
    <row r="1069">
      <c r="A1069" t="inlineStr">
        <is>
          <t>COMPANHIA DE CIMENTO DA PARAIBA</t>
        </is>
      </c>
      <c r="B1069" s="10" t="n">
        <v>870717.6800000001</v>
      </c>
      <c r="C1069" t="inlineStr">
        <is>
          <t>GRUPO MEGAÓ - Recupera Soluções Empresariais</t>
        </is>
      </c>
      <c r="D1069" t="inlineStr">
        <is>
          <t>0009971-62.2026.8.17.2810</t>
        </is>
      </c>
      <c r="E1069" t="inlineStr">
        <is>
          <t>UNKNOWN</t>
        </is>
      </c>
      <c r="F1069" t="inlineStr">
        <is>
          <t>QUARANTINED</t>
        </is>
      </c>
      <c r="G1069" s="19" t="inlineStr">
        <is>
          <t>https://recuperasolucoes.com/wp-content/plugins/download-attachments/includes/download.php?id=1653</t>
        </is>
      </c>
      <c r="H1069" t="inlineStr">
        <is>
          <t>p98 r18</t>
        </is>
      </c>
      <c r="I1069" t="inlineStr">
        <is>
          <t>NO_DOCUMENT</t>
        </is>
      </c>
    </row>
    <row r="1070">
      <c r="A1070" t="inlineStr">
        <is>
          <t>CAIXA ECONOMICA FEDERAL</t>
        </is>
      </c>
      <c r="B1070" s="10" t="n">
        <v>666677.1</v>
      </c>
      <c r="C1070" t="inlineStr">
        <is>
          <t>GRUPO MEGAÓ - Recupera Soluções Empresariais</t>
        </is>
      </c>
      <c r="D1070" t="inlineStr">
        <is>
          <t>0009971-62.2026.8.17.2810</t>
        </is>
      </c>
      <c r="E1070" t="inlineStr">
        <is>
          <t>UNKNOWN</t>
        </is>
      </c>
      <c r="F1070" t="inlineStr">
        <is>
          <t>QUARANTINED</t>
        </is>
      </c>
      <c r="G1070" s="19" t="inlineStr">
        <is>
          <t>https://recuperasolucoes.com/wp-content/plugins/download-attachments/includes/download.php?id=1653</t>
        </is>
      </c>
      <c r="H1070" t="inlineStr">
        <is>
          <t>p98 r13</t>
        </is>
      </c>
      <c r="I1070" t="inlineStr">
        <is>
          <t>NO_DOCUMENT</t>
        </is>
      </c>
    </row>
    <row r="1071">
      <c r="A1071" t="inlineStr">
        <is>
          <t>DEL CRED</t>
        </is>
      </c>
      <c r="B1071" s="10" t="n">
        <v>552750</v>
      </c>
      <c r="C1071" t="inlineStr">
        <is>
          <t>GRUPO MEGAÓ - Recupera Soluções Empresariais</t>
        </is>
      </c>
      <c r="D1071" t="inlineStr">
        <is>
          <t>0009971-62.2026.8.17.2810</t>
        </is>
      </c>
      <c r="E1071" t="inlineStr">
        <is>
          <t>UNKNOWN</t>
        </is>
      </c>
      <c r="F1071" t="inlineStr">
        <is>
          <t>QUARANTINED</t>
        </is>
      </c>
      <c r="G1071" s="19" t="inlineStr">
        <is>
          <t>https://recuperasolucoes.com/wp-content/plugins/download-attachments/includes/download.php?id=1653</t>
        </is>
      </c>
      <c r="H1071" t="inlineStr">
        <is>
          <t>p98 r20</t>
        </is>
      </c>
      <c r="I1071" t="inlineStr">
        <is>
          <t>NO_DOCUMENT</t>
        </is>
      </c>
    </row>
    <row r="1072">
      <c r="A1072" t="inlineStr">
        <is>
          <t>FUNDO INVESTIMENTO JPM</t>
        </is>
      </c>
      <c r="B1072" s="10" t="n">
        <v>535000</v>
      </c>
      <c r="C1072" t="inlineStr">
        <is>
          <t>GRUPO MEGAÓ - Recupera Soluções Empresariais</t>
        </is>
      </c>
      <c r="D1072" t="inlineStr">
        <is>
          <t>0009971-62.2026.8.17.2810</t>
        </is>
      </c>
      <c r="E1072" t="inlineStr">
        <is>
          <t>UNKNOWN</t>
        </is>
      </c>
      <c r="F1072" t="inlineStr">
        <is>
          <t>QUARANTINED</t>
        </is>
      </c>
      <c r="G1072" s="19" t="inlineStr">
        <is>
          <t>https://recuperasolucoes.com/wp-content/plugins/download-attachments/includes/download.php?id=1653</t>
        </is>
      </c>
      <c r="H1072" t="inlineStr">
        <is>
          <t>p98 r27</t>
        </is>
      </c>
      <c r="I1072" t="inlineStr">
        <is>
          <t>NO_DOCUMENT</t>
        </is>
      </c>
    </row>
    <row r="1073">
      <c r="A1073" t="inlineStr">
        <is>
          <t>AVCO POLIMEROS DO BRASIL S.A.</t>
        </is>
      </c>
      <c r="B1073" s="10" t="n">
        <v>507778.83</v>
      </c>
      <c r="C1073" t="inlineStr">
        <is>
          <t>GRUPO MEGAÓ - Recupera Soluções Empresariais</t>
        </is>
      </c>
      <c r="D1073" t="inlineStr">
        <is>
          <t>0009971-62.2026.8.17.2810</t>
        </is>
      </c>
      <c r="E1073" t="inlineStr">
        <is>
          <t>UNKNOWN</t>
        </is>
      </c>
      <c r="F1073" t="inlineStr">
        <is>
          <t>QUARANTINED</t>
        </is>
      </c>
      <c r="G1073" s="19" t="inlineStr">
        <is>
          <t>https://recuperasolucoes.com/wp-content/plugins/download-attachments/includes/download.php?id=1653</t>
        </is>
      </c>
      <c r="H1073" t="inlineStr">
        <is>
          <t>p97 r34</t>
        </is>
      </c>
      <c r="I1073" t="inlineStr">
        <is>
          <t>NO_DOCUMENT</t>
        </is>
      </c>
    </row>
    <row r="1074">
      <c r="A1074" t="inlineStr">
        <is>
          <t>BRANCOTEX INDUSTRIAS QUIMICAS LTDA</t>
        </is>
      </c>
      <c r="B1074" s="10" t="n">
        <v>445334.14</v>
      </c>
      <c r="C1074" t="inlineStr">
        <is>
          <t>GRUPO MEGAÓ - Recupera Soluções Empresariais</t>
        </is>
      </c>
      <c r="D1074" t="inlineStr">
        <is>
          <t>0009971-62.2026.8.17.2810</t>
        </is>
      </c>
      <c r="E1074" t="inlineStr">
        <is>
          <t>UNKNOWN</t>
        </is>
      </c>
      <c r="F1074" t="inlineStr">
        <is>
          <t>QUARANTINED</t>
        </is>
      </c>
      <c r="G1074" s="19" t="inlineStr">
        <is>
          <t>https://recuperasolucoes.com/wp-content/plugins/download-attachments/includes/download.php?id=1653</t>
        </is>
      </c>
      <c r="H1074" t="inlineStr">
        <is>
          <t>p98 r11</t>
        </is>
      </c>
      <c r="I1074" t="inlineStr">
        <is>
          <t>NO_DOCUMENT</t>
        </is>
      </c>
    </row>
    <row r="1075">
      <c r="A1075" t="inlineStr">
        <is>
          <t>CAL NORTE NORDESTE S/A</t>
        </is>
      </c>
      <c r="B1075" s="10" t="n">
        <v>416672.21</v>
      </c>
      <c r="C1075" t="inlineStr">
        <is>
          <t>GRUPO MEGAÓ - Recupera Soluções Empresariais</t>
        </is>
      </c>
      <c r="D1075" t="inlineStr">
        <is>
          <t>0009971-62.2026.8.17.2810</t>
        </is>
      </c>
      <c r="E1075" t="inlineStr">
        <is>
          <t>UNKNOWN</t>
        </is>
      </c>
      <c r="F1075" t="inlineStr">
        <is>
          <t>QUARANTINED</t>
        </is>
      </c>
      <c r="G1075" s="19" t="inlineStr">
        <is>
          <t>https://recuperasolucoes.com/wp-content/plugins/download-attachments/includes/download.php?id=1653</t>
        </is>
      </c>
      <c r="H1075" t="inlineStr">
        <is>
          <t>p98 r14</t>
        </is>
      </c>
      <c r="I1075" t="inlineStr">
        <is>
          <t>NO_DOCUMENT</t>
        </is>
      </c>
    </row>
    <row r="1076">
      <c r="A1076" t="inlineStr">
        <is>
          <t>SIFRA S/A</t>
        </is>
      </c>
      <c r="B1076" s="10" t="n">
        <v>366586.51</v>
      </c>
      <c r="C1076" t="inlineStr">
        <is>
          <t>GRUPO MEGAÓ - Recupera Soluções Empresariais</t>
        </is>
      </c>
      <c r="D1076" t="inlineStr">
        <is>
          <t>0009971-62.2026.8.17.2810</t>
        </is>
      </c>
      <c r="E1076" t="inlineStr">
        <is>
          <t>UNKNOWN</t>
        </is>
      </c>
      <c r="F1076" t="inlineStr">
        <is>
          <t>QUARANTINED</t>
        </is>
      </c>
      <c r="G1076" s="19" t="inlineStr">
        <is>
          <t>https://recuperasolucoes.com/wp-content/plugins/download-attachments/includes/download.php?id=1653</t>
        </is>
      </c>
      <c r="H1076" t="inlineStr">
        <is>
          <t>p99 r4</t>
        </is>
      </c>
      <c r="I1076" t="inlineStr">
        <is>
          <t>NO_DOCUMENT</t>
        </is>
      </c>
    </row>
    <row r="1077">
      <c r="A1077" t="inlineStr">
        <is>
          <t>FIRMA CAPITAL</t>
        </is>
      </c>
      <c r="B1077" s="10" t="n">
        <v>336067.51</v>
      </c>
      <c r="C1077" t="inlineStr">
        <is>
          <t>GRUPO MEGAÓ - Recupera Soluções Empresariais</t>
        </is>
      </c>
      <c r="D1077" t="inlineStr">
        <is>
          <t>0009971-62.2026.8.17.2810</t>
        </is>
      </c>
      <c r="E1077" t="inlineStr">
        <is>
          <t>UNKNOWN</t>
        </is>
      </c>
      <c r="F1077" t="inlineStr">
        <is>
          <t>QUARANTINED</t>
        </is>
      </c>
      <c r="G1077" s="19" t="inlineStr">
        <is>
          <t>https://recuperasolucoes.com/wp-content/plugins/download-attachments/includes/download.php?id=1653</t>
        </is>
      </c>
      <c r="H1077" t="inlineStr">
        <is>
          <t>p98 r25</t>
        </is>
      </c>
      <c r="I1077" t="inlineStr">
        <is>
          <t>NO_DOCUMENT</t>
        </is>
      </c>
    </row>
    <row r="1078">
      <c r="A1078" t="inlineStr">
        <is>
          <t>BANCO ABC</t>
        </is>
      </c>
      <c r="B1078" s="10" t="n">
        <v>286886.95</v>
      </c>
      <c r="C1078" t="inlineStr">
        <is>
          <t>GRUPO MEGAÓ - Recupera Soluções Empresariais</t>
        </is>
      </c>
      <c r="D1078" t="inlineStr">
        <is>
          <t>0009971-62.2026.8.17.2810</t>
        </is>
      </c>
      <c r="E1078" t="inlineStr">
        <is>
          <t>UNKNOWN</t>
        </is>
      </c>
      <c r="F1078" t="inlineStr">
        <is>
          <t>QUARANTINED</t>
        </is>
      </c>
      <c r="G1078" s="19" t="inlineStr">
        <is>
          <t>https://recuperasolucoes.com/wp-content/plugins/download-attachments/includes/download.php?id=1653</t>
        </is>
      </c>
      <c r="H1078" t="inlineStr">
        <is>
          <t>p97 r35</t>
        </is>
      </c>
      <c r="I1078" t="inlineStr">
        <is>
          <t>NO_DOCUMENT</t>
        </is>
      </c>
    </row>
    <row r="1079">
      <c r="A1079" t="inlineStr">
        <is>
          <t>RESIQ - INDUSTRIA E COMERCIO DE RESINAS</t>
        </is>
      </c>
      <c r="B1079" s="10" t="n">
        <v>284512.4</v>
      </c>
      <c r="C1079" t="inlineStr">
        <is>
          <t>GRUPO MEGAÓ - Recupera Soluções Empresariais</t>
        </is>
      </c>
      <c r="D1079" t="inlineStr">
        <is>
          <t>0009971-62.2026.8.17.2810</t>
        </is>
      </c>
      <c r="E1079" t="inlineStr">
        <is>
          <t>UNKNOWN</t>
        </is>
      </c>
      <c r="F1079" t="inlineStr">
        <is>
          <t>QUARANTINED</t>
        </is>
      </c>
      <c r="G1079" s="19" t="inlineStr">
        <is>
          <t>https://recuperasolucoes.com/wp-content/plugins/download-attachments/includes/download.php?id=1653</t>
        </is>
      </c>
      <c r="H1079" t="inlineStr">
        <is>
          <t>p98 r47</t>
        </is>
      </c>
      <c r="I1079" t="inlineStr">
        <is>
          <t>NO_DOCUMENT</t>
        </is>
      </c>
    </row>
    <row r="1080">
      <c r="A1080" t="inlineStr">
        <is>
          <t>NEGOCIAL FIDC</t>
        </is>
      </c>
      <c r="B1080" s="10" t="n">
        <v>279054</v>
      </c>
      <c r="C1080" t="inlineStr">
        <is>
          <t>GRUPO MEGAÓ - Recupera Soluções Empresariais</t>
        </is>
      </c>
      <c r="D1080" t="inlineStr">
        <is>
          <t>0009971-62.2026.8.17.2810</t>
        </is>
      </c>
      <c r="E1080" t="inlineStr">
        <is>
          <t>UNKNOWN</t>
        </is>
      </c>
      <c r="F1080" t="inlineStr">
        <is>
          <t>QUARANTINED</t>
        </is>
      </c>
      <c r="G1080" s="19" t="inlineStr">
        <is>
          <t>https://recuperasolucoes.com/wp-content/plugins/download-attachments/includes/download.php?id=1653</t>
        </is>
      </c>
      <c r="H1080" t="inlineStr">
        <is>
          <t>p98 r39</t>
        </is>
      </c>
      <c r="I1080" t="inlineStr">
        <is>
          <t>NO_DOCUMENT</t>
        </is>
      </c>
    </row>
    <row r="1081">
      <c r="A1081" t="inlineStr">
        <is>
          <t>INPLAC INDUSTRIA</t>
        </is>
      </c>
      <c r="B1081" s="10" t="n">
        <v>268998.14</v>
      </c>
      <c r="C1081" t="inlineStr">
        <is>
          <t>GRUPO MEGAÓ - Recupera Soluções Empresariais</t>
        </is>
      </c>
      <c r="D1081" t="inlineStr">
        <is>
          <t>0009971-62.2026.8.17.2810</t>
        </is>
      </c>
      <c r="E1081" t="inlineStr">
        <is>
          <t>UNKNOWN</t>
        </is>
      </c>
      <c r="F1081" t="inlineStr">
        <is>
          <t>QUARANTINED</t>
        </is>
      </c>
      <c r="G1081" s="19" t="inlineStr">
        <is>
          <t>https://recuperasolucoes.com/wp-content/plugins/download-attachments/includes/download.php?id=1653</t>
        </is>
      </c>
      <c r="H1081" t="inlineStr">
        <is>
          <t>p98 r30</t>
        </is>
      </c>
      <c r="I1081" t="inlineStr">
        <is>
          <t>NO_DOCUMENT</t>
        </is>
      </c>
    </row>
    <row r="1082">
      <c r="A1082" t="inlineStr">
        <is>
          <t>WANA INDUSTRIA E COMERCIO DE PRODUTOS</t>
        </is>
      </c>
      <c r="B1082" s="10" t="n">
        <v>246742.87</v>
      </c>
      <c r="C1082" t="inlineStr">
        <is>
          <t>GRUPO MEGAÓ - Recupera Soluções Empresariais</t>
        </is>
      </c>
      <c r="D1082" t="inlineStr">
        <is>
          <t>0009971-62.2026.8.17.2810</t>
        </is>
      </c>
      <c r="E1082" t="inlineStr">
        <is>
          <t>UNKNOWN</t>
        </is>
      </c>
      <c r="F1082" t="inlineStr">
        <is>
          <t>QUARANTINED</t>
        </is>
      </c>
      <c r="G1082" s="19" t="inlineStr">
        <is>
          <t>https://recuperasolucoes.com/wp-content/plugins/download-attachments/includes/download.php?id=1653</t>
        </is>
      </c>
      <c r="H1082" t="inlineStr">
        <is>
          <t>p99 r10</t>
        </is>
      </c>
      <c r="I1082" t="inlineStr">
        <is>
          <t>NO_DOCUMENT</t>
        </is>
      </c>
    </row>
    <row r="1083">
      <c r="A1083" t="inlineStr">
        <is>
          <t>FOS-QUIMICA E DERIVADOS LTDA</t>
        </is>
      </c>
      <c r="B1083" s="10" t="n">
        <v>200313</v>
      </c>
      <c r="C1083" t="inlineStr">
        <is>
          <t>GRUPO MEGAÓ - Recupera Soluções Empresariais</t>
        </is>
      </c>
      <c r="D1083" t="inlineStr">
        <is>
          <t>0009971-62.2026.8.17.2810</t>
        </is>
      </c>
      <c r="E1083" t="inlineStr">
        <is>
          <t>UNKNOWN</t>
        </is>
      </c>
      <c r="F1083" t="inlineStr">
        <is>
          <t>QUARANTINED</t>
        </is>
      </c>
      <c r="G1083" s="19" t="inlineStr">
        <is>
          <t>https://recuperasolucoes.com/wp-content/plugins/download-attachments/includes/download.php?id=1653</t>
        </is>
      </c>
      <c r="H1083" t="inlineStr">
        <is>
          <t>p98 r26</t>
        </is>
      </c>
      <c r="I1083" t="inlineStr">
        <is>
          <t>NO_DOCUMENT</t>
        </is>
      </c>
    </row>
  </sheetData>
  <autoFilter ref="A1:I108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00"/>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2" customWidth="1" min="3" max="3"/>
    <col width="14" customWidth="1" min="4" max="4"/>
    <col width="7" customWidth="1" min="5" max="5"/>
    <col width="10" customWidth="1" min="6" max="6"/>
    <col width="14" customWidth="1" min="7" max="7"/>
    <col width="60" customWidth="1" min="8" max="8"/>
    <col width="12" customWidth="1" min="9" max="9"/>
    <col width="40" customWidth="1" min="10" max="10"/>
    <col width="26" customWidth="1" min="11" max="11"/>
    <col width="70" customWidth="1" min="12" max="12"/>
  </cols>
  <sheetData>
    <row r="1">
      <c r="A1" s="5" t="inlineStr">
        <is>
          <t>Doc id</t>
        </is>
      </c>
      <c r="B1" s="5" t="inlineStr">
        <is>
          <t>Case number</t>
        </is>
      </c>
      <c r="C1" s="5" t="inlineStr">
        <is>
          <t>Type</t>
        </is>
      </c>
      <c r="D1" s="5" t="inlineStr">
        <is>
          <t>Status</t>
        </is>
      </c>
      <c r="E1" s="5" t="inlineStr">
        <is>
          <t>Pages</t>
        </is>
      </c>
      <c r="F1" s="5" t="inlineStr">
        <is>
          <t>Strategy</t>
        </is>
      </c>
      <c r="G1" s="5" t="inlineStr">
        <is>
          <t>Layout</t>
        </is>
      </c>
      <c r="H1" s="5" t="inlineStr">
        <is>
          <t>Reconcile checks</t>
        </is>
      </c>
      <c r="I1" s="5" t="inlineStr">
        <is>
          <t>Published</t>
        </is>
      </c>
      <c r="J1" s="5" t="inlineStr">
        <is>
          <t>Debtor (hint)</t>
        </is>
      </c>
      <c r="K1" s="5" t="inlineStr">
        <is>
          <t>Administrator</t>
        </is>
      </c>
      <c r="L1" s="5" t="inlineStr">
        <is>
          <t>URL</t>
        </is>
      </c>
    </row>
    <row r="2">
      <c r="A2" t="inlineStr">
        <is>
          <t>05729d0a9eb7</t>
        </is>
      </c>
      <c r="D2" t="inlineStr">
        <is>
          <t>ERROR</t>
        </is>
      </c>
      <c r="H2" t="inlineStr"/>
      <c r="L2" s="19" t="inlineStr">
        <is>
          <t>https://recuperacaojudicial.squarespace.com/s/Falencia-Usina-Catende-Lista-de-rateio-dos-creditos-trabalhistas-rateio-2021.pdf</t>
        </is>
      </c>
    </row>
    <row r="3">
      <c r="A3" t="inlineStr">
        <is>
          <t>64f07c6cbda7</t>
        </is>
      </c>
      <c r="B3" t="inlineStr">
        <is>
          <t>0026172-78.2019.8.17.2001</t>
        </is>
      </c>
      <c r="D3" t="inlineStr">
        <is>
          <t>ERROR</t>
        </is>
      </c>
      <c r="H3" t="inlineStr"/>
      <c r="L3" s="19" t="inlineStr">
        <is>
          <t>https://diligence.adm.br/wp-content/plugins/download-attachments/includes/download.php?id=6265</t>
        </is>
      </c>
    </row>
    <row r="4">
      <c r="A4" t="inlineStr">
        <is>
          <t>61f267a0bd1c</t>
        </is>
      </c>
      <c r="B4" t="inlineStr">
        <is>
          <t>0026395-77.2025.8.16.0019</t>
        </is>
      </c>
      <c r="D4" t="inlineStr">
        <is>
          <t>ERROR</t>
        </is>
      </c>
      <c r="H4" t="inlineStr"/>
      <c r="L4" s="19" t="inlineStr">
        <is>
          <t>https://administradorajudicialgs.com.br/wp-content/uploads/2025/09/relacao-de-credores-forest-lages.pdf</t>
        </is>
      </c>
    </row>
    <row r="5">
      <c r="A5" t="inlineStr">
        <is>
          <t>203e140fab27</t>
        </is>
      </c>
      <c r="B5" t="inlineStr">
        <is>
          <t>0026395-77.2025.8.16.0019</t>
        </is>
      </c>
      <c r="D5" t="inlineStr">
        <is>
          <t>ERROR</t>
        </is>
      </c>
      <c r="H5" t="inlineStr"/>
      <c r="L5" s="19" t="inlineStr">
        <is>
          <t>https://administradorajudicialgs.com.br/wp-content/uploads/2025/09/relacao-de-credores-forest-mairipora.pdf</t>
        </is>
      </c>
    </row>
    <row r="6">
      <c r="A6" t="inlineStr">
        <is>
          <t>1bba3f128f5f</t>
        </is>
      </c>
      <c r="B6" t="inlineStr">
        <is>
          <t>0026395-77.2025.8.16.0019</t>
        </is>
      </c>
      <c r="D6" t="inlineStr">
        <is>
          <t>ERROR</t>
        </is>
      </c>
      <c r="H6" t="inlineStr"/>
      <c r="L6" s="19" t="inlineStr">
        <is>
          <t>https://administradorajudicialgs.com.br/wp-content/uploads/2025/09/relacao-de-credores-onze-1.pdf</t>
        </is>
      </c>
    </row>
    <row r="7">
      <c r="A7" t="inlineStr">
        <is>
          <t>eda40debe79f</t>
        </is>
      </c>
      <c r="B7" t="inlineStr">
        <is>
          <t>0026395-77.2025.8.16.0019</t>
        </is>
      </c>
      <c r="D7" t="inlineStr">
        <is>
          <t>ERROR</t>
        </is>
      </c>
      <c r="H7" t="inlineStr"/>
      <c r="L7" s="19" t="inlineStr">
        <is>
          <t>https://administradorajudicialgs.com.br/wp-content/uploads/2025/09/relacao-de-credores-onze-2.pdf</t>
        </is>
      </c>
    </row>
    <row r="8">
      <c r="A8" t="inlineStr">
        <is>
          <t>c8ce321b0f86</t>
        </is>
      </c>
      <c r="B8" t="inlineStr">
        <is>
          <t>0029772-63.2026.8.17.2001</t>
        </is>
      </c>
      <c r="D8" t="inlineStr">
        <is>
          <t>ERROR</t>
        </is>
      </c>
      <c r="H8" t="inlineStr"/>
      <c r="L8" s="19" t="inlineStr">
        <is>
          <t>https://recuperacaojudicial.squarespace.com/s/RJ-B1-Lista-de-Credores-1-tm3r.pdf</t>
        </is>
      </c>
    </row>
    <row r="9">
      <c r="A9" t="inlineStr">
        <is>
          <t>3f0683ea04b7</t>
        </is>
      </c>
      <c r="B9" t="inlineStr">
        <is>
          <t>0300841-02.2018.8.24.0048</t>
        </is>
      </c>
      <c r="D9" t="inlineStr">
        <is>
          <t>ERROR</t>
        </is>
      </c>
      <c r="H9" t="inlineStr"/>
      <c r="L9" s="19" t="inlineStr">
        <is>
          <t>https://administradorajudicialgs.com.br/wp-content/uploads/2023/08/relacao-de-credores-1.pdf</t>
        </is>
      </c>
    </row>
    <row r="10">
      <c r="A10" t="inlineStr">
        <is>
          <t>a7e814cd2913</t>
        </is>
      </c>
      <c r="B10" t="inlineStr">
        <is>
          <t>0004686-90.2026.8.17.2001</t>
        </is>
      </c>
      <c r="D10" t="inlineStr">
        <is>
          <t>ERROR</t>
        </is>
      </c>
      <c r="H10" t="inlineStr"/>
      <c r="L10" s="19" t="inlineStr">
        <is>
          <t>https://diligence.adm.br/wp-content/plugins/download-attachments/includes/download.php?id=6234</t>
        </is>
      </c>
    </row>
    <row r="11">
      <c r="A11" t="inlineStr">
        <is>
          <t>4ba63c94dfa7</t>
        </is>
      </c>
      <c r="B11" t="inlineStr">
        <is>
          <t>0001639-09.2026.8.17.2810</t>
        </is>
      </c>
      <c r="D11" t="inlineStr">
        <is>
          <t>ERROR</t>
        </is>
      </c>
      <c r="H11" t="inlineStr"/>
      <c r="L11" s="19" t="inlineStr">
        <is>
          <t>https://diligence.adm.br/wp-content/plugins/download-attachments/includes/download.php?id=6293</t>
        </is>
      </c>
    </row>
    <row r="12">
      <c r="A12" t="inlineStr">
        <is>
          <t>30119bf2ce42</t>
        </is>
      </c>
      <c r="B12" t="inlineStr">
        <is>
          <t>0007565-40.2020.8.17.2370</t>
        </is>
      </c>
      <c r="D12" t="inlineStr">
        <is>
          <t>ERROR</t>
        </is>
      </c>
      <c r="H12" t="inlineStr"/>
      <c r="L12" s="19" t="inlineStr">
        <is>
          <t>https://recuperacaojudicial.squarespace.com/s/RJ-Credimoveis-Protocolo-2-lista-e-anexos-janeiro-2021.pdf</t>
        </is>
      </c>
    </row>
    <row r="13">
      <c r="A13" t="inlineStr">
        <is>
          <t>fc552310456a</t>
        </is>
      </c>
      <c r="B13" t="inlineStr">
        <is>
          <t>0089327-55.2019.8.17.2001</t>
        </is>
      </c>
      <c r="D13" t="inlineStr">
        <is>
          <t>ERROR</t>
        </is>
      </c>
      <c r="H13" t="inlineStr"/>
      <c r="L13" s="19" t="inlineStr">
        <is>
          <t>https://diligence.adm.br/wp-content/plugins/download-attachments/includes/download.php?id=4545</t>
        </is>
      </c>
    </row>
    <row r="14">
      <c r="A14" t="inlineStr">
        <is>
          <t>b5414c73cffe</t>
        </is>
      </c>
      <c r="B14" t="inlineStr">
        <is>
          <t>0000707-30.2008.8.02.0042</t>
        </is>
      </c>
      <c r="D14" t="inlineStr">
        <is>
          <t>ERROR</t>
        </is>
      </c>
      <c r="H14" t="inlineStr"/>
      <c r="L14" s="19" t="inlineStr">
        <is>
          <t>https://vivanteaj.com.br/wp-content/uploads/2024/11/31.07.2014-Lista-Credores-Laginha-1.pdf</t>
        </is>
      </c>
    </row>
    <row r="15">
      <c r="A15" t="inlineStr">
        <is>
          <t>73c1c85d368a</t>
        </is>
      </c>
      <c r="B15" t="inlineStr">
        <is>
          <t>0001324-92.2023.8.17.2710</t>
        </is>
      </c>
      <c r="D15" t="inlineStr">
        <is>
          <t>ERROR</t>
        </is>
      </c>
      <c r="H15" t="inlineStr"/>
      <c r="L15" s="19" t="inlineStr">
        <is>
          <t>https://vivanteaj.com.br/wp-content/uploads/2024/11/1a-Lista-de-credores-Ondunorte-e-outras.pdf</t>
        </is>
      </c>
    </row>
    <row r="16">
      <c r="A16" t="inlineStr">
        <is>
          <t>0bd471e855ca</t>
        </is>
      </c>
      <c r="B16" t="inlineStr">
        <is>
          <t>0804994-81.2024.8.07.0016</t>
        </is>
      </c>
      <c r="D16" t="inlineStr">
        <is>
          <t>ERROR</t>
        </is>
      </c>
      <c r="H16" t="inlineStr"/>
      <c r="L16" s="19" t="inlineStr">
        <is>
          <t>https://vtladm.com.br/wp-content/uploads/2026/01/16-–-Segunda-Relacao-de-Credores-–-Ellite-Consultoria.pdf</t>
        </is>
      </c>
    </row>
    <row r="17">
      <c r="A17" t="inlineStr">
        <is>
          <t>ac35259fbff0</t>
        </is>
      </c>
      <c r="B17" t="inlineStr">
        <is>
          <t>1000647-12.2025.8.26.0354</t>
        </is>
      </c>
      <c r="D17" t="inlineStr">
        <is>
          <t>ERROR</t>
        </is>
      </c>
      <c r="H17" t="inlineStr"/>
      <c r="L17" s="19" t="inlineStr">
        <is>
          <t>https://vtladm.com.br/wp-content/uploads/2026/01/09_Segundo_Edital_Credores_Meqso_Distribuicao.pdf</t>
        </is>
      </c>
    </row>
    <row r="18">
      <c r="A18" t="inlineStr">
        <is>
          <t>b258b3729a43</t>
        </is>
      </c>
      <c r="B18" t="inlineStr">
        <is>
          <t>1000647-12.2025.8.26.0354</t>
        </is>
      </c>
      <c r="D18" t="inlineStr">
        <is>
          <t>ERROR</t>
        </is>
      </c>
      <c r="H18" t="inlineStr"/>
      <c r="L18" s="19" t="inlineStr">
        <is>
          <t>https://vtladm.com.br/wp-content/uploads/2025/07/07_Plano_Recuperacao_Judicial_Meqso_Distribuicao.pdf</t>
        </is>
      </c>
    </row>
    <row r="19">
      <c r="A19" t="inlineStr">
        <is>
          <t>8fdc88db1ffb</t>
        </is>
      </c>
      <c r="B19" t="inlineStr">
        <is>
          <t>1000647-12.2025.8.26.0354</t>
        </is>
      </c>
      <c r="D19" t="inlineStr">
        <is>
          <t>ERROR</t>
        </is>
      </c>
      <c r="H19" t="inlineStr"/>
      <c r="L19" s="19" t="inlineStr">
        <is>
          <t>https://vtladm.com.br/wp-content/uploads/2025/07/12-–-Aditivo-ao-Plano-de-Recuperacao-Judicial-–-Meqso-Distribuicao-S.A.-e-outros.pdf</t>
        </is>
      </c>
    </row>
    <row r="20">
      <c r="A20" t="inlineStr">
        <is>
          <t>14e32946bad0</t>
        </is>
      </c>
      <c r="B20" t="inlineStr">
        <is>
          <t>0016474-19.2022.8.03.0001</t>
        </is>
      </c>
      <c r="D20" t="inlineStr">
        <is>
          <t>ERROR</t>
        </is>
      </c>
      <c r="H20" t="inlineStr"/>
      <c r="L20" s="19" t="inlineStr">
        <is>
          <t>https://realbrasil.com.br/wp-content/uploads/2024/07/6.LISTA-DE-CREDORES-RECUPERANDA.pdf</t>
        </is>
      </c>
    </row>
    <row r="21">
      <c r="A21" t="inlineStr">
        <is>
          <t>d903d4d566cf</t>
        </is>
      </c>
      <c r="B21" t="inlineStr">
        <is>
          <t>5012487-62.2024.8.24.0023</t>
        </is>
      </c>
      <c r="D21" t="inlineStr">
        <is>
          <t>ERROR</t>
        </is>
      </c>
      <c r="H21" t="inlineStr"/>
      <c r="L21" s="19" t="inlineStr">
        <is>
          <t>https://credibilita.com.br/wp-content/uploads/2024/02/17.-Lista-de-Credores-Art.-7o-§2o-da-LFRE-Analises.pdf</t>
        </is>
      </c>
    </row>
    <row r="22">
      <c r="A22" t="inlineStr">
        <is>
          <t>8bf5608b1fd9</t>
        </is>
      </c>
      <c r="B22" t="inlineStr">
        <is>
          <t>5005840-92.2026.8.24.0019</t>
        </is>
      </c>
      <c r="D22" t="inlineStr">
        <is>
          <t>ERROR</t>
        </is>
      </c>
      <c r="H22" t="inlineStr"/>
      <c r="L22" s="19" t="inlineStr">
        <is>
          <t>https://rlg-aj.com.br/wp-content/uploads/2026/07/credores-1.pdf</t>
        </is>
      </c>
    </row>
    <row r="23">
      <c r="A23" t="inlineStr">
        <is>
          <t>0232438c4306</t>
        </is>
      </c>
      <c r="B23" t="inlineStr">
        <is>
          <t>5074883-62.2023.8.21.0001</t>
        </is>
      </c>
      <c r="D23" t="inlineStr">
        <is>
          <t>ERROR</t>
        </is>
      </c>
      <c r="H23" t="inlineStr"/>
      <c r="L23" s="19" t="inlineStr">
        <is>
          <t>https://rlg-aj.com.br/wp-content/uploads/2023/05/Relacao-de-Credores-apresentada-pela-Recuperanda-Lojas-Aldo.pdf</t>
        </is>
      </c>
    </row>
    <row r="24">
      <c r="A24" t="inlineStr">
        <is>
          <t>927b8493b9f7</t>
        </is>
      </c>
      <c r="D24" t="inlineStr">
        <is>
          <t>ERROR</t>
        </is>
      </c>
      <c r="H24" t="inlineStr"/>
      <c r="L24" s="19" t="inlineStr">
        <is>
          <t>https://violet-wolf-754008.hostingersite.com/wp-content/uploads/recuperacoes-judiciais/GLC-Transportes/2-ec.pdf</t>
        </is>
      </c>
    </row>
    <row r="25">
      <c r="A25" t="inlineStr">
        <is>
          <t>a9c88dc0db75</t>
        </is>
      </c>
      <c r="B25" t="inlineStr">
        <is>
          <t>0422581-77.2016.8.19.0001</t>
        </is>
      </c>
      <c r="D25" t="inlineStr">
        <is>
          <t>ERROR</t>
        </is>
      </c>
      <c r="H25" t="inlineStr"/>
      <c r="L25" s="19" t="inlineStr">
        <is>
          <t>https://inova-aj.com.br/wp-content/uploads/2017/06/Relação-de-Credores-Grupo-RCFA-Art.-7º-§2º-LRE.pdf</t>
        </is>
      </c>
    </row>
    <row r="26">
      <c r="A26" t="inlineStr">
        <is>
          <t>186f958a84a1</t>
        </is>
      </c>
      <c r="B26" t="inlineStr">
        <is>
          <t>5092815-63.2023.8.21.0001</t>
        </is>
      </c>
      <c r="D26" t="inlineStr">
        <is>
          <t>ERROR</t>
        </is>
      </c>
      <c r="H26" t="inlineStr"/>
      <c r="L26" s="19" t="inlineStr">
        <is>
          <t>https://rlg-aj.com.br/wp-content/uploads/2023/07/2.-Primeira-Lista-de-Credores-art.-105-II-LREF-Grupo-Mobra.pdf</t>
        </is>
      </c>
    </row>
    <row r="27">
      <c r="A27" t="inlineStr">
        <is>
          <t>ace1d081a644</t>
        </is>
      </c>
      <c r="B27" t="inlineStr">
        <is>
          <t>5074883-62.2023.8.21.0001</t>
        </is>
      </c>
      <c r="D27" t="inlineStr">
        <is>
          <t>ERROR</t>
        </is>
      </c>
      <c r="H27" t="inlineStr"/>
      <c r="L27" s="19" t="inlineStr">
        <is>
          <t>https://rlg-aj.com.br/wp-content/uploads/2023/05/Plano-de-Recuperacao-Judicial-Lojas-Aldo-1.pdf</t>
        </is>
      </c>
    </row>
    <row r="28">
      <c r="A28" t="inlineStr">
        <is>
          <t>ae469df6af80</t>
        </is>
      </c>
      <c r="D28" t="inlineStr">
        <is>
          <t>ERROR</t>
        </is>
      </c>
      <c r="H28" t="inlineStr"/>
      <c r="L28" s="19" t="inlineStr">
        <is>
          <t>https://gatekeeperaj.com.br/wp-content/uploads/2024/06/relacao-de-credores-rj-grupo-GTP-1.pdf</t>
        </is>
      </c>
    </row>
    <row r="29">
      <c r="A29" t="inlineStr">
        <is>
          <t>89c2c948176e</t>
        </is>
      </c>
      <c r="D29" t="inlineStr">
        <is>
          <t>ERROR</t>
        </is>
      </c>
      <c r="H29" t="inlineStr"/>
      <c r="L29" s="19" t="inlineStr">
        <is>
          <t>https://www.cb2d.com.br/portal/_uploads/142c5ab6-fa69-400f-bcae-006f7a2c700d.pdf</t>
        </is>
      </c>
    </row>
    <row r="30">
      <c r="A30" t="inlineStr">
        <is>
          <t>675fee823afa</t>
        </is>
      </c>
      <c r="D30" t="inlineStr">
        <is>
          <t>ERROR</t>
        </is>
      </c>
      <c r="H30" t="inlineStr"/>
      <c r="L30" s="19" t="inlineStr">
        <is>
          <t>https://gatekeeperaj.com.br/wp-content/uploads/2026/06/EDITAL-HEL-2.pdf</t>
        </is>
      </c>
    </row>
    <row r="31">
      <c r="A31" t="inlineStr">
        <is>
          <t>c874bb3e22d4</t>
        </is>
      </c>
      <c r="D31" t="inlineStr">
        <is>
          <t>ERROR</t>
        </is>
      </c>
      <c r="H31" t="inlineStr"/>
      <c r="L31" s="19" t="inlineStr">
        <is>
          <t>https://ajruiz.com.br/sites/default/files/public/arquivos-processos/2024-11/Rela%C3%A7%C3%A3o%20de%20Credores.pdf</t>
        </is>
      </c>
    </row>
    <row r="32">
      <c r="A32" t="inlineStr">
        <is>
          <t>38efa9c3ef7a</t>
        </is>
      </c>
      <c r="D32" t="inlineStr">
        <is>
          <t>ERROR</t>
        </is>
      </c>
      <c r="H32" t="inlineStr"/>
      <c r="L32" s="19" t="inlineStr">
        <is>
          <t>https://ajruiz.com.br/sites/default/files/public/arquivos-processos/2025-04/1%20-%20Rela%C3%A7%C3%A3o%20de%20Credores%20Recuperanda%20Atualizada.pdf</t>
        </is>
      </c>
    </row>
    <row r="33">
      <c r="A33" t="inlineStr">
        <is>
          <t>efd72022dd0e</t>
        </is>
      </c>
      <c r="D33" t="inlineStr">
        <is>
          <t>ERROR</t>
        </is>
      </c>
      <c r="H33" t="inlineStr"/>
      <c r="L33" s="19" t="inlineStr">
        <is>
          <t>https://ajruiz.com.br/sites/default/files/public/arquivos-processos/2025-05/Rela%C3%A7%C3%A3o%20de%20Credores%20Abrangidos.pdf</t>
        </is>
      </c>
    </row>
    <row r="34">
      <c r="A34" t="inlineStr">
        <is>
          <t>410e9da33d23</t>
        </is>
      </c>
      <c r="B34" t="inlineStr">
        <is>
          <t>5000326-62.2014.8.21.0020</t>
        </is>
      </c>
      <c r="D34" t="inlineStr">
        <is>
          <t>ERROR</t>
        </is>
      </c>
      <c r="H34" t="inlineStr"/>
      <c r="L34" s="19" t="inlineStr">
        <is>
          <t>https://www.cb2d.com.br/portal/_uploads/ae4bdb83-7fb2-437e-bdc0-c44bd7f108e8.pdf</t>
        </is>
      </c>
    </row>
    <row r="35">
      <c r="A35" t="inlineStr">
        <is>
          <t>b188e8f919e6</t>
        </is>
      </c>
      <c r="D35" t="inlineStr">
        <is>
          <t>ERROR</t>
        </is>
      </c>
      <c r="H35" t="inlineStr"/>
      <c r="L35" s="19" t="inlineStr">
        <is>
          <t>https://ajruiz.com.br/sites/default/files/public/arquivos-processos/2023-09/relacao-de-credores-analitica-art.-51-iii-da-lre-concreserv-concreto-sa.pdf</t>
        </is>
      </c>
    </row>
    <row r="36">
      <c r="A36" t="inlineStr">
        <is>
          <t>9e27c1a81224</t>
        </is>
      </c>
      <c r="B36" t="inlineStr">
        <is>
          <t>0001217-89.2020.8.16.0185</t>
        </is>
      </c>
      <c r="C36" t="inlineStr">
        <is>
          <t>AJ_LIST</t>
        </is>
      </c>
      <c r="D36" t="inlineStr">
        <is>
          <t>NO_ROWS</t>
        </is>
      </c>
      <c r="E36" t="n">
        <v>3</v>
      </c>
      <c r="F36" t="inlineStr">
        <is>
          <t>TABLE</t>
        </is>
      </c>
      <c r="G36" t="inlineStr">
        <is>
          <t>TABLE_BANDS</t>
        </is>
      </c>
      <c r="H36" t="inlineStr"/>
      <c r="I36" t="inlineStr">
        <is>
          <t>2017-08-25</t>
        </is>
      </c>
      <c r="J36" t="inlineStr">
        <is>
          <t>que lhe possibilitará replanejar o perfil de seus compromissos e sa</t>
        </is>
      </c>
      <c r="K36" t="inlineStr">
        <is>
          <t>credibilita.com.br</t>
        </is>
      </c>
      <c r="L36" s="19" t="inlineStr">
        <is>
          <t>https://credibilita.com.br/wp-content/uploads/2023/08/0046Sentencarecup.judicial.pdf</t>
        </is>
      </c>
    </row>
    <row r="37">
      <c r="A37" t="inlineStr">
        <is>
          <t>958a9351a970</t>
        </is>
      </c>
      <c r="B37" t="inlineStr">
        <is>
          <t>0818837-44.2021.8.15.0001</t>
        </is>
      </c>
      <c r="C37" t="inlineStr">
        <is>
          <t>AJ_LIST</t>
        </is>
      </c>
      <c r="D37" t="inlineStr">
        <is>
          <t>NO_ROWS</t>
        </is>
      </c>
      <c r="E37" t="n">
        <v>2</v>
      </c>
      <c r="F37" t="inlineStr">
        <is>
          <t>PROSE</t>
        </is>
      </c>
      <c r="G37" t="inlineStr">
        <is>
          <t>PROSE</t>
        </is>
      </c>
      <c r="H37" t="inlineStr"/>
      <c r="I37" t="inlineStr">
        <is>
          <t>2024-08-05</t>
        </is>
      </c>
      <c r="J37" t="inlineStr">
        <is>
          <t>convolada em Falência</t>
        </is>
      </c>
      <c r="K37" t="inlineStr">
        <is>
          <t>lrflideres.com.br</t>
        </is>
      </c>
      <c r="L37" s="19" t="inlineStr">
        <is>
          <t>https://lrflideres.com.br/wp-content/uploads/2021/12/10.-EDITAL-PUBLICACAO-2a-RELACAO-DE-CREDORES-MASSA-FALIDA-.pdf</t>
        </is>
      </c>
    </row>
    <row r="38">
      <c r="A38" t="inlineStr">
        <is>
          <t>0a24cd833119</t>
        </is>
      </c>
      <c r="B38" t="inlineStr">
        <is>
          <t>0808677-83.2017.8.18.0140</t>
        </is>
      </c>
      <c r="C38" t="inlineStr">
        <is>
          <t>AJ_LIST</t>
        </is>
      </c>
      <c r="D38" t="inlineStr">
        <is>
          <t>NO_ROWS</t>
        </is>
      </c>
      <c r="E38" t="n">
        <v>2</v>
      </c>
      <c r="F38" t="inlineStr">
        <is>
          <t>TABLE</t>
        </is>
      </c>
      <c r="G38" t="inlineStr">
        <is>
          <t>TABLE_BANDS</t>
        </is>
      </c>
      <c r="H38" t="inlineStr"/>
      <c r="I38" t="inlineStr">
        <is>
          <t>2019-11-08</t>
        </is>
      </c>
      <c r="J38" t="inlineStr">
        <is>
          <t>empresa</t>
        </is>
      </c>
      <c r="K38" t="inlineStr">
        <is>
          <t>recuperacaojudicial.servi-san.com.br</t>
        </is>
      </c>
      <c r="L38" s="19" t="inlineStr">
        <is>
          <t>https://recuperacaojudicial.servi-san.com.br/assets/Documentos/Processuais/PROC-10.pdf</t>
        </is>
      </c>
    </row>
    <row r="39">
      <c r="A39" t="inlineStr">
        <is>
          <t>42decd41eb2a</t>
        </is>
      </c>
      <c r="C39" t="inlineStr">
        <is>
          <t>AJ_LIST</t>
        </is>
      </c>
      <c r="D39" t="inlineStr">
        <is>
          <t>NO_ROWS</t>
        </is>
      </c>
      <c r="E39" t="n">
        <v>1</v>
      </c>
      <c r="F39" t="inlineStr">
        <is>
          <t>TABLE</t>
        </is>
      </c>
      <c r="G39" t="inlineStr">
        <is>
          <t>TABLE_BANDS</t>
        </is>
      </c>
      <c r="H39" t="inlineStr"/>
      <c r="I39" t="inlineStr">
        <is>
          <t>2002-10-16</t>
        </is>
      </c>
      <c r="J39" t="inlineStr">
        <is>
          <t>apresentado pela re- PORÁRIA DE SERVIDORES DO CISA</t>
        </is>
      </c>
      <c r="K39" t="inlineStr">
        <is>
          <t>valorizejudicial.nyc3.digitaloceanspaces.com</t>
        </is>
      </c>
      <c r="L39" s="19" t="inlineStr">
        <is>
          <t>https://valorizejudicial.nyc3.digitaloceanspaces.com/storage/webdisco/2026/03/13/outros/aedd4d14a7ffb14d13a831b802de9527-valorizeadmjudicial-com-br.pdf</t>
        </is>
      </c>
    </row>
    <row r="40">
      <c r="A40" t="inlineStr">
        <is>
          <t>6e8321f35d5d</t>
        </is>
      </c>
      <c r="B40" t="inlineStr">
        <is>
          <t>5087077-02.2020.8.21.0001</t>
        </is>
      </c>
      <c r="C40" t="inlineStr">
        <is>
          <t>AJ_LIST</t>
        </is>
      </c>
      <c r="D40" t="inlineStr">
        <is>
          <t>NO_ROWS</t>
        </is>
      </c>
      <c r="E40" t="n">
        <v>2</v>
      </c>
      <c r="F40" t="inlineStr">
        <is>
          <t>TABLE</t>
        </is>
      </c>
      <c r="G40" t="inlineStr">
        <is>
          <t>TABLE_BANDS</t>
        </is>
      </c>
      <c r="H40" t="inlineStr"/>
      <c r="I40" t="inlineStr">
        <is>
          <t>2023-08-25</t>
        </is>
      </c>
      <c r="J40" t="inlineStr">
        <is>
          <t>Catalise Administração Judicial</t>
        </is>
      </c>
      <c r="K40" t="inlineStr">
        <is>
          <t>cataliseaj.com.br</t>
        </is>
      </c>
      <c r="L40" s="19" t="inlineStr">
        <is>
          <t>https://cataliseaj.com.br/sgc/download.php?file=files/processo_documento/processo_documento17374910062024_1_.pdf&amp;nome=15. EDITAL DE INTIMAÇÃO DE CREDORES</t>
        </is>
      </c>
    </row>
    <row r="41">
      <c r="A41" t="inlineStr">
        <is>
          <t>8741c074b29e</t>
        </is>
      </c>
      <c r="B41" t="inlineStr">
        <is>
          <t>5032419-57.2023.8.21.0022</t>
        </is>
      </c>
      <c r="C41" t="inlineStr">
        <is>
          <t>AJ_LIST</t>
        </is>
      </c>
      <c r="D41" t="inlineStr">
        <is>
          <t>NO_ROWS</t>
        </is>
      </c>
      <c r="E41" t="n">
        <v>6</v>
      </c>
      <c r="F41" t="inlineStr">
        <is>
          <t>TABLE</t>
        </is>
      </c>
      <c r="G41" t="inlineStr">
        <is>
          <t>TABLE_BANDS</t>
        </is>
      </c>
      <c r="H41" t="inlineStr"/>
      <c r="J41" t="inlineStr">
        <is>
          <t>Catalise Administração Judicial</t>
        </is>
      </c>
      <c r="K41" t="inlineStr">
        <is>
          <t>cataliseaj.com.br</t>
        </is>
      </c>
      <c r="L41" s="19" t="inlineStr">
        <is>
          <t>https://cataliseaj.com.br/sgc/download.php?file=files/processo_documento/processo_documento16442912072024_1_.pdf&amp;nome=4. SENTENÇA DE FALÊNCIA</t>
        </is>
      </c>
    </row>
    <row r="42">
      <c r="A42" t="inlineStr">
        <is>
          <t>aef8f9fc2120</t>
        </is>
      </c>
      <c r="B42" t="inlineStr">
        <is>
          <t>5082193-22.2023.8.21.0001</t>
        </is>
      </c>
      <c r="C42" t="inlineStr">
        <is>
          <t>AJ_LIST</t>
        </is>
      </c>
      <c r="D42" t="inlineStr">
        <is>
          <t>NO_ROWS</t>
        </is>
      </c>
      <c r="E42" t="n">
        <v>4</v>
      </c>
      <c r="F42" t="inlineStr">
        <is>
          <t>TABLE</t>
        </is>
      </c>
      <c r="G42" t="inlineStr">
        <is>
          <t>TABLE_BANDS</t>
        </is>
      </c>
      <c r="H42" t="inlineStr"/>
      <c r="I42" t="inlineStr">
        <is>
          <t>2023-05-12</t>
        </is>
      </c>
      <c r="J42" t="inlineStr">
        <is>
          <t>Catalise Administração Judicial</t>
        </is>
      </c>
      <c r="K42" t="inlineStr">
        <is>
          <t>cataliseaj.com.br</t>
        </is>
      </c>
      <c r="L42" s="19" t="inlineStr">
        <is>
          <t>https://cataliseaj.com.br/sgc/download.php?file=files/processo_documento/processo_documento17281910062024_1_.pdf&amp;nome=01. SENTENCA DE FALÊNCIA</t>
        </is>
      </c>
    </row>
    <row r="43">
      <c r="A43" t="inlineStr">
        <is>
          <t>3a2906fdf129</t>
        </is>
      </c>
      <c r="B43" t="inlineStr">
        <is>
          <t>5002620-23.2025.8.24.0019</t>
        </is>
      </c>
      <c r="C43" t="inlineStr">
        <is>
          <t>AJ_LIST</t>
        </is>
      </c>
      <c r="D43" t="inlineStr">
        <is>
          <t>NO_ROWS</t>
        </is>
      </c>
      <c r="E43" t="n">
        <v>5</v>
      </c>
      <c r="F43" t="inlineStr">
        <is>
          <t>TABLE</t>
        </is>
      </c>
      <c r="G43" t="inlineStr">
        <is>
          <t>TABLE_BANDS</t>
        </is>
      </c>
      <c r="H43" t="inlineStr"/>
      <c r="I43" t="inlineStr">
        <is>
          <t>2026-05-08</t>
        </is>
      </c>
      <c r="J43" t="inlineStr">
        <is>
          <t>EDIR F. DE MARCO TRANSPORTES LTDA</t>
        </is>
      </c>
      <c r="K43" t="inlineStr">
        <is>
          <t>scalzilliaj.com.br</t>
        </is>
      </c>
      <c r="L43" s="19" t="inlineStr">
        <is>
          <t>https://scalzilliaj.com.br/sgc/download.php?file=files/processo_documento/processo_documento10583008052026_1_.pdf&amp;nome= 14. Edital de intimação aos credores acerca da decisão que concede a Recuperação Judicial</t>
        </is>
      </c>
    </row>
    <row r="44">
      <c r="A44" t="inlineStr">
        <is>
          <t>86de325402a1</t>
        </is>
      </c>
      <c r="B44" t="inlineStr">
        <is>
          <t>1001765-57.2024.8.26.0451</t>
        </is>
      </c>
      <c r="C44" t="inlineStr">
        <is>
          <t>AJ_LIST</t>
        </is>
      </c>
      <c r="D44" t="inlineStr">
        <is>
          <t>NO_ROWS</t>
        </is>
      </c>
      <c r="E44" t="n">
        <v>3</v>
      </c>
      <c r="F44" t="inlineStr">
        <is>
          <t>TABLE</t>
        </is>
      </c>
      <c r="G44" t="inlineStr">
        <is>
          <t>TABLE_BANDS</t>
        </is>
      </c>
      <c r="H44" t="inlineStr"/>
      <c r="I44" t="inlineStr">
        <is>
          <t>2025-08-26</t>
        </is>
      </c>
      <c r="J44" t="inlineStr">
        <is>
          <t>ARTX INDÚSTRIA E COMÉRCIO DE PRODUTOS TEXTEIS DE SALTINHO LTDA – ME – LRF Líderes em Recuperação Judicial e Falência</t>
        </is>
      </c>
      <c r="K44" t="inlineStr">
        <is>
          <t>lrflideres.com.br</t>
        </is>
      </c>
      <c r="L44" s="19" t="inlineStr">
        <is>
          <t>https://lrflideres.com.br/wp-content/plugins/download-attachments/includes/download.php?id=6626</t>
        </is>
      </c>
    </row>
    <row r="45">
      <c r="A45" t="inlineStr">
        <is>
          <t>d12bfc9ff74f</t>
        </is>
      </c>
      <c r="B45" t="inlineStr">
        <is>
          <t>5008828-91.2023.8.24.0019</t>
        </is>
      </c>
      <c r="C45" t="inlineStr">
        <is>
          <t>AJ_LIST</t>
        </is>
      </c>
      <c r="D45" t="inlineStr">
        <is>
          <t>NO_ROWS</t>
        </is>
      </c>
      <c r="E45" t="n">
        <v>12</v>
      </c>
      <c r="F45" t="inlineStr">
        <is>
          <t>TABLE</t>
        </is>
      </c>
      <c r="G45" t="inlineStr">
        <is>
          <t>TABLE_BANDS</t>
        </is>
      </c>
      <c r="H45" t="inlineStr">
        <is>
          <t>I/BRL: FAIL Δ-4968502.72 · II/BRL: FAIL Δ-30835175.27 · III/BRL: FAIL Δ-102112487.66 · IV/BRL: FAIL Δ-1043721.80</t>
        </is>
      </c>
      <c r="I45" t="inlineStr">
        <is>
          <t>2024-02-14</t>
        </is>
      </c>
      <c r="J45" t="inlineStr">
        <is>
          <t>ALIMENTOS UNIBON INDÚSTRIA E COMÉRCIO LTDA</t>
        </is>
      </c>
      <c r="K45" t="inlineStr">
        <is>
          <t>scalzilliaj.com.br</t>
        </is>
      </c>
      <c r="L45" s="19" t="inlineStr">
        <is>
          <t>https://scalzilliaj.com.br/sgc/download.php?file=files/processo_documento/processo_documento15355005082024_1_.pdf&amp;nome=10 - Petição de juntada da segunda lista de credores</t>
        </is>
      </c>
    </row>
    <row r="46">
      <c r="A46" t="inlineStr">
        <is>
          <t>d94cd7518245</t>
        </is>
      </c>
      <c r="B46" t="inlineStr">
        <is>
          <t>0010259-11.2025.8.16.0017</t>
        </is>
      </c>
      <c r="C46" t="inlineStr">
        <is>
          <t>AJ_LIST</t>
        </is>
      </c>
      <c r="D46" t="inlineStr">
        <is>
          <t>NO_ROWS</t>
        </is>
      </c>
      <c r="E46" t="n">
        <v>6</v>
      </c>
      <c r="F46" t="inlineStr">
        <is>
          <t>PROSE</t>
        </is>
      </c>
      <c r="G46" t="inlineStr">
        <is>
          <t>PROSE</t>
        </is>
      </c>
      <c r="H46" t="inlineStr"/>
      <c r="I46" t="inlineStr">
        <is>
          <t>2025-05-08</t>
        </is>
      </c>
      <c r="J46" t="inlineStr">
        <is>
          <t>Catalise Administração Judicial</t>
        </is>
      </c>
      <c r="K46" t="inlineStr">
        <is>
          <t>cataliseaj.com.br</t>
        </is>
      </c>
      <c r="L46" s="19" t="inlineStr">
        <is>
          <t>https://cataliseaj.com.br/sgc/download.php?file=files/processo_documento/processo_documento20261313052025_1_.pdf&amp;nome=2. SENTENÇA DA FALÊNCIA</t>
        </is>
      </c>
    </row>
    <row r="47">
      <c r="A47" t="inlineStr">
        <is>
          <t>6d45bb621c27</t>
        </is>
      </c>
      <c r="B47" t="inlineStr">
        <is>
          <t>5020932-37.2015.8.21.0001</t>
        </is>
      </c>
      <c r="C47" t="inlineStr">
        <is>
          <t>AJ_LIST</t>
        </is>
      </c>
      <c r="D47" t="inlineStr">
        <is>
          <t>NO_ROWS</t>
        </is>
      </c>
      <c r="E47" t="n">
        <v>4</v>
      </c>
      <c r="F47" t="inlineStr">
        <is>
          <t>TABLE</t>
        </is>
      </c>
      <c r="G47" t="inlineStr">
        <is>
          <t>TABLE_BANDS</t>
        </is>
      </c>
      <c r="H47" t="inlineStr"/>
      <c r="I47" t="inlineStr">
        <is>
          <t>2022-10-04</t>
        </is>
      </c>
      <c r="J47" t="inlineStr">
        <is>
          <t>deve ser convolada em falência</t>
        </is>
      </c>
      <c r="K47" t="inlineStr">
        <is>
          <t>cataliseaj.com.br</t>
        </is>
      </c>
      <c r="L47" s="19" t="inlineStr">
        <is>
          <t>https://cataliseaj.com.br/sgc/download.php?file=files/processo_documento/processo_documento16350711062024_1_.pdf&amp;nome=01. SENTENÇA DE FALÊNCIA</t>
        </is>
      </c>
    </row>
    <row r="48">
      <c r="A48" t="inlineStr">
        <is>
          <t>69217838bbe7</t>
        </is>
      </c>
      <c r="B48" t="inlineStr">
        <is>
          <t>5044580-07.2019.8.21.0001</t>
        </is>
      </c>
      <c r="C48" t="inlineStr">
        <is>
          <t>AJ_LIST</t>
        </is>
      </c>
      <c r="D48" t="inlineStr">
        <is>
          <t>NO_ROWS</t>
        </is>
      </c>
      <c r="E48" t="n">
        <v>4</v>
      </c>
      <c r="F48" t="inlineStr">
        <is>
          <t>TABLE</t>
        </is>
      </c>
      <c r="G48" t="inlineStr">
        <is>
          <t>TABLE_BANDS</t>
        </is>
      </c>
      <c r="H48" t="inlineStr"/>
      <c r="J48" t="inlineStr">
        <is>
          <t>MARTAU -INDUSTRIAL E COMERCIA</t>
        </is>
      </c>
      <c r="K48" t="inlineStr">
        <is>
          <t>cataliseaj.com.br</t>
        </is>
      </c>
      <c r="L48" s="19" t="inlineStr">
        <is>
          <t>https://cataliseaj.com.br/sgc/download.php?file=files/processo_documento/processo_documento15264403102024_1_.pdf&amp;nome=8. SENTENÇA - CONVOLAÇÃO EM FALÊNCIA</t>
        </is>
      </c>
    </row>
    <row r="49">
      <c r="A49" t="inlineStr">
        <is>
          <t>10b1583fd6f9</t>
        </is>
      </c>
      <c r="B49" t="inlineStr">
        <is>
          <t>1000424-45.2025.8.13.0702</t>
        </is>
      </c>
      <c r="C49" t="inlineStr">
        <is>
          <t>AJ_LIST</t>
        </is>
      </c>
      <c r="D49" t="inlineStr">
        <is>
          <t>NO_ROWS</t>
        </is>
      </c>
      <c r="E49" t="n">
        <v>5</v>
      </c>
      <c r="F49" t="inlineStr">
        <is>
          <t>TABLE</t>
        </is>
      </c>
      <c r="G49" t="inlineStr">
        <is>
          <t>TABLE_RULED</t>
        </is>
      </c>
      <c r="H49" t="inlineStr">
        <is>
          <t>III/BRL: FAIL Δ-6087463.01 · IV/BRL: FAIL Δ-4253926.73</t>
        </is>
      </c>
      <c r="J49" t="inlineStr">
        <is>
          <t>Ubertec Service Usinagem Ltda</t>
        </is>
      </c>
      <c r="K49" t="inlineStr">
        <is>
          <t>scalzilliaj.com.br</t>
        </is>
      </c>
      <c r="L49" s="19" t="inlineStr">
        <is>
          <t>https://scalzilliaj.com.br/sgc/download.php?file=files/processo_documento/processo_documento10261218082026_1_.pdf&amp;nome=15 - Juntada de Relação de Credores</t>
        </is>
      </c>
    </row>
    <row r="50">
      <c r="A50" t="inlineStr">
        <is>
          <t>6c8083e7ba79</t>
        </is>
      </c>
      <c r="B50" t="inlineStr">
        <is>
          <t>1127183-64.2019.8.26.0100</t>
        </is>
      </c>
      <c r="C50" t="inlineStr">
        <is>
          <t>AJ_LIST</t>
        </is>
      </c>
      <c r="D50" t="inlineStr">
        <is>
          <t>NO_ROWS</t>
        </is>
      </c>
      <c r="E50" t="n">
        <v>4</v>
      </c>
      <c r="F50" t="inlineStr">
        <is>
          <t>TABLE</t>
        </is>
      </c>
      <c r="G50" t="inlineStr">
        <is>
          <t>TABLE_BANDS</t>
        </is>
      </c>
      <c r="H50" t="inlineStr"/>
      <c r="I50" t="inlineStr">
        <is>
          <t>2019-12-16</t>
        </is>
      </c>
      <c r="J50" t="inlineStr">
        <is>
          <t>Catalise Administração Judicial</t>
        </is>
      </c>
      <c r="K50" t="inlineStr">
        <is>
          <t>cataliseaj.com.br</t>
        </is>
      </c>
      <c r="L50" s="19" t="inlineStr">
        <is>
          <t>https://cataliseaj.com.br/sgc/download.php?file=files/processo_documento/processo_documento16234227032026_1_.pdf&amp;nome=3. SENTENÇA DE DECRETAÇÃO DA FALÊNCIA</t>
        </is>
      </c>
    </row>
    <row r="51">
      <c r="A51" t="inlineStr">
        <is>
          <t>44e3a34fc0b7</t>
        </is>
      </c>
      <c r="B51" t="inlineStr">
        <is>
          <t>5140733-34.2021.8.21.0001</t>
        </is>
      </c>
      <c r="C51" t="inlineStr">
        <is>
          <t>AJ_LIST</t>
        </is>
      </c>
      <c r="D51" t="inlineStr">
        <is>
          <t>NO_ROWS</t>
        </is>
      </c>
      <c r="E51" t="n">
        <v>6</v>
      </c>
      <c r="F51" t="inlineStr">
        <is>
          <t>TABLE</t>
        </is>
      </c>
      <c r="G51" t="inlineStr">
        <is>
          <t>TABLE_BANDS</t>
        </is>
      </c>
      <c r="H51" t="inlineStr"/>
      <c r="I51" t="inlineStr">
        <is>
          <t>2022-08-29</t>
        </is>
      </c>
      <c r="J51" t="inlineStr">
        <is>
          <t>SENTENÇA RECUPERAÇÃO JUDICIA</t>
        </is>
      </c>
      <c r="K51" t="inlineStr">
        <is>
          <t>cataliseaj.com.br</t>
        </is>
      </c>
      <c r="L51" s="19" t="inlineStr">
        <is>
          <t>https://cataliseaj.com.br/sgc/download.php?file=files/processo_documento/processo_documento17300211062024_1_.pdf&amp;nome=2. SENTENÇA - FALÊNCIA</t>
        </is>
      </c>
    </row>
    <row r="52">
      <c r="A52" t="inlineStr">
        <is>
          <t>0e859da388b2</t>
        </is>
      </c>
      <c r="B52" t="inlineStr">
        <is>
          <t>0818837-44.2021.8.15.0001</t>
        </is>
      </c>
      <c r="C52" t="inlineStr">
        <is>
          <t>AJ_LIST</t>
        </is>
      </c>
      <c r="D52" t="inlineStr">
        <is>
          <t>NO_ROWS</t>
        </is>
      </c>
      <c r="E52" t="n">
        <v>3</v>
      </c>
      <c r="F52" t="inlineStr">
        <is>
          <t>TABLE</t>
        </is>
      </c>
      <c r="G52" t="inlineStr">
        <is>
          <t>TABLE_BANDS</t>
        </is>
      </c>
      <c r="H52" t="inlineStr"/>
      <c r="I52" t="inlineStr">
        <is>
          <t>2024-04-15</t>
        </is>
      </c>
      <c r="J52" t="inlineStr">
        <is>
          <t>FCLK RESTAURANTE EXPRESS LTDA</t>
        </is>
      </c>
      <c r="K52" t="inlineStr">
        <is>
          <t>lrflideres.com.br</t>
        </is>
      </c>
      <c r="L52" s="19" t="inlineStr">
        <is>
          <t>https://lrflideres.com.br/wp-content/plugins/download-attachments/includes/download.php?id=5895</t>
        </is>
      </c>
    </row>
    <row r="53">
      <c r="A53" t="inlineStr">
        <is>
          <t>66095b4e91bd</t>
        </is>
      </c>
      <c r="B53" t="inlineStr">
        <is>
          <t>1016311-58.2024.8.26.0309</t>
        </is>
      </c>
      <c r="C53" t="inlineStr">
        <is>
          <t>AJ_LIST</t>
        </is>
      </c>
      <c r="D53" t="inlineStr">
        <is>
          <t>NO_ROWS</t>
        </is>
      </c>
      <c r="E53" t="n">
        <v>1</v>
      </c>
      <c r="F53" t="inlineStr">
        <is>
          <t>TABLE</t>
        </is>
      </c>
      <c r="G53" t="inlineStr">
        <is>
          <t>TABLE_BANDS</t>
        </is>
      </c>
      <c r="H53" t="inlineStr"/>
      <c r="I53" t="inlineStr">
        <is>
          <t>2025-04-29</t>
        </is>
      </c>
      <c r="J53" t="inlineStr">
        <is>
          <t>FERRO 3X CONSTRUÇÃO E MONTAGENS INDUSTRIAIS LTDA – LRF Líderes em Recuperação Judicial e Falência</t>
        </is>
      </c>
      <c r="K53" t="inlineStr">
        <is>
          <t>lrflideres.com.br</t>
        </is>
      </c>
      <c r="L53" s="19" t="inlineStr">
        <is>
          <t>https://lrflideres.com.br/wp-content/plugins/download-attachments/includes/download.php?id=6523</t>
        </is>
      </c>
    </row>
    <row r="54">
      <c r="A54" t="inlineStr">
        <is>
          <t>123987170e66</t>
        </is>
      </c>
      <c r="B54" t="inlineStr">
        <is>
          <t>1016311-58.2024.8.26.0309</t>
        </is>
      </c>
      <c r="C54" t="inlineStr">
        <is>
          <t>AJ_LIST</t>
        </is>
      </c>
      <c r="D54" t="inlineStr">
        <is>
          <t>NO_ROWS</t>
        </is>
      </c>
      <c r="E54" t="n">
        <v>2</v>
      </c>
      <c r="F54" t="inlineStr">
        <is>
          <t>TABLE</t>
        </is>
      </c>
      <c r="G54" t="inlineStr">
        <is>
          <t>TABLE_BANDS</t>
        </is>
      </c>
      <c r="H54" t="inlineStr"/>
      <c r="I54" t="inlineStr">
        <is>
          <t>2025-11-14</t>
        </is>
      </c>
      <c r="J54" t="inlineStr">
        <is>
          <t>FERRO 3X CONSTRUÇÃO E MONTAGENS INDUSTRIAIS LTDA – LRF Líderes em Recuperação Judicial e Falência</t>
        </is>
      </c>
      <c r="K54" t="inlineStr">
        <is>
          <t>lrflideres.com.br</t>
        </is>
      </c>
      <c r="L54" s="19" t="inlineStr">
        <is>
          <t>https://lrflideres.com.br/wp-content/plugins/download-attachments/includes/download.php?id=6906</t>
        </is>
      </c>
    </row>
    <row r="55">
      <c r="A55" t="inlineStr">
        <is>
          <t>a88c068ce773</t>
        </is>
      </c>
      <c r="B55" t="inlineStr">
        <is>
          <t>3000117-40.2025.8.06.0512</t>
        </is>
      </c>
      <c r="C55" t="inlineStr">
        <is>
          <t>AJ_LIST</t>
        </is>
      </c>
      <c r="D55" t="inlineStr">
        <is>
          <t>NO_ROWS</t>
        </is>
      </c>
      <c r="E55" t="n">
        <v>1</v>
      </c>
      <c r="F55" t="inlineStr">
        <is>
          <t>TABLE</t>
        </is>
      </c>
      <c r="G55" t="inlineStr">
        <is>
          <t>TABLE_BANDS</t>
        </is>
      </c>
      <c r="H55" t="inlineStr"/>
      <c r="J55" t="inlineStr">
        <is>
          <t>em epígrafe, vem, respeitosa</t>
        </is>
      </c>
      <c r="K55" t="inlineStr">
        <is>
          <t>bugarimecoelho.com.br</t>
        </is>
      </c>
      <c r="L55" s="19" t="inlineStr">
        <is>
          <t>https://bugarimecoelho.com.br/ws/media-library/f58abdf5cb8bd04908b8550b9adb1197/05---peticao-relacao-de-credores-aj.pdf</t>
        </is>
      </c>
    </row>
    <row r="56">
      <c r="A56" t="inlineStr">
        <is>
          <t>5d4948689c8b</t>
        </is>
      </c>
      <c r="B56" t="inlineStr">
        <is>
          <t>0270804-61.2023.8.06.0001</t>
        </is>
      </c>
      <c r="C56" t="inlineStr">
        <is>
          <t>AJ_LIST</t>
        </is>
      </c>
      <c r="D56" t="inlineStr">
        <is>
          <t>NO_ROWS</t>
        </is>
      </c>
      <c r="E56" t="n">
        <v>15</v>
      </c>
      <c r="F56" t="inlineStr">
        <is>
          <t>TABLE</t>
        </is>
      </c>
      <c r="G56" t="inlineStr">
        <is>
          <t>TABLE_BANDS</t>
        </is>
      </c>
      <c r="H56" t="inlineStr"/>
      <c r="J56" t="inlineStr">
        <is>
          <t>empresa</t>
        </is>
      </c>
      <c r="K56" t="inlineStr">
        <is>
          <t>bugarimecoelho.com.br</t>
        </is>
      </c>
      <c r="L56" s="19" t="inlineStr">
        <is>
          <t>https://bugarimecoelho.com.br/ws/media-library/c4a21ad39a8b39bfa1df5c51e435f0c2/24---sentenca-de-aprovacao-do-plano.pdf</t>
        </is>
      </c>
    </row>
    <row r="57">
      <c r="A57" t="inlineStr">
        <is>
          <t>b4c7cf7d88eb</t>
        </is>
      </c>
      <c r="B57" t="inlineStr">
        <is>
          <t>0214287-36.2023.8.06.0001</t>
        </is>
      </c>
      <c r="C57" t="inlineStr">
        <is>
          <t>AJ_LIST</t>
        </is>
      </c>
      <c r="D57" t="inlineStr">
        <is>
          <t>NO_ROWS</t>
        </is>
      </c>
      <c r="E57" t="n">
        <v>2</v>
      </c>
      <c r="F57" t="inlineStr">
        <is>
          <t>TABLE</t>
        </is>
      </c>
      <c r="G57" t="inlineStr">
        <is>
          <t>TABLE_BANDS</t>
        </is>
      </c>
      <c r="H57" t="inlineStr"/>
      <c r="J57" t="inlineStr">
        <is>
          <t>Assunto Concurso de Credores Requerente Pminas Brasil Construção Civil e Serviços Ltda</t>
        </is>
      </c>
      <c r="K57" t="inlineStr">
        <is>
          <t>bugarimecoelho.com.br</t>
        </is>
      </c>
      <c r="L57" s="19" t="inlineStr">
        <is>
          <t>https://bugarimecoelho.com.br/ws/media-library/701b0028089140739327b7f3bdcbd487/33---edital-acg.pdf</t>
        </is>
      </c>
    </row>
    <row r="58">
      <c r="A58" t="inlineStr">
        <is>
          <t>4d86cc303982</t>
        </is>
      </c>
      <c r="B58" t="inlineStr">
        <is>
          <t>1005755-09.2025.8.26.0132</t>
        </is>
      </c>
      <c r="C58" t="inlineStr">
        <is>
          <t>AJ_LIST</t>
        </is>
      </c>
      <c r="D58" t="inlineStr">
        <is>
          <t>NO_ROWS</t>
        </is>
      </c>
      <c r="E58" t="n">
        <v>1</v>
      </c>
      <c r="F58" t="inlineStr">
        <is>
          <t>TABLE</t>
        </is>
      </c>
      <c r="G58" t="inlineStr">
        <is>
          <t>TABLE_BANDS</t>
        </is>
      </c>
      <c r="H58" t="inlineStr"/>
      <c r="I58" t="inlineStr">
        <is>
          <t>2025-10-13</t>
        </is>
      </c>
      <c r="J58" t="inlineStr">
        <is>
          <t>COMÉRCIO DE FRUTAS RUMO NOVO LTDA</t>
        </is>
      </c>
      <c r="K58" t="inlineStr">
        <is>
          <t>vtladm.com.br</t>
        </is>
      </c>
      <c r="L58" s="19" t="inlineStr">
        <is>
          <t>https://vtladm.com.br/wp-content/uploads/2025/08/12_Segunda_Edital_Credores_Distribuidora_Frutas_Rumo_Novo.pdf</t>
        </is>
      </c>
    </row>
    <row r="59">
      <c r="A59" t="inlineStr">
        <is>
          <t>83a2de2fb332</t>
        </is>
      </c>
      <c r="B59" t="inlineStr">
        <is>
          <t>1009827-02.2024.8.26.0576</t>
        </is>
      </c>
      <c r="C59" t="inlineStr">
        <is>
          <t>AJ_LIST</t>
        </is>
      </c>
      <c r="D59" t="inlineStr">
        <is>
          <t>NO_ROWS</t>
        </is>
      </c>
      <c r="E59" t="n">
        <v>2</v>
      </c>
      <c r="F59" t="inlineStr">
        <is>
          <t>TABLE</t>
        </is>
      </c>
      <c r="G59" t="inlineStr">
        <is>
          <t>TABLE_BANDS</t>
        </is>
      </c>
      <c r="H59" t="inlineStr"/>
      <c r="I59" t="inlineStr">
        <is>
          <t>2024-04-05</t>
        </is>
      </c>
      <c r="J59" t="inlineStr">
        <is>
          <t>FRIGORÍFICO ALFA INDÚSTRIA E COMÉRCIO DE CARNES E DERIVADOS LTDA</t>
        </is>
      </c>
      <c r="K59" t="inlineStr">
        <is>
          <t>vtladm.com.br</t>
        </is>
      </c>
      <c r="L59" s="19" t="inlineStr">
        <is>
          <t>https://vtladm.com.br/wp-content/uploads/2024/04/07-EDITAL-DE-CONVOCACAO-DE-CREDORES.pdf</t>
        </is>
      </c>
    </row>
    <row r="60">
      <c r="A60" t="inlineStr">
        <is>
          <t>d02e42cf87cb</t>
        </is>
      </c>
      <c r="B60" t="inlineStr">
        <is>
          <t>1009827-02.2024.8.26.0576</t>
        </is>
      </c>
      <c r="C60" t="inlineStr">
        <is>
          <t>AJ_LIST</t>
        </is>
      </c>
      <c r="D60" t="inlineStr">
        <is>
          <t>NO_ROWS</t>
        </is>
      </c>
      <c r="E60" t="n">
        <v>1</v>
      </c>
      <c r="F60" t="inlineStr">
        <is>
          <t>TABLE</t>
        </is>
      </c>
      <c r="G60" t="inlineStr">
        <is>
          <t>TABLE_BANDS</t>
        </is>
      </c>
      <c r="H60" t="inlineStr"/>
      <c r="J60" t="inlineStr">
        <is>
          <t>FRIGORÍFICO ALFA INDÚSTRIA E COMÉRCIO DE CARNES E DERIVADOS LTDA</t>
        </is>
      </c>
      <c r="K60" t="inlineStr">
        <is>
          <t>vtladm.com.br</t>
        </is>
      </c>
      <c r="L60" s="19" t="inlineStr">
        <is>
          <t>https://vtladm.com.br/wp-content/uploads/2024/04/10-–-Segundo-Edital-de-Credores-Artigo-7-paragrafo-2-da-Lei-11.101-–-Frigorifico-Alfa-e-Ctx.pdf</t>
        </is>
      </c>
    </row>
    <row r="61">
      <c r="A61" t="inlineStr">
        <is>
          <t>ca1284ead1cf</t>
        </is>
      </c>
      <c r="B61" t="inlineStr">
        <is>
          <t>1000647-12.2025.8.26.0354</t>
        </is>
      </c>
      <c r="C61" t="inlineStr">
        <is>
          <t>AJ_LIST</t>
        </is>
      </c>
      <c r="D61" t="inlineStr">
        <is>
          <t>NO_ROWS</t>
        </is>
      </c>
      <c r="E61" t="n">
        <v>3</v>
      </c>
      <c r="F61" t="inlineStr">
        <is>
          <t>TABLE</t>
        </is>
      </c>
      <c r="G61" t="inlineStr">
        <is>
          <t>TABLE_BANDS</t>
        </is>
      </c>
      <c r="H61" t="inlineStr"/>
      <c r="I61" t="inlineStr">
        <is>
          <t>2025-09-11</t>
        </is>
      </c>
      <c r="J61" t="inlineStr">
        <is>
          <t>MEQSO DISTRIBUIÇÃO S.A</t>
        </is>
      </c>
      <c r="K61" t="inlineStr">
        <is>
          <t>vtladm.com.br</t>
        </is>
      </c>
      <c r="L61" s="19" t="inlineStr">
        <is>
          <t>https://vtladm.com.br/wp-content/uploads/2025/07/06-–-Primeiro-Edital-de-Convocacao-de-Credores-–-artigo-52-–-Meqso-Distribuicao-S.A.-e-outros-1.pdf</t>
        </is>
      </c>
    </row>
    <row r="62">
      <c r="A62" t="inlineStr">
        <is>
          <t>873d60ff1129</t>
        </is>
      </c>
      <c r="B62" t="inlineStr">
        <is>
          <t>0012043-76.2016.8.16.0069</t>
        </is>
      </c>
      <c r="C62" t="inlineStr">
        <is>
          <t>AJ_LIST</t>
        </is>
      </c>
      <c r="D62" t="inlineStr">
        <is>
          <t>NO_ROWS</t>
        </is>
      </c>
      <c r="E62" t="n">
        <v>1</v>
      </c>
      <c r="F62" t="inlineStr">
        <is>
          <t>TABLE</t>
        </is>
      </c>
      <c r="G62" t="inlineStr">
        <is>
          <t>TABLE_BANDS</t>
        </is>
      </c>
      <c r="H62" t="inlineStr"/>
      <c r="I62" t="inlineStr">
        <is>
          <t>2017-09-19</t>
        </is>
      </c>
      <c r="J62" t="inlineStr">
        <is>
          <t>Empresa</t>
        </is>
      </c>
      <c r="K62" t="inlineStr">
        <is>
          <t>marquesadmjudicial.com.br</t>
        </is>
      </c>
      <c r="L62" s="19" t="inlineStr">
        <is>
          <t>https://marquesadmjudicial.com.br/sgc/download.php?file=files/processo_documento/processo_documento16123907032024_1_.pdf&amp;nome=Relação Nominal de Credores da AJ Retificada</t>
        </is>
      </c>
    </row>
    <row r="63">
      <c r="A63" t="inlineStr">
        <is>
          <t>d278e0ec0904</t>
        </is>
      </c>
      <c r="B63" t="inlineStr">
        <is>
          <t>1057555-04.2023.8.26.0114</t>
        </is>
      </c>
      <c r="C63" t="inlineStr">
        <is>
          <t>AJ_LIST</t>
        </is>
      </c>
      <c r="D63" t="inlineStr">
        <is>
          <t>NO_ROWS</t>
        </is>
      </c>
      <c r="E63" t="n">
        <v>2</v>
      </c>
      <c r="F63" t="inlineStr">
        <is>
          <t>TABLE</t>
        </is>
      </c>
      <c r="G63" t="inlineStr">
        <is>
          <t>TABLE_BANDS</t>
        </is>
      </c>
      <c r="H63" t="inlineStr"/>
      <c r="J63" t="inlineStr">
        <is>
          <t>WWS SERVICES PRESTADORA DE SERVIÇOS LTDA</t>
        </is>
      </c>
      <c r="K63" t="inlineStr">
        <is>
          <t>vtladm.com.br</t>
        </is>
      </c>
      <c r="L63" s="19" t="inlineStr">
        <is>
          <t>https://vtladm.com.br/wp-content/uploads/2024/02/09-–-Segundo-Edital-de-Credores-Artigo-7-paragrafo-2-da-Lei-11.101–-WWS-Services-e-Worldwide.pdf</t>
        </is>
      </c>
    </row>
    <row r="64">
      <c r="A64" t="inlineStr">
        <is>
          <t>53aab9ec10af</t>
        </is>
      </c>
      <c r="B64" t="inlineStr">
        <is>
          <t>0001943-40.2024.8.16.0115</t>
        </is>
      </c>
      <c r="C64" t="inlineStr">
        <is>
          <t>AJ_LIST</t>
        </is>
      </c>
      <c r="D64" t="inlineStr">
        <is>
          <t>NO_ROWS</t>
        </is>
      </c>
      <c r="E64" t="n">
        <v>4</v>
      </c>
      <c r="F64" t="inlineStr">
        <is>
          <t>TABLE</t>
        </is>
      </c>
      <c r="G64" t="inlineStr">
        <is>
          <t>TABLE_BANDS</t>
        </is>
      </c>
      <c r="H64" t="inlineStr">
        <is>
          <t>IV/BRL#s4: FAIL Δ-536464.71 · I/BRL: FAIL Δ-104916.41 · III/BRL: FAIL Δ-12018064.66</t>
        </is>
      </c>
      <c r="I64" t="inlineStr">
        <is>
          <t>2024-09-09</t>
        </is>
      </c>
      <c r="J64" t="inlineStr">
        <is>
          <t>- D &amp; D LOGÍSTICA E TRANSPORTE LTDA</t>
        </is>
      </c>
      <c r="K64" t="inlineStr">
        <is>
          <t>marquesadmjudicial.com.br</t>
        </is>
      </c>
      <c r="L64" s="19" t="inlineStr">
        <is>
          <t>https://marquesadmjudicial.com.br/sgc/download.php?file=files/processo_documento/processo_documento20010827022025_1_.pdf&amp;nome= Manifestação da AJ - Apresentação da relação nominal de credores</t>
        </is>
      </c>
    </row>
    <row r="65">
      <c r="A65" t="inlineStr">
        <is>
          <t>388f9bae85ee</t>
        </is>
      </c>
      <c r="B65" t="inlineStr">
        <is>
          <t>1005755-09.2025.8.26.0132</t>
        </is>
      </c>
      <c r="C65" t="inlineStr">
        <is>
          <t>AJ_LIST</t>
        </is>
      </c>
      <c r="D65" t="inlineStr">
        <is>
          <t>NO_ROWS</t>
        </is>
      </c>
      <c r="E65" t="n">
        <v>2</v>
      </c>
      <c r="F65" t="inlineStr">
        <is>
          <t>TABLE</t>
        </is>
      </c>
      <c r="G65" t="inlineStr">
        <is>
          <t>TABLE_BANDS</t>
        </is>
      </c>
      <c r="H65" t="inlineStr"/>
      <c r="J65" t="inlineStr">
        <is>
          <t>Distribuidora De Frutas Rumo Novo Ltda</t>
        </is>
      </c>
      <c r="K65" t="inlineStr">
        <is>
          <t>vtladm.com.br</t>
        </is>
      </c>
      <c r="L65" s="19" t="inlineStr">
        <is>
          <t>https://vtladm.com.br/wp-content/uploads/2025/08/13-–-Edital-Aviso-de-Apresentacao-do-Plano-de-Recuperacao-–-Distribuidora-de-Frutas-Rumo-Novo-Ltda.-EPP-e-outros.pdf</t>
        </is>
      </c>
    </row>
    <row r="66">
      <c r="A66" t="inlineStr">
        <is>
          <t>214a74062d2e</t>
        </is>
      </c>
      <c r="B66" t="inlineStr">
        <is>
          <t>1005755-09.2025.8.26.0132</t>
        </is>
      </c>
      <c r="C66" t="inlineStr">
        <is>
          <t>AJ_LIST</t>
        </is>
      </c>
      <c r="D66" t="inlineStr">
        <is>
          <t>NO_ROWS</t>
        </is>
      </c>
      <c r="E66" t="n">
        <v>12</v>
      </c>
      <c r="F66" t="inlineStr">
        <is>
          <t>TABLE</t>
        </is>
      </c>
      <c r="G66" t="inlineStr">
        <is>
          <t>TABLE_BANDS</t>
        </is>
      </c>
      <c r="H66" t="inlineStr"/>
      <c r="I66" t="inlineStr">
        <is>
          <t>2025-09-16</t>
        </is>
      </c>
      <c r="J66" t="inlineStr">
        <is>
          <t>formulado pelas empresa</t>
        </is>
      </c>
      <c r="K66" t="inlineStr">
        <is>
          <t>vtladm.com.br</t>
        </is>
      </c>
      <c r="L66" s="19" t="inlineStr">
        <is>
          <t>https://vtladm.com.br/wp-content/uploads/2025/08/14-–-Sentenca-–-Distribuidora-de-Frutas-Rumo-Novo-Ltda.-EPP-e-outros.pdf</t>
        </is>
      </c>
    </row>
    <row r="67">
      <c r="A67" t="inlineStr">
        <is>
          <t>84328ef80913</t>
        </is>
      </c>
      <c r="B67" t="inlineStr">
        <is>
          <t>0804994-81.2024.8.07.0016</t>
        </is>
      </c>
      <c r="C67" t="inlineStr">
        <is>
          <t>AJ_LIST</t>
        </is>
      </c>
      <c r="D67" t="inlineStr">
        <is>
          <t>NO_ROWS</t>
        </is>
      </c>
      <c r="E67" t="n">
        <v>2</v>
      </c>
      <c r="F67" t="inlineStr">
        <is>
          <t>TABLE</t>
        </is>
      </c>
      <c r="G67" t="inlineStr">
        <is>
          <t>TABLE_BANDS</t>
        </is>
      </c>
      <c r="H67" t="inlineStr"/>
      <c r="I67" t="inlineStr">
        <is>
          <t>2026-02-23</t>
        </is>
      </c>
      <c r="J67" t="inlineStr">
        <is>
          <t>Ellite Consultoria E Assessoria Ltda. – VTL</t>
        </is>
      </c>
      <c r="K67" t="inlineStr">
        <is>
          <t>vtladm.com.br</t>
        </is>
      </c>
      <c r="L67" s="19" t="inlineStr">
        <is>
          <t>https://vtladm.com.br/wp-content/uploads/2026/01/05-Sentenca-Indeferimento-do-Pedido-de-Recuperacao-Judicial-Ellite-Consultoria-E-Assessoria-Ltda.pdf</t>
        </is>
      </c>
    </row>
    <row r="68">
      <c r="A68" t="inlineStr">
        <is>
          <t>d7abd58be50f</t>
        </is>
      </c>
      <c r="B68" t="inlineStr">
        <is>
          <t>1000647-12.2025.8.26.0354</t>
        </is>
      </c>
      <c r="C68" t="inlineStr">
        <is>
          <t>AJ_LIST</t>
        </is>
      </c>
      <c r="D68" t="inlineStr">
        <is>
          <t>NO_ROWS</t>
        </is>
      </c>
      <c r="E68" t="n">
        <v>1</v>
      </c>
      <c r="F68" t="inlineStr">
        <is>
          <t>TABLE</t>
        </is>
      </c>
      <c r="G68" t="inlineStr">
        <is>
          <t>TABLE_BANDS</t>
        </is>
      </c>
      <c r="H68" t="inlineStr"/>
      <c r="J68" t="inlineStr">
        <is>
          <t>MEQSO DISTRIBUIÇÃO S.A</t>
        </is>
      </c>
      <c r="K68" t="inlineStr">
        <is>
          <t>vtladm.com.br</t>
        </is>
      </c>
      <c r="L68" s="19" t="inlineStr">
        <is>
          <t>https://vtladm.com.br/wp-content/uploads/2025/07/10-–-Edital-de-Aviso-de-Apresentacao-do-Plano-de-Recuperacao-–-Meqso-Distribuicao-S.A.-e-outros.pdf</t>
        </is>
      </c>
    </row>
    <row r="69">
      <c r="A69" t="inlineStr">
        <is>
          <t>65f56a2296ef</t>
        </is>
      </c>
      <c r="B69" t="inlineStr">
        <is>
          <t>1057555-04.2023.8.26.0114</t>
        </is>
      </c>
      <c r="C69" t="inlineStr">
        <is>
          <t>AJ_LIST</t>
        </is>
      </c>
      <c r="D69" t="inlineStr">
        <is>
          <t>NO_ROWS</t>
        </is>
      </c>
      <c r="E69" t="n">
        <v>1</v>
      </c>
      <c r="F69" t="inlineStr">
        <is>
          <t>TABLE</t>
        </is>
      </c>
      <c r="G69" t="inlineStr">
        <is>
          <t>TABLE_BANDS</t>
        </is>
      </c>
      <c r="H69" t="inlineStr"/>
      <c r="J69" t="inlineStr">
        <is>
          <t>WWS SERVICES PRESTADORA DE SERVIÇOS LTDA</t>
        </is>
      </c>
      <c r="K69" t="inlineStr">
        <is>
          <t>vtladm.com.br</t>
        </is>
      </c>
      <c r="L69" s="19" t="inlineStr">
        <is>
          <t>https://vtladm.com.br/wp-content/uploads/2024/02/11-–-Edital-do-Plano-de-RecuperacaoJudicial-–-Artigos-53-paragrafo-unico-e-55-ambos-da-Lei-11.101-–-WWS-Services-e-Worldwide.pdf</t>
        </is>
      </c>
    </row>
    <row r="70">
      <c r="A70" t="inlineStr">
        <is>
          <t>4b1eb5bd2ead</t>
        </is>
      </c>
      <c r="B70" t="inlineStr">
        <is>
          <t>0704506-58.2023.8.07.0015</t>
        </is>
      </c>
      <c r="C70" t="inlineStr">
        <is>
          <t>AJ_LIST</t>
        </is>
      </c>
      <c r="D70" t="inlineStr">
        <is>
          <t>NO_ROWS</t>
        </is>
      </c>
      <c r="E70" t="n">
        <v>11</v>
      </c>
      <c r="F70" t="inlineStr">
        <is>
          <t>TABLE</t>
        </is>
      </c>
      <c r="G70" t="inlineStr">
        <is>
          <t>TABLE_BANDS</t>
        </is>
      </c>
      <c r="H70" t="inlineStr"/>
      <c r="I70" t="inlineStr">
        <is>
          <t>2022-09-29</t>
        </is>
      </c>
      <c r="J70" t="inlineStr">
        <is>
          <t>deverá requerer ao juízo sua falência</t>
        </is>
      </c>
      <c r="K70" t="inlineStr">
        <is>
          <t>vtladm.com.br</t>
        </is>
      </c>
      <c r="L70" s="19" t="inlineStr">
        <is>
          <t>https://vtladm.com.br/wp-content/uploads/2024/07/02-–-Sentenca-–-Declaracao-de-Falencia-–-Massa-Falida-de-Xadi-Servicos-de-Odontologia-Ltda.pdf</t>
        </is>
      </c>
    </row>
    <row r="71">
      <c r="A71" t="inlineStr">
        <is>
          <t>87e661f041b8</t>
        </is>
      </c>
      <c r="B71" t="inlineStr">
        <is>
          <t>1003643-62.2016.8.26.0462</t>
        </is>
      </c>
      <c r="C71" t="inlineStr">
        <is>
          <t>AJ_LIST</t>
        </is>
      </c>
      <c r="D71" t="inlineStr">
        <is>
          <t>NO_ROWS</t>
        </is>
      </c>
      <c r="E71" t="n">
        <v>10</v>
      </c>
      <c r="F71" t="inlineStr">
        <is>
          <t>TABLE</t>
        </is>
      </c>
      <c r="G71" t="inlineStr">
        <is>
          <t>TABLE_BANDS</t>
        </is>
      </c>
      <c r="H71" t="inlineStr"/>
      <c r="J71" t="inlineStr">
        <is>
          <t>NELSON GAREY, Administrador Judicia</t>
        </is>
      </c>
      <c r="K71" t="inlineStr">
        <is>
          <t>realbrasil.com.br</t>
        </is>
      </c>
      <c r="L71" s="19" t="inlineStr">
        <is>
          <t>https://realbrasil.com.br/wp-content/uploads/2025/07/LISTA-DE-CREDORES-DO-AJ_NELSON-GAREY_Parte1.pdf</t>
        </is>
      </c>
    </row>
    <row r="72">
      <c r="A72" t="inlineStr">
        <is>
          <t>324bb2c6fe92</t>
        </is>
      </c>
      <c r="B72" t="inlineStr">
        <is>
          <t>1025706-74.2024.8.26.0309</t>
        </is>
      </c>
      <c r="C72" t="inlineStr">
        <is>
          <t>AJ_LIST</t>
        </is>
      </c>
      <c r="D72" t="inlineStr">
        <is>
          <t>NO_ROWS</t>
        </is>
      </c>
      <c r="E72" t="n">
        <v>1</v>
      </c>
      <c r="F72" t="inlineStr">
        <is>
          <t>TABLE</t>
        </is>
      </c>
      <c r="G72" t="inlineStr">
        <is>
          <t>TABLE_BANDS</t>
        </is>
      </c>
      <c r="H72" t="inlineStr"/>
      <c r="J72" t="inlineStr">
        <is>
          <t>PROPEL PROFESSIONAL COMÉRCIO E INDÚSTRIA DE PAPÉIS LTDA</t>
        </is>
      </c>
      <c r="K72" t="inlineStr">
        <is>
          <t>credibilita.com.br</t>
        </is>
      </c>
      <c r="L72" s="19" t="inlineStr">
        <is>
          <t>https://credibilita.com.br/wp-content/uploads/2025/02/Edital-de-aviso-aos-credores-sobre-recebimento-do-Plano-de-Recuperacao-Judicial-em-11.07.2025.pdf</t>
        </is>
      </c>
    </row>
    <row r="73">
      <c r="A73" t="inlineStr">
        <is>
          <t>8ee992f39c0a</t>
        </is>
      </c>
      <c r="B73" t="inlineStr">
        <is>
          <t>0000745-65.2017.8.16.0162</t>
        </is>
      </c>
      <c r="C73" t="inlineStr">
        <is>
          <t>AJ_LIST</t>
        </is>
      </c>
      <c r="D73" t="inlineStr">
        <is>
          <t>NO_ROWS</t>
        </is>
      </c>
      <c r="E73" t="n">
        <v>3</v>
      </c>
      <c r="F73" t="inlineStr">
        <is>
          <t>TABLE</t>
        </is>
      </c>
      <c r="G73" t="inlineStr">
        <is>
          <t>TABLE_BANDS</t>
        </is>
      </c>
      <c r="H73" t="inlineStr"/>
      <c r="I73" t="inlineStr">
        <is>
          <t>2018-03-06</t>
        </is>
      </c>
      <c r="J73" t="inlineStr">
        <is>
          <t>CREDIBILITÀ ADMINISTRAÇÃO JUDICIA</t>
        </is>
      </c>
      <c r="K73" t="inlineStr">
        <is>
          <t>credibilita.com.br</t>
        </is>
      </c>
      <c r="L73" s="19" t="inlineStr">
        <is>
          <t>https://credibilita.com.br/wp-content/uploads/2023/08/21256-Peticao-AJ-Prazo-10d-para-Estimar-Data-de-Finalizacao-Lista-de-Credores-06.03.17.pdf</t>
        </is>
      </c>
    </row>
    <row r="74">
      <c r="A74" t="inlineStr">
        <is>
          <t>e067afd64469</t>
        </is>
      </c>
      <c r="B74" t="inlineStr">
        <is>
          <t>0000745-65.2017.8.16.0162</t>
        </is>
      </c>
      <c r="C74" t="inlineStr">
        <is>
          <t>AJ_LIST</t>
        </is>
      </c>
      <c r="D74" t="inlineStr">
        <is>
          <t>NO_ROWS</t>
        </is>
      </c>
      <c r="E74" t="n">
        <v>3</v>
      </c>
      <c r="F74" t="inlineStr">
        <is>
          <t>TABLE</t>
        </is>
      </c>
      <c r="G74" t="inlineStr">
        <is>
          <t>TABLE_BANDS</t>
        </is>
      </c>
      <c r="H74" t="inlineStr"/>
      <c r="I74" t="inlineStr">
        <is>
          <t>2018-03-07</t>
        </is>
      </c>
      <c r="J74" t="inlineStr">
        <is>
          <t>e Falência</t>
        </is>
      </c>
      <c r="K74" t="inlineStr">
        <is>
          <t>credibilita.com.br</t>
        </is>
      </c>
      <c r="L74" s="19" t="inlineStr">
        <is>
          <t>https://credibilita.com.br/wp-content/uploads/2023/08/21345-Decisao-As-Recuperandas-Apresentarem-Docs-ao-AJ-em-48h-AJ-Apresentar-Estimativa-Lista-Credores-07.03.18.pdf</t>
        </is>
      </c>
    </row>
    <row r="75">
      <c r="A75" t="inlineStr">
        <is>
          <t>21451cb2b04d</t>
        </is>
      </c>
      <c r="B75" t="inlineStr">
        <is>
          <t>5012487-62.2024.8.24.0023</t>
        </is>
      </c>
      <c r="C75" t="inlineStr">
        <is>
          <t>AJ_LIST</t>
        </is>
      </c>
      <c r="D75" t="inlineStr">
        <is>
          <t>NO_ROWS</t>
        </is>
      </c>
      <c r="E75" t="n">
        <v>2</v>
      </c>
      <c r="F75" t="inlineStr">
        <is>
          <t>TABLE</t>
        </is>
      </c>
      <c r="G75" t="inlineStr">
        <is>
          <t>TABLE_BANDS</t>
        </is>
      </c>
      <c r="H75" t="inlineStr"/>
      <c r="J75" t="inlineStr">
        <is>
          <t>Figueirense Futebol Clube – Recuperação Judicial | Administração Judicial - Credibilità</t>
        </is>
      </c>
      <c r="K75" t="inlineStr">
        <is>
          <t>credibilita.com.br</t>
        </is>
      </c>
      <c r="L75" s="19" t="inlineStr">
        <is>
          <t>https://credibilita.com.br/wp-content/uploads/2024/02/Manifestacao-desta-Administradora-Judicial-requerendo-a-juntada-da-lista-de-credores-retificada-1.pdf</t>
        </is>
      </c>
    </row>
    <row r="76">
      <c r="A76" t="inlineStr">
        <is>
          <t>626582ec8caf</t>
        </is>
      </c>
      <c r="B76" t="inlineStr">
        <is>
          <t>0003679-79.2026.8.16.0194</t>
        </is>
      </c>
      <c r="C76" t="inlineStr">
        <is>
          <t>AJ_LIST</t>
        </is>
      </c>
      <c r="D76" t="inlineStr">
        <is>
          <t>NO_ROWS</t>
        </is>
      </c>
      <c r="E76" t="n">
        <v>2</v>
      </c>
      <c r="F76" t="inlineStr">
        <is>
          <t>TABLE</t>
        </is>
      </c>
      <c r="G76" t="inlineStr">
        <is>
          <t>TABLE_BANDS</t>
        </is>
      </c>
      <c r="H76" t="inlineStr"/>
      <c r="I76" t="inlineStr">
        <is>
          <t>2026-03-30</t>
        </is>
      </c>
      <c r="J76" t="inlineStr">
        <is>
          <t>supracitada, em que é Requerente a empresa</t>
        </is>
      </c>
      <c r="K76" t="inlineStr">
        <is>
          <t>credibilita.com.br</t>
        </is>
      </c>
      <c r="L76" s="19" t="inlineStr">
        <is>
          <t>https://credibilita.com.br/wp-content/uploads/2026/03/07.04.2026-Manifestacao-desta-Administradora-Judicial-informando-sobre-inconsistencias-na-lista-de-credores-requerendo-a-retificacao-e-posteriormente-nova-publicacao-do-edital-do-art.-52-mov.-63.pdf</t>
        </is>
      </c>
    </row>
    <row r="77">
      <c r="A77" t="inlineStr">
        <is>
          <t>6d7a6c0dff3d</t>
        </is>
      </c>
      <c r="B77" t="inlineStr">
        <is>
          <t>0020395-10.2020.8.19.0001</t>
        </is>
      </c>
      <c r="C77" t="inlineStr">
        <is>
          <t>AJ_LIST</t>
        </is>
      </c>
      <c r="D77" t="inlineStr">
        <is>
          <t>NO_ROWS</t>
        </is>
      </c>
      <c r="E77" t="n">
        <v>1</v>
      </c>
      <c r="F77" t="inlineStr">
        <is>
          <t>TABLE</t>
        </is>
      </c>
      <c r="G77" t="inlineStr">
        <is>
          <t>TABLE_BANDS</t>
        </is>
      </c>
      <c r="H77" t="inlineStr"/>
      <c r="I77" t="inlineStr">
        <is>
          <t>2020-09-20</t>
        </is>
      </c>
      <c r="J77" t="inlineStr">
        <is>
          <t>sociedades COLÉGIO MIGUEL COUTO LTDA</t>
        </is>
      </c>
      <c r="K77" t="inlineStr">
        <is>
          <t>inova-aj.com.br</t>
        </is>
      </c>
      <c r="L77" s="19" t="inlineStr">
        <is>
          <t>https://inova-aj.com.br/wp-content/uploads/2021/02/Publicacao-Edital-Aviso-aos-Credores-PRJ-Diario-Comercial.pdf</t>
        </is>
      </c>
    </row>
    <row r="78">
      <c r="A78" t="inlineStr">
        <is>
          <t>b152a3327ee4</t>
        </is>
      </c>
      <c r="B78" t="inlineStr">
        <is>
          <t>0194044-84.2018.8.19.0001</t>
        </is>
      </c>
      <c r="C78" t="inlineStr">
        <is>
          <t>AJ_LIST</t>
        </is>
      </c>
      <c r="D78" t="inlineStr">
        <is>
          <t>NO_ROWS</t>
        </is>
      </c>
      <c r="E78" t="n">
        <v>2</v>
      </c>
      <c r="F78" t="inlineStr">
        <is>
          <t>TABLE</t>
        </is>
      </c>
      <c r="G78" t="inlineStr">
        <is>
          <t>TABLE_BANDS</t>
        </is>
      </c>
      <c r="H78" t="inlineStr"/>
      <c r="J78" t="inlineStr">
        <is>
          <t>Sinopec Petroleum do Brasil Ltda – Processo nº 0194044-84.2018.8.19.0001 – e-mail: admjudsinopec@inova-aj.com.br – INOVA</t>
        </is>
      </c>
      <c r="K78" t="inlineStr">
        <is>
          <t>inova-aj.com.br</t>
        </is>
      </c>
      <c r="L78" s="19" t="inlineStr">
        <is>
          <t>https://inova-aj.com.br/wp-content/uploads/2020/09/EDITAL-DJE-VALOR-ECONOMICO-AVISO-AOS-CREDORES-SINOPEC.pdf</t>
        </is>
      </c>
    </row>
    <row r="79">
      <c r="A79" t="inlineStr">
        <is>
          <t>f91acc82ff9e</t>
        </is>
      </c>
      <c r="B79" t="inlineStr">
        <is>
          <t>0070460-77.2018.8.19.0001</t>
        </is>
      </c>
      <c r="C79" t="inlineStr">
        <is>
          <t>AJ_LIST</t>
        </is>
      </c>
      <c r="D79" t="inlineStr">
        <is>
          <t>NO_ROWS</t>
        </is>
      </c>
      <c r="E79" t="n">
        <v>53</v>
      </c>
      <c r="F79" t="inlineStr">
        <is>
          <t>TABLE</t>
        </is>
      </c>
      <c r="G79" t="inlineStr">
        <is>
          <t>TABLE_BANDS</t>
        </is>
      </c>
      <c r="H79" t="inlineStr">
        <is>
          <t>I/BRL: PASS Δ-418.92 · II/BRL: FAIL Δ-632564.85 · III/BRL: PASS Δ-20.00 · IV/BRL: FAIL Δ-8507.97</t>
        </is>
      </c>
      <c r="J79" t="inlineStr">
        <is>
          <t>EMPRESA</t>
        </is>
      </c>
      <c r="K79" t="inlineStr">
        <is>
          <t>inova-aj.com.br</t>
        </is>
      </c>
      <c r="L79" s="19" t="inlineStr">
        <is>
          <t>https://inova-aj.com.br/wp-content/uploads/2018/08/Relação-de-Credores-Grupo-CMDR-Art.-7º-§2º-LRE.pdf</t>
        </is>
      </c>
    </row>
    <row r="80">
      <c r="A80" t="inlineStr">
        <is>
          <t>276837af9890</t>
        </is>
      </c>
      <c r="B80" t="inlineStr">
        <is>
          <t>1001790-97.2017.8.26.0101</t>
        </is>
      </c>
      <c r="C80" t="inlineStr">
        <is>
          <t>AJ_LIST</t>
        </is>
      </c>
      <c r="D80" t="inlineStr">
        <is>
          <t>NO_ROWS</t>
        </is>
      </c>
      <c r="E80" t="n">
        <v>16</v>
      </c>
      <c r="F80" t="inlineStr">
        <is>
          <t>TABLE</t>
        </is>
      </c>
      <c r="G80" t="inlineStr">
        <is>
          <t>TABLE_BANDS</t>
        </is>
      </c>
      <c r="H80" t="inlineStr"/>
      <c r="I80" t="inlineStr">
        <is>
          <t>2017-09-28</t>
        </is>
      </c>
      <c r="J80" t="inlineStr">
        <is>
          <t>Wow Nutrition Indústria e Comércio S.A</t>
        </is>
      </c>
      <c r="K80" t="inlineStr">
        <is>
          <t>brasiltrustee.com.br</t>
        </is>
      </c>
      <c r="L80" s="19" t="inlineStr">
        <is>
          <t>https://violet-wolf-754008.hostingersite.com/wp-content/uploads/recuperacoes-judiciais/wow/certidao-de-publicação-primeiro-edital-wow.pdf</t>
        </is>
      </c>
    </row>
    <row r="81">
      <c r="A81" t="inlineStr">
        <is>
          <t>542d6573dc75</t>
        </is>
      </c>
      <c r="B81" t="inlineStr">
        <is>
          <t>0078610-63.1989.8.19.0001</t>
        </is>
      </c>
      <c r="C81" t="inlineStr">
        <is>
          <t>AJ_LIST</t>
        </is>
      </c>
      <c r="D81" t="inlineStr">
        <is>
          <t>NO_ROWS</t>
        </is>
      </c>
      <c r="E81" t="n">
        <v>1</v>
      </c>
      <c r="F81" t="inlineStr">
        <is>
          <t>TABLE</t>
        </is>
      </c>
      <c r="G81" t="inlineStr">
        <is>
          <t>TABLE_BANDS</t>
        </is>
      </c>
      <c r="H81" t="inlineStr"/>
      <c r="J81" t="inlineStr">
        <is>
          <t>Perácio Exportadora Café S.A. – Processo nº 0078610-63.1989.8.19.0001 – INOVA</t>
        </is>
      </c>
      <c r="K81" t="inlineStr">
        <is>
          <t>inova-aj.com.br</t>
        </is>
      </c>
      <c r="L81" s="19" t="inlineStr">
        <is>
          <t>https://inova-aj.com.br/wp-content/uploads/2025/04/Edital-2-Relacao-de-Credores-7.11.2023.pdf</t>
        </is>
      </c>
    </row>
    <row r="82">
      <c r="A82" t="inlineStr">
        <is>
          <t>b02ad809678f</t>
        </is>
      </c>
      <c r="B82" t="inlineStr">
        <is>
          <t>0014118-50.2014.8.19.0045</t>
        </is>
      </c>
      <c r="C82" t="inlineStr">
        <is>
          <t>AJ_LIST</t>
        </is>
      </c>
      <c r="D82" t="inlineStr">
        <is>
          <t>NO_ROWS</t>
        </is>
      </c>
      <c r="E82" t="n">
        <v>5</v>
      </c>
      <c r="F82" t="inlineStr">
        <is>
          <t>TABLE</t>
        </is>
      </c>
      <c r="G82" t="inlineStr">
        <is>
          <t>TABLE_BANDS</t>
        </is>
      </c>
      <c r="H82" t="inlineStr"/>
      <c r="I82" t="inlineStr">
        <is>
          <t>2022-05-23</t>
        </is>
      </c>
      <c r="J82" t="inlineStr">
        <is>
          <t>Servatis S/A – Processo nº 0014118-50.2014.8.19.0045 – e-mail: admjudservatis@inova-aj.com.br – INOVA</t>
        </is>
      </c>
      <c r="K82" t="inlineStr">
        <is>
          <t>inova-aj.com.br</t>
        </is>
      </c>
      <c r="L82" s="19" t="inlineStr">
        <is>
          <t>https://inova-aj.com.br/wp-content/uploads/2022/11/Decisao-de-homologacao-do-QGC.pdf</t>
        </is>
      </c>
    </row>
    <row r="83">
      <c r="A83" t="inlineStr">
        <is>
          <t>ab468d0aeecb</t>
        </is>
      </c>
      <c r="B83" t="inlineStr">
        <is>
          <t>1016130-10.2021.8.26.0003</t>
        </is>
      </c>
      <c r="C83" t="inlineStr">
        <is>
          <t>AJ_LIST</t>
        </is>
      </c>
      <c r="D83" t="inlineStr">
        <is>
          <t>NO_ROWS</t>
        </is>
      </c>
      <c r="E83" t="n">
        <v>2</v>
      </c>
      <c r="F83" t="inlineStr">
        <is>
          <t>TABLE</t>
        </is>
      </c>
      <c r="G83" t="inlineStr">
        <is>
          <t>TABLE_BANDS</t>
        </is>
      </c>
      <c r="H83" t="inlineStr"/>
      <c r="I83" t="inlineStr">
        <is>
          <t>2023-06-22</t>
        </is>
      </c>
      <c r="J83" t="inlineStr">
        <is>
          <t>GateKeeper | Recuperação Judicial em São Paulo – Ética, técnica e profissionalismo na administração judicial de processos de recuperação e falência.</t>
        </is>
      </c>
      <c r="K83" t="inlineStr">
        <is>
          <t>gatekeeperaj.com.br</t>
        </is>
      </c>
      <c r="L83" s="19" t="inlineStr">
        <is>
          <t>https://gatekeeperaj.com.br/wp-content/uploads/2024/03/Edital-art.-99-Decretacao-da-Falencia-e-Relacao-de-Credores.pdf</t>
        </is>
      </c>
    </row>
    <row r="84">
      <c r="A84" t="inlineStr">
        <is>
          <t>7ea8f2c273b1</t>
        </is>
      </c>
      <c r="B84" t="inlineStr">
        <is>
          <t>1016130-10.2021.8.26.0003</t>
        </is>
      </c>
      <c r="C84" t="inlineStr">
        <is>
          <t>AJ_LIST</t>
        </is>
      </c>
      <c r="D84" t="inlineStr">
        <is>
          <t>NO_ROWS</t>
        </is>
      </c>
      <c r="E84" t="n">
        <v>2</v>
      </c>
      <c r="F84" t="inlineStr">
        <is>
          <t>TABLE</t>
        </is>
      </c>
      <c r="G84" t="inlineStr">
        <is>
          <t>TABLE_BANDS</t>
        </is>
      </c>
      <c r="H84" t="inlineStr"/>
      <c r="J84" t="inlineStr">
        <is>
          <t>SOPETRA ROLAMENTOS E PEÇAS LTDA</t>
        </is>
      </c>
      <c r="K84" t="inlineStr">
        <is>
          <t>gatekeeperaj.com.br</t>
        </is>
      </c>
      <c r="L84" s="19" t="inlineStr">
        <is>
          <t>https://gatekeeperaj.com.br/wp-content/uploads/2024/07/edital-114-A-Actech.pdf</t>
        </is>
      </c>
    </row>
    <row r="85">
      <c r="A85" t="inlineStr">
        <is>
          <t>1ebe677ee10a</t>
        </is>
      </c>
      <c r="B85" t="inlineStr">
        <is>
          <t>5074883-62.2023.8.21.0001</t>
        </is>
      </c>
      <c r="C85" t="inlineStr">
        <is>
          <t>AJ_LIST</t>
        </is>
      </c>
      <c r="D85" t="inlineStr">
        <is>
          <t>NO_ROWS</t>
        </is>
      </c>
      <c r="E85" t="n">
        <v>2</v>
      </c>
      <c r="F85" t="inlineStr">
        <is>
          <t>TABLE</t>
        </is>
      </c>
      <c r="G85" t="inlineStr">
        <is>
          <t>TABLE_BANDS</t>
        </is>
      </c>
      <c r="H85" t="inlineStr"/>
      <c r="I85" t="inlineStr">
        <is>
          <t>2023-10-30</t>
        </is>
      </c>
      <c r="J85" t="inlineStr">
        <is>
          <t>MAGAZINE SA</t>
        </is>
      </c>
      <c r="K85" t="inlineStr">
        <is>
          <t>rlg-aj.com.br</t>
        </is>
      </c>
      <c r="L85" s="19" t="inlineStr">
        <is>
          <t>https://rlg-aj.com.br/wp-content/uploads/2023/05/Edital-de-Aviso-de-Entrega-do-Plano-de-Recuperacao-Judicial-Lojas-Aldo.pdf</t>
        </is>
      </c>
    </row>
    <row r="86">
      <c r="A86" t="inlineStr">
        <is>
          <t>c1f1b911104d</t>
        </is>
      </c>
      <c r="B86" t="inlineStr">
        <is>
          <t>1026537-46.2019.8.26.0100</t>
        </is>
      </c>
      <c r="C86" t="inlineStr">
        <is>
          <t>AJ_LIST</t>
        </is>
      </c>
      <c r="D86" t="inlineStr">
        <is>
          <t>NO_ROWS</t>
        </is>
      </c>
      <c r="E86" t="n">
        <v>6</v>
      </c>
      <c r="F86" t="inlineStr">
        <is>
          <t>TABLE</t>
        </is>
      </c>
      <c r="G86" t="inlineStr">
        <is>
          <t>TABLE_BANDS</t>
        </is>
      </c>
      <c r="H86" t="inlineStr"/>
      <c r="J86" t="inlineStr">
        <is>
          <t>GateKeeper | Recuperação Judicial em São Paulo – Ética, técnica e profissionalismo na administração judicial de processos de recuperação e falência.</t>
        </is>
      </c>
      <c r="K86" t="inlineStr">
        <is>
          <t>gatekeeperaj.com.br</t>
        </is>
      </c>
      <c r="L86" s="19" t="inlineStr">
        <is>
          <t>https://gatekeeperaj.com.br/wp-content/uploads/2023/11/Edital-114-A.pdf</t>
        </is>
      </c>
    </row>
    <row r="87">
      <c r="A87" t="inlineStr">
        <is>
          <t>8fd656245fd5</t>
        </is>
      </c>
      <c r="B87" t="inlineStr">
        <is>
          <t>0000335-78.2024.8.26.0260</t>
        </is>
      </c>
      <c r="C87" t="inlineStr">
        <is>
          <t>AJ_LIST</t>
        </is>
      </c>
      <c r="D87" t="inlineStr">
        <is>
          <t>NO_ROWS</t>
        </is>
      </c>
      <c r="E87" t="n">
        <v>1</v>
      </c>
      <c r="F87" t="inlineStr">
        <is>
          <t>TABLE</t>
        </is>
      </c>
      <c r="G87" t="inlineStr">
        <is>
          <t>TABLE_BANDS</t>
        </is>
      </c>
      <c r="H87" t="inlineStr"/>
      <c r="J87" t="inlineStr">
        <is>
          <t>E.P.S. EMPRESA</t>
        </is>
      </c>
      <c r="K87" t="inlineStr">
        <is>
          <t>gatekeeperaj.com.br</t>
        </is>
      </c>
      <c r="L87" s="19" t="inlineStr">
        <is>
          <t>https://gatekeeperaj.com.br/wp-content/uploads/2024/10/doc_145483966.pdf</t>
        </is>
      </c>
    </row>
    <row r="88">
      <c r="A88" t="inlineStr">
        <is>
          <t>3ce0198ec62f</t>
        </is>
      </c>
      <c r="B88" t="inlineStr">
        <is>
          <t>5043834-42.2019.8.21.0001</t>
        </is>
      </c>
      <c r="C88" t="inlineStr">
        <is>
          <t>AJ_LIST</t>
        </is>
      </c>
      <c r="D88" t="inlineStr">
        <is>
          <t>NO_ROWS</t>
        </is>
      </c>
      <c r="E88" t="n">
        <v>1</v>
      </c>
      <c r="F88" t="inlineStr">
        <is>
          <t>TABLE</t>
        </is>
      </c>
      <c r="G88" t="inlineStr">
        <is>
          <t>TABLE_BANDS</t>
        </is>
      </c>
      <c r="H88" t="inlineStr"/>
      <c r="I88" t="inlineStr">
        <is>
          <t>2019-11-26</t>
        </is>
      </c>
      <c r="J88" t="inlineStr">
        <is>
          <t>5021069- 77.2019.8.21.0001 | CB2D</t>
        </is>
      </c>
      <c r="K88" t="inlineStr">
        <is>
          <t>cb2d.com.br</t>
        </is>
      </c>
      <c r="L88" s="19" t="inlineStr">
        <is>
          <t>https://www.cb2d.com.br/portal/_uploads/cfbcb4a6-4827-4700-8db3-ba18796712ea.pdf</t>
        </is>
      </c>
    </row>
    <row r="89">
      <c r="A89" t="inlineStr">
        <is>
          <t>7c3f1db2c9c9</t>
        </is>
      </c>
      <c r="B89" t="inlineStr">
        <is>
          <t>5016123-91.2021.8.21.0001</t>
        </is>
      </c>
      <c r="C89" t="inlineStr">
        <is>
          <t>AJ_LIST</t>
        </is>
      </c>
      <c r="D89" t="inlineStr">
        <is>
          <t>NO_ROWS</t>
        </is>
      </c>
      <c r="E89" t="n">
        <v>1</v>
      </c>
      <c r="F89" t="inlineStr">
        <is>
          <t>TABLE</t>
        </is>
      </c>
      <c r="G89" t="inlineStr">
        <is>
          <t>TABLE_BANDS</t>
        </is>
      </c>
      <c r="H89" t="inlineStr"/>
      <c r="I89" t="inlineStr">
        <is>
          <t>2022-08-01</t>
        </is>
      </c>
      <c r="J89" t="inlineStr">
        <is>
          <t>5021069- 77.2019.8.21.0001 | CB2D</t>
        </is>
      </c>
      <c r="K89" t="inlineStr">
        <is>
          <t>cb2d.com.br</t>
        </is>
      </c>
      <c r="L89" s="19" t="inlineStr">
        <is>
          <t>https://www.cb2d.com.br/portal/_uploads/0cb6c3c1-a363-4612-84ff-c61f8f45843a.pdf</t>
        </is>
      </c>
    </row>
    <row r="90">
      <c r="A90" t="inlineStr">
        <is>
          <t>8809cbe535f3</t>
        </is>
      </c>
      <c r="B90" t="inlineStr">
        <is>
          <t>1134120-17.2024.8.26.0100</t>
        </is>
      </c>
      <c r="C90" t="inlineStr">
        <is>
          <t>AJ_LIST</t>
        </is>
      </c>
      <c r="D90" t="inlineStr">
        <is>
          <t>NO_ROWS</t>
        </is>
      </c>
      <c r="E90" t="n">
        <v>2</v>
      </c>
      <c r="F90" t="inlineStr">
        <is>
          <t>TABLE</t>
        </is>
      </c>
      <c r="G90" t="inlineStr">
        <is>
          <t>TABLE_BANDS</t>
        </is>
      </c>
      <c r="H90" t="inlineStr"/>
      <c r="I90" t="inlineStr">
        <is>
          <t>2024-08-27</t>
        </is>
      </c>
      <c r="J90" t="inlineStr">
        <is>
          <t>Celsul Engenharia Ltda</t>
        </is>
      </c>
      <c r="K90" t="inlineStr">
        <is>
          <t>gatekeeperaj.com.br</t>
        </is>
      </c>
      <c r="L90" s="19" t="inlineStr">
        <is>
          <t>https://gatekeeperaj.com.br/wp-content/uploads/2024/09/edital-de-intimacao-de-credores-HEL.pdf</t>
        </is>
      </c>
    </row>
    <row r="91">
      <c r="A91" t="inlineStr">
        <is>
          <t>0dd6df2b21bb</t>
        </is>
      </c>
      <c r="B91" t="inlineStr">
        <is>
          <t>5008570-61.2019.8.21.0001</t>
        </is>
      </c>
      <c r="C91" t="inlineStr">
        <is>
          <t>AJ_LIST</t>
        </is>
      </c>
      <c r="D91" t="inlineStr">
        <is>
          <t>NO_ROWS</t>
        </is>
      </c>
      <c r="E91" t="n">
        <v>1</v>
      </c>
      <c r="F91" t="inlineStr">
        <is>
          <t>TABLE</t>
        </is>
      </c>
      <c r="G91" t="inlineStr">
        <is>
          <t>TABLE_BANDS</t>
        </is>
      </c>
      <c r="H91" t="inlineStr"/>
      <c r="I91" t="inlineStr">
        <is>
          <t>2019-11-28</t>
        </is>
      </c>
      <c r="J91" t="inlineStr">
        <is>
          <t>5008570-61.2019.8.21.0001 | CB2D</t>
        </is>
      </c>
      <c r="K91" t="inlineStr">
        <is>
          <t>cb2d.com.br</t>
        </is>
      </c>
      <c r="L91" s="19" t="inlineStr">
        <is>
          <t>https://www.cb2d.com.br/portal/_uploads/5baca229-685d-4132-a0bd-8a942bb9fcab.pdf</t>
        </is>
      </c>
    </row>
    <row r="92">
      <c r="A92" t="inlineStr">
        <is>
          <t>6bb743f96b83</t>
        </is>
      </c>
      <c r="B92" t="inlineStr">
        <is>
          <t>0244241-57.2016.8.21.0001</t>
        </is>
      </c>
      <c r="C92" t="inlineStr">
        <is>
          <t>AJ_LIST</t>
        </is>
      </c>
      <c r="D92" t="inlineStr">
        <is>
          <t>NO_ROWS</t>
        </is>
      </c>
      <c r="E92" t="n">
        <v>1</v>
      </c>
      <c r="F92" t="inlineStr">
        <is>
          <t>TABLE</t>
        </is>
      </c>
      <c r="G92" t="inlineStr">
        <is>
          <t>TABLE_BANDS</t>
        </is>
      </c>
      <c r="H92" t="inlineStr"/>
      <c r="I92" t="inlineStr">
        <is>
          <t>2022-06-20</t>
        </is>
      </c>
      <c r="J92" t="inlineStr">
        <is>
          <t>5008570-61.2019.8.21.0001 | CB2D</t>
        </is>
      </c>
      <c r="K92" t="inlineStr">
        <is>
          <t>cb2d.com.br</t>
        </is>
      </c>
      <c r="L92" s="19" t="inlineStr">
        <is>
          <t>https://www.cb2d.com.br/portal/_uploads/a167a628-8cff-4118-80ee-d9ddf46cdd43.pdf</t>
        </is>
      </c>
    </row>
    <row r="93">
      <c r="A93" t="inlineStr">
        <is>
          <t>795331be2030</t>
        </is>
      </c>
      <c r="B93" t="inlineStr">
        <is>
          <t>1024993-78.2019.8.26.0405</t>
        </is>
      </c>
      <c r="C93" t="inlineStr">
        <is>
          <t>AJ_LIST</t>
        </is>
      </c>
      <c r="D93" t="inlineStr">
        <is>
          <t>NO_ROWS</t>
        </is>
      </c>
      <c r="E93" t="n">
        <v>1</v>
      </c>
      <c r="F93" t="inlineStr">
        <is>
          <t>TABLE</t>
        </is>
      </c>
      <c r="G93" t="inlineStr">
        <is>
          <t>TABLE_BANDS</t>
        </is>
      </c>
      <c r="H93" t="inlineStr"/>
      <c r="J93" t="inlineStr">
        <is>
          <t>TEC2DOC SERVIÇOS DE TECNOLOGIA E DOCUMENTOS LTDA</t>
        </is>
      </c>
      <c r="K93" t="inlineStr">
        <is>
          <t>acfb.com.br</t>
        </is>
      </c>
      <c r="L93" s="19" t="inlineStr">
        <is>
          <t>https://acfb.com.br/wp-content/uploads/2024/06/doc_227775006.pdf</t>
        </is>
      </c>
    </row>
    <row r="94">
      <c r="A94" t="inlineStr">
        <is>
          <t>7e6ceadd7664</t>
        </is>
      </c>
      <c r="B94" t="inlineStr">
        <is>
          <t>1097437-54.2019.8.26.0100</t>
        </is>
      </c>
      <c r="C94" t="inlineStr">
        <is>
          <t>AJ_LIST</t>
        </is>
      </c>
      <c r="D94" t="inlineStr">
        <is>
          <t>NO_ROWS</t>
        </is>
      </c>
      <c r="E94" t="n">
        <v>7</v>
      </c>
      <c r="F94" t="inlineStr">
        <is>
          <t>TABLE</t>
        </is>
      </c>
      <c r="G94" t="inlineStr">
        <is>
          <t>TABLE_BANDS</t>
        </is>
      </c>
      <c r="H94" t="inlineStr"/>
      <c r="J94" t="inlineStr">
        <is>
          <t>Haddock Café Paulista Eireli – ACFB</t>
        </is>
      </c>
      <c r="K94" t="inlineStr">
        <is>
          <t>acfb.com.br</t>
        </is>
      </c>
      <c r="L94" s="19" t="inlineStr">
        <is>
          <t>https://acfb.com.br/wp-content/uploads/2021/07/1097437-54.2019.8.26.0100-3.pdf</t>
        </is>
      </c>
    </row>
    <row r="95">
      <c r="A95" t="inlineStr">
        <is>
          <t>12b4701a4389</t>
        </is>
      </c>
      <c r="B95" t="inlineStr">
        <is>
          <t>1097437-54.2019.8.26.0100</t>
        </is>
      </c>
      <c r="C95" t="inlineStr">
        <is>
          <t>AJ_LIST</t>
        </is>
      </c>
      <c r="D95" t="inlineStr">
        <is>
          <t>NO_ROWS</t>
        </is>
      </c>
      <c r="E95" t="n">
        <v>4</v>
      </c>
      <c r="F95" t="inlineStr">
        <is>
          <t>TABLE</t>
        </is>
      </c>
      <c r="G95" t="inlineStr">
        <is>
          <t>TABLE_BANDS</t>
        </is>
      </c>
      <c r="H95" t="inlineStr"/>
      <c r="J95" t="inlineStr">
        <is>
          <t>Haddock Café Paulista Eireli – ACFB</t>
        </is>
      </c>
      <c r="K95" t="inlineStr">
        <is>
          <t>acfb.com.br</t>
        </is>
      </c>
      <c r="L95" s="19" t="inlineStr">
        <is>
          <t>https://acfb.com.br/wp-content/uploads/2024/02/doc_118040002.pdf</t>
        </is>
      </c>
    </row>
    <row r="96">
      <c r="A96" t="inlineStr">
        <is>
          <t>952f743285d2</t>
        </is>
      </c>
      <c r="B96" t="inlineStr">
        <is>
          <t>5033887-56.2022.8.21.0001</t>
        </is>
      </c>
      <c r="C96" t="inlineStr">
        <is>
          <t>AJ_LIST</t>
        </is>
      </c>
      <c r="D96" t="inlineStr">
        <is>
          <t>NO_ROWS</t>
        </is>
      </c>
      <c r="E96" t="n">
        <v>1</v>
      </c>
      <c r="F96" t="inlineStr">
        <is>
          <t>TABLE</t>
        </is>
      </c>
      <c r="G96" t="inlineStr">
        <is>
          <t>TABLE_BANDS</t>
        </is>
      </c>
      <c r="H96" t="inlineStr"/>
      <c r="I96" t="inlineStr">
        <is>
          <t>2024-12-06</t>
        </is>
      </c>
      <c r="J96" t="inlineStr">
        <is>
          <t>5033887-56.2022.8.21.0001 | CB2D</t>
        </is>
      </c>
      <c r="K96" t="inlineStr">
        <is>
          <t>cb2d.com.br</t>
        </is>
      </c>
      <c r="L96" s="19" t="inlineStr">
        <is>
          <t>https://www.cb2d.com.br/portal/_uploads/fefa4943-71a9-4084-ab8e-9898245e0a98.pdf</t>
        </is>
      </c>
    </row>
    <row r="97">
      <c r="A97" t="inlineStr">
        <is>
          <t>d079e3a44749</t>
        </is>
      </c>
      <c r="B97" t="inlineStr">
        <is>
          <t>4054599-35.2025.8.26.0100</t>
        </is>
      </c>
      <c r="C97" t="inlineStr">
        <is>
          <t>AJ_LIST</t>
        </is>
      </c>
      <c r="D97" t="inlineStr">
        <is>
          <t>NO_ROWS</t>
        </is>
      </c>
      <c r="E97" t="n">
        <v>2</v>
      </c>
      <c r="F97" t="inlineStr">
        <is>
          <t>TABLE</t>
        </is>
      </c>
      <c r="G97" t="inlineStr">
        <is>
          <t>TABLE_BANDS</t>
        </is>
      </c>
      <c r="H97" t="inlineStr"/>
      <c r="I97" t="inlineStr">
        <is>
          <t>2026-05-06</t>
        </is>
      </c>
      <c r="J97" t="inlineStr">
        <is>
          <t>CENTURY CONSTRUÇÕES COMÉRCIO E SERVIÇOS LTDA</t>
        </is>
      </c>
      <c r="K97" t="inlineStr">
        <is>
          <t>ativosajce.com.br</t>
        </is>
      </c>
      <c r="L97" s="19" t="inlineStr">
        <is>
          <t>https://ativosajce.com.br/admin/download.php?file=files/processo_documento/processo_documento18042606052026_1_.pdf&amp;nome=Edital de Credores - art. 7º, §2º da Lei 11.101/05 - 30/04/2026</t>
        </is>
      </c>
    </row>
    <row r="98">
      <c r="A98" t="inlineStr">
        <is>
          <t>6edc4e2d763d</t>
        </is>
      </c>
      <c r="B98" t="inlineStr">
        <is>
          <t>1147368-84.2023.8.26.0100</t>
        </is>
      </c>
      <c r="C98" t="inlineStr">
        <is>
          <t>AJ_LIST</t>
        </is>
      </c>
      <c r="D98" t="inlineStr">
        <is>
          <t>NO_ROWS</t>
        </is>
      </c>
      <c r="E98" t="n">
        <v>1</v>
      </c>
      <c r="F98" t="inlineStr">
        <is>
          <t>TABLE</t>
        </is>
      </c>
      <c r="G98" t="inlineStr">
        <is>
          <t>TABLE_BANDS</t>
        </is>
      </c>
      <c r="H98" t="inlineStr"/>
      <c r="J98" t="inlineStr">
        <is>
          <t>AÇOFORTE SEGURANÇA E VIGILÂNCIA</t>
        </is>
      </c>
      <c r="K98" t="inlineStr">
        <is>
          <t>ajruiz.com.br</t>
        </is>
      </c>
      <c r="L98" s="19" t="inlineStr">
        <is>
          <t>https://ajruiz.com.br/sites/default/files/public/arquivos-processos/2024-05/240515_dje_edital_relacao_de_credores_aj.pdf</t>
        </is>
      </c>
    </row>
    <row r="99">
      <c r="A99" t="inlineStr">
        <is>
          <t>c2df357b1645</t>
        </is>
      </c>
      <c r="B99" t="inlineStr">
        <is>
          <t>1000400-31.2025.8.26.0354</t>
        </is>
      </c>
      <c r="C99" t="inlineStr">
        <is>
          <t>AJ_LIST</t>
        </is>
      </c>
      <c r="D99" t="inlineStr">
        <is>
          <t>NO_ROWS</t>
        </is>
      </c>
      <c r="E99" t="n">
        <v>2</v>
      </c>
      <c r="F99" t="inlineStr">
        <is>
          <t>TABLE</t>
        </is>
      </c>
      <c r="G99" t="inlineStr">
        <is>
          <t>TABLE_BANDS</t>
        </is>
      </c>
      <c r="H99" t="inlineStr"/>
      <c r="I99" t="inlineStr">
        <is>
          <t>2026-01-29</t>
        </is>
      </c>
      <c r="J99" t="inlineStr">
        <is>
          <t>JM MATERIAIS PARA CONSTRUÇÕES E ARTEFATOS DE CIMENTO LTDA</t>
        </is>
      </c>
      <c r="K99" t="inlineStr">
        <is>
          <t>ativosajce.com.br</t>
        </is>
      </c>
      <c r="L99" s="19" t="inlineStr">
        <is>
          <t>https://ativosajce.com.br/admin/download.php?file=files/processo_documento/processo_documento12142130012026_1_.pdf&amp;nome=Edital de credores - art. 7º, §2º da Lei 11.101/05 - 29/01/2026</t>
        </is>
      </c>
    </row>
    <row r="100">
      <c r="A100" t="inlineStr">
        <is>
          <t>5ac3309d225b</t>
        </is>
      </c>
      <c r="B100" t="inlineStr">
        <is>
          <t>1000400-31.2025.8.26.0354</t>
        </is>
      </c>
      <c r="C100" t="inlineStr">
        <is>
          <t>AJ_LIST</t>
        </is>
      </c>
      <c r="D100" t="inlineStr">
        <is>
          <t>NO_ROWS</t>
        </is>
      </c>
      <c r="E100" t="n">
        <v>2</v>
      </c>
      <c r="F100" t="inlineStr">
        <is>
          <t>TABLE</t>
        </is>
      </c>
      <c r="G100" t="inlineStr">
        <is>
          <t>TABLE_BANDS</t>
        </is>
      </c>
      <c r="H100" t="inlineStr"/>
      <c r="I100" t="inlineStr">
        <is>
          <t>2025-12-03</t>
        </is>
      </c>
      <c r="J100" t="inlineStr">
        <is>
          <t>JM MATERIAIS PARA CONSTRUÇÕES E ARTEFATO S DE CIMENTO LTDA</t>
        </is>
      </c>
      <c r="K100" t="inlineStr">
        <is>
          <t>ativosajce.com.br</t>
        </is>
      </c>
      <c r="L100" s="19" t="inlineStr">
        <is>
          <t>https://ativosajce.com.br/admin/download.php?file=files/processo_documento/processo_documento17433803122025_1_.pdf&amp;nome=Edital de Aviso aos Credores - art. 53 da Lei 11.101/05 - 04/12/2025</t>
        </is>
      </c>
    </row>
    <row r="101">
      <c r="A101" t="inlineStr">
        <is>
          <t>29c9a3d64114</t>
        </is>
      </c>
      <c r="B101" t="inlineStr">
        <is>
          <t>1000278-43.2024.8.26.0260</t>
        </is>
      </c>
      <c r="C101" t="inlineStr">
        <is>
          <t>AJ_LIST</t>
        </is>
      </c>
      <c r="D101" t="inlineStr">
        <is>
          <t>NO_ROWS</t>
        </is>
      </c>
      <c r="E101" t="n">
        <v>2</v>
      </c>
      <c r="F101" t="inlineStr">
        <is>
          <t>TABLE</t>
        </is>
      </c>
      <c r="G101" t="inlineStr">
        <is>
          <t>TABLE_BANDS</t>
        </is>
      </c>
      <c r="H101" t="inlineStr"/>
      <c r="I101" t="inlineStr">
        <is>
          <t>2026-02-24</t>
        </is>
      </c>
      <c r="J101" t="inlineStr">
        <is>
          <t>NOVA EMBALAGENS E FILMES TÉCNICOS LTDA</t>
        </is>
      </c>
      <c r="K101" t="inlineStr">
        <is>
          <t>ativosajce.com.br</t>
        </is>
      </c>
      <c r="L101" s="19" t="inlineStr">
        <is>
          <t>https://ativosajce.com.br/admin/download.php?file=files/processo_documento/processo_documento17141924022026_1_.pdf&amp;nome= Edital de Credores - art. 52, §1º da Lei 11.101/05 - 25/02/2026</t>
        </is>
      </c>
    </row>
    <row r="102">
      <c r="A102" t="inlineStr">
        <is>
          <t>91a2a15c0091</t>
        </is>
      </c>
      <c r="B102" t="inlineStr">
        <is>
          <t>4000064-73.2025.8.26.0354</t>
        </is>
      </c>
      <c r="C102" t="inlineStr">
        <is>
          <t>AJ_LIST</t>
        </is>
      </c>
      <c r="D102" t="inlineStr">
        <is>
          <t>NO_ROWS</t>
        </is>
      </c>
      <c r="E102" t="n">
        <v>2</v>
      </c>
      <c r="F102" t="inlineStr">
        <is>
          <t>TABLE</t>
        </is>
      </c>
      <c r="G102" t="inlineStr">
        <is>
          <t>TABLE_BANDS</t>
        </is>
      </c>
      <c r="H102" t="inlineStr"/>
      <c r="I102" t="inlineStr">
        <is>
          <t>2025-12-18</t>
        </is>
      </c>
      <c r="J102" t="inlineStr">
        <is>
          <t>Ativos</t>
        </is>
      </c>
      <c r="K102" t="inlineStr">
        <is>
          <t>ativosajce.com.br</t>
        </is>
      </c>
      <c r="L102" s="19" t="inlineStr">
        <is>
          <t>https://ativosajce.com.br/admin/download.php?file=files/processo_documento/processo_documento16193320012026_1_.pdf&amp;nome=Edital de Credores - art. 164, § 2º da Lei 11.101/2005 - 19/12/2025</t>
        </is>
      </c>
    </row>
    <row r="103">
      <c r="A103" t="inlineStr">
        <is>
          <t>00f72cc8281d</t>
        </is>
      </c>
      <c r="B103" t="inlineStr">
        <is>
          <t>1001174-80.2024.8.26.0359</t>
        </is>
      </c>
      <c r="C103" t="inlineStr">
        <is>
          <t>AJ_LIST</t>
        </is>
      </c>
      <c r="D103" t="inlineStr">
        <is>
          <t>NO_ROWS</t>
        </is>
      </c>
      <c r="E103" t="n">
        <v>3</v>
      </c>
      <c r="F103" t="inlineStr">
        <is>
          <t>TABLE</t>
        </is>
      </c>
      <c r="G103" t="inlineStr">
        <is>
          <t>TABLE_BANDS</t>
        </is>
      </c>
      <c r="H103" t="inlineStr"/>
      <c r="I103" t="inlineStr">
        <is>
          <t>2025-08-13</t>
        </is>
      </c>
      <c r="J103" t="inlineStr">
        <is>
          <t>d e ROSEWOOD MUSIC COMERCIO LTDA</t>
        </is>
      </c>
      <c r="K103" t="inlineStr">
        <is>
          <t>ativosajce.com.br</t>
        </is>
      </c>
      <c r="L103" s="19" t="inlineStr">
        <is>
          <t>https://ativosajce.com.br/admin/download.php?file=files/processo_documento/processo_documento14213313082025_1_.pdf&amp;nome=Edital de Aviso aos Credores - art. 53 da Lei 11.101/05 - 14/08/2025</t>
        </is>
      </c>
    </row>
    <row r="104">
      <c r="A104" t="inlineStr">
        <is>
          <t>4708f22447ae</t>
        </is>
      </c>
      <c r="B104" t="inlineStr">
        <is>
          <t>0016951-30.2019.8.16.0019</t>
        </is>
      </c>
      <c r="C104" t="inlineStr">
        <is>
          <t>AJ_LIST</t>
        </is>
      </c>
      <c r="D104" t="inlineStr">
        <is>
          <t>NO_ROWS</t>
        </is>
      </c>
      <c r="E104" t="n">
        <v>4</v>
      </c>
      <c r="F104" t="inlineStr">
        <is>
          <t>TABLE</t>
        </is>
      </c>
      <c r="G104" t="inlineStr">
        <is>
          <t>TABLE_BANDS</t>
        </is>
      </c>
      <c r="H104" t="inlineStr"/>
      <c r="I104" t="inlineStr">
        <is>
          <t>2023-04-18</t>
        </is>
      </c>
      <c r="J104" t="inlineStr">
        <is>
          <t>proposto por BUTURI TRANSPORTES RODOVIÁRIOS LTDA</t>
        </is>
      </c>
      <c r="K104" t="inlineStr">
        <is>
          <t>bbsadvogados.com.br</t>
        </is>
      </c>
      <c r="L104" s="19" t="inlineStr">
        <is>
          <t>https://bbsadvogados.com.br/wp-content/uploads/2024/10/Grupo-Buturi-sentenca-falencia.pdf</t>
        </is>
      </c>
    </row>
    <row r="105">
      <c r="A105" t="inlineStr">
        <is>
          <t>6735393f23fb</t>
        </is>
      </c>
      <c r="B105" t="inlineStr">
        <is>
          <t>1001174-80.2024.8.26.0359</t>
        </is>
      </c>
      <c r="C105" t="inlineStr">
        <is>
          <t>AJ_LIST</t>
        </is>
      </c>
      <c r="D105" t="inlineStr">
        <is>
          <t>NO_ROWS</t>
        </is>
      </c>
      <c r="E105" t="n">
        <v>3</v>
      </c>
      <c r="F105" t="inlineStr">
        <is>
          <t>TABLE</t>
        </is>
      </c>
      <c r="G105" t="inlineStr">
        <is>
          <t>TABLE_BANDS</t>
        </is>
      </c>
      <c r="H105" t="inlineStr"/>
      <c r="I105" t="inlineStr">
        <is>
          <t>2025-08-13</t>
        </is>
      </c>
      <c r="J105" t="inlineStr">
        <is>
          <t>RIVER MUSIC INSTRUMENTOS MUSICAIS EIRELI</t>
        </is>
      </c>
      <c r="K105" t="inlineStr">
        <is>
          <t>ativosajce.com.br</t>
        </is>
      </c>
      <c r="L105" s="19" t="inlineStr">
        <is>
          <t>https://ativosajce.com.br/admin/download.php?file=files/processo_documento/processo_documento14154113082025_1_.pdf&amp;nome=Edital de Credores - art. 7º, §2º da Lei 11.101/05 - 14/08/2025</t>
        </is>
      </c>
    </row>
    <row r="106">
      <c r="A106" t="inlineStr">
        <is>
          <t>958caf0e7138</t>
        </is>
      </c>
      <c r="B106" t="inlineStr">
        <is>
          <t>0046880-92.2025.8.16.0021</t>
        </is>
      </c>
      <c r="C106" t="inlineStr">
        <is>
          <t>AJ_LIST</t>
        </is>
      </c>
      <c r="D106" t="inlineStr">
        <is>
          <t>NO_ROWS</t>
        </is>
      </c>
      <c r="E106" t="n">
        <v>5</v>
      </c>
      <c r="F106" t="inlineStr">
        <is>
          <t>TABLE</t>
        </is>
      </c>
      <c r="G106" t="inlineStr">
        <is>
          <t>TABLE_BANDS</t>
        </is>
      </c>
      <c r="H106" t="inlineStr"/>
      <c r="I106" t="inlineStr">
        <is>
          <t>2025-12-12</t>
        </is>
      </c>
      <c r="J106" t="inlineStr">
        <is>
          <t>deverá requerer ao juízo sua falência</t>
        </is>
      </c>
      <c r="K106" t="inlineStr">
        <is>
          <t>bbsadvogados.com.br</t>
        </is>
      </c>
      <c r="L106" s="19" t="inlineStr">
        <is>
          <t>https://bbsadvogados.com.br/wp-content/uploads/2026/03/Sentenca-de-decretacao-de-Falencia.pdf</t>
        </is>
      </c>
    </row>
    <row r="107">
      <c r="A107" t="inlineStr">
        <is>
          <t>7b043ed69346</t>
        </is>
      </c>
      <c r="B107" t="inlineStr">
        <is>
          <t>0003232-89.2024.8.16.0185</t>
        </is>
      </c>
      <c r="C107" t="inlineStr">
        <is>
          <t>AJ_LIST</t>
        </is>
      </c>
      <c r="D107" t="inlineStr">
        <is>
          <t>NO_ROWS</t>
        </is>
      </c>
      <c r="E107" t="n">
        <v>2</v>
      </c>
      <c r="F107" t="inlineStr">
        <is>
          <t>TABLE</t>
        </is>
      </c>
      <c r="G107" t="inlineStr">
        <is>
          <t>TABLE_BANDS</t>
        </is>
      </c>
      <c r="H107" t="inlineStr"/>
      <c r="I107" t="inlineStr">
        <is>
          <t>2025-08-01</t>
        </is>
      </c>
      <c r="J107" t="inlineStr">
        <is>
          <t>VISÃO ASSESSORIA CONTÁBIL SC LTDA – Falência – Brazilio Bacellar Shirai Advogados</t>
        </is>
      </c>
      <c r="K107" t="inlineStr">
        <is>
          <t>bbsadvogados.com.br</t>
        </is>
      </c>
      <c r="L107" s="19" t="inlineStr">
        <is>
          <t>https://bbsadvogados.com.br/wp-content/uploads/2025/09/edital-contendo-a-integra-do-encerramento-da-falencia-Visao-Assessoria-Contabil-Ltda-Me.pdf</t>
        </is>
      </c>
    </row>
    <row r="108">
      <c r="A108" t="inlineStr">
        <is>
          <t>39f80e8ce1b1</t>
        </is>
      </c>
      <c r="B108" t="inlineStr">
        <is>
          <t>1000119-75.2025.8.26.0354</t>
        </is>
      </c>
      <c r="C108" t="inlineStr">
        <is>
          <t>AJ_LIST</t>
        </is>
      </c>
      <c r="D108" t="inlineStr">
        <is>
          <t>NO_ROWS</t>
        </is>
      </c>
      <c r="E108" t="n">
        <v>2</v>
      </c>
      <c r="F108" t="inlineStr">
        <is>
          <t>TABLE</t>
        </is>
      </c>
      <c r="G108" t="inlineStr">
        <is>
          <t>TABLE_BANDS</t>
        </is>
      </c>
      <c r="H108" t="inlineStr"/>
      <c r="I108" t="inlineStr">
        <is>
          <t>2025-12-03</t>
        </is>
      </c>
      <c r="J108" t="inlineStr">
        <is>
          <t>FLAVOUR MIX IND. E REP. ALIM. E INGR. QUÍMICO S LTDA</t>
        </is>
      </c>
      <c r="K108" t="inlineStr">
        <is>
          <t>ativosajce.com.br</t>
        </is>
      </c>
      <c r="L108" s="19" t="inlineStr">
        <is>
          <t>https://ativosajce.com.br/admin/download.php?file=files/processo_documento/processo_documento17420203122025_1_.pdf&amp;nome=Edital de Aviso aos Credores - art. 53 da Lei 11.101/05 - 04/12/2025</t>
        </is>
      </c>
    </row>
    <row r="109">
      <c r="A109" t="inlineStr">
        <is>
          <t>cbe77849620a</t>
        </is>
      </c>
      <c r="B109" t="inlineStr">
        <is>
          <t>1000119-75.2025.8.26.0354</t>
        </is>
      </c>
      <c r="C109" t="inlineStr">
        <is>
          <t>AJ_LIST</t>
        </is>
      </c>
      <c r="D109" t="inlineStr">
        <is>
          <t>NO_ROWS</t>
        </is>
      </c>
      <c r="E109" t="n">
        <v>4</v>
      </c>
      <c r="F109" t="inlineStr">
        <is>
          <t>TABLE</t>
        </is>
      </c>
      <c r="G109" t="inlineStr">
        <is>
          <t>TABLE_BANDS</t>
        </is>
      </c>
      <c r="H109" t="inlineStr"/>
      <c r="I109" t="inlineStr">
        <is>
          <t>2025-08-05</t>
        </is>
      </c>
      <c r="J109" t="inlineStr">
        <is>
          <t>FLAVOUR MIX INDÚSTRIA, COMÉRCIO, IMPORTAÇÃO E EXPORTAÇÃO LTDA</t>
        </is>
      </c>
      <c r="K109" t="inlineStr">
        <is>
          <t>ativosajce.com.br</t>
        </is>
      </c>
      <c r="L109" s="19" t="inlineStr">
        <is>
          <t>https://ativosajce.com.br/admin/download.php?file=files/processo_documento/processo_documento15240822082025_1_.pdf&amp;nome=Edital de Credores - Art. 7º, § 2º, da Lei 11.101/2005 - 06/08/2025</t>
        </is>
      </c>
    </row>
    <row r="110">
      <c r="A110" t="inlineStr">
        <is>
          <t>33859b9d71bb</t>
        </is>
      </c>
      <c r="B110" t="inlineStr">
        <is>
          <t>1152761-87.2023.8.26.0100</t>
        </is>
      </c>
      <c r="C110" t="inlineStr">
        <is>
          <t>AJ_LIST</t>
        </is>
      </c>
      <c r="D110" t="inlineStr">
        <is>
          <t>NO_ROWS</t>
        </is>
      </c>
      <c r="E110" t="n">
        <v>1</v>
      </c>
      <c r="F110" t="inlineStr">
        <is>
          <t>TABLE</t>
        </is>
      </c>
      <c r="G110" t="inlineStr">
        <is>
          <t>TABLE_BANDS</t>
        </is>
      </c>
      <c r="H110" t="inlineStr"/>
      <c r="J110" t="inlineStr">
        <is>
          <t>Eataly Brasil Comércio e Distribuição de Alimentos LTDA</t>
        </is>
      </c>
      <c r="K110" t="inlineStr">
        <is>
          <t>ativosajce.com.br</t>
        </is>
      </c>
      <c r="L110" s="19" t="inlineStr">
        <is>
          <t>https://ativosajce.com.br/admin/download.php?file=files/processo_documento/processo_documento10292519032025_1_.pdf&amp;nome=Edital de Aviso aos Credores - Art. 53 da Lei 11.101/05 - 20/03/2025</t>
        </is>
      </c>
    </row>
    <row r="111">
      <c r="A111" t="inlineStr">
        <is>
          <t>499a0eb1338a</t>
        </is>
      </c>
      <c r="B111" t="inlineStr">
        <is>
          <t>1000386-43.2022.8.26.0260</t>
        </is>
      </c>
      <c r="C111" t="inlineStr">
        <is>
          <t>AJ_LIST</t>
        </is>
      </c>
      <c r="D111" t="inlineStr">
        <is>
          <t>NO_ROWS</t>
        </is>
      </c>
      <c r="E111" t="n">
        <v>1</v>
      </c>
      <c r="F111" t="inlineStr">
        <is>
          <t>TABLE</t>
        </is>
      </c>
      <c r="G111" t="inlineStr">
        <is>
          <t>TABLE_BANDS</t>
        </is>
      </c>
      <c r="H111" t="inlineStr"/>
      <c r="I111" t="inlineStr">
        <is>
          <t>2005-10-10</t>
        </is>
      </c>
      <c r="J111" t="inlineStr">
        <is>
          <t>FERRAMENTARIA GASPEC LTDA</t>
        </is>
      </c>
      <c r="K111" t="inlineStr">
        <is>
          <t>ativosajce.com.br</t>
        </is>
      </c>
      <c r="L111" s="19" t="inlineStr">
        <is>
          <t>https://ativosajce.com.br/admin/download.php?file=files/processo_documento/processo_documento17192927022023_1_.pdf&amp;nome=Edital de Credores - Art. 52, § 1º, da Lei 11.101/2005 - Consolidado - 13/02/2023</t>
        </is>
      </c>
    </row>
    <row r="112">
      <c r="A112" t="inlineStr">
        <is>
          <t>6209e62cb9e6</t>
        </is>
      </c>
      <c r="B112" t="inlineStr">
        <is>
          <t>1000016-39.2023.8.26.0354</t>
        </is>
      </c>
      <c r="C112" t="inlineStr">
        <is>
          <t>AJ_LIST</t>
        </is>
      </c>
      <c r="D112" t="inlineStr">
        <is>
          <t>NO_ROWS</t>
        </is>
      </c>
      <c r="E112" t="n">
        <v>2</v>
      </c>
      <c r="F112" t="inlineStr">
        <is>
          <t>TABLE</t>
        </is>
      </c>
      <c r="G112" t="inlineStr">
        <is>
          <t>TABLE_BANDS</t>
        </is>
      </c>
      <c r="H112" t="inlineStr"/>
      <c r="I112" t="inlineStr">
        <is>
          <t>2024-09-02</t>
        </is>
      </c>
      <c r="J112" t="inlineStr">
        <is>
          <t>ROMANATO ALIMENTOS LTDA</t>
        </is>
      </c>
      <c r="K112" t="inlineStr">
        <is>
          <t>ativosajce.com.br</t>
        </is>
      </c>
      <c r="L112" s="19" t="inlineStr">
        <is>
          <t>https://ativosajce.com.br/admin/download.php?file=files/processo_documento/processo_documento13555628102024_1_.pdf&amp;nome=Edital de Credores - Art. 7º § 2º, da Lei nº 11.101/2005 - 26/09/2024</t>
        </is>
      </c>
    </row>
    <row r="113">
      <c r="A113" t="inlineStr">
        <is>
          <t>3c58bb4d2028</t>
        </is>
      </c>
      <c r="B113" t="inlineStr">
        <is>
          <t>0700497-06.2015.8.02.0037</t>
        </is>
      </c>
      <c r="C113" t="inlineStr">
        <is>
          <t>DEBTOR_LIST</t>
        </is>
      </c>
      <c r="D113" t="inlineStr">
        <is>
          <t>NO_ROWS</t>
        </is>
      </c>
      <c r="E113" t="n">
        <v>1</v>
      </c>
      <c r="F113" t="inlineStr">
        <is>
          <t>TABLE</t>
        </is>
      </c>
      <c r="G113" t="inlineStr">
        <is>
          <t>TABLE_BANDS</t>
        </is>
      </c>
      <c r="H113" t="inlineStr"/>
      <c r="J113" t="inlineStr">
        <is>
          <t>e Falência</t>
        </is>
      </c>
      <c r="K113" t="inlineStr">
        <is>
          <t>recuperacaojudicial.squarespace.com</t>
        </is>
      </c>
      <c r="L113" s="19" t="inlineStr">
        <is>
          <t>https://recuperacaojudicial.squarespace.com/s/Edital-de-Intimaco-dos-credores.pdf</t>
        </is>
      </c>
    </row>
    <row r="114">
      <c r="A114" t="inlineStr">
        <is>
          <t>dec8ac4b7b94</t>
        </is>
      </c>
      <c r="B114" t="inlineStr">
        <is>
          <t>5009367-03.2021.8.21.0022</t>
        </is>
      </c>
      <c r="C114" t="inlineStr">
        <is>
          <t>DEBTOR_LIST</t>
        </is>
      </c>
      <c r="D114" t="inlineStr">
        <is>
          <t>NO_ROWS</t>
        </is>
      </c>
      <c r="E114" t="n">
        <v>4</v>
      </c>
      <c r="F114" t="inlineStr">
        <is>
          <t>TABLE</t>
        </is>
      </c>
      <c r="G114" t="inlineStr">
        <is>
          <t>TABLE_BANDS</t>
        </is>
      </c>
      <c r="H114" t="inlineStr"/>
      <c r="I114" t="inlineStr">
        <is>
          <t>2022-06-29</t>
        </is>
      </c>
      <c r="J114" t="inlineStr">
        <is>
          <t>proposta por Reinaldo Oliveira de Oliveira Júnior Eireli</t>
        </is>
      </c>
      <c r="K114" t="inlineStr">
        <is>
          <t>cataliseaj.com.br</t>
        </is>
      </c>
      <c r="L114" s="19" t="inlineStr">
        <is>
          <t>https://cataliseaj.com.br/sgc/download.php?file=files/processo_documento/processo_documento16343404102024_1_.pdf&amp;nome=08. SENTENÇA DE FALÊNCIA</t>
        </is>
      </c>
    </row>
    <row r="115">
      <c r="A115" t="inlineStr">
        <is>
          <t>82aff00da43d</t>
        </is>
      </c>
      <c r="B115" t="inlineStr">
        <is>
          <t>0301015-33.2016.8.24.0031</t>
        </is>
      </c>
      <c r="C115" t="inlineStr">
        <is>
          <t>DEBTOR_LIST</t>
        </is>
      </c>
      <c r="D115" t="inlineStr">
        <is>
          <t>NO_ROWS</t>
        </is>
      </c>
      <c r="E115" t="n">
        <v>49</v>
      </c>
      <c r="F115" t="inlineStr">
        <is>
          <t>TABLE</t>
        </is>
      </c>
      <c r="G115" t="inlineStr">
        <is>
          <t>TABLE_RULED</t>
        </is>
      </c>
      <c r="H115" t="inlineStr">
        <is>
          <t>I/BRL#s1: FAIL Δ-48985.25 · III/BRL#s4: FAIL Δ-9157349.01</t>
        </is>
      </c>
      <c r="J115" t="inlineStr">
        <is>
          <t>DICARLO MÓVEIS E ACESSÓRIOS PARA CASA E LOJAS LTDA – Sgrott Administradora Judicial e Consultoria Empresarial</t>
        </is>
      </c>
      <c r="K115" t="inlineStr">
        <is>
          <t>administradorajudicialgs.com.br</t>
        </is>
      </c>
      <c r="L115" s="19" t="inlineStr">
        <is>
          <t>https://administradorajudicialgs.com.br/wp-content/uploads/2023/08/doc-02-relacao-de-credores.pdf</t>
        </is>
      </c>
    </row>
    <row r="116">
      <c r="A116" t="inlineStr">
        <is>
          <t>7f519837f3a9</t>
        </is>
      </c>
      <c r="B116" t="inlineStr">
        <is>
          <t>1005755-09.2025.8.26.0132</t>
        </is>
      </c>
      <c r="C116" t="inlineStr">
        <is>
          <t>DEBTOR_LIST</t>
        </is>
      </c>
      <c r="D116" t="inlineStr">
        <is>
          <t>NO_ROWS</t>
        </is>
      </c>
      <c r="E116" t="n">
        <v>1</v>
      </c>
      <c r="F116" t="inlineStr">
        <is>
          <t>TABLE</t>
        </is>
      </c>
      <c r="G116" t="inlineStr">
        <is>
          <t>TABLE_BANDS</t>
        </is>
      </c>
      <c r="H116" t="inlineStr"/>
      <c r="I116" t="inlineStr">
        <is>
          <t>2025-09-16</t>
        </is>
      </c>
      <c r="J116" t="inlineStr">
        <is>
          <t>DISTRIBUIDORA DE FRUTAS RUMO NOVO LTDA</t>
        </is>
      </c>
      <c r="K116" t="inlineStr">
        <is>
          <t>vtladm.com.br</t>
        </is>
      </c>
      <c r="L116" s="19" t="inlineStr">
        <is>
          <t>https://vtladm.com.br/wp-content/uploads/2025/07/07-–-Primeiro-Edital-de-Convocacao-de-Credores-–-artigo-52-–Distribuidora-de-Frutas-Rumo-Novo-Ltda.-EPP-e-outros-1.pdf</t>
        </is>
      </c>
    </row>
    <row r="117">
      <c r="A117" t="inlineStr">
        <is>
          <t>84847fe38568</t>
        </is>
      </c>
      <c r="B117" t="inlineStr">
        <is>
          <t>0000630-68.2026.8.16.0149</t>
        </is>
      </c>
      <c r="C117" t="inlineStr">
        <is>
          <t>DEBTOR_LIST</t>
        </is>
      </c>
      <c r="D117" t="inlineStr">
        <is>
          <t>NO_ROWS</t>
        </is>
      </c>
      <c r="E117" t="n">
        <v>2</v>
      </c>
      <c r="F117" t="inlineStr">
        <is>
          <t>TABLE</t>
        </is>
      </c>
      <c r="G117" t="inlineStr">
        <is>
          <t>TABLE_BANDS</t>
        </is>
      </c>
      <c r="H117" t="inlineStr"/>
      <c r="I117" t="inlineStr">
        <is>
          <t>2026-06-16</t>
        </is>
      </c>
      <c r="J117" t="inlineStr">
        <is>
          <t>TRANSPORTE RODOAJA LTDA., TRANSPORTE DE CARGAS AJA LTDA. e WERLANG TRANSPORTES RODOVIÁRIOS LTDA | Administração Judicial - Credibilità</t>
        </is>
      </c>
      <c r="K117" t="inlineStr">
        <is>
          <t>credibilita.com.br</t>
        </is>
      </c>
      <c r="L117" s="19" t="inlineStr">
        <is>
          <t>https://credibilita.com.br/wp-content/uploads/2026/06/RetificarListadeCredoressign8ba3.pdf</t>
        </is>
      </c>
    </row>
    <row r="118">
      <c r="A118" t="inlineStr">
        <is>
          <t>04c5c806a31d</t>
        </is>
      </c>
      <c r="B118" t="inlineStr">
        <is>
          <t>1000012-65.2024.8.26.0354</t>
        </is>
      </c>
      <c r="C118" t="inlineStr">
        <is>
          <t>DEBTOR_LIST</t>
        </is>
      </c>
      <c r="D118" t="inlineStr">
        <is>
          <t>NO_ROWS</t>
        </is>
      </c>
      <c r="E118" t="n">
        <v>2</v>
      </c>
      <c r="F118" t="inlineStr">
        <is>
          <t>TABLE</t>
        </is>
      </c>
      <c r="G118" t="inlineStr">
        <is>
          <t>TABLE_BANDS</t>
        </is>
      </c>
      <c r="H118" t="inlineStr"/>
      <c r="I118" t="inlineStr">
        <is>
          <t>2024-02-15</t>
        </is>
      </c>
      <c r="J118" t="inlineStr">
        <is>
          <t>FERNANDES ENGENHARIA PISO PRONTO EIRELI</t>
        </is>
      </c>
      <c r="K118" t="inlineStr">
        <is>
          <t>brasiltrustee.com.br</t>
        </is>
      </c>
      <c r="L118" s="19" t="inlineStr">
        <is>
          <t>https://violet-wolf-754008.hostingersite.com/wp-content/uploads/recuperacoes-judiciais/Fernandes-Engenharia/1o-Edital-de-Credores.pdf</t>
        </is>
      </c>
    </row>
    <row r="119">
      <c r="A119" t="inlineStr">
        <is>
          <t>470823e2c997</t>
        </is>
      </c>
      <c r="B119" t="inlineStr">
        <is>
          <t>0070460-77.2018.8.19.0001</t>
        </is>
      </c>
      <c r="C119" t="inlineStr">
        <is>
          <t>DEBTOR_LIST</t>
        </is>
      </c>
      <c r="D119" t="inlineStr">
        <is>
          <t>NO_ROWS</t>
        </is>
      </c>
      <c r="E119" t="n">
        <v>47</v>
      </c>
      <c r="F119" t="inlineStr">
        <is>
          <t>TABLE</t>
        </is>
      </c>
      <c r="G119" t="inlineStr">
        <is>
          <t>TABLE_BANDS</t>
        </is>
      </c>
      <c r="H119" t="inlineStr">
        <is>
          <t>I/BRL: PASS Δ-418.92 · II/BRL: FAIL Δ-632564.85 · III/BRL: PASS Δ-20.00 · IV/BRL: FAIL Δ-9522.49</t>
        </is>
      </c>
      <c r="J119" t="inlineStr">
        <is>
          <t>EMPRESA</t>
        </is>
      </c>
      <c r="K119" t="inlineStr">
        <is>
          <t>inova-aj.com.br</t>
        </is>
      </c>
      <c r="L119" s="19" t="inlineStr">
        <is>
          <t>https://inova-aj.com.br/wp-content/uploads/2018/04/Relação-de-Credores-Grupo-CMDR-Art.-52-§1º-LRE-2-1.pdf</t>
        </is>
      </c>
    </row>
    <row r="120">
      <c r="A120" t="inlineStr">
        <is>
          <t>417546309fd3</t>
        </is>
      </c>
      <c r="B120" t="inlineStr">
        <is>
          <t>1000238-30.2022.8.26.0390</t>
        </is>
      </c>
      <c r="C120" t="inlineStr">
        <is>
          <t>DEBTOR_LIST</t>
        </is>
      </c>
      <c r="D120" t="inlineStr">
        <is>
          <t>NO_ROWS</t>
        </is>
      </c>
      <c r="E120" t="n">
        <v>2</v>
      </c>
      <c r="F120" t="inlineStr">
        <is>
          <t>TABLE</t>
        </is>
      </c>
      <c r="G120" t="inlineStr">
        <is>
          <t>TABLE_BANDS</t>
        </is>
      </c>
      <c r="H120" t="inlineStr"/>
      <c r="I120" t="inlineStr">
        <is>
          <t>2022-08-01</t>
        </is>
      </c>
      <c r="J120" t="inlineStr">
        <is>
          <t>- Concurso de Credores - Paulo Cesa</t>
        </is>
      </c>
      <c r="K120" t="inlineStr">
        <is>
          <t>brasiltrustee.com.br</t>
        </is>
      </c>
      <c r="L120" s="19" t="inlineStr">
        <is>
          <t>https://violet-wolf-754008.hostingersite.com/wp-content/uploads/2022/10/Primeiro-Edital-de-Credores-–-DJE-–-Resumida.pdf</t>
        </is>
      </c>
    </row>
    <row r="121">
      <c r="A121" t="inlineStr">
        <is>
          <t>325131ed9ec7</t>
        </is>
      </c>
      <c r="B121" t="inlineStr">
        <is>
          <t>1090375-65.2016.8.26.0100</t>
        </is>
      </c>
      <c r="C121" t="inlineStr">
        <is>
          <t>DEBTOR_LIST</t>
        </is>
      </c>
      <c r="D121" t="inlineStr">
        <is>
          <t>NO_ROWS</t>
        </is>
      </c>
      <c r="E121" t="n">
        <v>2</v>
      </c>
      <c r="F121" t="inlineStr">
        <is>
          <t>TABLE</t>
        </is>
      </c>
      <c r="G121" t="inlineStr">
        <is>
          <t>TABLE_BANDS</t>
        </is>
      </c>
      <c r="H121" t="inlineStr"/>
      <c r="I121" t="inlineStr">
        <is>
          <t>2022-09-15</t>
        </is>
      </c>
      <c r="J121" t="inlineStr">
        <is>
          <t>SBV SOLUÇÕES AMBIENTAIS LTDA</t>
        </is>
      </c>
      <c r="K121" t="inlineStr">
        <is>
          <t>gatekeeperaj.com.br</t>
        </is>
      </c>
      <c r="L121" s="19" t="inlineStr">
        <is>
          <t>https://gatekeeperaj.com.br/wp-content/uploads/2024/03/Edital-decretacao-falencia-e-convocacao-credores-publicado-em-31.10.2022.pdf</t>
        </is>
      </c>
    </row>
    <row r="122">
      <c r="A122" t="inlineStr">
        <is>
          <t>347e3b59cb55</t>
        </is>
      </c>
      <c r="B122" t="inlineStr">
        <is>
          <t>4054599-35.2025.8.26.0100</t>
        </is>
      </c>
      <c r="C122" t="inlineStr">
        <is>
          <t>DEBTOR_LIST</t>
        </is>
      </c>
      <c r="D122" t="inlineStr">
        <is>
          <t>NO_ROWS</t>
        </is>
      </c>
      <c r="E122" t="n">
        <v>3</v>
      </c>
      <c r="F122" t="inlineStr">
        <is>
          <t>TABLE</t>
        </is>
      </c>
      <c r="G122" t="inlineStr">
        <is>
          <t>TABLE_BANDS</t>
        </is>
      </c>
      <c r="H122" t="inlineStr"/>
      <c r="I122" t="inlineStr">
        <is>
          <t>2026-02-02</t>
        </is>
      </c>
      <c r="J122" t="inlineStr">
        <is>
          <t>CENTURY CONSTRUÇÕES COMÉRCIO E SERVIÇOS LTDA</t>
        </is>
      </c>
      <c r="K122" t="inlineStr">
        <is>
          <t>ativosajce.com.br</t>
        </is>
      </c>
      <c r="L122" s="19" t="inlineStr">
        <is>
          <t>https://ativosajce.com.br/admin/download.php?file=files/processo_documento/processo_documento17302902022026_1_.pdf&amp;nome=Edital de Credores - art. 52, §1º da Lei 11.101/05 - 03/02/2026</t>
        </is>
      </c>
    </row>
    <row r="123">
      <c r="A123" t="inlineStr">
        <is>
          <t>90592dbd6695</t>
        </is>
      </c>
      <c r="B123" t="inlineStr">
        <is>
          <t>1056683-07.2018.8.26.0100</t>
        </is>
      </c>
      <c r="C123" t="inlineStr">
        <is>
          <t>DEBTOR_LIST</t>
        </is>
      </c>
      <c r="D123" t="inlineStr">
        <is>
          <t>NO_ROWS</t>
        </is>
      </c>
      <c r="E123" t="n">
        <v>1</v>
      </c>
      <c r="F123" t="inlineStr">
        <is>
          <t>TABLE</t>
        </is>
      </c>
      <c r="G123" t="inlineStr">
        <is>
          <t>TABLE_BANDS</t>
        </is>
      </c>
      <c r="H123" t="inlineStr"/>
      <c r="J123" t="inlineStr">
        <is>
          <t>ALIANÇA METALÚRGICA SA</t>
        </is>
      </c>
      <c r="K123" t="inlineStr">
        <is>
          <t>ajruiz.com.br</t>
        </is>
      </c>
      <c r="L123" s="19" t="inlineStr">
        <is>
          <t>https://ajruiz.com.br/sites/default/files/public/arquivos-processos/2023-09/edital-de-convocacao-de-credores-art.-52-1-da-lei-11.101-2005-dje-04.07.2018-alianca-metalurgica-min.pdf</t>
        </is>
      </c>
    </row>
    <row r="124">
      <c r="A124" t="inlineStr">
        <is>
          <t>0945234d3c46</t>
        </is>
      </c>
      <c r="B124" t="inlineStr">
        <is>
          <t>1000174-17.2025.8.26.0260</t>
        </is>
      </c>
      <c r="C124" t="inlineStr">
        <is>
          <t>DEBTOR_LIST</t>
        </is>
      </c>
      <c r="D124" t="inlineStr">
        <is>
          <t>NO_ROWS</t>
        </is>
      </c>
      <c r="E124" t="n">
        <v>1</v>
      </c>
      <c r="F124" t="inlineStr">
        <is>
          <t>TABLE</t>
        </is>
      </c>
      <c r="G124" t="inlineStr">
        <is>
          <t>TABLE_BANDS</t>
        </is>
      </c>
      <c r="H124" t="inlineStr"/>
      <c r="I124" t="inlineStr">
        <is>
          <t>2025-02-04</t>
        </is>
      </c>
      <c r="J124" t="inlineStr">
        <is>
          <t>FOR PET COMÉRCIO ATACADISTA E SERVIÇOS DE ASSISTÊNCIA</t>
        </is>
      </c>
      <c r="K124" t="inlineStr">
        <is>
          <t>ativosajce.com.br</t>
        </is>
      </c>
      <c r="L124" s="19" t="inlineStr">
        <is>
          <t>https://ativosajce.com.br/admin/download.php?file=files/processo_documento/processo_documento12465516052025_1_.pdf&amp;nome=Edital de Credores - Art. 52, § 1º, da Lei 11.101/2005 - 15/05/2025</t>
        </is>
      </c>
    </row>
    <row r="125">
      <c r="A125" t="inlineStr">
        <is>
          <t>171141539826</t>
        </is>
      </c>
      <c r="B125" t="inlineStr">
        <is>
          <t>1000040-39.2025.8.26.0373</t>
        </is>
      </c>
      <c r="C125" t="inlineStr">
        <is>
          <t>DEBTOR_LIST</t>
        </is>
      </c>
      <c r="D125" t="inlineStr">
        <is>
          <t>NO_ROWS</t>
        </is>
      </c>
      <c r="E125" t="n">
        <v>1</v>
      </c>
      <c r="F125" t="inlineStr">
        <is>
          <t>TABLE</t>
        </is>
      </c>
      <c r="G125" t="inlineStr">
        <is>
          <t>TABLE_BANDS</t>
        </is>
      </c>
      <c r="H125" t="inlineStr"/>
      <c r="I125" t="inlineStr">
        <is>
          <t>2025-04-28</t>
        </is>
      </c>
      <c r="J125" t="inlineStr">
        <is>
          <t>EMPRESA</t>
        </is>
      </c>
      <c r="K125" t="inlineStr">
        <is>
          <t>ativosajce.com.br</t>
        </is>
      </c>
      <c r="L125" s="19" t="inlineStr">
        <is>
          <t>https://ativosajce.com.br/admin/download.php?file=files/processo_documento/processo_documento13255616052025_1_.pdf&amp;nome=  Edital de Credores - Art. 52, §1º, da Lei 11.101/2005 - 19/05/2025</t>
        </is>
      </c>
    </row>
    <row r="126">
      <c r="A126" t="inlineStr">
        <is>
          <t>4f0f23cea358</t>
        </is>
      </c>
      <c r="B126" t="inlineStr">
        <is>
          <t>1000119-75.2025.8.26.0354</t>
        </is>
      </c>
      <c r="C126" t="inlineStr">
        <is>
          <t>DEBTOR_LIST</t>
        </is>
      </c>
      <c r="D126" t="inlineStr">
        <is>
          <t>NO_ROWS</t>
        </is>
      </c>
      <c r="E126" t="n">
        <v>1</v>
      </c>
      <c r="F126" t="inlineStr">
        <is>
          <t>TABLE</t>
        </is>
      </c>
      <c r="G126" t="inlineStr">
        <is>
          <t>TABLE_BANDS</t>
        </is>
      </c>
      <c r="H126" t="inlineStr"/>
      <c r="I126" t="inlineStr">
        <is>
          <t>2025-03-24</t>
        </is>
      </c>
      <c r="J126" t="inlineStr">
        <is>
          <t>FLAVOUR MIX INDÚSTRIA, COMÉRCIO, IMPORTAÇÃO E EXPORTAÇÃO LTDA</t>
        </is>
      </c>
      <c r="K126" t="inlineStr">
        <is>
          <t>ativosajce.com.br</t>
        </is>
      </c>
      <c r="L126" s="19" t="inlineStr">
        <is>
          <t>https://ativosajce.com.br/admin/download.php?file=files/processo_documento/processo_documento17194304042025_1_.pdf&amp;nome=Edital de Credores - Art. 52, § 1º, da Lei 11.101/2005 - 07/04/2025</t>
        </is>
      </c>
    </row>
    <row r="127">
      <c r="A127" t="inlineStr">
        <is>
          <t>b9eab3a98fed</t>
        </is>
      </c>
      <c r="B127" t="inlineStr">
        <is>
          <t>0214287-36.2023.8.06.0001</t>
        </is>
      </c>
      <c r="C127" t="inlineStr">
        <is>
          <t>HOMOLOG</t>
        </is>
      </c>
      <c r="D127" t="inlineStr">
        <is>
          <t>NO_ROWS</t>
        </is>
      </c>
      <c r="E127" t="n">
        <v>9</v>
      </c>
      <c r="F127" t="inlineStr">
        <is>
          <t>TABLE</t>
        </is>
      </c>
      <c r="G127" t="inlineStr">
        <is>
          <t>TABLE_BANDS</t>
        </is>
      </c>
      <c r="H127" t="inlineStr"/>
      <c r="J127" t="inlineStr">
        <is>
          <t>PÃ¡gina inicial</t>
        </is>
      </c>
      <c r="K127" t="inlineStr">
        <is>
          <t>bugarimecoelho.com.br</t>
        </is>
      </c>
      <c r="L127" s="19" t="inlineStr">
        <is>
          <t>https://bugarimecoelho.com.br/ws/media-library/db4453eda52b4343849ac2b4099aefbf/06---documentos---plano-de-recuperacao.pdf</t>
        </is>
      </c>
    </row>
    <row r="128">
      <c r="A128" t="inlineStr">
        <is>
          <t>77e17a211458</t>
        </is>
      </c>
      <c r="B128" t="inlineStr">
        <is>
          <t>0012822-66.2019.8.16.0185</t>
        </is>
      </c>
      <c r="C128" t="inlineStr">
        <is>
          <t>HOMOLOG</t>
        </is>
      </c>
      <c r="D128" t="inlineStr">
        <is>
          <t>NO_ROWS</t>
        </is>
      </c>
      <c r="E128" t="n">
        <v>1</v>
      </c>
      <c r="F128" t="inlineStr">
        <is>
          <t>TABLE</t>
        </is>
      </c>
      <c r="G128" t="inlineStr">
        <is>
          <t>TABLE_BANDS</t>
        </is>
      </c>
      <c r="H128" t="inlineStr"/>
      <c r="I128" t="inlineStr">
        <is>
          <t>2022-10-13</t>
        </is>
      </c>
      <c r="J128" t="inlineStr">
        <is>
          <t>Marques Administrações Judiciais</t>
        </is>
      </c>
      <c r="K128" t="inlineStr">
        <is>
          <t>marquesadmjudicial.com.br</t>
        </is>
      </c>
      <c r="L128" s="19" t="inlineStr">
        <is>
          <t>https://marquesadmjudicial.com.br/sgc/download.php?file=files/processo_documento/processo_documento11440007032024_1_.pdf&amp;nome=Decisão de homologação do QGC - art. 18 da Lei 11.101_200</t>
        </is>
      </c>
    </row>
    <row r="129">
      <c r="A129" t="inlineStr">
        <is>
          <t>b8c7d63a5f91</t>
        </is>
      </c>
      <c r="B129" t="inlineStr">
        <is>
          <t>0740910-30.1997.8.26.0100</t>
        </is>
      </c>
      <c r="C129" t="inlineStr">
        <is>
          <t>HOMOLOG</t>
        </is>
      </c>
      <c r="D129" t="inlineStr">
        <is>
          <t>NO_ROWS</t>
        </is>
      </c>
      <c r="E129" t="n">
        <v>2</v>
      </c>
      <c r="F129" t="inlineStr">
        <is>
          <t>TABLE</t>
        </is>
      </c>
      <c r="G129" t="inlineStr">
        <is>
          <t>TABLE_BANDS</t>
        </is>
      </c>
      <c r="H129" t="inlineStr"/>
      <c r="J129" t="inlineStr">
        <is>
          <t>Massa Falida de Francismar, Comércio, Importação e Exportação Ltda. e outros – VTL</t>
        </is>
      </c>
      <c r="K129" t="inlineStr">
        <is>
          <t>vtladm.com.br</t>
        </is>
      </c>
      <c r="L129" s="19" t="inlineStr">
        <is>
          <t>https://vtladm.com.br/wp-content/uploads/2024/07/04-–-Decisao-–-Quadro-Geral-de-Credores-Provisorio-e-Ativos-–-Massa-Falida-de-Francismar-Comercio-Importacao-e-Exportacao-Ltda.-e-outros.pdf</t>
        </is>
      </c>
    </row>
    <row r="130">
      <c r="A130" t="inlineStr">
        <is>
          <t>aa45ffaa6eb5</t>
        </is>
      </c>
      <c r="B130" t="inlineStr">
        <is>
          <t>1009827-02.2024.8.26.0576</t>
        </is>
      </c>
      <c r="C130" t="inlineStr">
        <is>
          <t>HOMOLOG</t>
        </is>
      </c>
      <c r="D130" t="inlineStr">
        <is>
          <t>NO_ROWS</t>
        </is>
      </c>
      <c r="E130" t="n">
        <v>6</v>
      </c>
      <c r="F130" t="inlineStr">
        <is>
          <t>TABLE</t>
        </is>
      </c>
      <c r="G130" t="inlineStr">
        <is>
          <t>TABLE_BANDS</t>
        </is>
      </c>
      <c r="H130" t="inlineStr"/>
      <c r="I130" t="inlineStr">
        <is>
          <t>2024-04-05</t>
        </is>
      </c>
      <c r="J130" t="inlineStr">
        <is>
          <t>formuladopelasempresa</t>
        </is>
      </c>
      <c r="K130" t="inlineStr">
        <is>
          <t>vtladm.com.br</t>
        </is>
      </c>
      <c r="L130" s="19" t="inlineStr">
        <is>
          <t>https://vtladm.com.br/wp-content/uploads/2024/04/16-Homologacao-Definitiva-–-Frigorifico-Alfa-e-Ctx.pdf</t>
        </is>
      </c>
    </row>
    <row r="131">
      <c r="A131" t="inlineStr">
        <is>
          <t>c126258d3e40</t>
        </is>
      </c>
      <c r="B131" t="inlineStr">
        <is>
          <t>1000647-12.2025.8.26.0354</t>
        </is>
      </c>
      <c r="C131" t="inlineStr">
        <is>
          <t>HOMOLOG</t>
        </is>
      </c>
      <c r="D131" t="inlineStr">
        <is>
          <t>NO_ROWS</t>
        </is>
      </c>
      <c r="E131" t="n">
        <v>2</v>
      </c>
      <c r="F131" t="inlineStr">
        <is>
          <t>TABLE</t>
        </is>
      </c>
      <c r="G131" t="inlineStr">
        <is>
          <t>TABLE_BANDS</t>
        </is>
      </c>
      <c r="H131" t="inlineStr"/>
      <c r="J131" t="inlineStr">
        <is>
          <t>Meqso Distribuição S.A. e outros – VTL</t>
        </is>
      </c>
      <c r="K131" t="inlineStr">
        <is>
          <t>vtladm.com.br</t>
        </is>
      </c>
      <c r="L131" s="19" t="inlineStr">
        <is>
          <t>https://vtladm.com.br/wp-content/uploads/2025/07/17-–-Sentenca-de-Homologacao-–-Meqso-Distribuicao-S.A.-e-outros.pdf</t>
        </is>
      </c>
    </row>
    <row r="132">
      <c r="A132" t="inlineStr">
        <is>
          <t>f3652e36a7d8</t>
        </is>
      </c>
      <c r="B132" t="inlineStr">
        <is>
          <t>0020395-10.2020.8.19.0001</t>
        </is>
      </c>
      <c r="C132" t="inlineStr">
        <is>
          <t>HOMOLOG</t>
        </is>
      </c>
      <c r="D132" t="inlineStr">
        <is>
          <t>NO_ROWS</t>
        </is>
      </c>
      <c r="E132" t="n">
        <v>1</v>
      </c>
      <c r="F132" t="inlineStr">
        <is>
          <t>TABLE</t>
        </is>
      </c>
      <c r="G132" t="inlineStr">
        <is>
          <t>TABLE_BANDS</t>
        </is>
      </c>
      <c r="H132" t="inlineStr"/>
      <c r="I132" t="inlineStr">
        <is>
          <t>2020-10-15</t>
        </is>
      </c>
      <c r="J132" t="inlineStr">
        <is>
          <t>sociedades COLÉGIO MIGUEL COUTO LTDA</t>
        </is>
      </c>
      <c r="K132" t="inlineStr">
        <is>
          <t>inova-aj.com.br</t>
        </is>
      </c>
      <c r="L132" s="19" t="inlineStr">
        <is>
          <t>https://inova-aj.com.br/wp-content/uploads/2020/10/Edital-Aviso-aos-Credores-homologacao-PRJ-DJE-TJRJ.pdf</t>
        </is>
      </c>
    </row>
    <row r="133">
      <c r="A133" t="inlineStr">
        <is>
          <t>41be4de3a124</t>
        </is>
      </c>
      <c r="B133" t="inlineStr">
        <is>
          <t>5004799-61.2024.8.24.0019</t>
        </is>
      </c>
      <c r="C133" t="inlineStr">
        <is>
          <t>HOMOLOG</t>
        </is>
      </c>
      <c r="D133" t="inlineStr">
        <is>
          <t>NO_ROWS</t>
        </is>
      </c>
      <c r="E133" t="n">
        <v>6</v>
      </c>
      <c r="F133" t="inlineStr">
        <is>
          <t>TABLE</t>
        </is>
      </c>
      <c r="G133" t="inlineStr">
        <is>
          <t>TABLE_BANDS</t>
        </is>
      </c>
      <c r="H133" t="inlineStr"/>
      <c r="I133" t="inlineStr">
        <is>
          <t>2024-04-16</t>
        </is>
      </c>
      <c r="J133" t="inlineStr">
        <is>
          <t>SENTENÇA I - DO RELATÓRIO. Trata-se de pedido de Recuperação Judicia</t>
        </is>
      </c>
      <c r="K133" t="inlineStr">
        <is>
          <t>rlg-aj.com.br</t>
        </is>
      </c>
      <c r="L133" s="19" t="inlineStr">
        <is>
          <t>https://rlg-aj.com.br/wp-content/uploads/2024/05/11.-Homologacao-do-Plano-de-Recuperacao-Judicial.pdf</t>
        </is>
      </c>
    </row>
    <row r="134">
      <c r="A134" t="inlineStr">
        <is>
          <t>1f6b2e492476</t>
        </is>
      </c>
      <c r="B134" t="inlineStr">
        <is>
          <t>1101292-31.2025.8.26.0100</t>
        </is>
      </c>
      <c r="C134" t="inlineStr">
        <is>
          <t>HOMOLOG</t>
        </is>
      </c>
      <c r="D134" t="inlineStr">
        <is>
          <t>NO_ROWS</t>
        </is>
      </c>
      <c r="E134" t="n">
        <v>1</v>
      </c>
      <c r="F134" t="inlineStr">
        <is>
          <t>TABLE</t>
        </is>
      </c>
      <c r="G134" t="inlineStr">
        <is>
          <t>TABLE_BANDS</t>
        </is>
      </c>
      <c r="H134" t="inlineStr"/>
      <c r="I134" t="inlineStr">
        <is>
          <t>2025-07-22</t>
        </is>
      </c>
      <c r="J134" t="inlineStr">
        <is>
          <t>Base | AJ RUIZ - Administração Judicial</t>
        </is>
      </c>
      <c r="K134" t="inlineStr">
        <is>
          <t>ajruiz.com.br</t>
        </is>
      </c>
      <c r="L134" s="19" t="inlineStr">
        <is>
          <t>https://ajruiz.com.br/sites/default/files/public/arquivos-processos/2025-08/9._edital_convocacao_de_credores_two_square.pdf</t>
        </is>
      </c>
    </row>
    <row r="135">
      <c r="A135" t="inlineStr">
        <is>
          <t>abfb4dac3d1c</t>
        </is>
      </c>
      <c r="B135" t="inlineStr">
        <is>
          <t>1101292-31.2025.8.26.0100</t>
        </is>
      </c>
      <c r="C135" t="inlineStr">
        <is>
          <t>HOMOLOG</t>
        </is>
      </c>
      <c r="D135" t="inlineStr">
        <is>
          <t>NO_ROWS</t>
        </is>
      </c>
      <c r="E135" t="n">
        <v>3</v>
      </c>
      <c r="F135" t="inlineStr">
        <is>
          <t>TABLE</t>
        </is>
      </c>
      <c r="G135" t="inlineStr">
        <is>
          <t>TABLE_BANDS</t>
        </is>
      </c>
      <c r="H135" t="inlineStr"/>
      <c r="I135" t="inlineStr">
        <is>
          <t>2025-07-22</t>
        </is>
      </c>
      <c r="J135" t="inlineStr">
        <is>
          <t>Base | AJ RUIZ - Administração Judicial</t>
        </is>
      </c>
      <c r="K135" t="inlineStr">
        <is>
          <t>ajruiz.com.br</t>
        </is>
      </c>
      <c r="L135" s="19" t="inlineStr">
        <is>
          <t>https://ajruiz.com.br/sites/default/files/public/arquivos-processos/2025-11/doc.05_edital_convocacao_de_credores.pdf</t>
        </is>
      </c>
    </row>
    <row r="136">
      <c r="A136" t="inlineStr">
        <is>
          <t>9f3d95c15fc9</t>
        </is>
      </c>
      <c r="B136" t="inlineStr">
        <is>
          <t>0214287-36.2023.8.06.0001</t>
        </is>
      </c>
      <c r="C136" t="inlineStr">
        <is>
          <t>PLAN</t>
        </is>
      </c>
      <c r="D136" t="inlineStr">
        <is>
          <t>NO_ROWS</t>
        </is>
      </c>
      <c r="E136" t="n">
        <v>1</v>
      </c>
      <c r="F136" t="inlineStr">
        <is>
          <t>TABLE</t>
        </is>
      </c>
      <c r="G136" t="inlineStr">
        <is>
          <t>TABLE_BANDS</t>
        </is>
      </c>
      <c r="H136" t="inlineStr"/>
      <c r="J136" t="inlineStr">
        <is>
          <t>Assunto Concurso de Credores Requerente Pminas Brasil Construção Civil e Serviços Ltda</t>
        </is>
      </c>
      <c r="K136" t="inlineStr">
        <is>
          <t>bugarimecoelho.com.br</t>
        </is>
      </c>
      <c r="L136" s="19" t="inlineStr">
        <is>
          <t>https://bugarimecoelho.com.br/ws/media-library/7b5c21dcd2364d13a7efa4904660542a/15.3-edital-plano-de-recuperacao-de-credores.pdf</t>
        </is>
      </c>
    </row>
    <row r="137">
      <c r="A137" t="inlineStr">
        <is>
          <t>ed56f6acc81c</t>
        </is>
      </c>
      <c r="B137" t="inlineStr">
        <is>
          <t>0270804-61.2023.8.06.0001</t>
        </is>
      </c>
      <c r="C137" t="inlineStr">
        <is>
          <t>PLAN</t>
        </is>
      </c>
      <c r="D137" t="inlineStr">
        <is>
          <t>NO_ROWS</t>
        </is>
      </c>
      <c r="E137" t="n">
        <v>1</v>
      </c>
      <c r="F137" t="inlineStr">
        <is>
          <t>TABLE</t>
        </is>
      </c>
      <c r="G137" t="inlineStr">
        <is>
          <t>TABLE_BANDS</t>
        </is>
      </c>
      <c r="H137" t="inlineStr"/>
      <c r="J137" t="inlineStr">
        <is>
          <t>Assunto Concurso de Credores Requerente Rita Farias Martins &amp; Cia</t>
        </is>
      </c>
      <c r="K137" t="inlineStr">
        <is>
          <t>bugarimecoelho.com.br</t>
        </is>
      </c>
      <c r="L137" s="19" t="inlineStr">
        <is>
          <t>https://bugarimecoelho.com.br/ws/media-library/9b759f421b9443558eb06927567c47f0/9.-edital-plano-de-recuperacao-1.pdf</t>
        </is>
      </c>
    </row>
    <row r="138">
      <c r="A138" t="inlineStr">
        <is>
          <t>d3a70ded52ad</t>
        </is>
      </c>
      <c r="B138" t="inlineStr">
        <is>
          <t>5824011-75.2025.8.09.0097</t>
        </is>
      </c>
      <c r="C138" t="inlineStr">
        <is>
          <t>PLAN</t>
        </is>
      </c>
      <c r="D138" t="inlineStr">
        <is>
          <t>NO_ROWS</t>
        </is>
      </c>
      <c r="E138" t="n">
        <v>39</v>
      </c>
      <c r="F138" t="inlineStr">
        <is>
          <t>TABLE</t>
        </is>
      </c>
      <c r="G138" t="inlineStr">
        <is>
          <t>TABLE_BANDS</t>
        </is>
      </c>
      <c r="H138" t="inlineStr"/>
      <c r="I138" t="inlineStr">
        <is>
          <t>2026-04-08</t>
        </is>
      </c>
      <c r="J138" t="inlineStr">
        <is>
          <t>Processo de Recuperação Judicia</t>
        </is>
      </c>
      <c r="K138" t="inlineStr">
        <is>
          <t>stenius.com.br</t>
        </is>
      </c>
      <c r="L138" s="19" t="inlineStr">
        <is>
          <t>https://stenius.com.br/wp-content/uploads/2026/04/5-Plano-de-RJ-mov.142.pdf</t>
        </is>
      </c>
    </row>
    <row r="139">
      <c r="A139" t="inlineStr">
        <is>
          <t>d5373237463a</t>
        </is>
      </c>
      <c r="B139" t="inlineStr">
        <is>
          <t>0012239-96.2021.8.19.0001</t>
        </is>
      </c>
      <c r="C139" t="inlineStr">
        <is>
          <t>PLAN</t>
        </is>
      </c>
      <c r="D139" t="inlineStr">
        <is>
          <t>NO_ROWS</t>
        </is>
      </c>
      <c r="E139" t="n">
        <v>2</v>
      </c>
      <c r="F139" t="inlineStr">
        <is>
          <t>TABLE</t>
        </is>
      </c>
      <c r="G139" t="inlineStr">
        <is>
          <t>TABLE_BANDS</t>
        </is>
      </c>
      <c r="H139" t="inlineStr"/>
      <c r="I139" t="inlineStr">
        <is>
          <t>2021-10-14</t>
        </is>
      </c>
      <c r="J139" t="inlineStr">
        <is>
          <t>sociedade Cimento Tupi S/A</t>
        </is>
      </c>
      <c r="K139" t="inlineStr">
        <is>
          <t>inova-aj.com.br</t>
        </is>
      </c>
      <c r="L139" s="19" t="inlineStr">
        <is>
          <t>https://inova-aj.com.br/wp-content/uploads/2022/06/EDITAL-AVISO-AOS-CREDOREs.pdf</t>
        </is>
      </c>
    </row>
    <row r="140">
      <c r="A140" t="inlineStr">
        <is>
          <t>9babea58fb1f</t>
        </is>
      </c>
      <c r="B140" t="inlineStr">
        <is>
          <t>5011460-76.2025.8.21.0028</t>
        </is>
      </c>
      <c r="C140" t="inlineStr">
        <is>
          <t>PLAN</t>
        </is>
      </c>
      <c r="D140" t="inlineStr">
        <is>
          <t>NO_ROWS</t>
        </is>
      </c>
      <c r="E140" t="n">
        <v>29</v>
      </c>
      <c r="F140" t="inlineStr">
        <is>
          <t>TABLE</t>
        </is>
      </c>
      <c r="G140" t="inlineStr">
        <is>
          <t>TABLE_BANDS</t>
        </is>
      </c>
      <c r="H140" t="inlineStr"/>
      <c r="J140" t="inlineStr">
        <is>
          <t>Agropecuária Pfeifer - RLG-AJ</t>
        </is>
      </c>
      <c r="K140" t="inlineStr">
        <is>
          <t>rlg-aj.com.br</t>
        </is>
      </c>
      <c r="L140" s="19" t="inlineStr">
        <is>
          <t>https://rlg-aj.com.br/wp-content/uploads/2025/11/7.-Plano-de-Recuperacao-Judicial.pdf</t>
        </is>
      </c>
    </row>
    <row r="141">
      <c r="A141" t="inlineStr">
        <is>
          <t>2f275f408688</t>
        </is>
      </c>
      <c r="B141" t="inlineStr">
        <is>
          <t>5074883-62.2023.8.21.0001</t>
        </is>
      </c>
      <c r="C141" t="inlineStr">
        <is>
          <t>PLAN</t>
        </is>
      </c>
      <c r="D141" t="inlineStr">
        <is>
          <t>NO_ROWS</t>
        </is>
      </c>
      <c r="E141" t="n">
        <v>27</v>
      </c>
      <c r="F141" t="inlineStr">
        <is>
          <t>TABLE</t>
        </is>
      </c>
      <c r="G141" t="inlineStr">
        <is>
          <t>TABLE_BANDS</t>
        </is>
      </c>
      <c r="H141" t="inlineStr"/>
      <c r="J141" t="inlineStr">
        <is>
          <t>MAGAZINE SA</t>
        </is>
      </c>
      <c r="K141" t="inlineStr">
        <is>
          <t>rlg-aj.com.br</t>
        </is>
      </c>
      <c r="L141" s="19" t="inlineStr">
        <is>
          <t>https://rlg-aj.com.br/wp-content/uploads/2023/05/Aditivo-PRJ.pdf</t>
        </is>
      </c>
    </row>
    <row r="142">
      <c r="A142" t="inlineStr">
        <is>
          <t>763c7eba3982</t>
        </is>
      </c>
      <c r="B142" t="inlineStr">
        <is>
          <t>5022382-25.2023.8.08.0024</t>
        </is>
      </c>
      <c r="C142" t="inlineStr">
        <is>
          <t>PLAN</t>
        </is>
      </c>
      <c r="D142" t="inlineStr">
        <is>
          <t>NO_ROWS</t>
        </is>
      </c>
      <c r="E142" t="n">
        <v>4</v>
      </c>
      <c r="F142" t="inlineStr">
        <is>
          <t>TABLE</t>
        </is>
      </c>
      <c r="G142" t="inlineStr">
        <is>
          <t>TABLE_BANDS</t>
        </is>
      </c>
      <c r="H142" t="inlineStr">
        <is>
          <t>IV/BRL#s4: FAIL Δ-2621062.61</t>
        </is>
      </c>
      <c r="I142" t="inlineStr">
        <is>
          <t>2024-01-24</t>
        </is>
      </c>
      <c r="J142" t="inlineStr">
        <is>
          <t>Primeiro Aditamento ao Plano de Recuperação Judicia</t>
        </is>
      </c>
      <c r="K142" t="inlineStr">
        <is>
          <t>rlg-aj.com.br</t>
        </is>
      </c>
      <c r="L142" s="19" t="inlineStr">
        <is>
          <t>https://rlg-aj.com.br/wp-content/uploads/2023/08/1º-Aditamento-PRJ-Instituto-CAV.pdf</t>
        </is>
      </c>
    </row>
    <row r="143">
      <c r="A143" t="inlineStr">
        <is>
          <t>ed4490a16a44</t>
        </is>
      </c>
      <c r="B143" t="inlineStr">
        <is>
          <t>5022382-25.2023.8.08.0024</t>
        </is>
      </c>
      <c r="C143" t="inlineStr">
        <is>
          <t>PLAN</t>
        </is>
      </c>
      <c r="D143" t="inlineStr">
        <is>
          <t>NO_ROWS</t>
        </is>
      </c>
      <c r="E143" t="n">
        <v>4</v>
      </c>
      <c r="F143" t="inlineStr">
        <is>
          <t>TABLE</t>
        </is>
      </c>
      <c r="G143" t="inlineStr">
        <is>
          <t>TABLE_BANDS</t>
        </is>
      </c>
      <c r="H143" t="inlineStr"/>
      <c r="I143" t="inlineStr">
        <is>
          <t>2024-01-24</t>
        </is>
      </c>
      <c r="J143" t="inlineStr">
        <is>
          <t>Segundo Aditamento ao Plano de Recuperação Judicia</t>
        </is>
      </c>
      <c r="K143" t="inlineStr">
        <is>
          <t>rlg-aj.com.br</t>
        </is>
      </c>
      <c r="L143" s="19" t="inlineStr">
        <is>
          <t>https://rlg-aj.com.br/wp-content/uploads/2023/08/2º-Aditamento-PRJ-Instituto-CAV.pdf</t>
        </is>
      </c>
    </row>
    <row r="144">
      <c r="A144" t="inlineStr">
        <is>
          <t>c7d7e28f1230</t>
        </is>
      </c>
      <c r="B144" t="inlineStr">
        <is>
          <t>5022382-25.2023.8.08.0024</t>
        </is>
      </c>
      <c r="C144" t="inlineStr">
        <is>
          <t>PLAN</t>
        </is>
      </c>
      <c r="D144" t="inlineStr">
        <is>
          <t>NO_ROWS</t>
        </is>
      </c>
      <c r="E144" t="n">
        <v>2</v>
      </c>
      <c r="F144" t="inlineStr">
        <is>
          <t>TABLE</t>
        </is>
      </c>
      <c r="G144" t="inlineStr">
        <is>
          <t>TABLE_BANDS</t>
        </is>
      </c>
      <c r="H144" t="inlineStr"/>
      <c r="I144" t="inlineStr">
        <is>
          <t>2023-11-09</t>
        </is>
      </c>
      <c r="J144" t="inlineStr">
        <is>
          <t>e Falência</t>
        </is>
      </c>
      <c r="K144" t="inlineStr">
        <is>
          <t>rlg-aj.com.br</t>
        </is>
      </c>
      <c r="L144" s="19" t="inlineStr">
        <is>
          <t>https://rlg-aj.com.br/wp-content/uploads/2023/08/Edital-de-Aviso-de-Entrega-do-Plano-de-Recuperacao-Judicial-Instituto-CAV.pdf</t>
        </is>
      </c>
    </row>
    <row r="145">
      <c r="A145" t="inlineStr">
        <is>
          <t>8420efd56f55</t>
        </is>
      </c>
      <c r="B145" t="inlineStr">
        <is>
          <t>1102669-23.2014.8.26.0100</t>
        </is>
      </c>
      <c r="C145" t="inlineStr">
        <is>
          <t>QGC</t>
        </is>
      </c>
      <c r="D145" t="inlineStr">
        <is>
          <t>NO_ROWS</t>
        </is>
      </c>
      <c r="E145" t="n">
        <v>2</v>
      </c>
      <c r="F145" t="inlineStr">
        <is>
          <t>TABLE</t>
        </is>
      </c>
      <c r="G145" t="inlineStr">
        <is>
          <t>TABLE_BANDS</t>
        </is>
      </c>
      <c r="H145" t="inlineStr"/>
      <c r="I145" t="inlineStr">
        <is>
          <t>2020-09-24</t>
        </is>
      </c>
      <c r="J145" t="inlineStr">
        <is>
          <t>e Falência</t>
        </is>
      </c>
      <c r="K145" t="inlineStr">
        <is>
          <t>brasiltrustee.com.br</t>
        </is>
      </c>
      <c r="L145" s="19" t="inlineStr">
        <is>
          <t>https://brasiltrustee.com.br/wp-content/uploads/falencias/gran/Gran-Industria-Certidao-de-publicacao-do-edital-de-encerramento-da-falencia.pdf</t>
        </is>
      </c>
    </row>
    <row r="146">
      <c r="A146" t="inlineStr">
        <is>
          <t>561af3a175ea</t>
        </is>
      </c>
      <c r="B146" t="inlineStr">
        <is>
          <t>0074372-48.1999.8.26.0100</t>
        </is>
      </c>
      <c r="C146" t="inlineStr">
        <is>
          <t>QGC</t>
        </is>
      </c>
      <c r="D146" t="inlineStr">
        <is>
          <t>NO_ROWS</t>
        </is>
      </c>
      <c r="E146" t="n">
        <v>2</v>
      </c>
      <c r="F146" t="inlineStr">
        <is>
          <t>TABLE</t>
        </is>
      </c>
      <c r="G146" t="inlineStr">
        <is>
          <t>TABLE_BANDS</t>
        </is>
      </c>
      <c r="H146" t="inlineStr"/>
      <c r="I146" t="inlineStr">
        <is>
          <t>2024-11-19</t>
        </is>
      </c>
      <c r="J146" t="inlineStr">
        <is>
          <t>de Massa</t>
        </is>
      </c>
      <c r="K146" t="inlineStr">
        <is>
          <t>gatekeeperaj.com.br</t>
        </is>
      </c>
      <c r="L146" s="19" t="inlineStr">
        <is>
          <t>https://gatekeeperaj.com.br/wp-content/uploads/2025/03/BULLGUER-EDITAL-DE-CONVOCACAO-DE-CREDORES-PARA-APRESENTACAO-DE-DADOSBANCARIOS-DIRETAMENTE-AS-RECUPERANDAS.pdf</t>
        </is>
      </c>
    </row>
    <row r="147">
      <c r="A147" t="inlineStr">
        <is>
          <t>9d262203b21e</t>
        </is>
      </c>
      <c r="B147" t="inlineStr">
        <is>
          <t>5087077-02.2020.8.21.0001</t>
        </is>
      </c>
      <c r="C147" t="inlineStr">
        <is>
          <t>QGC</t>
        </is>
      </c>
      <c r="D147" t="inlineStr">
        <is>
          <t>NO_ROWS</t>
        </is>
      </c>
      <c r="E147" t="n">
        <v>1</v>
      </c>
      <c r="F147" t="inlineStr">
        <is>
          <t>TABLE</t>
        </is>
      </c>
      <c r="G147" t="inlineStr">
        <is>
          <t>TABLE_BANDS</t>
        </is>
      </c>
      <c r="H147" t="inlineStr"/>
      <c r="I147" t="inlineStr">
        <is>
          <t>2021-10-13</t>
        </is>
      </c>
      <c r="J147" t="inlineStr">
        <is>
          <t>Catalise Administração Judicial</t>
        </is>
      </c>
      <c r="K147" t="inlineStr">
        <is>
          <t>cataliseaj.com.br</t>
        </is>
      </c>
      <c r="L147" s="19" t="inlineStr">
        <is>
          <t>https://cataliseaj.com.br/sgc/download.php?file=files/processo_documento/processo_documento17362410062024_1_.pdf&amp;nome=11. DESPACHO HOMOLOGANDO O QUADRO-GERAL DE CREDORES</t>
        </is>
      </c>
    </row>
    <row r="148">
      <c r="A148" t="inlineStr">
        <is>
          <t>1a6ba08e6783</t>
        </is>
      </c>
      <c r="B148" t="inlineStr">
        <is>
          <t>5045407-81.2020.8.21.0001</t>
        </is>
      </c>
      <c r="C148" t="inlineStr">
        <is>
          <t>QGC</t>
        </is>
      </c>
      <c r="D148" t="inlineStr">
        <is>
          <t>NO_ROWS</t>
        </is>
      </c>
      <c r="E148" t="n">
        <v>4</v>
      </c>
      <c r="F148" t="inlineStr">
        <is>
          <t>TABLE</t>
        </is>
      </c>
      <c r="G148" t="inlineStr">
        <is>
          <t>TABLE_BANDS</t>
        </is>
      </c>
      <c r="H148" t="inlineStr"/>
      <c r="I148" t="inlineStr">
        <is>
          <t>2020-04-27</t>
        </is>
      </c>
      <c r="J148" t="inlineStr">
        <is>
          <t>Catalise Administração Judicial</t>
        </is>
      </c>
      <c r="K148" t="inlineStr">
        <is>
          <t>cataliseaj.com.br</t>
        </is>
      </c>
      <c r="L148" s="19" t="inlineStr">
        <is>
          <t>https://cataliseaj.com.br/sgc/download.php?file=files/processo_documento/processo_documento13473310062024_1_.pdf&amp;nome=2. SENTENÇA</t>
        </is>
      </c>
    </row>
    <row r="149">
      <c r="A149" t="inlineStr">
        <is>
          <t>19d36d5aa07a</t>
        </is>
      </c>
      <c r="B149" t="inlineStr">
        <is>
          <t>5073632-14.2020.8.21.0001</t>
        </is>
      </c>
      <c r="C149" t="inlineStr">
        <is>
          <t>QGC</t>
        </is>
      </c>
      <c r="D149" t="inlineStr">
        <is>
          <t>NO_ROWS</t>
        </is>
      </c>
      <c r="E149" t="n">
        <v>4</v>
      </c>
      <c r="F149" t="inlineStr">
        <is>
          <t>TABLE</t>
        </is>
      </c>
      <c r="G149" t="inlineStr">
        <is>
          <t>TABLE_BANDS</t>
        </is>
      </c>
      <c r="H149" t="inlineStr"/>
      <c r="I149" t="inlineStr">
        <is>
          <t>2020-07-03</t>
        </is>
      </c>
      <c r="J149" t="inlineStr">
        <is>
          <t>Catalise Administração Judicial</t>
        </is>
      </c>
      <c r="K149" t="inlineStr">
        <is>
          <t>cataliseaj.com.br</t>
        </is>
      </c>
      <c r="L149" s="19" t="inlineStr">
        <is>
          <t>https://cataliseaj.com.br/sgc/download.php?file=files/processo_documento/processo_documento14165810062024_1_.pdf&amp;nome=3. SENTENÇA DECRETANDO FALÊNCIA</t>
        </is>
      </c>
    </row>
    <row r="150">
      <c r="A150" t="inlineStr">
        <is>
          <t>aa296c7b733a</t>
        </is>
      </c>
      <c r="B150" t="inlineStr">
        <is>
          <t>5087077-02.2020.8.21.0001</t>
        </is>
      </c>
      <c r="C150" t="inlineStr">
        <is>
          <t>QGC</t>
        </is>
      </c>
      <c r="D150" t="inlineStr">
        <is>
          <t>NO_ROWS</t>
        </is>
      </c>
      <c r="E150" t="n">
        <v>4</v>
      </c>
      <c r="F150" t="inlineStr">
        <is>
          <t>TABLE</t>
        </is>
      </c>
      <c r="G150" t="inlineStr">
        <is>
          <t>TABLE_BANDS</t>
        </is>
      </c>
      <c r="H150" t="inlineStr"/>
      <c r="I150" t="inlineStr">
        <is>
          <t>2021-01-20</t>
        </is>
      </c>
      <c r="J150" t="inlineStr">
        <is>
          <t>Catalise Administração Judicial</t>
        </is>
      </c>
      <c r="K150" t="inlineStr">
        <is>
          <t>cataliseaj.com.br</t>
        </is>
      </c>
      <c r="L150" s="19" t="inlineStr">
        <is>
          <t>https://cataliseaj.com.br/sgc/download.php?file=files/processo_documento/processo_documento17325610062024_1_.pdf&amp;nome=3. SENTENÇA DECRETANDO FALÊNCIA</t>
        </is>
      </c>
    </row>
    <row r="151">
      <c r="A151" t="inlineStr">
        <is>
          <t>b4ccebb76ba9</t>
        </is>
      </c>
      <c r="B151" t="inlineStr">
        <is>
          <t>5038430-81.2024.8.24.0023</t>
        </is>
      </c>
      <c r="C151" t="inlineStr">
        <is>
          <t>QGC</t>
        </is>
      </c>
      <c r="D151" t="inlineStr">
        <is>
          <t>NO_ROWS</t>
        </is>
      </c>
      <c r="E151" t="n">
        <v>4</v>
      </c>
      <c r="F151" t="inlineStr">
        <is>
          <t>TABLE</t>
        </is>
      </c>
      <c r="G151" t="inlineStr">
        <is>
          <t>TABLE_BANDS</t>
        </is>
      </c>
      <c r="H151" t="inlineStr"/>
      <c r="I151" t="inlineStr">
        <is>
          <t>2025-11-04</t>
        </is>
      </c>
      <c r="J151" t="inlineStr">
        <is>
          <t>sob o regime da consolidação substancia</t>
        </is>
      </c>
      <c r="K151" t="inlineStr">
        <is>
          <t>scalzilliaj.com.br</t>
        </is>
      </c>
      <c r="L151" s="19" t="inlineStr">
        <is>
          <t>https://scalzilliaj.com.br/sgc/download.php?file=files/processo_documento/processo_documento14115504112025_1_.pdf&amp;nome=22 - Edital QGC Provisório</t>
        </is>
      </c>
    </row>
    <row r="152">
      <c r="A152" t="inlineStr">
        <is>
          <t>6f01e867a43d</t>
        </is>
      </c>
      <c r="B152" t="inlineStr">
        <is>
          <t>0214287-36.2023.8.06.0001</t>
        </is>
      </c>
      <c r="C152" t="inlineStr">
        <is>
          <t>QGC</t>
        </is>
      </c>
      <c r="D152" t="inlineStr">
        <is>
          <t>NO_ROWS</t>
        </is>
      </c>
      <c r="E152" t="n">
        <v>2</v>
      </c>
      <c r="F152" t="inlineStr">
        <is>
          <t>TABLE</t>
        </is>
      </c>
      <c r="G152" t="inlineStr">
        <is>
          <t>TABLE_BANDS</t>
        </is>
      </c>
      <c r="H152" t="inlineStr"/>
      <c r="J152" t="inlineStr">
        <is>
          <t>Assunto Concurso de Credores Requerente Pminas Brasil Construção Civil e Serviços Ltda</t>
        </is>
      </c>
      <c r="K152" t="inlineStr">
        <is>
          <t>bugarimecoelho.com.br</t>
        </is>
      </c>
      <c r="L152" s="19" t="inlineStr">
        <is>
          <t>https://bugarimecoelho.com.br/ws/media-library/39649a27a0fa4879bffa0f86f6a86ce2/30---edital-03o-aditivo-relacao-de-credores-2024.pdf</t>
        </is>
      </c>
    </row>
    <row r="153">
      <c r="A153" t="inlineStr">
        <is>
          <t>0809dc294798</t>
        </is>
      </c>
      <c r="B153" t="inlineStr">
        <is>
          <t>0029070-63.2018.8.16.0017</t>
        </is>
      </c>
      <c r="C153" t="inlineStr">
        <is>
          <t>QGC</t>
        </is>
      </c>
      <c r="D153" t="inlineStr">
        <is>
          <t>NO_ROWS</t>
        </is>
      </c>
      <c r="E153" t="n">
        <v>1</v>
      </c>
      <c r="F153" t="inlineStr">
        <is>
          <t>TABLE</t>
        </is>
      </c>
      <c r="G153" t="inlineStr">
        <is>
          <t>TABLE_BANDS</t>
        </is>
      </c>
      <c r="H153" t="inlineStr">
        <is>
          <t>I/BRL: FAIL Δ-190468.82 · II/BRL: FAIL Δ-553587.13 · III/BRL: FAIL Δ-1775793.13 · IV/BRL: FAIL Δ-35767.34</t>
        </is>
      </c>
      <c r="I153" t="inlineStr">
        <is>
          <t>2018-12-17</t>
        </is>
      </c>
      <c r="J153" t="inlineStr">
        <is>
          <t>Marques Administrações Judiciais</t>
        </is>
      </c>
      <c r="K153" t="inlineStr">
        <is>
          <t>marquesadmjudicial.com.br</t>
        </is>
      </c>
      <c r="L153" s="19" t="inlineStr">
        <is>
          <t>https://marquesadmjudicial.com.br/sgc/download.php?file=files/processo_documento/processo_documento15072807032024_1_.pdf&amp;nome=Anexo V- Quadro Geral de Credores</t>
        </is>
      </c>
    </row>
    <row r="154">
      <c r="A154" t="inlineStr">
        <is>
          <t>a2e29ba616e3</t>
        </is>
      </c>
      <c r="B154" t="inlineStr">
        <is>
          <t>1001190-70.2020.8.26.0069</t>
        </is>
      </c>
      <c r="C154" t="inlineStr">
        <is>
          <t>QGC</t>
        </is>
      </c>
      <c r="D154" t="inlineStr">
        <is>
          <t>NO_ROWS</t>
        </is>
      </c>
      <c r="E154" t="n">
        <v>1</v>
      </c>
      <c r="F154" t="inlineStr">
        <is>
          <t>TABLE</t>
        </is>
      </c>
      <c r="G154" t="inlineStr">
        <is>
          <t>TABLE_BANDS</t>
        </is>
      </c>
      <c r="H154" t="inlineStr">
        <is>
          <t>IV/BRL#s8: PASS Δ-651.80 · I/BRL: FAIL Δ-3000.00 · III/BRL: FAIL Δ-1170024.90</t>
        </is>
      </c>
      <c r="I154" t="inlineStr">
        <is>
          <t>2020-08-14</t>
        </is>
      </c>
      <c r="J154" t="inlineStr">
        <is>
          <t>Marques Administrações Judiciais</t>
        </is>
      </c>
      <c r="K154" t="inlineStr">
        <is>
          <t>marquesadmjudicial.com.br</t>
        </is>
      </c>
      <c r="L154" s="19" t="inlineStr">
        <is>
          <t>https://marquesadmjudicial.com.br/sgc/download.php?file=files/processo_documento/processo_documento11175107032024_1_.pdf&amp;nome=Quadro Geral de Credores-Sintético</t>
        </is>
      </c>
    </row>
    <row r="155">
      <c r="A155" t="inlineStr">
        <is>
          <t>af03c6eb569a</t>
        </is>
      </c>
      <c r="B155" t="inlineStr">
        <is>
          <t>0012043-76.2016.8.16.0069</t>
        </is>
      </c>
      <c r="C155" t="inlineStr">
        <is>
          <t>QGC</t>
        </is>
      </c>
      <c r="D155" t="inlineStr">
        <is>
          <t>NO_ROWS</t>
        </is>
      </c>
      <c r="E155" t="n">
        <v>3</v>
      </c>
      <c r="F155" t="inlineStr">
        <is>
          <t>TABLE</t>
        </is>
      </c>
      <c r="G155" t="inlineStr">
        <is>
          <t>TABLE_BANDS</t>
        </is>
      </c>
      <c r="H155" t="inlineStr">
        <is>
          <t>I/BRL: FAIL Δ-1634718.78 · III/BRL: FAIL Δ-45268009.55 · IV/BRL: FAIL Δ-4017271.48</t>
        </is>
      </c>
      <c r="I155" t="inlineStr">
        <is>
          <t>2017-05-22</t>
        </is>
      </c>
      <c r="J155" t="inlineStr">
        <is>
          <t>Marques Administrações Judiciais</t>
        </is>
      </c>
      <c r="K155" t="inlineStr">
        <is>
          <t>marquesadmjudicial.com.br</t>
        </is>
      </c>
      <c r="L155" s="19" t="inlineStr">
        <is>
          <t>https://marquesadmjudicial.com.br/sgc/download.php?file=files/processo_documento/processo_documento14485421032025_1_.pdf&amp;nome=Relação Nominal de Credores</t>
        </is>
      </c>
    </row>
    <row r="156">
      <c r="A156" t="inlineStr">
        <is>
          <t>9e941671ecfa</t>
        </is>
      </c>
      <c r="B156" t="inlineStr">
        <is>
          <t>0000707-75.2016.8.12.0105</t>
        </is>
      </c>
      <c r="C156" t="inlineStr">
        <is>
          <t>QGC</t>
        </is>
      </c>
      <c r="D156" t="inlineStr">
        <is>
          <t>NO_ROWS</t>
        </is>
      </c>
      <c r="E156" t="n">
        <v>1</v>
      </c>
      <c r="F156" t="inlineStr">
        <is>
          <t>TABLE</t>
        </is>
      </c>
      <c r="G156" t="inlineStr">
        <is>
          <t>TABLE_BANDS</t>
        </is>
      </c>
      <c r="H156" t="inlineStr"/>
      <c r="J156" t="inlineStr">
        <is>
          <t>Pozzomat - Real Brasil Consultoria</t>
        </is>
      </c>
      <c r="K156" t="inlineStr">
        <is>
          <t>realbrasil.com.br</t>
        </is>
      </c>
      <c r="L156" s="19" t="inlineStr">
        <is>
          <t>https://realbrasil.com.br/wp-content/uploads/2018/08/EDITAL_LISTA_QGC_AJ_16.04.2018.pdf</t>
        </is>
      </c>
    </row>
    <row r="157">
      <c r="A157" t="inlineStr">
        <is>
          <t>e1e303dd078a</t>
        </is>
      </c>
      <c r="B157" t="inlineStr">
        <is>
          <t>5775908-92.2025.8.09.0014</t>
        </is>
      </c>
      <c r="C157" t="inlineStr">
        <is>
          <t>QGC</t>
        </is>
      </c>
      <c r="D157" t="inlineStr">
        <is>
          <t>NO_ROWS</t>
        </is>
      </c>
      <c r="E157" t="n">
        <v>3</v>
      </c>
      <c r="F157" t="inlineStr">
        <is>
          <t>TABLE</t>
        </is>
      </c>
      <c r="G157" t="inlineStr">
        <is>
          <t>TABLE_BANDS</t>
        </is>
      </c>
      <c r="H157" t="inlineStr"/>
      <c r="J157" t="inlineStr">
        <is>
          <t>RJ GRUPO FERREIRA - Stenius</t>
        </is>
      </c>
      <c r="K157" t="inlineStr">
        <is>
          <t>stenius.com.br</t>
        </is>
      </c>
      <c r="L157" s="19" t="inlineStr">
        <is>
          <t>https://stenius.com.br/wp-content/uploads/2024/06/mod-divergencia-credito-pessoa-fisica.pdf</t>
        </is>
      </c>
    </row>
    <row r="158">
      <c r="A158" t="inlineStr">
        <is>
          <t>ab409c713deb</t>
        </is>
      </c>
      <c r="B158" t="inlineStr">
        <is>
          <t>5775908-92.2025.8.09.0014</t>
        </is>
      </c>
      <c r="C158" t="inlineStr">
        <is>
          <t>QGC</t>
        </is>
      </c>
      <c r="D158" t="inlineStr">
        <is>
          <t>NO_ROWS</t>
        </is>
      </c>
      <c r="E158" t="n">
        <v>3</v>
      </c>
      <c r="F158" t="inlineStr">
        <is>
          <t>TABLE</t>
        </is>
      </c>
      <c r="G158" t="inlineStr">
        <is>
          <t>TABLE_BANDS</t>
        </is>
      </c>
      <c r="H158" t="inlineStr"/>
      <c r="J158" t="inlineStr">
        <is>
          <t>xxxxxx NOME DA EMPRESA</t>
        </is>
      </c>
      <c r="K158" t="inlineStr">
        <is>
          <t>stenius.com.br</t>
        </is>
      </c>
      <c r="L158" s="19" t="inlineStr">
        <is>
          <t>https://stenius.com.br/wp-content/uploads/2024/06/mod-divergencia-credito-pessoa-juridica.pdf</t>
        </is>
      </c>
    </row>
    <row r="159">
      <c r="A159" t="inlineStr">
        <is>
          <t>3076d9d0b72c</t>
        </is>
      </c>
      <c r="B159" t="inlineStr">
        <is>
          <t>0022066-39.2018.8.19.0001</t>
        </is>
      </c>
      <c r="C159" t="inlineStr">
        <is>
          <t>QGC</t>
        </is>
      </c>
      <c r="D159" t="inlineStr">
        <is>
          <t>NO_ROWS</t>
        </is>
      </c>
      <c r="E159" t="n">
        <v>1</v>
      </c>
      <c r="F159" t="inlineStr">
        <is>
          <t>TABLE</t>
        </is>
      </c>
      <c r="G159" t="inlineStr">
        <is>
          <t>TABLE_BANDS</t>
        </is>
      </c>
      <c r="H159" t="inlineStr"/>
      <c r="I159" t="inlineStr">
        <is>
          <t>2021-06-30</t>
        </is>
      </c>
      <c r="J159" t="inlineStr">
        <is>
          <t>RECICLYN COMÉRCIO E INDÚSTRIA DE METAIS LTDA</t>
        </is>
      </c>
      <c r="K159" t="inlineStr">
        <is>
          <t>inova-aj.com.br</t>
        </is>
      </c>
      <c r="L159" s="19" t="inlineStr">
        <is>
          <t>https://inova-aj.com.br/wp-content/uploads/2021/08/Reciclyn-Edital-homologacao-QGC.xlsx.pdf</t>
        </is>
      </c>
    </row>
    <row r="160">
      <c r="A160" t="inlineStr">
        <is>
          <t>334dc86c6912</t>
        </is>
      </c>
      <c r="B160" t="inlineStr">
        <is>
          <t>0022066-39.2018.8.19.0001</t>
        </is>
      </c>
      <c r="C160" t="inlineStr">
        <is>
          <t>QGC</t>
        </is>
      </c>
      <c r="D160" t="inlineStr">
        <is>
          <t>NO_ROWS</t>
        </is>
      </c>
      <c r="E160" t="n">
        <v>1</v>
      </c>
      <c r="F160" t="inlineStr">
        <is>
          <t>TABLE</t>
        </is>
      </c>
      <c r="G160" t="inlineStr">
        <is>
          <t>TABLE_BANDS</t>
        </is>
      </c>
      <c r="H160" t="inlineStr"/>
      <c r="I160" t="inlineStr">
        <is>
          <t>2021-11-24</t>
        </is>
      </c>
      <c r="J160" t="inlineStr">
        <is>
          <t>RECICLYN COMÉRCIO E INDÚSTRIA DE METAIS LTDA</t>
        </is>
      </c>
      <c r="K160" t="inlineStr">
        <is>
          <t>inova-aj.com.br</t>
        </is>
      </c>
      <c r="L160" s="19" t="inlineStr">
        <is>
          <t>https://inova-aj.com.br/wp-content/uploads/2021/11/Aviso-aos-Credores-QGC.pdf</t>
        </is>
      </c>
    </row>
    <row r="161">
      <c r="A161" t="inlineStr">
        <is>
          <t>045f08cde431</t>
        </is>
      </c>
      <c r="B161" t="inlineStr">
        <is>
          <t>1036296-61.2019.8.26.0576</t>
        </is>
      </c>
      <c r="C161" t="inlineStr">
        <is>
          <t>QGC</t>
        </is>
      </c>
      <c r="D161" t="inlineStr">
        <is>
          <t>NO_ROWS</t>
        </is>
      </c>
      <c r="E161" t="n">
        <v>2</v>
      </c>
      <c r="F161" t="inlineStr">
        <is>
          <t>TABLE</t>
        </is>
      </c>
      <c r="G161" t="inlineStr">
        <is>
          <t>TABLE_BANDS</t>
        </is>
      </c>
      <c r="H161" t="inlineStr"/>
      <c r="J161" t="inlineStr">
        <is>
          <t>- Administração judicia</t>
        </is>
      </c>
      <c r="K161" t="inlineStr">
        <is>
          <t>brasiltrustee.com.br</t>
        </is>
      </c>
      <c r="L161" s="19" t="inlineStr">
        <is>
          <t>https://violet-wolf-754008.hostingersite.com/wp-content/uploads/recuperacoes-judiciais/Flexmix/2-edital-flexmim.pdf</t>
        </is>
      </c>
    </row>
    <row r="162">
      <c r="A162" t="inlineStr">
        <is>
          <t>065e2df70fe3</t>
        </is>
      </c>
      <c r="B162" t="inlineStr">
        <is>
          <t>1001087-02.2022.8.26.0390</t>
        </is>
      </c>
      <c r="C162" t="inlineStr">
        <is>
          <t>QGC</t>
        </is>
      </c>
      <c r="D162" t="inlineStr">
        <is>
          <t>NO_ROWS</t>
        </is>
      </c>
      <c r="E162" t="n">
        <v>2</v>
      </c>
      <c r="F162" t="inlineStr">
        <is>
          <t>TABLE</t>
        </is>
      </c>
      <c r="G162" t="inlineStr">
        <is>
          <t>TABLE_BANDS</t>
        </is>
      </c>
      <c r="H162" t="inlineStr"/>
      <c r="I162" t="inlineStr">
        <is>
          <t>2022-04-01</t>
        </is>
      </c>
      <c r="J162" t="inlineStr">
        <is>
          <t>- Concurso de Credores - Paulo Cesa</t>
        </is>
      </c>
      <c r="K162" t="inlineStr">
        <is>
          <t>brasiltrustee.com.br</t>
        </is>
      </c>
      <c r="L162" s="19" t="inlineStr">
        <is>
          <t>https://violet-wolf-754008.hostingersite.com/wp-content/uploads/2023/04/Segundo-Edital-de-Credores-DJE-Versao-Resumida-1.pdf</t>
        </is>
      </c>
    </row>
    <row r="163">
      <c r="A163" t="inlineStr">
        <is>
          <t>f20e3cba0c8f</t>
        </is>
      </c>
      <c r="B163" t="inlineStr">
        <is>
          <t>1016130-10.2021.8.26.0003</t>
        </is>
      </c>
      <c r="C163" t="inlineStr">
        <is>
          <t>QGC</t>
        </is>
      </c>
      <c r="D163" t="inlineStr">
        <is>
          <t>NO_ROWS</t>
        </is>
      </c>
      <c r="E163" t="n">
        <v>2</v>
      </c>
      <c r="F163" t="inlineStr">
        <is>
          <t>TABLE</t>
        </is>
      </c>
      <c r="G163" t="inlineStr">
        <is>
          <t>TABLE_BANDS</t>
        </is>
      </c>
      <c r="H163" t="inlineStr"/>
      <c r="I163" t="inlineStr">
        <is>
          <t>2019-05-10</t>
        </is>
      </c>
      <c r="J163" t="inlineStr">
        <is>
          <t>GateKeeper | Recuperação Judicial em São Paulo – Ética, técnica e profissionalismo na administração judicial de processos de recuperação e falência.</t>
        </is>
      </c>
      <c r="K163" t="inlineStr">
        <is>
          <t>gatekeeperaj.com.br</t>
        </is>
      </c>
      <c r="L163" s="19" t="inlineStr">
        <is>
          <t>https://gatekeeperaj.com.br/wp-content/uploads/2025/04/Actech-Edital.pdf</t>
        </is>
      </c>
    </row>
    <row r="164">
      <c r="A164" t="inlineStr">
        <is>
          <t>48298808b906</t>
        </is>
      </c>
      <c r="B164" t="inlineStr">
        <is>
          <t>0000001-29.1994.8.24.0041</t>
        </is>
      </c>
      <c r="C164" t="inlineStr">
        <is>
          <t>QGC</t>
        </is>
      </c>
      <c r="D164" t="inlineStr">
        <is>
          <t>NO_ROWS</t>
        </is>
      </c>
      <c r="E164" t="n">
        <v>3</v>
      </c>
      <c r="F164" t="inlineStr">
        <is>
          <t>TABLE</t>
        </is>
      </c>
      <c r="G164" t="inlineStr">
        <is>
          <t>TABLE_BANDS</t>
        </is>
      </c>
      <c r="H164" t="inlineStr"/>
      <c r="I164" t="inlineStr">
        <is>
          <t>2022-08-03</t>
        </is>
      </c>
      <c r="J164" t="inlineStr">
        <is>
          <t>e de Falência</t>
        </is>
      </c>
      <c r="K164" t="inlineStr">
        <is>
          <t>cb2d.com.br</t>
        </is>
      </c>
      <c r="L164" s="19" t="inlineStr">
        <is>
          <t>https://www.cb2d.com.br/portal/_uploads/b0e0a4df-2197-458f-a189-34730b944fe8.pdf</t>
        </is>
      </c>
    </row>
    <row r="165">
      <c r="A165" t="inlineStr">
        <is>
          <t>38759f5553cf</t>
        </is>
      </c>
      <c r="B165" t="inlineStr">
        <is>
          <t>5119022-07.2020.8.21.0001</t>
        </is>
      </c>
      <c r="C165" t="inlineStr">
        <is>
          <t>QGC</t>
        </is>
      </c>
      <c r="D165" t="inlineStr">
        <is>
          <t>NO_ROWS</t>
        </is>
      </c>
      <c r="E165" t="n">
        <v>1</v>
      </c>
      <c r="F165" t="inlineStr">
        <is>
          <t>TABLE</t>
        </is>
      </c>
      <c r="G165" t="inlineStr">
        <is>
          <t>TABLE_BANDS</t>
        </is>
      </c>
      <c r="H165" t="inlineStr"/>
      <c r="I165" t="inlineStr">
        <is>
          <t>2024-02-15</t>
        </is>
      </c>
      <c r="J165" t="inlineStr">
        <is>
          <t>5119022-07.2020.8.21.0001 | CB2D</t>
        </is>
      </c>
      <c r="K165" t="inlineStr">
        <is>
          <t>cb2d.com.br</t>
        </is>
      </c>
      <c r="L165" s="19" t="inlineStr">
        <is>
          <t>https://www.cb2d.com.br/portal/_uploads/145fde83-1f78-4142-9ef8-af71ed24142f.pdf</t>
        </is>
      </c>
    </row>
    <row r="166">
      <c r="A166" t="inlineStr">
        <is>
          <t>7ce06e6759b0</t>
        </is>
      </c>
      <c r="B166" t="inlineStr">
        <is>
          <t>5127763-65.2022.8.21.0001</t>
        </is>
      </c>
      <c r="C166" t="inlineStr">
        <is>
          <t>QGC</t>
        </is>
      </c>
      <c r="D166" t="inlineStr">
        <is>
          <t>NO_ROWS</t>
        </is>
      </c>
      <c r="E166" t="n">
        <v>1</v>
      </c>
      <c r="F166" t="inlineStr">
        <is>
          <t>TABLE</t>
        </is>
      </c>
      <c r="G166" t="inlineStr">
        <is>
          <t>TABLE_BANDS</t>
        </is>
      </c>
      <c r="H166" t="inlineStr"/>
      <c r="I166" t="inlineStr">
        <is>
          <t>2024-11-12</t>
        </is>
      </c>
      <c r="J166" t="inlineStr">
        <is>
          <t>5127763-65.2022.8.21.0001 | CB2D</t>
        </is>
      </c>
      <c r="K166" t="inlineStr">
        <is>
          <t>cb2d.com.br</t>
        </is>
      </c>
      <c r="L166" s="19" t="inlineStr">
        <is>
          <t>https://www.cb2d.com.br/portal/_uploads/8eb3ddfa-3436-45c1-a4f6-5a248d2a53f8.pdf</t>
        </is>
      </c>
    </row>
    <row r="167">
      <c r="A167" t="inlineStr">
        <is>
          <t>f1eea4bebd70</t>
        </is>
      </c>
      <c r="B167" t="inlineStr">
        <is>
          <t>1039842-97.2019.8.26.0100</t>
        </is>
      </c>
      <c r="C167" t="inlineStr">
        <is>
          <t>QGC</t>
        </is>
      </c>
      <c r="D167" t="inlineStr">
        <is>
          <t>NO_ROWS</t>
        </is>
      </c>
      <c r="E167" t="n">
        <v>46</v>
      </c>
      <c r="F167" t="inlineStr">
        <is>
          <t>TABLE</t>
        </is>
      </c>
      <c r="G167" t="inlineStr">
        <is>
          <t>TABLE_BANDS</t>
        </is>
      </c>
      <c r="H167" t="inlineStr"/>
      <c r="I167" t="inlineStr">
        <is>
          <t>2019-04-30</t>
        </is>
      </c>
      <c r="J167" t="inlineStr">
        <is>
          <t>CONCRESERV CONCRETO S/A</t>
        </is>
      </c>
      <c r="K167" t="inlineStr">
        <is>
          <t>ajruiz.com.br</t>
        </is>
      </c>
      <c r="L167" s="19" t="inlineStr">
        <is>
          <t>https://ajruiz.com.br/sites/default/files/public/arquivos-processos/2026-09/qgc_concreserv.pdf</t>
        </is>
      </c>
    </row>
    <row r="168">
      <c r="A168" t="inlineStr">
        <is>
          <t>b9be5ce6fb96</t>
        </is>
      </c>
      <c r="B168" t="inlineStr">
        <is>
          <t>1000197-12.2025.8.26.0373</t>
        </is>
      </c>
      <c r="C168" t="inlineStr">
        <is>
          <t>QGC</t>
        </is>
      </c>
      <c r="D168" t="inlineStr">
        <is>
          <t>NO_ROWS</t>
        </is>
      </c>
      <c r="E168" t="n">
        <v>4</v>
      </c>
      <c r="F168" t="inlineStr">
        <is>
          <t>TABLE</t>
        </is>
      </c>
      <c r="G168" t="inlineStr">
        <is>
          <t>TABLE_BANDS</t>
        </is>
      </c>
      <c r="H168" t="inlineStr"/>
      <c r="J168" t="inlineStr">
        <is>
          <t>Ativos</t>
        </is>
      </c>
      <c r="K168" t="inlineStr">
        <is>
          <t>ativosajce.com.br</t>
        </is>
      </c>
      <c r="L168" s="19" t="inlineStr">
        <is>
          <t>https://ativosajce.com.br/admin/download.php?file=files/processo_documento/processo_documento11442511082026_1_.pdf&amp;nome=Decisão de Homologação do Quadro Geral de Credores - Art. 18 da Lei n° 11.101/2005 - 10/08/2026</t>
        </is>
      </c>
    </row>
    <row r="169">
      <c r="A169" t="inlineStr">
        <is>
          <t>da278abb9923</t>
        </is>
      </c>
      <c r="B169" t="inlineStr">
        <is>
          <t>1000197-12.2025.8.26.0373</t>
        </is>
      </c>
      <c r="C169" t="inlineStr">
        <is>
          <t>QGC</t>
        </is>
      </c>
      <c r="D169" t="inlineStr">
        <is>
          <t>NO_ROWS</t>
        </is>
      </c>
      <c r="E169" t="n">
        <v>6</v>
      </c>
      <c r="F169" t="inlineStr">
        <is>
          <t>TABLE</t>
        </is>
      </c>
      <c r="G169" t="inlineStr">
        <is>
          <t>TABLE_RULED</t>
        </is>
      </c>
      <c r="H169" t="inlineStr"/>
      <c r="J169" t="inlineStr">
        <is>
          <t>Ativos</t>
        </is>
      </c>
      <c r="K169" t="inlineStr">
        <is>
          <t>ativosajce.com.br</t>
        </is>
      </c>
      <c r="L169" s="19" t="inlineStr">
        <is>
          <t>https://ativosajce.com.br/admin/download.php?file=files/processo_documento/processo_documento17011809052025_1_.pdf&amp;nome=Relação de Credores - art. 52, §1º da Lei 11.101/05 - 08/05/2025</t>
        </is>
      </c>
    </row>
    <row r="170">
      <c r="A170" t="inlineStr">
        <is>
          <t>cfb47e5ee93a</t>
        </is>
      </c>
      <c r="B170" t="inlineStr">
        <is>
          <t>0720699-10.2018.8.02.0001</t>
        </is>
      </c>
      <c r="C170" t="inlineStr">
        <is>
          <t>UNKNOWN</t>
        </is>
      </c>
      <c r="D170" t="inlineStr">
        <is>
          <t>NO_ROWS</t>
        </is>
      </c>
      <c r="E170" t="n">
        <v>5</v>
      </c>
      <c r="F170" t="inlineStr">
        <is>
          <t>TABLE</t>
        </is>
      </c>
      <c r="G170" t="inlineStr">
        <is>
          <t>TABLE_BANDS</t>
        </is>
      </c>
      <c r="H170" t="inlineStr"/>
      <c r="J170" t="inlineStr">
        <is>
          <t>ENENGI - Página — Lindoso e Araujo</t>
        </is>
      </c>
      <c r="K170" t="inlineStr">
        <is>
          <t>recuperacaojudicial.squarespace.com</t>
        </is>
      </c>
      <c r="L170" s="19" t="inlineStr">
        <is>
          <t>https://recuperacaojudicial.squarespace.com/s/Edital-1-lista-publicado.pdf</t>
        </is>
      </c>
    </row>
    <row r="171">
      <c r="A171" t="inlineStr">
        <is>
          <t>fbae1868c302</t>
        </is>
      </c>
      <c r="B171" t="inlineStr">
        <is>
          <t>0301621-43.2016.8.24.0037</t>
        </is>
      </c>
      <c r="C171" t="inlineStr">
        <is>
          <t>UNKNOWN</t>
        </is>
      </c>
      <c r="D171" t="inlineStr">
        <is>
          <t>NO_ROWS</t>
        </is>
      </c>
      <c r="E171" t="n">
        <v>2</v>
      </c>
      <c r="F171" t="inlineStr">
        <is>
          <t>TABLE</t>
        </is>
      </c>
      <c r="G171" t="inlineStr">
        <is>
          <t>TABLE_BANDS</t>
        </is>
      </c>
      <c r="H171" t="inlineStr"/>
      <c r="I171" t="inlineStr">
        <is>
          <t>2025-06-02</t>
        </is>
      </c>
      <c r="J171" t="inlineStr">
        <is>
          <t>SCZ Scalzilli Administração Judicial</t>
        </is>
      </c>
      <c r="K171" t="inlineStr">
        <is>
          <t>scalzilliaj.com.br</t>
        </is>
      </c>
      <c r="L171" s="19" t="inlineStr">
        <is>
          <t>https://scalzilliaj.com.br/sgc/download.php?file=files/processo_documento/processo_documento14411302062025_1_.pdf&amp;nome=12 - Edital de chamamento aos credores</t>
        </is>
      </c>
    </row>
    <row r="172">
      <c r="A172" t="inlineStr">
        <is>
          <t>1242e83d7015</t>
        </is>
      </c>
      <c r="B172" t="inlineStr">
        <is>
          <t>0720699-10.2018.8.02.0001</t>
        </is>
      </c>
      <c r="C172" t="inlineStr">
        <is>
          <t>UNKNOWN</t>
        </is>
      </c>
      <c r="D172" t="inlineStr">
        <is>
          <t>NO_ROWS</t>
        </is>
      </c>
      <c r="E172" t="n">
        <v>4</v>
      </c>
      <c r="F172" t="inlineStr">
        <is>
          <t>TABLE</t>
        </is>
      </c>
      <c r="G172" t="inlineStr">
        <is>
          <t>TABLE_BANDS</t>
        </is>
      </c>
      <c r="H172" t="inlineStr"/>
      <c r="J172" t="inlineStr">
        <is>
          <t>ENENGI - Página — Lindoso e Araujo</t>
        </is>
      </c>
      <c r="K172" t="inlineStr">
        <is>
          <t>recuperacaojudicial.squarespace.com</t>
        </is>
      </c>
      <c r="L172" s="19" t="inlineStr">
        <is>
          <t>https://recuperacaojudicial.squarespace.com/s/Edital2lista.pdf</t>
        </is>
      </c>
    </row>
    <row r="173">
      <c r="A173" t="inlineStr">
        <is>
          <t>030b8070be9a</t>
        </is>
      </c>
      <c r="B173" t="inlineStr">
        <is>
          <t>0026395-77.2025.8.16.0019</t>
        </is>
      </c>
      <c r="C173" t="inlineStr">
        <is>
          <t>UNKNOWN</t>
        </is>
      </c>
      <c r="D173" t="inlineStr">
        <is>
          <t>NO_ROWS</t>
        </is>
      </c>
      <c r="E173" t="n">
        <v>3</v>
      </c>
      <c r="F173" t="inlineStr">
        <is>
          <t>TABLE</t>
        </is>
      </c>
      <c r="G173" t="inlineStr">
        <is>
          <t>TABLE_BANDS</t>
        </is>
      </c>
      <c r="H173" t="inlineStr"/>
      <c r="I173" t="inlineStr">
        <is>
          <t>2025-08-01</t>
        </is>
      </c>
      <c r="J173" t="inlineStr">
        <is>
          <t>GRUPO FOREST – Sgrott Administradora Judicial e Consultoria Empresarial</t>
        </is>
      </c>
      <c r="K173" t="inlineStr">
        <is>
          <t>administradorajudicialgs.com.br</t>
        </is>
      </c>
      <c r="L173" s="19" t="inlineStr">
        <is>
          <t>https://administradorajudicialgs.com.br/wp-content/uploads/2025/09/relacao-de-credores-forest-espirito-santo.pdf</t>
        </is>
      </c>
    </row>
    <row r="174">
      <c r="A174" t="inlineStr">
        <is>
          <t>fbeaa10658de</t>
        </is>
      </c>
      <c r="B174" t="inlineStr">
        <is>
          <t>0705602-96.2020.8.02.0001</t>
        </is>
      </c>
      <c r="C174" t="inlineStr">
        <is>
          <t>UNKNOWN</t>
        </is>
      </c>
      <c r="D174" t="inlineStr">
        <is>
          <t>NO_ROWS</t>
        </is>
      </c>
      <c r="E174" t="n">
        <v>4</v>
      </c>
      <c r="F174" t="inlineStr">
        <is>
          <t>TABLE</t>
        </is>
      </c>
      <c r="G174" t="inlineStr">
        <is>
          <t>TABLE_BANDS</t>
        </is>
      </c>
      <c r="H174" t="inlineStr"/>
      <c r="J174" t="inlineStr">
        <is>
          <t>JC Magalhães (Tecampo) e Biocampo — Lindoso e Araujo</t>
        </is>
      </c>
      <c r="K174" t="inlineStr">
        <is>
          <t>recuperacaojudicial.squarespace.com</t>
        </is>
      </c>
      <c r="L174" s="19" t="inlineStr">
        <is>
          <t>https://recuperacaojudicial.squarespace.com/s/RJ-JC-Magalhes-Edital-1a-lista-publicado-dezembro-2020.pdf</t>
        </is>
      </c>
    </row>
    <row r="175">
      <c r="A175" t="inlineStr">
        <is>
          <t>e62a665e78b6</t>
        </is>
      </c>
      <c r="B175" t="inlineStr">
        <is>
          <t>0026395-77.2025.8.16.0019</t>
        </is>
      </c>
      <c r="C175" t="inlineStr">
        <is>
          <t>UNKNOWN</t>
        </is>
      </c>
      <c r="D175" t="inlineStr">
        <is>
          <t>NO_ROWS</t>
        </is>
      </c>
      <c r="E175" t="n">
        <v>5</v>
      </c>
      <c r="F175" t="inlineStr">
        <is>
          <t>TABLE</t>
        </is>
      </c>
      <c r="G175" t="inlineStr">
        <is>
          <t>TABLE_BANDS</t>
        </is>
      </c>
      <c r="H175" t="inlineStr"/>
      <c r="I175" t="inlineStr">
        <is>
          <t>2025-08-01</t>
        </is>
      </c>
      <c r="J175" t="inlineStr">
        <is>
          <t>GRUPO FOREST – Sgrott Administradora Judicial e Consultoria Empresarial</t>
        </is>
      </c>
      <c r="K175" t="inlineStr">
        <is>
          <t>administradorajudicialgs.com.br</t>
        </is>
      </c>
      <c r="L175" s="19" t="inlineStr">
        <is>
          <t>https://administradorajudicialgs.com.br/wp-content/uploads/2025/09/relacao-de-credores-greenpar.pdf</t>
        </is>
      </c>
    </row>
    <row r="176">
      <c r="A176" t="inlineStr">
        <is>
          <t>c9b98f116a3e</t>
        </is>
      </c>
      <c r="B176" t="inlineStr">
        <is>
          <t>0700137-87.2012.8.02.0001</t>
        </is>
      </c>
      <c r="C176" t="inlineStr">
        <is>
          <t>UNKNOWN</t>
        </is>
      </c>
      <c r="D176" t="inlineStr">
        <is>
          <t>NO_ROWS</t>
        </is>
      </c>
      <c r="E176" t="n">
        <v>1</v>
      </c>
      <c r="F176" t="inlineStr">
        <is>
          <t>TABLE</t>
        </is>
      </c>
      <c r="G176" t="inlineStr">
        <is>
          <t>TABLE_BANDS</t>
        </is>
      </c>
      <c r="H176" t="inlineStr"/>
      <c r="J176" t="inlineStr">
        <is>
          <t>empresa</t>
        </is>
      </c>
      <c r="K176" t="inlineStr">
        <is>
          <t>recuperacaojudicial.squarespace.com</t>
        </is>
      </c>
      <c r="L176" s="19" t="inlineStr">
        <is>
          <t>https://recuperacaojudicial.squarespace.com/s/10847-Despacho-publicacao-edital-do-aditivo.pdf</t>
        </is>
      </c>
    </row>
    <row r="177">
      <c r="A177" t="inlineStr">
        <is>
          <t>34936bc46236</t>
        </is>
      </c>
      <c r="B177" t="inlineStr">
        <is>
          <t>0700137-87.2012.8.02.0001</t>
        </is>
      </c>
      <c r="C177" t="inlineStr">
        <is>
          <t>UNKNOWN</t>
        </is>
      </c>
      <c r="D177" t="inlineStr">
        <is>
          <t>NO_ROWS</t>
        </is>
      </c>
      <c r="E177" t="n">
        <v>3</v>
      </c>
      <c r="F177" t="inlineStr">
        <is>
          <t>TABLE</t>
        </is>
      </c>
      <c r="G177" t="inlineStr">
        <is>
          <t>TABLE_BANDS</t>
        </is>
      </c>
      <c r="H177" t="inlineStr"/>
      <c r="J177" t="inlineStr">
        <is>
          <t>MONTEC — Lindoso e Araujo</t>
        </is>
      </c>
      <c r="K177" t="inlineStr">
        <is>
          <t>recuperacaojudicial.squarespace.com</t>
        </is>
      </c>
      <c r="L177" s="19" t="inlineStr">
        <is>
          <t>https://recuperacaojudicial.squarespace.com/s/Edital-de-intimaco-Montec.pdf</t>
        </is>
      </c>
    </row>
    <row r="178">
      <c r="A178" t="inlineStr">
        <is>
          <t>3cf6816c7a51</t>
        </is>
      </c>
      <c r="B178" t="inlineStr">
        <is>
          <t>5009701-15.2017.8.21.0010</t>
        </is>
      </c>
      <c r="C178" t="inlineStr">
        <is>
          <t>UNKNOWN</t>
        </is>
      </c>
      <c r="D178" t="inlineStr">
        <is>
          <t>NO_ROWS</t>
        </is>
      </c>
      <c r="E178" t="n">
        <v>1</v>
      </c>
      <c r="F178" t="inlineStr">
        <is>
          <t>TABLE</t>
        </is>
      </c>
      <c r="G178" t="inlineStr">
        <is>
          <t>TABLE_BANDS</t>
        </is>
      </c>
      <c r="H178" t="inlineStr"/>
      <c r="J178" t="inlineStr">
        <is>
          <t>SCZ Scalzilli Administração Judicial</t>
        </is>
      </c>
      <c r="K178" t="inlineStr">
        <is>
          <t>scalzilliaj.com.br</t>
        </is>
      </c>
      <c r="L178" s="19" t="inlineStr">
        <is>
          <t>https://scalzilliaj.com.br/sgc/download.php?file=files/processo_documento/processo_documento15224007012022_1_.pdf&amp;nome=07 - Edital do art. 7º, §2º (segunda lista de credores) e do art. 53 da Lei 11.101/2005 (recebimento do plano)</t>
        </is>
      </c>
    </row>
    <row r="179">
      <c r="A179" t="inlineStr">
        <is>
          <t>3e91fd88d5d3</t>
        </is>
      </c>
      <c r="B179" t="inlineStr">
        <is>
          <t>0036136-44.2025.8.16.0019</t>
        </is>
      </c>
      <c r="C179" t="inlineStr">
        <is>
          <t>UNKNOWN</t>
        </is>
      </c>
      <c r="D179" t="inlineStr">
        <is>
          <t>NO_ROWS</t>
        </is>
      </c>
      <c r="E179" t="n">
        <v>1</v>
      </c>
      <c r="F179" t="inlineStr">
        <is>
          <t>TABLE</t>
        </is>
      </c>
      <c r="G179" t="inlineStr">
        <is>
          <t>TABLE_BANDS</t>
        </is>
      </c>
      <c r="H179" t="inlineStr"/>
      <c r="I179" t="inlineStr">
        <is>
          <t>2026-07-20</t>
        </is>
      </c>
      <c r="J179" t="inlineStr">
        <is>
          <t>SCZ Scalzilli Administração Judicial</t>
        </is>
      </c>
      <c r="K179" t="inlineStr">
        <is>
          <t>scalzilliaj.com.br</t>
        </is>
      </c>
      <c r="L179" s="19" t="inlineStr">
        <is>
          <t>https://scalzilliaj.com.br/sgc/download.php?file=files/processo_documento/processo_documento16114620072026_1_.pdf&amp;nome=17 - Edital de aviso aos credores acerca do aditivo ao PRJ</t>
        </is>
      </c>
    </row>
    <row r="180">
      <c r="A180" t="inlineStr">
        <is>
          <t>7eb04c71da7c</t>
        </is>
      </c>
      <c r="B180" t="inlineStr">
        <is>
          <t>0700296-64.2018.8.02.0051</t>
        </is>
      </c>
      <c r="C180" t="inlineStr">
        <is>
          <t>UNKNOWN</t>
        </is>
      </c>
      <c r="D180" t="inlineStr">
        <is>
          <t>NO_ROWS</t>
        </is>
      </c>
      <c r="E180" t="n">
        <v>26</v>
      </c>
      <c r="F180" t="inlineStr">
        <is>
          <t>TABLE</t>
        </is>
      </c>
      <c r="G180" t="inlineStr">
        <is>
          <t>TABLE_BANDS</t>
        </is>
      </c>
      <c r="H180" t="inlineStr"/>
      <c r="J180" t="inlineStr">
        <is>
          <t>Usina Santa Clotilde S/A — Lindoso e Araujo</t>
        </is>
      </c>
      <c r="K180" t="inlineStr">
        <is>
          <t>recuperacaojudicial.squarespace.com</t>
        </is>
      </c>
      <c r="L180" s="19" t="inlineStr">
        <is>
          <t>https://recuperacaojudicial.squarespace.com/s/Edital2listapublicadonoprocesso.pdf</t>
        </is>
      </c>
    </row>
    <row r="181">
      <c r="A181" t="inlineStr">
        <is>
          <t>8a24c47af3d4</t>
        </is>
      </c>
      <c r="B181" t="inlineStr">
        <is>
          <t>4000750-22.2026.8.26.0260</t>
        </is>
      </c>
      <c r="C181" t="inlineStr">
        <is>
          <t>UNKNOWN</t>
        </is>
      </c>
      <c r="D181" t="inlineStr">
        <is>
          <t>NO_ROWS</t>
        </is>
      </c>
      <c r="E181" t="n">
        <v>5</v>
      </c>
      <c r="F181" t="inlineStr">
        <is>
          <t>TABLE</t>
        </is>
      </c>
      <c r="G181" t="inlineStr">
        <is>
          <t>TABLE_BANDS</t>
        </is>
      </c>
      <c r="H181" t="inlineStr"/>
      <c r="J181" t="inlineStr">
        <is>
          <t>SCZ Scalzilli Administração Judicial</t>
        </is>
      </c>
      <c r="K181" t="inlineStr">
        <is>
          <t>scalzilliaj.com.br</t>
        </is>
      </c>
      <c r="L181" s="19" t="inlineStr">
        <is>
          <t>https://scalzilliaj.com.br/sgc/download.php?file=files/processo_documento/processo_documento17122807072026_1_.pdf&amp;nome=04. Lista de credores apresentada pela Recuperanda</t>
        </is>
      </c>
    </row>
    <row r="182">
      <c r="A182" t="inlineStr">
        <is>
          <t>ffeee06a99e5</t>
        </is>
      </c>
      <c r="B182" t="inlineStr">
        <is>
          <t>1001535-69.2025.8.26.0260</t>
        </is>
      </c>
      <c r="C182" t="inlineStr">
        <is>
          <t>UNKNOWN</t>
        </is>
      </c>
      <c r="D182" t="inlineStr">
        <is>
          <t>NO_ROWS</t>
        </is>
      </c>
      <c r="E182" t="n">
        <v>2</v>
      </c>
      <c r="F182" t="inlineStr">
        <is>
          <t>TABLE</t>
        </is>
      </c>
      <c r="G182" t="inlineStr">
        <is>
          <t>TABLE_BANDS</t>
        </is>
      </c>
      <c r="H182" t="inlineStr"/>
      <c r="J182" t="inlineStr">
        <is>
          <t>SCZ Scalzilli Administração Judicial</t>
        </is>
      </c>
      <c r="K182" t="inlineStr">
        <is>
          <t>scalzilliaj.com.br</t>
        </is>
      </c>
      <c r="L182" s="19" t="inlineStr">
        <is>
          <t>https://scalzilliaj.com.br/sgc/download.php?file=files/processo_documento/processo_documento16524820102025_1_.pdf&amp;nome=4. Lista de Credores</t>
        </is>
      </c>
    </row>
    <row r="183">
      <c r="A183" t="inlineStr">
        <is>
          <t>5e814a03f43d</t>
        </is>
      </c>
      <c r="B183" t="inlineStr">
        <is>
          <t>1038041-94.2025.8.26.0114</t>
        </is>
      </c>
      <c r="C183" t="inlineStr">
        <is>
          <t>UNKNOWN</t>
        </is>
      </c>
      <c r="D183" t="inlineStr">
        <is>
          <t>NO_ROWS</t>
        </is>
      </c>
      <c r="E183" t="n">
        <v>10</v>
      </c>
      <c r="F183" t="inlineStr">
        <is>
          <t>TABLE</t>
        </is>
      </c>
      <c r="G183" t="inlineStr">
        <is>
          <t>TABLE_BANDS</t>
        </is>
      </c>
      <c r="H183" t="inlineStr"/>
      <c r="J183" t="inlineStr">
        <is>
          <t>Catalise Administração Judicial</t>
        </is>
      </c>
      <c r="K183" t="inlineStr">
        <is>
          <t>cataliseaj.com.br</t>
        </is>
      </c>
      <c r="L183" s="19" t="inlineStr">
        <is>
          <t>https://cataliseaj.com.br/sgc/download.php?file=files/processo_documento/processo_documento16015218052026_1_.pdf&amp;nome=2. Sentença de Decretação de Falência</t>
        </is>
      </c>
    </row>
    <row r="184">
      <c r="A184" t="inlineStr">
        <is>
          <t>45c5de1fd562</t>
        </is>
      </c>
      <c r="B184" t="inlineStr">
        <is>
          <t>0300852-53.2018.8.24.0073</t>
        </is>
      </c>
      <c r="C184" t="inlineStr">
        <is>
          <t>UNKNOWN</t>
        </is>
      </c>
      <c r="D184" t="inlineStr">
        <is>
          <t>NO_ROWS</t>
        </is>
      </c>
      <c r="E184" t="n">
        <v>4</v>
      </c>
      <c r="F184" t="inlineStr">
        <is>
          <t>TABLE</t>
        </is>
      </c>
      <c r="G184" t="inlineStr">
        <is>
          <t>TABLE_BANDS</t>
        </is>
      </c>
      <c r="H184" t="inlineStr"/>
      <c r="J184" t="inlineStr">
        <is>
          <t>BLUE HILL HOTEL – GRUPO REUTER – Sgrott Administradora Judicial e Consultoria Empresarial</t>
        </is>
      </c>
      <c r="K184" t="inlineStr">
        <is>
          <t>administradorajudicialgs.com.br</t>
        </is>
      </c>
      <c r="L184" s="19" t="inlineStr">
        <is>
          <t>https://administradorajudicialgs.com.br/wp-content/uploads/2023/08/doc-05-edital-publicacao-da-decisao-de-processamento-e-relacao-credores-2.pdf</t>
        </is>
      </c>
    </row>
    <row r="185">
      <c r="A185" t="inlineStr">
        <is>
          <t>3e6cc0cffd63</t>
        </is>
      </c>
      <c r="B185" t="inlineStr">
        <is>
          <t>0300754-52.2017.8.24.0025</t>
        </is>
      </c>
      <c r="C185" t="inlineStr">
        <is>
          <t>UNKNOWN</t>
        </is>
      </c>
      <c r="D185" t="inlineStr">
        <is>
          <t>NO_ROWS</t>
        </is>
      </c>
      <c r="E185" t="n">
        <v>10</v>
      </c>
      <c r="F185" t="inlineStr">
        <is>
          <t>TABLE</t>
        </is>
      </c>
      <c r="G185" t="inlineStr">
        <is>
          <t>TABLE_RULED</t>
        </is>
      </c>
      <c r="H185" t="inlineStr"/>
      <c r="J185" t="inlineStr">
        <is>
          <t>CONFECÇÕES ROLÚ LTDA – Sgrott Administradora Judicial e Consultoria Empresarial</t>
        </is>
      </c>
      <c r="K185" t="inlineStr">
        <is>
          <t>administradorajudicialgs.com.br</t>
        </is>
      </c>
      <c r="L185" s="19" t="inlineStr">
        <is>
          <t>https://administradorajudicialgs.com.br/wp-content/uploads/2023/08/doc-02-relacao-de-credores-rolu.pdf</t>
        </is>
      </c>
    </row>
    <row r="186">
      <c r="A186" t="inlineStr">
        <is>
          <t>9962ff030a6b</t>
        </is>
      </c>
      <c r="B186" t="inlineStr">
        <is>
          <t>5009856-38.2024.8.21.0021</t>
        </is>
      </c>
      <c r="C186" t="inlineStr">
        <is>
          <t>UNKNOWN</t>
        </is>
      </c>
      <c r="D186" t="inlineStr">
        <is>
          <t>NO_ROWS</t>
        </is>
      </c>
      <c r="E186" t="n">
        <v>1</v>
      </c>
      <c r="F186" t="inlineStr">
        <is>
          <t>TABLE</t>
        </is>
      </c>
      <c r="G186" t="inlineStr">
        <is>
          <t>TABLE_BANDS</t>
        </is>
      </c>
      <c r="H186" t="inlineStr"/>
      <c r="I186" t="inlineStr">
        <is>
          <t>2024-09-10</t>
        </is>
      </c>
      <c r="J186" t="inlineStr">
        <is>
          <t>SCZ Scalzilli Administração Judicial</t>
        </is>
      </c>
      <c r="K186" t="inlineStr">
        <is>
          <t>scalzilliaj.com.br</t>
        </is>
      </c>
      <c r="L186" s="19" t="inlineStr">
        <is>
          <t>https://scalzilliaj.com.br/sgc/download.php?file=files/processo_documento/processo_documento12225110092024_1_.pdf&amp;nome=10 - Edital de aviso de apresentação do Plano  - art. 53, § único, da Lei 11.101/2005.</t>
        </is>
      </c>
    </row>
    <row r="187">
      <c r="A187" t="inlineStr">
        <is>
          <t>63e64b55827a</t>
        </is>
      </c>
      <c r="B187" t="inlineStr">
        <is>
          <t>0214287-36.2023.8.06.0001</t>
        </is>
      </c>
      <c r="C187" t="inlineStr">
        <is>
          <t>UNKNOWN</t>
        </is>
      </c>
      <c r="D187" t="inlineStr">
        <is>
          <t>NO_ROWS</t>
        </is>
      </c>
      <c r="E187" t="n">
        <v>1</v>
      </c>
      <c r="F187" t="inlineStr">
        <is>
          <t>TABLE</t>
        </is>
      </c>
      <c r="G187" t="inlineStr">
        <is>
          <t>TABLE_BANDS</t>
        </is>
      </c>
      <c r="H187" t="inlineStr"/>
      <c r="J187" t="inlineStr">
        <is>
          <t>PÃ¡gina inicial</t>
        </is>
      </c>
      <c r="K187" t="inlineStr">
        <is>
          <t>bugarimecoelho.com.br</t>
        </is>
      </c>
      <c r="L187" s="19" t="inlineStr">
        <is>
          <t>https://bugarimecoelho.com.br/ws/media-library/529864d937d1e84f83cd79dfc3818cc0/42---05o-aditivo-qgc.1.pdf</t>
        </is>
      </c>
    </row>
    <row r="188">
      <c r="A188" t="inlineStr">
        <is>
          <t>36aa23c18d6d</t>
        </is>
      </c>
      <c r="B188" t="inlineStr">
        <is>
          <t>0214287-36.2023.8.06.0001</t>
        </is>
      </c>
      <c r="C188" t="inlineStr">
        <is>
          <t>UNKNOWN</t>
        </is>
      </c>
      <c r="D188" t="inlineStr">
        <is>
          <t>NO_ROWS</t>
        </is>
      </c>
      <c r="E188" t="n">
        <v>1</v>
      </c>
      <c r="F188" t="inlineStr">
        <is>
          <t>TABLE</t>
        </is>
      </c>
      <c r="G188" t="inlineStr">
        <is>
          <t>TABLE_BANDS</t>
        </is>
      </c>
      <c r="H188" t="inlineStr"/>
      <c r="J188" t="inlineStr">
        <is>
          <t>PÃ¡gina inicial</t>
        </is>
      </c>
      <c r="K188" t="inlineStr">
        <is>
          <t>bugarimecoelho.com.br</t>
        </is>
      </c>
      <c r="L188" s="19" t="inlineStr">
        <is>
          <t>https://bugarimecoelho.com.br/ws/media-library/cef5327057ca72630d638b3990d56748/49---06o-aditivo-qgc.1.pdf</t>
        </is>
      </c>
    </row>
    <row r="189">
      <c r="A189" t="inlineStr">
        <is>
          <t>a9ea6ab42eec</t>
        </is>
      </c>
      <c r="B189" t="inlineStr">
        <is>
          <t>0270804-61.2023.8.06.0001</t>
        </is>
      </c>
      <c r="C189" t="inlineStr">
        <is>
          <t>UNKNOWN</t>
        </is>
      </c>
      <c r="D189" t="inlineStr">
        <is>
          <t>NO_ROWS</t>
        </is>
      </c>
      <c r="E189" t="n">
        <v>1</v>
      </c>
      <c r="F189" t="inlineStr">
        <is>
          <t>TABLE</t>
        </is>
      </c>
      <c r="G189" t="inlineStr">
        <is>
          <t>TABLE_BANDS</t>
        </is>
      </c>
      <c r="H189" t="inlineStr"/>
      <c r="J189" t="inlineStr">
        <is>
          <t>PÃ¡gina inicial</t>
        </is>
      </c>
      <c r="K189" t="inlineStr">
        <is>
          <t>bugarimecoelho.com.br</t>
        </is>
      </c>
      <c r="L189" s="19" t="inlineStr">
        <is>
          <t>https://bugarimecoelho.com.br/ws/media-library/0c29765738a16e16582196f612c123da/26---01o-aditivo-ao-qgc.1.pdf</t>
        </is>
      </c>
    </row>
    <row r="190">
      <c r="A190" t="inlineStr">
        <is>
          <t>5a9350c331b9</t>
        </is>
      </c>
      <c r="B190" t="inlineStr">
        <is>
          <t>0214287-36.2023.8.06.0001</t>
        </is>
      </c>
      <c r="C190" t="inlineStr">
        <is>
          <t>UNKNOWN</t>
        </is>
      </c>
      <c r="D190" t="inlineStr">
        <is>
          <t>NO_ROWS</t>
        </is>
      </c>
      <c r="E190" t="n">
        <v>8</v>
      </c>
      <c r="F190" t="inlineStr">
        <is>
          <t>TABLE</t>
        </is>
      </c>
      <c r="G190" t="inlineStr">
        <is>
          <t>TABLE_BANDS</t>
        </is>
      </c>
      <c r="H190" t="inlineStr"/>
      <c r="J190" t="inlineStr">
        <is>
          <t>PÃ¡gina inicial</t>
        </is>
      </c>
      <c r="K190" t="inlineStr">
        <is>
          <t>bugarimecoelho.com.br</t>
        </is>
      </c>
      <c r="L190" s="19" t="inlineStr">
        <is>
          <t>https://bugarimecoelho.com.br/ws/media-library/bfbc17fbdefe9dc65d5906722c786f0a/40---01o-aditivo-ao-plano-de-recuperacao-judicial.pdf</t>
        </is>
      </c>
    </row>
    <row r="191">
      <c r="A191" t="inlineStr">
        <is>
          <t>34584baa497b</t>
        </is>
      </c>
      <c r="B191" t="inlineStr">
        <is>
          <t>0214287-36.2023.8.06.0001</t>
        </is>
      </c>
      <c r="C191" t="inlineStr">
        <is>
          <t>UNKNOWN</t>
        </is>
      </c>
      <c r="D191" t="inlineStr">
        <is>
          <t>NO_ROWS</t>
        </is>
      </c>
      <c r="E191" t="n">
        <v>10</v>
      </c>
      <c r="F191" t="inlineStr">
        <is>
          <t>TABLE</t>
        </is>
      </c>
      <c r="G191" t="inlineStr">
        <is>
          <t>TABLE_BANDS</t>
        </is>
      </c>
      <c r="H191" t="inlineStr"/>
      <c r="J191" t="inlineStr">
        <is>
          <t>PÃ¡gina inicial</t>
        </is>
      </c>
      <c r="K191" t="inlineStr">
        <is>
          <t>bugarimecoelho.com.br</t>
        </is>
      </c>
      <c r="L191" s="19" t="inlineStr">
        <is>
          <t>https://bugarimecoelho.com.br/ws/media-library/841bcbba9d4de7c0c353039710b890d8/42---02deg-aditivo-ao-plano-de-recuperacao-judicial-13-22.pdf</t>
        </is>
      </c>
    </row>
    <row r="192">
      <c r="A192" t="inlineStr">
        <is>
          <t>9dc113ff7eff</t>
        </is>
      </c>
      <c r="B192" t="inlineStr">
        <is>
          <t>0214287-36.2023.8.06.0001</t>
        </is>
      </c>
      <c r="C192" t="inlineStr">
        <is>
          <t>UNKNOWN</t>
        </is>
      </c>
      <c r="D192" t="inlineStr">
        <is>
          <t>NO_ROWS</t>
        </is>
      </c>
      <c r="E192" t="n">
        <v>6</v>
      </c>
      <c r="F192" t="inlineStr">
        <is>
          <t>TABLE</t>
        </is>
      </c>
      <c r="G192" t="inlineStr">
        <is>
          <t>TABLE_BANDS</t>
        </is>
      </c>
      <c r="H192" t="inlineStr"/>
      <c r="J192" t="inlineStr">
        <is>
          <t>PÃ¡gina inicial</t>
        </is>
      </c>
      <c r="K192" t="inlineStr">
        <is>
          <t>bugarimecoelho.com.br</t>
        </is>
      </c>
      <c r="L192" s="19" t="inlineStr">
        <is>
          <t>https://bugarimecoelho.com.br/ws/media-library/955480f67a493215d5fef2c3147ffdea/45---03deg-aditivo-ao-plano-de-recuperacao-judicial.pdf</t>
        </is>
      </c>
    </row>
    <row r="193">
      <c r="A193" t="inlineStr">
        <is>
          <t>a923271a1999</t>
        </is>
      </c>
      <c r="B193" t="inlineStr">
        <is>
          <t>3000117-40.2025.8.06.0512</t>
        </is>
      </c>
      <c r="C193" t="inlineStr">
        <is>
          <t>UNKNOWN</t>
        </is>
      </c>
      <c r="D193" t="inlineStr">
        <is>
          <t>NO_ROWS</t>
        </is>
      </c>
      <c r="E193" t="n">
        <v>8</v>
      </c>
      <c r="F193" t="inlineStr">
        <is>
          <t>TABLE</t>
        </is>
      </c>
      <c r="G193" t="inlineStr">
        <is>
          <t>TABLE_BANDS</t>
        </is>
      </c>
      <c r="H193" t="inlineStr"/>
      <c r="J193" t="inlineStr">
        <is>
          <t>PÃ¡gina inicial</t>
        </is>
      </c>
      <c r="K193" t="inlineStr">
        <is>
          <t>bugarimecoelho.com.br</t>
        </is>
      </c>
      <c r="L193" s="19" t="inlineStr">
        <is>
          <t>https://bugarimecoelho.com.br/ws/media-library/9ad2df0a19eb3365e6333816a0a7d63a/16---apelacao-da-sentenca-de-extincao.pdf</t>
        </is>
      </c>
    </row>
    <row r="194">
      <c r="A194" t="inlineStr">
        <is>
          <t>b8296ab8030d</t>
        </is>
      </c>
      <c r="B194" t="inlineStr">
        <is>
          <t>1111148-53.2024.8.26.0100</t>
        </is>
      </c>
      <c r="C194" t="inlineStr">
        <is>
          <t>UNKNOWN</t>
        </is>
      </c>
      <c r="D194" t="inlineStr">
        <is>
          <t>NO_ROWS</t>
        </is>
      </c>
      <c r="E194" t="n">
        <v>64</v>
      </c>
      <c r="F194" t="inlineStr">
        <is>
          <t>TABLE</t>
        </is>
      </c>
      <c r="G194" t="inlineStr">
        <is>
          <t>TABLE_BANDS</t>
        </is>
      </c>
      <c r="H194" t="inlineStr"/>
      <c r="J194" t="inlineStr">
        <is>
          <t>GRUPO METALLOYS - Vivante Gestão e Administração Judicial</t>
        </is>
      </c>
      <c r="K194" t="inlineStr">
        <is>
          <t>vivanteaj.com.br</t>
        </is>
      </c>
      <c r="L194" s="19" t="inlineStr">
        <is>
          <t>https://vivanteaj.com.br/wp-content/uploads/2024/11/Aditivo-ao-PRJ-Grupo-Metalloys.pdf</t>
        </is>
      </c>
    </row>
    <row r="195">
      <c r="A195" t="inlineStr">
        <is>
          <t>9ec50724c96c</t>
        </is>
      </c>
      <c r="B195" t="inlineStr">
        <is>
          <t>0124413-63.2006.8.05.0001</t>
        </is>
      </c>
      <c r="C195" t="inlineStr">
        <is>
          <t>UNKNOWN</t>
        </is>
      </c>
      <c r="D195" t="inlineStr">
        <is>
          <t>NO_ROWS</t>
        </is>
      </c>
      <c r="E195" t="n">
        <v>3</v>
      </c>
      <c r="F195" t="inlineStr">
        <is>
          <t>TABLE</t>
        </is>
      </c>
      <c r="G195" t="inlineStr">
        <is>
          <t>TABLE_BANDS</t>
        </is>
      </c>
      <c r="H195" t="inlineStr"/>
      <c r="I195" t="inlineStr">
        <is>
          <t>2017-01-18</t>
        </is>
      </c>
      <c r="J195" t="inlineStr">
        <is>
          <t>AGENDA ASSESSORIA EMPRESARIAL LTDA – ME - Vivante Gestão e Administração Judicial</t>
        </is>
      </c>
      <c r="K195" t="inlineStr">
        <is>
          <t>vivanteaj.com.br</t>
        </is>
      </c>
      <c r="L195" s="19" t="inlineStr">
        <is>
          <t>https://vivanteaj.com.br/wp-content/uploads/2024/11/Sentenca-de-decretacao-da-falencia-2.pdf</t>
        </is>
      </c>
    </row>
    <row r="196">
      <c r="A196" t="inlineStr">
        <is>
          <t>734abeccd127</t>
        </is>
      </c>
      <c r="B196" t="inlineStr">
        <is>
          <t>0012043-76.2016.8.16.0069</t>
        </is>
      </c>
      <c r="C196" t="inlineStr">
        <is>
          <t>UNKNOWN</t>
        </is>
      </c>
      <c r="D196" t="inlineStr">
        <is>
          <t>NO_ROWS</t>
        </is>
      </c>
      <c r="E196" t="n">
        <v>17</v>
      </c>
      <c r="F196" t="inlineStr">
        <is>
          <t>TABLE</t>
        </is>
      </c>
      <c r="G196" t="inlineStr">
        <is>
          <t>TABLE_BANDS</t>
        </is>
      </c>
      <c r="H196" t="inlineStr"/>
      <c r="I196" t="inlineStr">
        <is>
          <t>2017-03-21</t>
        </is>
      </c>
      <c r="J196" t="inlineStr">
        <is>
          <t>Marques Administrações Judiciais</t>
        </is>
      </c>
      <c r="K196" t="inlineStr">
        <is>
          <t>marquesadmjudicial.com.br</t>
        </is>
      </c>
      <c r="L196" s="19" t="inlineStr">
        <is>
          <t>https://marquesadmjudicial.com.br/sgc/download.php?file=files/processo_documento/processo_documento16175907032024_1_.pdf&amp;nome=Anexo V - Lista de Credores</t>
        </is>
      </c>
    </row>
    <row r="197">
      <c r="A197" t="inlineStr">
        <is>
          <t>6bdf9d7925f2</t>
        </is>
      </c>
      <c r="B197" t="inlineStr">
        <is>
          <t>0804994-81.2024.8.07.0016</t>
        </is>
      </c>
      <c r="C197" t="inlineStr">
        <is>
          <t>UNKNOWN</t>
        </is>
      </c>
      <c r="D197" t="inlineStr">
        <is>
          <t>NO_ROWS</t>
        </is>
      </c>
      <c r="E197" t="n">
        <v>2</v>
      </c>
      <c r="F197" t="inlineStr">
        <is>
          <t>TABLE</t>
        </is>
      </c>
      <c r="G197" t="inlineStr">
        <is>
          <t>TABLE_BANDS</t>
        </is>
      </c>
      <c r="H197" t="inlineStr"/>
      <c r="I197" t="inlineStr">
        <is>
          <t>2026-02-23</t>
        </is>
      </c>
      <c r="J197" t="inlineStr">
        <is>
          <t>Ellite Consultoria E Assessoria Ltda. – VTL</t>
        </is>
      </c>
      <c r="K197" t="inlineStr">
        <is>
          <t>vtladm.com.br</t>
        </is>
      </c>
      <c r="L197" s="19" t="inlineStr">
        <is>
          <t>https://vtladm.com.br/wp-content/uploads/2026/01/07-Sentenca-Embargos-de-Declaracao-Ellite-Consultoria-E-Assessoria-Ltda.pdf</t>
        </is>
      </c>
    </row>
    <row r="198">
      <c r="A198" t="inlineStr">
        <is>
          <t>2512aa41775c</t>
        </is>
      </c>
      <c r="B198" t="inlineStr">
        <is>
          <t>0016033-22.2025.8.16.0017</t>
        </is>
      </c>
      <c r="C198" t="inlineStr">
        <is>
          <t>UNKNOWN</t>
        </is>
      </c>
      <c r="D198" t="inlineStr">
        <is>
          <t>NO_ROWS</t>
        </is>
      </c>
      <c r="E198" t="n">
        <v>2</v>
      </c>
      <c r="F198" t="inlineStr">
        <is>
          <t>TABLE</t>
        </is>
      </c>
      <c r="G198" t="inlineStr">
        <is>
          <t>TABLE_BANDS</t>
        </is>
      </c>
      <c r="H198" t="inlineStr"/>
      <c r="I198" t="inlineStr">
        <is>
          <t>2025-06-30</t>
        </is>
      </c>
      <c r="J198" t="inlineStr">
        <is>
          <t>Marques Administrações Judiciais</t>
        </is>
      </c>
      <c r="K198" t="inlineStr">
        <is>
          <t>marquesadmjudicial.com.br</t>
        </is>
      </c>
      <c r="L198" s="19" t="inlineStr">
        <is>
          <t>https://marquesadmjudicial.com.br/sgc/download.php?file=files/processo_documento/processo_documento15471501122025_1_.pdf&amp;nome=Relação Inicial De Credores</t>
        </is>
      </c>
    </row>
    <row r="199">
      <c r="A199" t="inlineStr">
        <is>
          <t>cee2c8e57bba</t>
        </is>
      </c>
      <c r="B199" t="inlineStr">
        <is>
          <t>1094652-46.2024.8.26.0100</t>
        </is>
      </c>
      <c r="C199" t="inlineStr">
        <is>
          <t>UNKNOWN</t>
        </is>
      </c>
      <c r="D199" t="inlineStr">
        <is>
          <t>NO_ROWS</t>
        </is>
      </c>
      <c r="E199" t="n">
        <v>74</v>
      </c>
      <c r="F199" t="inlineStr">
        <is>
          <t>TABLE</t>
        </is>
      </c>
      <c r="G199" t="inlineStr">
        <is>
          <t>TABLE_BANDS</t>
        </is>
      </c>
      <c r="H199" t="inlineStr"/>
      <c r="J199" t="inlineStr">
        <is>
          <t>Massa Falida de Blue Sol Energia Solar Ltda. e outros – VTL</t>
        </is>
      </c>
      <c r="K199" t="inlineStr">
        <is>
          <t>vtladm.com.br</t>
        </is>
      </c>
      <c r="L199" s="19" t="inlineStr">
        <is>
          <t>https://vtladm.com.br/wp-content/uploads/2024/09/DOC-07.pdf</t>
        </is>
      </c>
    </row>
    <row r="200">
      <c r="A200" t="inlineStr">
        <is>
          <t>b11d48546a8f</t>
        </is>
      </c>
      <c r="B200" t="inlineStr">
        <is>
          <t>8054910-22.2020.8.05.0001</t>
        </is>
      </c>
      <c r="C200" t="inlineStr">
        <is>
          <t>UNKNOWN</t>
        </is>
      </c>
      <c r="D200" t="inlineStr">
        <is>
          <t>NO_ROWS</t>
        </is>
      </c>
      <c r="E200" t="n">
        <v>3</v>
      </c>
      <c r="F200" t="inlineStr">
        <is>
          <t>TABLE</t>
        </is>
      </c>
      <c r="G200" t="inlineStr">
        <is>
          <t>TABLE_BANDS</t>
        </is>
      </c>
      <c r="H200" t="inlineStr"/>
      <c r="I200" t="inlineStr">
        <is>
          <t>2025-07-16</t>
        </is>
      </c>
      <c r="J200" t="inlineStr">
        <is>
          <t>Hoteis e Pousadas Belle Mer Brasil S/A - Real Brasil Consultoria</t>
        </is>
      </c>
      <c r="K200" t="inlineStr">
        <is>
          <t>realbrasil.com.br</t>
        </is>
      </c>
      <c r="L200" s="19" t="inlineStr">
        <is>
          <t>https://realbrasil.com.br/wp-content/uploads/2025/07/3.EDITAL-PROCESSAMENTO-DA-RJ-E-LISTA-DE-CREDORES.pdf</t>
        </is>
      </c>
    </row>
    <row r="201">
      <c r="A201" t="inlineStr">
        <is>
          <t>70b76b24bd5d</t>
        </is>
      </c>
      <c r="B201" t="inlineStr">
        <is>
          <t>5048671-58.2024.8.08.0024</t>
        </is>
      </c>
      <c r="C201" t="inlineStr">
        <is>
          <t>UNKNOWN</t>
        </is>
      </c>
      <c r="D201" t="inlineStr">
        <is>
          <t>NO_ROWS</t>
        </is>
      </c>
      <c r="E201" t="n">
        <v>1</v>
      </c>
      <c r="F201" t="inlineStr">
        <is>
          <t>TABLE</t>
        </is>
      </c>
      <c r="G201" t="inlineStr">
        <is>
          <t>TABLE_BANDS</t>
        </is>
      </c>
      <c r="H201" t="inlineStr"/>
      <c r="I201" t="inlineStr">
        <is>
          <t>2025-01-27</t>
        </is>
      </c>
      <c r="J201" t="inlineStr">
        <is>
          <t>E FALÊNCIA</t>
        </is>
      </c>
      <c r="K201" t="inlineStr">
        <is>
          <t>ricardobiancardi.com.br</t>
        </is>
      </c>
      <c r="L201" s="19" t="inlineStr">
        <is>
          <t>https://ricardobiancardi.com.br/wp-content/uploads/2025/01/Edital-locacao-e-venda-de-bens-pub.-27.01.25.pdf</t>
        </is>
      </c>
    </row>
    <row r="202">
      <c r="A202" t="inlineStr">
        <is>
          <t>ea7068b3f6c5</t>
        </is>
      </c>
      <c r="B202" t="inlineStr">
        <is>
          <t>1003643-62.2016.8.26.0462</t>
        </is>
      </c>
      <c r="C202" t="inlineStr">
        <is>
          <t>UNKNOWN</t>
        </is>
      </c>
      <c r="D202" t="inlineStr">
        <is>
          <t>NO_ROWS</t>
        </is>
      </c>
      <c r="E202" t="n">
        <v>7</v>
      </c>
      <c r="F202" t="inlineStr">
        <is>
          <t>TABLE</t>
        </is>
      </c>
      <c r="G202" t="inlineStr">
        <is>
          <t>TABLE_BANDS</t>
        </is>
      </c>
      <c r="H202" t="inlineStr"/>
      <c r="J202" t="inlineStr">
        <is>
          <t>Termkcal do Brasil Isolamentos Térmicos LTDA - Real Brasil Consultoria</t>
        </is>
      </c>
      <c r="K202" t="inlineStr">
        <is>
          <t>realbrasil.com.br</t>
        </is>
      </c>
      <c r="L202" s="19" t="inlineStr">
        <is>
          <t>https://realbrasil.com.br/wp-content/uploads/2025/07/LISTA-DE-CREDORES-DO-AJ_NELSON-GAREY_Parte3.pdf</t>
        </is>
      </c>
    </row>
    <row r="203">
      <c r="A203" t="inlineStr">
        <is>
          <t>53285be17268</t>
        </is>
      </c>
      <c r="B203" t="inlineStr">
        <is>
          <t>1003643-62.2016.8.26.0462</t>
        </is>
      </c>
      <c r="C203" t="inlineStr">
        <is>
          <t>UNKNOWN</t>
        </is>
      </c>
      <c r="D203" t="inlineStr">
        <is>
          <t>NO_ROWS</t>
        </is>
      </c>
      <c r="E203" t="n">
        <v>8</v>
      </c>
      <c r="F203" t="inlineStr">
        <is>
          <t>TABLE</t>
        </is>
      </c>
      <c r="G203" t="inlineStr">
        <is>
          <t>TABLE_BANDS</t>
        </is>
      </c>
      <c r="H203" t="inlineStr"/>
      <c r="J203" t="inlineStr">
        <is>
          <t>Termkcal do Brasil Isolamentos Térmicos LTDA - Real Brasil Consultoria</t>
        </is>
      </c>
      <c r="K203" t="inlineStr">
        <is>
          <t>realbrasil.com.br</t>
        </is>
      </c>
      <c r="L203" s="19" t="inlineStr">
        <is>
          <t>https://realbrasil.com.br/wp-content/uploads/2025/07/LISTA-DE-CREDORES-DO-AJ_NELSON-GAREY_Parte4.pdf</t>
        </is>
      </c>
    </row>
    <row r="204">
      <c r="A204" t="inlineStr">
        <is>
          <t>b333d5a34884</t>
        </is>
      </c>
      <c r="B204" t="inlineStr">
        <is>
          <t>1003643-62.2016.8.26.0462</t>
        </is>
      </c>
      <c r="C204" t="inlineStr">
        <is>
          <t>UNKNOWN</t>
        </is>
      </c>
      <c r="D204" t="inlineStr">
        <is>
          <t>NO_ROWS</t>
        </is>
      </c>
      <c r="E204" t="n">
        <v>8</v>
      </c>
      <c r="F204" t="inlineStr">
        <is>
          <t>TABLE</t>
        </is>
      </c>
      <c r="G204" t="inlineStr">
        <is>
          <t>TABLE_BANDS</t>
        </is>
      </c>
      <c r="H204" t="inlineStr"/>
      <c r="J204" t="inlineStr">
        <is>
          <t>Termkcal do Brasil Isolamentos Térmicos LTDA - Real Brasil Consultoria</t>
        </is>
      </c>
      <c r="K204" t="inlineStr">
        <is>
          <t>realbrasil.com.br</t>
        </is>
      </c>
      <c r="L204" s="19" t="inlineStr">
        <is>
          <t>https://realbrasil.com.br/wp-content/uploads/2025/07/LISTA-DE-CREDORES-DO-AJ_NELSON-GAREY_Parte5.pdf</t>
        </is>
      </c>
    </row>
    <row r="205">
      <c r="A205" t="inlineStr">
        <is>
          <t>3f05e76b2948</t>
        </is>
      </c>
      <c r="B205" t="inlineStr">
        <is>
          <t>1003643-62.2016.8.26.0462</t>
        </is>
      </c>
      <c r="C205" t="inlineStr">
        <is>
          <t>UNKNOWN</t>
        </is>
      </c>
      <c r="D205" t="inlineStr">
        <is>
          <t>NO_ROWS</t>
        </is>
      </c>
      <c r="E205" t="n">
        <v>8</v>
      </c>
      <c r="F205" t="inlineStr">
        <is>
          <t>TABLE</t>
        </is>
      </c>
      <c r="G205" t="inlineStr">
        <is>
          <t>TABLE_BANDS</t>
        </is>
      </c>
      <c r="H205" t="inlineStr"/>
      <c r="J205" t="inlineStr">
        <is>
          <t>Termkcal do Brasil Isolamentos Térmicos LTDA - Real Brasil Consultoria</t>
        </is>
      </c>
      <c r="K205" t="inlineStr">
        <is>
          <t>realbrasil.com.br</t>
        </is>
      </c>
      <c r="L205" s="19" t="inlineStr">
        <is>
          <t>https://realbrasil.com.br/wp-content/uploads/2025/07/LISTA-DE-CREDORES-DO-AJ_NELSON-GAREY_Parte6.pdf</t>
        </is>
      </c>
    </row>
    <row r="206">
      <c r="A206" t="inlineStr">
        <is>
          <t>3ac924be7a55</t>
        </is>
      </c>
      <c r="B206" t="inlineStr">
        <is>
          <t>1003643-62.2016.8.26.0462</t>
        </is>
      </c>
      <c r="C206" t="inlineStr">
        <is>
          <t>UNKNOWN</t>
        </is>
      </c>
      <c r="D206" t="inlineStr">
        <is>
          <t>NO_ROWS</t>
        </is>
      </c>
      <c r="E206" t="n">
        <v>8</v>
      </c>
      <c r="F206" t="inlineStr">
        <is>
          <t>TABLE</t>
        </is>
      </c>
      <c r="G206" t="inlineStr">
        <is>
          <t>TABLE_BANDS</t>
        </is>
      </c>
      <c r="H206" t="inlineStr"/>
      <c r="J206" t="inlineStr">
        <is>
          <t>Termkcal do Brasil Isolamentos Térmicos LTDA - Real Brasil Consultoria</t>
        </is>
      </c>
      <c r="K206" t="inlineStr">
        <is>
          <t>realbrasil.com.br</t>
        </is>
      </c>
      <c r="L206" s="19" t="inlineStr">
        <is>
          <t>https://realbrasil.com.br/wp-content/uploads/2025/07/LISTA-DE-CREDORES-DO-AJ_NELSON-GAREY_Parte7.pdf</t>
        </is>
      </c>
    </row>
    <row r="207">
      <c r="A207" t="inlineStr">
        <is>
          <t>a0d84ba35ca1</t>
        </is>
      </c>
      <c r="B207" t="inlineStr">
        <is>
          <t>1003643-62.2016.8.26.0462</t>
        </is>
      </c>
      <c r="C207" t="inlineStr">
        <is>
          <t>UNKNOWN</t>
        </is>
      </c>
      <c r="D207" t="inlineStr">
        <is>
          <t>NO_ROWS</t>
        </is>
      </c>
      <c r="E207" t="n">
        <v>7</v>
      </c>
      <c r="F207" t="inlineStr">
        <is>
          <t>TABLE</t>
        </is>
      </c>
      <c r="G207" t="inlineStr">
        <is>
          <t>TABLE_BANDS</t>
        </is>
      </c>
      <c r="H207" t="inlineStr"/>
      <c r="J207" t="inlineStr">
        <is>
          <t>Termkcal do Brasil Isolamentos Térmicos LTDA - Real Brasil Consultoria</t>
        </is>
      </c>
      <c r="K207" t="inlineStr">
        <is>
          <t>realbrasil.com.br</t>
        </is>
      </c>
      <c r="L207" s="19" t="inlineStr">
        <is>
          <t>https://realbrasil.com.br/wp-content/uploads/2025/07/LISTA-DE-CREDORES-DO-AJ_NELSON-GAREY_Parte8.pdf</t>
        </is>
      </c>
    </row>
    <row r="208">
      <c r="A208" t="inlineStr">
        <is>
          <t>c4b7a27f74f9</t>
        </is>
      </c>
      <c r="B208" t="inlineStr">
        <is>
          <t>1003643-62.2016.8.26.0462</t>
        </is>
      </c>
      <c r="C208" t="inlineStr">
        <is>
          <t>UNKNOWN</t>
        </is>
      </c>
      <c r="D208" t="inlineStr">
        <is>
          <t>NO_ROWS</t>
        </is>
      </c>
      <c r="E208" t="n">
        <v>1</v>
      </c>
      <c r="F208" t="inlineStr">
        <is>
          <t>TABLE</t>
        </is>
      </c>
      <c r="G208" t="inlineStr">
        <is>
          <t>TABLE_BANDS</t>
        </is>
      </c>
      <c r="H208" t="inlineStr"/>
      <c r="J208" t="inlineStr">
        <is>
          <t>Termkcal do Brasil Isolamentos Térmicos LTDA - Real Brasil Consultoria</t>
        </is>
      </c>
      <c r="K208" t="inlineStr">
        <is>
          <t>realbrasil.com.br</t>
        </is>
      </c>
      <c r="L208" s="19" t="inlineStr">
        <is>
          <t>https://realbrasil.com.br/wp-content/uploads/2025/07/LISTA-DE-CREDORES-DO-AJ_NELSON-GAREY_Parte9.pdf</t>
        </is>
      </c>
    </row>
    <row r="209">
      <c r="A209" t="inlineStr">
        <is>
          <t>71e6c0b55fa9</t>
        </is>
      </c>
      <c r="B209" t="inlineStr">
        <is>
          <t>5824011-75.2025.8.09.0097</t>
        </is>
      </c>
      <c r="C209" t="inlineStr">
        <is>
          <t>UNKNOWN</t>
        </is>
      </c>
      <c r="D209" t="inlineStr">
        <is>
          <t>NO_ROWS</t>
        </is>
      </c>
      <c r="E209" t="n">
        <v>4</v>
      </c>
      <c r="F209" t="inlineStr">
        <is>
          <t>TABLE</t>
        </is>
      </c>
      <c r="G209" t="inlineStr">
        <is>
          <t>TABLE_RULED</t>
        </is>
      </c>
      <c r="H209" t="inlineStr"/>
      <c r="I209" t="inlineStr">
        <is>
          <t>2026-06-23</t>
        </is>
      </c>
      <c r="J209" t="inlineStr">
        <is>
          <t>CINCOS CONSULTORIA ORGANIZACIONAL LTDA</t>
        </is>
      </c>
      <c r="K209" t="inlineStr">
        <is>
          <t>stenius.com.br</t>
        </is>
      </c>
      <c r="L209" s="19" t="inlineStr">
        <is>
          <t>https://stenius.com.br/wp-content/uploads/2026/06/Edital-2-relacao-de-credores-Grupo-Silva-e-Dias.pdf</t>
        </is>
      </c>
    </row>
    <row r="210">
      <c r="A210" t="inlineStr">
        <is>
          <t>3d500facab23</t>
        </is>
      </c>
      <c r="B210" t="inlineStr">
        <is>
          <t>5677250-87.2023.8.09.0051</t>
        </is>
      </c>
      <c r="C210" t="inlineStr">
        <is>
          <t>UNKNOWN</t>
        </is>
      </c>
      <c r="D210" t="inlineStr">
        <is>
          <t>NO_ROWS</t>
        </is>
      </c>
      <c r="E210" t="n">
        <v>1</v>
      </c>
      <c r="F210" t="inlineStr">
        <is>
          <t>TABLE</t>
        </is>
      </c>
      <c r="G210" t="inlineStr">
        <is>
          <t>TABLE_BANDS</t>
        </is>
      </c>
      <c r="H210" t="inlineStr"/>
      <c r="I210" t="inlineStr">
        <is>
          <t>2026-03-12</t>
        </is>
      </c>
      <c r="J210" t="inlineStr">
        <is>
          <t>RJ Unibras - Stenius</t>
        </is>
      </c>
      <c r="K210" t="inlineStr">
        <is>
          <t>stenius.com.br</t>
        </is>
      </c>
      <c r="L210" s="19" t="inlineStr">
        <is>
          <t>https://stenius.com.br/wp-content/uploads/2026/03/PLANORJ-UNIBRAS.pdf</t>
        </is>
      </c>
    </row>
    <row r="211">
      <c r="A211" t="inlineStr">
        <is>
          <t>44ed49a0fbfe</t>
        </is>
      </c>
      <c r="B211" t="inlineStr">
        <is>
          <t>1030214-28.2024.8.11.0003</t>
        </is>
      </c>
      <c r="C211" t="inlineStr">
        <is>
          <t>UNKNOWN</t>
        </is>
      </c>
      <c r="D211" t="inlineStr">
        <is>
          <t>NO_ROWS</t>
        </is>
      </c>
      <c r="E211" t="n">
        <v>1</v>
      </c>
      <c r="F211" t="inlineStr">
        <is>
          <t>TABLE</t>
        </is>
      </c>
      <c r="G211" t="inlineStr">
        <is>
          <t>TABLE_BANDS</t>
        </is>
      </c>
      <c r="H211" t="inlineStr"/>
      <c r="J211" t="inlineStr">
        <is>
          <t>MPB Administração Judicial</t>
        </is>
      </c>
      <c r="K211" t="inlineStr">
        <is>
          <t>mpbadmjudicial.com.br</t>
        </is>
      </c>
      <c r="L211" s="19" t="inlineStr">
        <is>
          <t>https://mpbadmjudicial.com.br/sgc/download.php?file=files/processo_documento/processo_documento14493710022025_1_.pdf&amp;nome=Documentos importantes (editais, plano, relação de credores etc.)</t>
        </is>
      </c>
    </row>
    <row r="212">
      <c r="A212" t="inlineStr">
        <is>
          <t>c71db0a7ca12</t>
        </is>
      </c>
      <c r="B212" t="inlineStr">
        <is>
          <t>1004237-95.2024.8.11.0015</t>
        </is>
      </c>
      <c r="C212" t="inlineStr">
        <is>
          <t>UNKNOWN</t>
        </is>
      </c>
      <c r="D212" t="inlineStr">
        <is>
          <t>NO_ROWS</t>
        </is>
      </c>
      <c r="E212" t="n">
        <v>6</v>
      </c>
      <c r="F212" t="inlineStr">
        <is>
          <t>TABLE</t>
        </is>
      </c>
      <c r="G212" t="inlineStr">
        <is>
          <t>TABLE_BANDS</t>
        </is>
      </c>
      <c r="H212" t="inlineStr"/>
      <c r="I212" t="inlineStr">
        <is>
          <t>2024-12-19</t>
        </is>
      </c>
      <c r="J212" t="inlineStr">
        <is>
          <t>seguiu seu trâmite ordinário, com apresentação de Plano de Recuperação Judicia</t>
        </is>
      </c>
      <c r="K212" t="inlineStr">
        <is>
          <t>mpbadmjudicial.com.br</t>
        </is>
      </c>
      <c r="L212" s="19" t="inlineStr">
        <is>
          <t>https://mpbadmjudicial.com.br/sgc/download.php?file=files/processo_documento/processo_documento14333021012025_1_.pdf&amp;nome=Aditivo ao PRJ 2 - apresentado em 21-01-2025</t>
        </is>
      </c>
    </row>
    <row r="213">
      <c r="A213" t="inlineStr">
        <is>
          <t>637c109ee040</t>
        </is>
      </c>
      <c r="B213" t="inlineStr">
        <is>
          <t>1004237-95.2024.8.11.0015</t>
        </is>
      </c>
      <c r="C213" t="inlineStr">
        <is>
          <t>UNKNOWN</t>
        </is>
      </c>
      <c r="D213" t="inlineStr">
        <is>
          <t>NO_ROWS</t>
        </is>
      </c>
      <c r="E213" t="n">
        <v>4</v>
      </c>
      <c r="F213" t="inlineStr">
        <is>
          <t>TABLE</t>
        </is>
      </c>
      <c r="G213" t="inlineStr">
        <is>
          <t>TABLE_BANDS</t>
        </is>
      </c>
      <c r="H213" t="inlineStr"/>
      <c r="I213" t="inlineStr">
        <is>
          <t>2024-12-19</t>
        </is>
      </c>
      <c r="J213" t="inlineStr">
        <is>
          <t>seguiu seu trâmite ordinário, com apresentação de Plano de Recuperação Judicia</t>
        </is>
      </c>
      <c r="K213" t="inlineStr">
        <is>
          <t>mpbadmjudicial.com.br</t>
        </is>
      </c>
      <c r="L213" s="19" t="inlineStr">
        <is>
          <t>https://mpbadmjudicial.com.br/sgc/download.php?file=files/processo_documento/processo_documento14331021012025_1_.pdf&amp;nome=Aditivo ao PRJ - apresentado em 17-01-2025</t>
        </is>
      </c>
    </row>
    <row r="214">
      <c r="A214" t="inlineStr">
        <is>
          <t>3e8894f1d2e7</t>
        </is>
      </c>
      <c r="B214" t="inlineStr">
        <is>
          <t>1003074-40.2017.8.26.0296</t>
        </is>
      </c>
      <c r="C214" t="inlineStr">
        <is>
          <t>UNKNOWN</t>
        </is>
      </c>
      <c r="D214" t="inlineStr">
        <is>
          <t>NO_ROWS</t>
        </is>
      </c>
      <c r="E214" t="n">
        <v>10</v>
      </c>
      <c r="F214" t="inlineStr">
        <is>
          <t>TABLE</t>
        </is>
      </c>
      <c r="G214" t="inlineStr">
        <is>
          <t>TABLE_BANDS</t>
        </is>
      </c>
      <c r="H214" t="inlineStr"/>
      <c r="I214" t="inlineStr">
        <is>
          <t>2017-09-01</t>
        </is>
      </c>
      <c r="J214" t="inlineStr">
        <is>
          <t>AÇOCIC - Indústria e Comércio de Metais Eireli - Real Brasil Consultoria</t>
        </is>
      </c>
      <c r="K214" t="inlineStr">
        <is>
          <t>realbrasil.com.br</t>
        </is>
      </c>
      <c r="L214" s="19" t="inlineStr">
        <is>
          <t>https://realbrasil.com.br/wp-content/uploads/2017/10/2_RELAÇÃO-DE-CREDORES-AÇOCIC.pdf</t>
        </is>
      </c>
    </row>
    <row r="215">
      <c r="A215" t="inlineStr">
        <is>
          <t>b849bff8b998</t>
        </is>
      </c>
      <c r="B215" t="inlineStr">
        <is>
          <t>5264228-81.2025.8.09.0172</t>
        </is>
      </c>
      <c r="C215" t="inlineStr">
        <is>
          <t>UNKNOWN</t>
        </is>
      </c>
      <c r="D215" t="inlineStr">
        <is>
          <t>NO_ROWS</t>
        </is>
      </c>
      <c r="E215" t="n">
        <v>8</v>
      </c>
      <c r="F215" t="inlineStr">
        <is>
          <t>TABLE</t>
        </is>
      </c>
      <c r="G215" t="inlineStr">
        <is>
          <t>TABLE_BANDS</t>
        </is>
      </c>
      <c r="H215" t="inlineStr"/>
      <c r="I215" t="inlineStr">
        <is>
          <t>2026-06-12</t>
        </is>
      </c>
      <c r="J215" t="inlineStr">
        <is>
          <t>RJ GRUPO FAEL - Stenius</t>
        </is>
      </c>
      <c r="K215" t="inlineStr">
        <is>
          <t>stenius.com.br</t>
        </is>
      </c>
      <c r="L215" s="19" t="inlineStr">
        <is>
          <t>https://stenius.com.br/wp-content/uploads/2026/06/edital_publicadorecuperacao.pdf</t>
        </is>
      </c>
    </row>
    <row r="216">
      <c r="A216" t="inlineStr">
        <is>
          <t>4a2d65483238</t>
        </is>
      </c>
      <c r="B216" t="inlineStr">
        <is>
          <t>0800158-20.2017.8.12.0033</t>
        </is>
      </c>
      <c r="C216" t="inlineStr">
        <is>
          <t>UNKNOWN</t>
        </is>
      </c>
      <c r="D216" t="inlineStr">
        <is>
          <t>NO_ROWS</t>
        </is>
      </c>
      <c r="E216" t="n">
        <v>19</v>
      </c>
      <c r="F216" t="inlineStr">
        <is>
          <t>TABLE</t>
        </is>
      </c>
      <c r="G216" t="inlineStr">
        <is>
          <t>TABLE_BANDS</t>
        </is>
      </c>
      <c r="H216" t="inlineStr"/>
      <c r="J216" t="inlineStr">
        <is>
          <t>Supermercado Modelo - Real Brasil Consultoria</t>
        </is>
      </c>
      <c r="K216" t="inlineStr">
        <is>
          <t>realbrasil.com.br</t>
        </is>
      </c>
      <c r="L216" s="19" t="inlineStr">
        <is>
          <t>https://realbrasil.com.br/wp-content/uploads/2017/04/Relação-Nominal-de-Credores-modelo.pdf</t>
        </is>
      </c>
    </row>
    <row r="217">
      <c r="A217" t="inlineStr">
        <is>
          <t>2473eb985cc4</t>
        </is>
      </c>
      <c r="B217" t="inlineStr">
        <is>
          <t>0015091-73.2022.8.16.0185</t>
        </is>
      </c>
      <c r="C217" t="inlineStr">
        <is>
          <t>UNKNOWN</t>
        </is>
      </c>
      <c r="D217" t="inlineStr">
        <is>
          <t>NO_ROWS</t>
        </is>
      </c>
      <c r="E217" t="n">
        <v>8</v>
      </c>
      <c r="F217" t="inlineStr">
        <is>
          <t>TABLE</t>
        </is>
      </c>
      <c r="G217" t="inlineStr">
        <is>
          <t>TABLE_BANDS</t>
        </is>
      </c>
      <c r="H217" t="inlineStr">
        <is>
          <t>I/BRL: FAIL Δ-199369.84 · III/BRL: PASS Δ-284.63 · IV/BRL: FAIL Δ-2125.00</t>
        </is>
      </c>
      <c r="I217" t="inlineStr">
        <is>
          <t>2024-05-17</t>
        </is>
      </c>
      <c r="J217" t="inlineStr">
        <is>
          <t>Mixtel Distribuidora LTDA | Administração Judicial - Credibilità</t>
        </is>
      </c>
      <c r="K217" t="inlineStr">
        <is>
          <t>credibilita.com.br</t>
        </is>
      </c>
      <c r="L217" s="19" t="inlineStr">
        <is>
          <t>https://credibilita.com.br/wp-content/uploads/2023/08/27.-Lista-de-credores-em-17.05.2024.pdf</t>
        </is>
      </c>
    </row>
    <row r="218">
      <c r="A218" t="inlineStr">
        <is>
          <t>612742d92fa0</t>
        </is>
      </c>
      <c r="C218" t="inlineStr">
        <is>
          <t>UNKNOWN</t>
        </is>
      </c>
      <c r="D218" t="inlineStr">
        <is>
          <t>NO_ROWS</t>
        </is>
      </c>
      <c r="E218" t="n">
        <v>9</v>
      </c>
      <c r="F218" t="inlineStr">
        <is>
          <t>TABLE</t>
        </is>
      </c>
      <c r="G218" t="inlineStr">
        <is>
          <t>TABLE_BANDS</t>
        </is>
      </c>
      <c r="H218" t="inlineStr"/>
      <c r="J218" t="inlineStr">
        <is>
          <t>Recuperações Judiciais – Brasil Trustee</t>
        </is>
      </c>
      <c r="K218" t="inlineStr">
        <is>
          <t>brasiltrustee.com.br</t>
        </is>
      </c>
      <c r="L218" s="19" t="inlineStr">
        <is>
          <t>https://violet-wolf-754008.hostingersite.com/wp-content/uploads/recuperacoes-judiciais/agropecuaria-tuiuti/04-Certidão-de-Publicação-do-Primeiro-Edital.pdf</t>
        </is>
      </c>
    </row>
    <row r="219">
      <c r="A219" t="inlineStr">
        <is>
          <t>6098491b4dda</t>
        </is>
      </c>
      <c r="C219" t="inlineStr">
        <is>
          <t>UNKNOWN</t>
        </is>
      </c>
      <c r="D219" t="inlineStr">
        <is>
          <t>NO_ROWS</t>
        </is>
      </c>
      <c r="E219" t="n">
        <v>8</v>
      </c>
      <c r="F219" t="inlineStr">
        <is>
          <t>TABLE</t>
        </is>
      </c>
      <c r="G219" t="inlineStr">
        <is>
          <t>TABLE_BANDS</t>
        </is>
      </c>
      <c r="H219" t="inlineStr"/>
      <c r="J219" t="inlineStr">
        <is>
          <t>Recuperações Judiciais – Brasil Trustee</t>
        </is>
      </c>
      <c r="K219" t="inlineStr">
        <is>
          <t>brasiltrustee.com.br</t>
        </is>
      </c>
      <c r="L219" s="19" t="inlineStr">
        <is>
          <t>https://violet-wolf-754008.hostingersite.com/wp-content/uploads/recuperacoes-judiciais/agropecuaria-tuiuti/06-Certidão-de-Publicação-Segundo-Edital-e-Aviso-do-Plano.pdf</t>
        </is>
      </c>
    </row>
    <row r="220">
      <c r="A220" t="inlineStr">
        <is>
          <t>002776b7d2fa</t>
        </is>
      </c>
      <c r="B220" t="inlineStr">
        <is>
          <t>0086662-30.2025.8.16.0014</t>
        </is>
      </c>
      <c r="C220" t="inlineStr">
        <is>
          <t>UNKNOWN</t>
        </is>
      </c>
      <c r="D220" t="inlineStr">
        <is>
          <t>NO_ROWS</t>
        </is>
      </c>
      <c r="E220" t="n">
        <v>7</v>
      </c>
      <c r="F220" t="inlineStr">
        <is>
          <t>TABLE</t>
        </is>
      </c>
      <c r="G220" t="inlineStr">
        <is>
          <t>TABLE_BANDS</t>
        </is>
      </c>
      <c r="H220" t="inlineStr">
        <is>
          <t>I/BRL: FAIL Δ-1800.00 · IV/BRL: FAIL Δ-49686.93 · III/BRL: FAIL Δ-26913.13</t>
        </is>
      </c>
      <c r="I220" t="inlineStr">
        <is>
          <t>2026-08-10</t>
        </is>
      </c>
      <c r="J220" t="inlineStr">
        <is>
          <t>GRUPO SANVIG | Administração Judicial - Credibilità</t>
        </is>
      </c>
      <c r="K220" t="inlineStr">
        <is>
          <t>credibilita.com.br</t>
        </is>
      </c>
      <c r="L220" s="19" t="inlineStr">
        <is>
          <t>https://credibilita.com.br/wp-content/uploads/2026/07/1.ListadeCredores.pdf</t>
        </is>
      </c>
    </row>
    <row r="221">
      <c r="A221" t="inlineStr">
        <is>
          <t>1837810f340f</t>
        </is>
      </c>
      <c r="C221" t="inlineStr">
        <is>
          <t>UNKNOWN</t>
        </is>
      </c>
      <c r="D221" t="inlineStr">
        <is>
          <t>NO_ROWS</t>
        </is>
      </c>
      <c r="E221" t="n">
        <v>2</v>
      </c>
      <c r="F221" t="inlineStr">
        <is>
          <t>TABLE</t>
        </is>
      </c>
      <c r="G221" t="inlineStr">
        <is>
          <t>TABLE_BANDS</t>
        </is>
      </c>
      <c r="H221" t="inlineStr"/>
      <c r="J221" t="inlineStr">
        <is>
          <t>Recuperações Judiciais – Brasil Trustee</t>
        </is>
      </c>
      <c r="K221" t="inlineStr">
        <is>
          <t>brasiltrustee.com.br</t>
        </is>
      </c>
      <c r="L221" s="19" t="inlineStr">
        <is>
          <t>https://violet-wolf-754008.hostingersite.com/wp-content/uploads/recuperacoes-judiciais/andorinha/Primeiro-Edital.pdf</t>
        </is>
      </c>
    </row>
    <row r="222">
      <c r="A222" t="inlineStr">
        <is>
          <t>c620e662998c</t>
        </is>
      </c>
      <c r="C222" t="inlineStr">
        <is>
          <t>UNKNOWN</t>
        </is>
      </c>
      <c r="D222" t="inlineStr">
        <is>
          <t>NO_ROWS</t>
        </is>
      </c>
      <c r="E222" t="n">
        <v>1</v>
      </c>
      <c r="F222" t="inlineStr">
        <is>
          <t>TABLE</t>
        </is>
      </c>
      <c r="G222" t="inlineStr">
        <is>
          <t>TABLE_BANDS</t>
        </is>
      </c>
      <c r="H222" t="inlineStr"/>
      <c r="J222" t="inlineStr">
        <is>
          <t>Recuperações Judiciais – Brasil Trustee</t>
        </is>
      </c>
      <c r="K222" t="inlineStr">
        <is>
          <t>brasiltrustee.com.br</t>
        </is>
      </c>
      <c r="L222" s="19" t="inlineStr">
        <is>
          <t>https://violet-wolf-754008.hostingersite.com/wp-content/uploads/recuperacoes-judiciais/andorinha/7-Certidão-de-Publicação-do-Segundo-Edital.pdf</t>
        </is>
      </c>
    </row>
    <row r="223">
      <c r="A223" t="inlineStr">
        <is>
          <t>3e89039f5661</t>
        </is>
      </c>
      <c r="C223" t="inlineStr">
        <is>
          <t>UNKNOWN</t>
        </is>
      </c>
      <c r="D223" t="inlineStr">
        <is>
          <t>NO_ROWS</t>
        </is>
      </c>
      <c r="E223" t="n">
        <v>6</v>
      </c>
      <c r="F223" t="inlineStr">
        <is>
          <t>TABLE</t>
        </is>
      </c>
      <c r="G223" t="inlineStr">
        <is>
          <t>TABLE_BANDS</t>
        </is>
      </c>
      <c r="H223" t="inlineStr"/>
      <c r="J223" t="inlineStr">
        <is>
          <t>Recuperações Judiciais – Brasil Trustee</t>
        </is>
      </c>
      <c r="K223" t="inlineStr">
        <is>
          <t>brasiltrustee.com.br</t>
        </is>
      </c>
      <c r="L223" s="19" t="inlineStr">
        <is>
          <t>https://violet-wolf-754008.hostingersite.com/wp-content/uploads/recuperacoes-judiciais/arch-test/05-Certidão-de-Publicação-do-Primeiro-Edital.pdf</t>
        </is>
      </c>
    </row>
    <row r="224">
      <c r="A224" t="inlineStr">
        <is>
          <t>9cac52127ec3</t>
        </is>
      </c>
      <c r="B224" t="inlineStr">
        <is>
          <t>0022066-39.2018.8.19.0001</t>
        </is>
      </c>
      <c r="C224" t="inlineStr">
        <is>
          <t>UNKNOWN</t>
        </is>
      </c>
      <c r="D224" t="inlineStr">
        <is>
          <t>NO_ROWS</t>
        </is>
      </c>
      <c r="E224" t="n">
        <v>2</v>
      </c>
      <c r="F224" t="inlineStr">
        <is>
          <t>TABLE</t>
        </is>
      </c>
      <c r="G224" t="inlineStr">
        <is>
          <t>TABLE_BANDS</t>
        </is>
      </c>
      <c r="H224" t="inlineStr"/>
      <c r="J224" t="inlineStr">
        <is>
          <t>Reciclyn Comércio e Indústria de Metais Ltda. – Processo nº 0022066-39.2018.8.19.0001 – e-mail: admjudreciclyn@inova-aj.com.br – INOVA</t>
        </is>
      </c>
      <c r="K224" t="inlineStr">
        <is>
          <t>inova-aj.com.br</t>
        </is>
      </c>
      <c r="L224" s="19" t="inlineStr">
        <is>
          <t>https://inova-aj.com.br/wp-content/uploads/2018/08/Relação-de-Credores-Reciclyn-Artigo-7º-§2º-da-Le-11.101.pdf</t>
        </is>
      </c>
    </row>
    <row r="225">
      <c r="A225" t="inlineStr">
        <is>
          <t>91e716b12b76</t>
        </is>
      </c>
      <c r="C225" t="inlineStr">
        <is>
          <t>UNKNOWN</t>
        </is>
      </c>
      <c r="D225" t="inlineStr">
        <is>
          <t>NO_ROWS</t>
        </is>
      </c>
      <c r="E225" t="n">
        <v>7</v>
      </c>
      <c r="F225" t="inlineStr">
        <is>
          <t>TABLE</t>
        </is>
      </c>
      <c r="G225" t="inlineStr">
        <is>
          <t>TABLE_BANDS</t>
        </is>
      </c>
      <c r="H225" t="inlineStr"/>
      <c r="J225" t="inlineStr">
        <is>
          <t>Recuperações Judiciais – Brasil Trustee</t>
        </is>
      </c>
      <c r="K225" t="inlineStr">
        <is>
          <t>brasiltrustee.com.br</t>
        </is>
      </c>
      <c r="L225" s="19" t="inlineStr">
        <is>
          <t>https://violet-wolf-754008.hostingersite.com/wp-content/uploads/recuperacoes-judiciais/arch-test/07-Certidão-de-Publicação-do-Segundo-Edital-e-Aviso-do-plano-apresentado.pdf</t>
        </is>
      </c>
    </row>
    <row r="226">
      <c r="A226" t="inlineStr">
        <is>
          <t>6f292c149e74</t>
        </is>
      </c>
      <c r="C226" t="inlineStr">
        <is>
          <t>UNKNOWN</t>
        </is>
      </c>
      <c r="D226" t="inlineStr">
        <is>
          <t>NO_ROWS</t>
        </is>
      </c>
      <c r="E226" t="n">
        <v>3</v>
      </c>
      <c r="F226" t="inlineStr">
        <is>
          <t>TABLE</t>
        </is>
      </c>
      <c r="G226" t="inlineStr">
        <is>
          <t>TABLE_BANDS</t>
        </is>
      </c>
      <c r="H226" t="inlineStr"/>
      <c r="J226" t="inlineStr">
        <is>
          <t>Recuperações Judiciais – Brasil Trustee</t>
        </is>
      </c>
      <c r="K226" t="inlineStr">
        <is>
          <t>brasiltrustee.com.br</t>
        </is>
      </c>
      <c r="L226" s="19" t="inlineStr">
        <is>
          <t>https://violet-wolf-754008.hostingersite.com/wp-content/uploads/2023/06/Primeiro-Edita-de-Credores.pdf</t>
        </is>
      </c>
    </row>
    <row r="227">
      <c r="A227" t="inlineStr">
        <is>
          <t>6430b773375a</t>
        </is>
      </c>
      <c r="B227" t="inlineStr">
        <is>
          <t>0007961-95.2023.8.16.0185</t>
        </is>
      </c>
      <c r="C227" t="inlineStr">
        <is>
          <t>UNKNOWN</t>
        </is>
      </c>
      <c r="D227" t="inlineStr">
        <is>
          <t>NO_ROWS</t>
        </is>
      </c>
      <c r="E227" t="n">
        <v>1</v>
      </c>
      <c r="F227" t="inlineStr">
        <is>
          <t>TABLE</t>
        </is>
      </c>
      <c r="G227" t="inlineStr">
        <is>
          <t>TABLE_BANDS</t>
        </is>
      </c>
      <c r="H227" t="inlineStr"/>
      <c r="I227" t="inlineStr">
        <is>
          <t>2023-11-22</t>
        </is>
      </c>
      <c r="J227" t="inlineStr">
        <is>
          <t>Curitiba, FAZ SA</t>
        </is>
      </c>
      <c r="K227" t="inlineStr">
        <is>
          <t>credibilita.com.br</t>
        </is>
      </c>
      <c r="L227" s="19" t="inlineStr">
        <is>
          <t>https://credibilita.com.br/wp-content/uploads/2023/12/31.-Edital-de-aviso-aos-credores-em-22.11.2023.pdf</t>
        </is>
      </c>
    </row>
    <row r="228">
      <c r="A228" t="inlineStr">
        <is>
          <t>881e759ea86e</t>
        </is>
      </c>
      <c r="C228" t="inlineStr">
        <is>
          <t>UNKNOWN</t>
        </is>
      </c>
      <c r="D228" t="inlineStr">
        <is>
          <t>NO_ROWS</t>
        </is>
      </c>
      <c r="E228" t="n">
        <v>2</v>
      </c>
      <c r="F228" t="inlineStr">
        <is>
          <t>TABLE</t>
        </is>
      </c>
      <c r="G228" t="inlineStr">
        <is>
          <t>TABLE_BANDS</t>
        </is>
      </c>
      <c r="H228" t="inlineStr"/>
      <c r="J228" t="inlineStr">
        <is>
          <t>Recuperações Judiciais – Brasil Trustee</t>
        </is>
      </c>
      <c r="K228" t="inlineStr">
        <is>
          <t>brasiltrustee.com.br</t>
        </is>
      </c>
      <c r="L228" s="19" t="inlineStr">
        <is>
          <t>https://violet-wolf-754008.hostingersite.com/wp-content/uploads/recuperacoes-judiciais/Citro_Sudeste/1o-edital-de-credores.pdf</t>
        </is>
      </c>
    </row>
    <row r="229">
      <c r="A229" t="inlineStr">
        <is>
          <t>60da9dc9cdc5</t>
        </is>
      </c>
      <c r="B229" t="inlineStr">
        <is>
          <t>1025706-74.2024.8.26.0309</t>
        </is>
      </c>
      <c r="C229" t="inlineStr">
        <is>
          <t>UNKNOWN</t>
        </is>
      </c>
      <c r="D229" t="inlineStr">
        <is>
          <t>NO_ROWS</t>
        </is>
      </c>
      <c r="E229" t="n">
        <v>23</v>
      </c>
      <c r="F229" t="inlineStr">
        <is>
          <t>TABLE</t>
        </is>
      </c>
      <c r="G229" t="inlineStr">
        <is>
          <t>TABLE_BANDS</t>
        </is>
      </c>
      <c r="H229" t="inlineStr"/>
      <c r="J229" t="inlineStr">
        <is>
          <t>GRUPO PROPEL PROPEL PROFESSIONAL COMERCIO E INDUSTRIA DE PAPEIS LTDA</t>
        </is>
      </c>
      <c r="K229" t="inlineStr">
        <is>
          <t>credibilita.com.br</t>
        </is>
      </c>
      <c r="L229" s="19" t="inlineStr">
        <is>
          <t>https://credibilita.com.br/wp-content/uploads/2025/02/17.-Plano-de-Recuperacao-Judicial-25.04.2025.pdf</t>
        </is>
      </c>
    </row>
    <row r="230">
      <c r="A230" t="inlineStr">
        <is>
          <t>107a97f3996d</t>
        </is>
      </c>
      <c r="B230" t="inlineStr">
        <is>
          <t>1025706-74.2024.8.26.0309</t>
        </is>
      </c>
      <c r="C230" t="inlineStr">
        <is>
          <t>UNKNOWN</t>
        </is>
      </c>
      <c r="D230" t="inlineStr">
        <is>
          <t>NO_ROWS</t>
        </is>
      </c>
      <c r="E230" t="n">
        <v>39</v>
      </c>
      <c r="F230" t="inlineStr">
        <is>
          <t>PROSE</t>
        </is>
      </c>
      <c r="G230" t="inlineStr">
        <is>
          <t>PROSE</t>
        </is>
      </c>
      <c r="H230" t="inlineStr"/>
      <c r="J230" t="inlineStr">
        <is>
          <t>GRUPO PROPEL PROPEL PROFESSIONAL COMERCIO E INDUSTRIA DE PAPEIS LTDA</t>
        </is>
      </c>
      <c r="K230" t="inlineStr">
        <is>
          <t>credibilita.com.br</t>
        </is>
      </c>
      <c r="L230" s="19" t="inlineStr">
        <is>
          <t>https://credibilita.com.br/wp-content/uploads/2025/02/21.-Plano-de-Recuperacao-Judicial-apresentado-em-22.05.2025.pdf</t>
        </is>
      </c>
    </row>
    <row r="231">
      <c r="A231" t="inlineStr">
        <is>
          <t>4aaa9c6df72d</t>
        </is>
      </c>
      <c r="C231" t="inlineStr">
        <is>
          <t>UNKNOWN</t>
        </is>
      </c>
      <c r="D231" t="inlineStr">
        <is>
          <t>NO_ROWS</t>
        </is>
      </c>
      <c r="E231" t="n">
        <v>8</v>
      </c>
      <c r="F231" t="inlineStr">
        <is>
          <t>TABLE</t>
        </is>
      </c>
      <c r="G231" t="inlineStr">
        <is>
          <t>TABLE_BANDS</t>
        </is>
      </c>
      <c r="H231" t="inlineStr"/>
      <c r="J231" t="inlineStr">
        <is>
          <t>Recuperações Judiciais – Brasil Trustee</t>
        </is>
      </c>
      <c r="K231" t="inlineStr">
        <is>
          <t>brasiltrustee.com.br</t>
        </is>
      </c>
      <c r="L231" s="19" t="inlineStr">
        <is>
          <t>https://violet-wolf-754008.hostingersite.com/wp-content/uploads/recuperacoes-judiciais/covolan/Primeiro-edital-de-credores-disponibilizado-em-DJE.pdf</t>
        </is>
      </c>
    </row>
    <row r="232">
      <c r="A232" t="inlineStr">
        <is>
          <t>8463b597b0cc</t>
        </is>
      </c>
      <c r="C232" t="inlineStr">
        <is>
          <t>UNKNOWN</t>
        </is>
      </c>
      <c r="D232" t="inlineStr">
        <is>
          <t>NO_ROWS</t>
        </is>
      </c>
      <c r="E232" t="n">
        <v>6</v>
      </c>
      <c r="F232" t="inlineStr">
        <is>
          <t>TABLE</t>
        </is>
      </c>
      <c r="G232" t="inlineStr">
        <is>
          <t>TABLE_BANDS</t>
        </is>
      </c>
      <c r="H232" t="inlineStr"/>
      <c r="J232" t="inlineStr">
        <is>
          <t>Recuperações Judiciais – Brasil Trustee</t>
        </is>
      </c>
      <c r="K232" t="inlineStr">
        <is>
          <t>brasiltrustee.com.br</t>
        </is>
      </c>
      <c r="L232" s="19" t="inlineStr">
        <is>
          <t>https://violet-wolf-754008.hostingersite.com/wp-content/uploads/recuperacoes-judiciais/covolan/2o-EDITAL-DE-CREDORES.pdf</t>
        </is>
      </c>
    </row>
    <row r="233">
      <c r="A233" t="inlineStr">
        <is>
          <t>4aca4ec265a2</t>
        </is>
      </c>
      <c r="C233" t="inlineStr">
        <is>
          <t>UNKNOWN</t>
        </is>
      </c>
      <c r="D233" t="inlineStr">
        <is>
          <t>NO_ROWS</t>
        </is>
      </c>
      <c r="E233" t="n">
        <v>2</v>
      </c>
      <c r="F233" t="inlineStr">
        <is>
          <t>TABLE</t>
        </is>
      </c>
      <c r="G233" t="inlineStr">
        <is>
          <t>TABLE_BANDS</t>
        </is>
      </c>
      <c r="H233" t="inlineStr"/>
      <c r="J233" t="inlineStr">
        <is>
          <t>Recuperações Judiciais – Brasil Trustee</t>
        </is>
      </c>
      <c r="K233" t="inlineStr">
        <is>
          <t>brasiltrustee.com.br</t>
        </is>
      </c>
      <c r="L233" s="19" t="inlineStr">
        <is>
          <t>https://violet-wolf-754008.hostingersite.com/wp-content/uploads/recuperacoes-judiciais/DeltaCitrus/1º-edital.pdf</t>
        </is>
      </c>
    </row>
    <row r="234">
      <c r="A234" t="inlineStr">
        <is>
          <t>e7b09a5527de</t>
        </is>
      </c>
      <c r="C234" t="inlineStr">
        <is>
          <t>UNKNOWN</t>
        </is>
      </c>
      <c r="D234" t="inlineStr">
        <is>
          <t>NO_ROWS</t>
        </is>
      </c>
      <c r="E234" t="n">
        <v>2</v>
      </c>
      <c r="F234" t="inlineStr">
        <is>
          <t>TABLE</t>
        </is>
      </c>
      <c r="G234" t="inlineStr">
        <is>
          <t>TABLE_BANDS</t>
        </is>
      </c>
      <c r="H234" t="inlineStr"/>
      <c r="J234" t="inlineStr">
        <is>
          <t>Recuperações Judiciais – Brasil Trustee</t>
        </is>
      </c>
      <c r="K234" t="inlineStr">
        <is>
          <t>brasiltrustee.com.br</t>
        </is>
      </c>
      <c r="L234" s="19" t="inlineStr">
        <is>
          <t>https://violet-wolf-754008.hostingersite.com/wp-content/uploads/recuperacoes-judiciais/DeltaCitrus/2º-edital.pdf</t>
        </is>
      </c>
    </row>
    <row r="235">
      <c r="A235" t="inlineStr">
        <is>
          <t>57dead2f4a2a</t>
        </is>
      </c>
      <c r="B235" t="inlineStr">
        <is>
          <t>1116156-84.2019.8.26.0100</t>
        </is>
      </c>
      <c r="C235" t="inlineStr">
        <is>
          <t>UNKNOWN</t>
        </is>
      </c>
      <c r="D235" t="inlineStr">
        <is>
          <t>NO_ROWS</t>
        </is>
      </c>
      <c r="E235" t="n">
        <v>1</v>
      </c>
      <c r="F235" t="inlineStr">
        <is>
          <t>TABLE</t>
        </is>
      </c>
      <c r="G235" t="inlineStr">
        <is>
          <t>TABLE_BANDS</t>
        </is>
      </c>
      <c r="H235" t="inlineStr"/>
      <c r="I235" t="inlineStr">
        <is>
          <t>2019-11-18</t>
        </is>
      </c>
      <c r="J235" t="inlineStr">
        <is>
          <t>Avora Cosméticos – Processo nº 1116156-84.2019.8.26.0100 – e-mail: admjudavora@inova-aj.com.br – INOVA</t>
        </is>
      </c>
      <c r="K235" t="inlineStr">
        <is>
          <t>inova-aj.com.br</t>
        </is>
      </c>
      <c r="L235" s="19" t="inlineStr">
        <is>
          <t>https://inova-aj.com.br/wp-content/uploads/2020/02/Minuta-Edital-de-concocação.pdf</t>
        </is>
      </c>
    </row>
    <row r="236">
      <c r="A236" t="inlineStr">
        <is>
          <t>855288e69775</t>
        </is>
      </c>
      <c r="B236" t="inlineStr">
        <is>
          <t>0070460-77.2018.8.19.0001</t>
        </is>
      </c>
      <c r="C236" t="inlineStr">
        <is>
          <t>UNKNOWN</t>
        </is>
      </c>
      <c r="D236" t="inlineStr">
        <is>
          <t>NO_ROWS</t>
        </is>
      </c>
      <c r="E236" t="n">
        <v>1</v>
      </c>
      <c r="F236" t="inlineStr">
        <is>
          <t>TABLE</t>
        </is>
      </c>
      <c r="G236" t="inlineStr">
        <is>
          <t>TABLE_BANDS</t>
        </is>
      </c>
      <c r="H236" t="inlineStr"/>
      <c r="J236" t="inlineStr">
        <is>
          <t>SOCIEDADES CONSTRUTORA CMDR LTDA</t>
        </is>
      </c>
      <c r="K236" t="inlineStr">
        <is>
          <t>inova-aj.com.br</t>
        </is>
      </c>
      <c r="L236" s="19" t="inlineStr">
        <is>
          <t>https://inova-aj.com.br/wp-content/uploads/2018/09/CMDR-Edital-Relação-de-credores-e-PRJ-14_09_2018.pdf</t>
        </is>
      </c>
    </row>
    <row r="237">
      <c r="A237" t="inlineStr">
        <is>
          <t>d7e9e03151cd</t>
        </is>
      </c>
      <c r="B237" t="inlineStr">
        <is>
          <t>1035775-55.2020.8.26.0100</t>
        </is>
      </c>
      <c r="C237" t="inlineStr">
        <is>
          <t>UNKNOWN</t>
        </is>
      </c>
      <c r="D237" t="inlineStr">
        <is>
          <t>NO_ROWS</t>
        </is>
      </c>
      <c r="E237" t="n">
        <v>10</v>
      </c>
      <c r="F237" t="inlineStr">
        <is>
          <t>TABLE</t>
        </is>
      </c>
      <c r="G237" t="inlineStr">
        <is>
          <t>TABLE_BANDS</t>
        </is>
      </c>
      <c r="H237" t="inlineStr"/>
      <c r="J237" t="inlineStr">
        <is>
          <t>Recuperações Judiciais – Brasil Trustee</t>
        </is>
      </c>
      <c r="K237" t="inlineStr">
        <is>
          <t>brasiltrustee.com.br</t>
        </is>
      </c>
      <c r="L237" s="19" t="inlineStr">
        <is>
          <t>https://violet-wolf-754008.hostingersite.com/wp-content/uploads/recuperacoes-judiciais/Grupo-bem/1º-EDITAL-DE-CREDORES-GRUPO-BEM-DJE.pdf</t>
        </is>
      </c>
    </row>
    <row r="238">
      <c r="A238" t="inlineStr">
        <is>
          <t>2304a5ade3eb</t>
        </is>
      </c>
      <c r="B238" t="inlineStr">
        <is>
          <t>0024643-24.2017.8.19.0001</t>
        </is>
      </c>
      <c r="C238" t="inlineStr">
        <is>
          <t>UNKNOWN</t>
        </is>
      </c>
      <c r="D238" t="inlineStr">
        <is>
          <t>NO_ROWS</t>
        </is>
      </c>
      <c r="E238" t="n">
        <v>1</v>
      </c>
      <c r="F238" t="inlineStr">
        <is>
          <t>TABLE</t>
        </is>
      </c>
      <c r="G238" t="inlineStr">
        <is>
          <t>TABLE_BANDS</t>
        </is>
      </c>
      <c r="H238" t="inlineStr"/>
      <c r="J238" t="inlineStr">
        <is>
          <t>ENGETÉCNICA SERVIÇOS E CONSTRUÇÕES LTDA</t>
        </is>
      </c>
      <c r="K238" t="inlineStr">
        <is>
          <t>inova-aj.com.br</t>
        </is>
      </c>
      <c r="L238" s="19" t="inlineStr">
        <is>
          <t>https://inova-aj.com.br/wp-content/uploads/2018/08/Edital-publicação-aviso-aos-credores-Engetécnica-Zadar.pdf</t>
        </is>
      </c>
    </row>
    <row r="239">
      <c r="A239" t="inlineStr">
        <is>
          <t>96e8a8dc7989</t>
        </is>
      </c>
      <c r="B239" t="inlineStr">
        <is>
          <t>5022382-25.2023.8.08.0024</t>
        </is>
      </c>
      <c r="C239" t="inlineStr">
        <is>
          <t>UNKNOWN</t>
        </is>
      </c>
      <c r="D239" t="inlineStr">
        <is>
          <t>NO_ROWS</t>
        </is>
      </c>
      <c r="E239" t="n">
        <v>6</v>
      </c>
      <c r="F239" t="inlineStr">
        <is>
          <t>TABLE</t>
        </is>
      </c>
      <c r="G239" t="inlineStr">
        <is>
          <t>TABLE_BANDS</t>
        </is>
      </c>
      <c r="H239" t="inlineStr"/>
      <c r="J239" t="inlineStr">
        <is>
          <t>Instituto CAV - RLG-AJ</t>
        </is>
      </c>
      <c r="K239" t="inlineStr">
        <is>
          <t>rlg-aj.com.br</t>
        </is>
      </c>
      <c r="L239" s="19" t="inlineStr">
        <is>
          <t>https://rlg-aj.com.br/wp-content/uploads/2023/08/13.-Relação-de-Credores-do-art.-7º-§2°-da-Lei-n.º-11.101-de-2005-Instituto-CAV.pdf</t>
        </is>
      </c>
    </row>
    <row r="240">
      <c r="A240" t="inlineStr">
        <is>
          <t>86bdfc24f6ba</t>
        </is>
      </c>
      <c r="B240" t="inlineStr">
        <is>
          <t>5001024-38.2024.8.24.0019</t>
        </is>
      </c>
      <c r="C240" t="inlineStr">
        <is>
          <t>UNKNOWN</t>
        </is>
      </c>
      <c r="D240" t="inlineStr">
        <is>
          <t>NO_ROWS</t>
        </is>
      </c>
      <c r="E240" t="n">
        <v>3</v>
      </c>
      <c r="F240" t="inlineStr">
        <is>
          <t>TABLE</t>
        </is>
      </c>
      <c r="G240" t="inlineStr">
        <is>
          <t>TABLE_BANDS</t>
        </is>
      </c>
      <c r="H240" t="inlineStr"/>
      <c r="J240" t="inlineStr">
        <is>
          <t>Starkfest Indústria do Vestuário Ltda. - RLG-AJ</t>
        </is>
      </c>
      <c r="K240" t="inlineStr">
        <is>
          <t>rlg-aj.com.br</t>
        </is>
      </c>
      <c r="L240" s="19" t="inlineStr">
        <is>
          <t>https://rlg-aj.com.br/wp-content/uploads/2024/02/2.-Relacao-de-Credores-Starkfest.pdf</t>
        </is>
      </c>
    </row>
    <row r="241">
      <c r="A241" t="inlineStr">
        <is>
          <t>a1404d99c53f</t>
        </is>
      </c>
      <c r="B241" t="inlineStr">
        <is>
          <t>5001299-84.2024.8.24.0019</t>
        </is>
      </c>
      <c r="C241" t="inlineStr">
        <is>
          <t>UNKNOWN</t>
        </is>
      </c>
      <c r="D241" t="inlineStr">
        <is>
          <t>NO_ROWS</t>
        </is>
      </c>
      <c r="E241" t="n">
        <v>3</v>
      </c>
      <c r="F241" t="inlineStr">
        <is>
          <t>TABLE</t>
        </is>
      </c>
      <c r="G241" t="inlineStr">
        <is>
          <t>TABLE_BANDS</t>
        </is>
      </c>
      <c r="H241" t="inlineStr"/>
      <c r="J241" t="inlineStr">
        <is>
          <t>DF Confecções Ltda. - RLG-AJ</t>
        </is>
      </c>
      <c r="K241" t="inlineStr">
        <is>
          <t>rlg-aj.com.br</t>
        </is>
      </c>
      <c r="L241" s="19" t="inlineStr">
        <is>
          <t>https://rlg-aj.com.br/wp-content/uploads/2024/02/Relacao-Nominal-de-Credores-fornecida-pela-falida-DF-Confeccoes-Ltda.pdf</t>
        </is>
      </c>
    </row>
    <row r="242">
      <c r="A242" t="inlineStr">
        <is>
          <t>b1cc51c6dbd8</t>
        </is>
      </c>
      <c r="B242" t="inlineStr">
        <is>
          <t>0029506-77.2004.8.19.0001</t>
        </is>
      </c>
      <c r="C242" t="inlineStr">
        <is>
          <t>UNKNOWN</t>
        </is>
      </c>
      <c r="D242" t="inlineStr">
        <is>
          <t>NO_ROWS</t>
        </is>
      </c>
      <c r="E242" t="n">
        <v>5</v>
      </c>
      <c r="F242" t="inlineStr">
        <is>
          <t>PROSE</t>
        </is>
      </c>
      <c r="G242" t="inlineStr">
        <is>
          <t>PROSE</t>
        </is>
      </c>
      <c r="H242" t="inlineStr"/>
      <c r="J242" t="inlineStr">
        <is>
          <t>Desenvolvimento Engenharia – 0029506-77.2004.8.19.0001 – INOVA</t>
        </is>
      </c>
      <c r="K242" t="inlineStr">
        <is>
          <t>inova-aj.com.br</t>
        </is>
      </c>
      <c r="L242" s="19" t="inlineStr">
        <is>
          <t>https://inova-aj.com.br/wp-content/uploads/2024/12/Desenvolvimento-Edital-Credores-Aptos-a-Votar.pdf</t>
        </is>
      </c>
    </row>
    <row r="243">
      <c r="A243" t="inlineStr">
        <is>
          <t>34ff5a885875</t>
        </is>
      </c>
      <c r="B243" t="inlineStr">
        <is>
          <t>5021496-35.2023.8.21.0001</t>
        </is>
      </c>
      <c r="C243" t="inlineStr">
        <is>
          <t>UNKNOWN</t>
        </is>
      </c>
      <c r="D243" t="inlineStr">
        <is>
          <t>NO_ROWS</t>
        </is>
      </c>
      <c r="E243" t="n">
        <v>1</v>
      </c>
      <c r="F243" t="inlineStr">
        <is>
          <t>TABLE</t>
        </is>
      </c>
      <c r="G243" t="inlineStr">
        <is>
          <t>TABLE_BANDS</t>
        </is>
      </c>
      <c r="H243" t="inlineStr"/>
      <c r="I243" t="inlineStr">
        <is>
          <t>2024-01-08</t>
        </is>
      </c>
      <c r="J243" t="inlineStr">
        <is>
          <t>5021496-35.2023.8.21.0001 | CB2D</t>
        </is>
      </c>
      <c r="K243" t="inlineStr">
        <is>
          <t>cb2d.com.br</t>
        </is>
      </c>
      <c r="L243" s="19" t="inlineStr">
        <is>
          <t>https://www.cb2d.com.br/portal/_uploads/a21555fe-5c45-4492-9274-8c42f1885f64.pdf</t>
        </is>
      </c>
    </row>
    <row r="244">
      <c r="A244" t="inlineStr">
        <is>
          <t>890d9436ecd9</t>
        </is>
      </c>
      <c r="B244" t="inlineStr">
        <is>
          <t>0834048-17.1998.8.26.0100</t>
        </is>
      </c>
      <c r="C244" t="inlineStr">
        <is>
          <t>UNKNOWN</t>
        </is>
      </c>
      <c r="D244" t="inlineStr">
        <is>
          <t>NO_ROWS</t>
        </is>
      </c>
      <c r="E244" t="n">
        <v>8</v>
      </c>
      <c r="F244" t="inlineStr">
        <is>
          <t>TABLE</t>
        </is>
      </c>
      <c r="G244" t="inlineStr">
        <is>
          <t>TABLE_BANDS</t>
        </is>
      </c>
      <c r="H244" t="inlineStr"/>
      <c r="I244" t="inlineStr">
        <is>
          <t>2026-02-02</t>
        </is>
      </c>
      <c r="J244" t="inlineStr">
        <is>
          <t>GateKeeper | Recuperação Judicial em São Paulo – Ética, técnica e profissionalismo na administração judicial de processos de recuperação e falência.</t>
        </is>
      </c>
      <c r="K244" t="inlineStr">
        <is>
          <t>gatekeeperaj.com.br</t>
        </is>
      </c>
      <c r="L244" s="19" t="inlineStr">
        <is>
          <t>https://gatekeeperaj.com.br/wp-content/uploads/2026/02/Edital-de-convocacao-dos-credores-para-fins-do-art.-149-§2o-da-Lei-no-11.101-2005.pdf</t>
        </is>
      </c>
    </row>
    <row r="245">
      <c r="A245" t="inlineStr">
        <is>
          <t>bc155a33f67e</t>
        </is>
      </c>
      <c r="B245" t="inlineStr">
        <is>
          <t>5001395-52.2021.8.21.0128</t>
        </is>
      </c>
      <c r="C245" t="inlineStr">
        <is>
          <t>UNKNOWN</t>
        </is>
      </c>
      <c r="D245" t="inlineStr">
        <is>
          <t>NO_ROWS</t>
        </is>
      </c>
      <c r="E245" t="n">
        <v>4</v>
      </c>
      <c r="F245" t="inlineStr">
        <is>
          <t>TABLE</t>
        </is>
      </c>
      <c r="G245" t="inlineStr">
        <is>
          <t>TABLE_BANDS</t>
        </is>
      </c>
      <c r="H245" t="inlineStr"/>
      <c r="I245" t="inlineStr">
        <is>
          <t>2023-11-03</t>
        </is>
      </c>
      <c r="J245" t="inlineStr">
        <is>
          <t>5001395-52.2021.8.21.0128 | CB2D</t>
        </is>
      </c>
      <c r="K245" t="inlineStr">
        <is>
          <t>cb2d.com.br</t>
        </is>
      </c>
      <c r="L245" s="19" t="inlineStr">
        <is>
          <t>https://www.cb2d.com.br/portal/_uploads/36a1a557-678b-4995-96e8-7a606e840f06.pdf</t>
        </is>
      </c>
    </row>
    <row r="246">
      <c r="A246" t="inlineStr">
        <is>
          <t>85d181724079</t>
        </is>
      </c>
      <c r="B246" t="inlineStr">
        <is>
          <t>0000335-78.2024.8.26.0260</t>
        </is>
      </c>
      <c r="C246" t="inlineStr">
        <is>
          <t>UNKNOWN</t>
        </is>
      </c>
      <c r="D246" t="inlineStr">
        <is>
          <t>NO_ROWS</t>
        </is>
      </c>
      <c r="E246" t="n">
        <v>8</v>
      </c>
      <c r="F246" t="inlineStr">
        <is>
          <t>TABLE</t>
        </is>
      </c>
      <c r="G246" t="inlineStr">
        <is>
          <t>TABLE_BANDS</t>
        </is>
      </c>
      <c r="H246" t="inlineStr"/>
      <c r="J246" t="inlineStr">
        <is>
          <t>GateKeeper | Recuperação Judicial em São Paulo – Ética, técnica e profissionalismo na administração judicial de processos de recuperação e falência.</t>
        </is>
      </c>
      <c r="K246" t="inlineStr">
        <is>
          <t>gatekeeperaj.com.br</t>
        </is>
      </c>
      <c r="L246" s="19" t="inlineStr">
        <is>
          <t>https://gatekeeperaj.com.br/wp-content/uploads/2026/08/RATEIO-BK.pdf</t>
        </is>
      </c>
    </row>
    <row r="247">
      <c r="A247" t="inlineStr">
        <is>
          <t>00f8d5536619</t>
        </is>
      </c>
      <c r="B247" t="inlineStr">
        <is>
          <t>5023283-70.2021.8.21.0001</t>
        </is>
      </c>
      <c r="C247" t="inlineStr">
        <is>
          <t>UNKNOWN</t>
        </is>
      </c>
      <c r="D247" t="inlineStr">
        <is>
          <t>NO_ROWS</t>
        </is>
      </c>
      <c r="E247" t="n">
        <v>2</v>
      </c>
      <c r="F247" t="inlineStr">
        <is>
          <t>TABLE</t>
        </is>
      </c>
      <c r="G247" t="inlineStr">
        <is>
          <t>TABLE_BANDS</t>
        </is>
      </c>
      <c r="H247" t="inlineStr"/>
      <c r="J247" t="inlineStr">
        <is>
          <t>5023283-70.2021.8.21.0001 | CB2D</t>
        </is>
      </c>
      <c r="K247" t="inlineStr">
        <is>
          <t>cb2d.com.br</t>
        </is>
      </c>
      <c r="L247" s="19" t="inlineStr">
        <is>
          <t>https://www.cb2d.com.br/portal/_uploads/e02317cd-013e-484d-8754-d1fc8a81ecd3.pdf</t>
        </is>
      </c>
    </row>
    <row r="248">
      <c r="A248" t="inlineStr">
        <is>
          <t>edbcf7b75554</t>
        </is>
      </c>
      <c r="B248" t="inlineStr">
        <is>
          <t>0025258-69.2016.8.16.0021</t>
        </is>
      </c>
      <c r="C248" t="inlineStr">
        <is>
          <t>UNKNOWN</t>
        </is>
      </c>
      <c r="D248" t="inlineStr">
        <is>
          <t>NO_ROWS</t>
        </is>
      </c>
      <c r="E248" t="n">
        <v>28</v>
      </c>
      <c r="F248" t="inlineStr">
        <is>
          <t>TABLE</t>
        </is>
      </c>
      <c r="G248" t="inlineStr">
        <is>
          <t>TABLE_BANDS</t>
        </is>
      </c>
      <c r="H248" t="inlineStr"/>
      <c r="I248" t="inlineStr">
        <is>
          <t>2021-09-28</t>
        </is>
      </c>
      <c r="J248" t="inlineStr">
        <is>
          <t>Grupo Globoaves | Administração Judicial - Credibilità</t>
        </is>
      </c>
      <c r="K248" t="inlineStr">
        <is>
          <t>credibilita.com.br</t>
        </is>
      </c>
      <c r="L248" s="19" t="inlineStr">
        <is>
          <t>https://credibilita.com.br/wp-content/uploads/2023/08/01b-lista.pdf</t>
        </is>
      </c>
    </row>
    <row r="249">
      <c r="A249" t="inlineStr">
        <is>
          <t>70d7d5f6bae5</t>
        </is>
      </c>
      <c r="B249" t="inlineStr">
        <is>
          <t>5000949-63.2025.8.24.0536</t>
        </is>
      </c>
      <c r="C249" t="inlineStr">
        <is>
          <t>UNKNOWN</t>
        </is>
      </c>
      <c r="D249" t="inlineStr">
        <is>
          <t>NO_ROWS</t>
        </is>
      </c>
      <c r="E249" t="n">
        <v>2</v>
      </c>
      <c r="F249" t="inlineStr">
        <is>
          <t>TABLE</t>
        </is>
      </c>
      <c r="G249" t="inlineStr">
        <is>
          <t>TABLE_BANDS</t>
        </is>
      </c>
      <c r="H249" t="inlineStr">
        <is>
          <t>I/BRL: FAIL Δ-7118.45 · III/BRL: PASS Δ-121.13 · IV/BRL: PASS Δ-21.35</t>
        </is>
      </c>
      <c r="J249" t="inlineStr">
        <is>
          <t>5000949-63.2025.8.24.0536 | CB2D</t>
        </is>
      </c>
      <c r="K249" t="inlineStr">
        <is>
          <t>cb2d.com.br</t>
        </is>
      </c>
      <c r="L249" s="19" t="inlineStr">
        <is>
          <t>https://www.cb2d.com.br/portal/_uploads/837bd67a-82e8-4181-a78a-d23e37562748.pdf</t>
        </is>
      </c>
    </row>
    <row r="250">
      <c r="A250" t="inlineStr">
        <is>
          <t>c2cfda458975</t>
        </is>
      </c>
      <c r="B250" t="inlineStr">
        <is>
          <t>5032410-66.2020.8.21.0001</t>
        </is>
      </c>
      <c r="C250" t="inlineStr">
        <is>
          <t>UNKNOWN</t>
        </is>
      </c>
      <c r="D250" t="inlineStr">
        <is>
          <t>NO_ROWS</t>
        </is>
      </c>
      <c r="E250" t="n">
        <v>2</v>
      </c>
      <c r="F250" t="inlineStr">
        <is>
          <t>TABLE</t>
        </is>
      </c>
      <c r="G250" t="inlineStr">
        <is>
          <t>TABLE_BANDS</t>
        </is>
      </c>
      <c r="H250" t="inlineStr"/>
      <c r="J250" t="inlineStr">
        <is>
          <t>5032410-66.2020.8.21.0001 | CB2D</t>
        </is>
      </c>
      <c r="K250" t="inlineStr">
        <is>
          <t>cb2d.com.br</t>
        </is>
      </c>
      <c r="L250" s="19" t="inlineStr">
        <is>
          <t>https://www.cb2d.com.br/portal/_uploads/e1ef4e10-1427-49d0-81df-39a774e466dd.pdf</t>
        </is>
      </c>
    </row>
    <row r="251">
      <c r="A251" t="inlineStr">
        <is>
          <t>08f28d6ab07d</t>
        </is>
      </c>
      <c r="B251" t="inlineStr">
        <is>
          <t>0000004-79.1977.8.24.0008</t>
        </is>
      </c>
      <c r="C251" t="inlineStr">
        <is>
          <t>UNKNOWN</t>
        </is>
      </c>
      <c r="D251" t="inlineStr">
        <is>
          <t>NO_ROWS</t>
        </is>
      </c>
      <c r="E251" t="n">
        <v>3</v>
      </c>
      <c r="F251" t="inlineStr">
        <is>
          <t>TABLE</t>
        </is>
      </c>
      <c r="G251" t="inlineStr">
        <is>
          <t>TABLE_BANDS</t>
        </is>
      </c>
      <c r="H251" t="inlineStr"/>
      <c r="J251" t="inlineStr">
        <is>
          <t>0000004-79.1977.8.24.0008 | CB2D</t>
        </is>
      </c>
      <c r="K251" t="inlineStr">
        <is>
          <t>cb2d.com.br</t>
        </is>
      </c>
      <c r="L251" s="19" t="inlineStr">
        <is>
          <t>https://www.cb2d.com.br/portal/_uploads/aac3045a-5751-4958-89e6-d51c296e1edd.pdf</t>
        </is>
      </c>
    </row>
    <row r="252">
      <c r="A252" t="inlineStr">
        <is>
          <t>3993a5de6e57</t>
        </is>
      </c>
      <c r="C252" t="inlineStr">
        <is>
          <t>UNKNOWN</t>
        </is>
      </c>
      <c r="D252" t="inlineStr">
        <is>
          <t>NO_ROWS</t>
        </is>
      </c>
      <c r="E252" t="n">
        <v>2</v>
      </c>
      <c r="F252" t="inlineStr">
        <is>
          <t>TABLE</t>
        </is>
      </c>
      <c r="G252" t="inlineStr">
        <is>
          <t>TABLE_BANDS</t>
        </is>
      </c>
      <c r="H252" t="inlineStr"/>
      <c r="J252" t="inlineStr">
        <is>
          <t>Base | AJ RUIZ - Administração Judicial</t>
        </is>
      </c>
      <c r="K252" t="inlineStr">
        <is>
          <t>ajruiz.com.br</t>
        </is>
      </c>
      <c r="L252" s="19" t="inlineStr">
        <is>
          <t>https://ajruiz.com.br/sites/default/files/public/arquivos-processos/2026-05/relacao_de_credores_recuperanda.pdf</t>
        </is>
      </c>
    </row>
    <row r="253">
      <c r="A253" t="inlineStr">
        <is>
          <t>c20dd478a299</t>
        </is>
      </c>
      <c r="B253" t="inlineStr">
        <is>
          <t>4080577-14.2025.8.26.0100</t>
        </is>
      </c>
      <c r="C253" t="inlineStr">
        <is>
          <t>UNKNOWN</t>
        </is>
      </c>
      <c r="D253" t="inlineStr">
        <is>
          <t>NO_ROWS</t>
        </is>
      </c>
      <c r="E253" t="n">
        <v>4</v>
      </c>
      <c r="F253" t="inlineStr">
        <is>
          <t>TABLE</t>
        </is>
      </c>
      <c r="G253" t="inlineStr">
        <is>
          <t>TABLE_BANDS</t>
        </is>
      </c>
      <c r="H253" t="inlineStr"/>
      <c r="I253" t="inlineStr">
        <is>
          <t>2025-12-16</t>
        </is>
      </c>
      <c r="J253" t="inlineStr">
        <is>
          <t>Ativos</t>
        </is>
      </c>
      <c r="K253" t="inlineStr">
        <is>
          <t>ativosajce.com.br</t>
        </is>
      </c>
      <c r="L253" s="19" t="inlineStr">
        <is>
          <t>https://ativosajce.com.br/admin/download.php?file=files/processo_documento/processo_documento13564628082026_1_.pdf&amp;nome=Relação de Credores - 16/12/2025</t>
        </is>
      </c>
    </row>
    <row r="254">
      <c r="A254" t="inlineStr">
        <is>
          <t>589dce0f5efd</t>
        </is>
      </c>
      <c r="B254" t="inlineStr">
        <is>
          <t>5033887-56.2022.8.21.0001</t>
        </is>
      </c>
      <c r="C254" t="inlineStr">
        <is>
          <t>UNKNOWN</t>
        </is>
      </c>
      <c r="D254" t="inlineStr">
        <is>
          <t>NO_ROWS</t>
        </is>
      </c>
      <c r="E254" t="n">
        <v>1</v>
      </c>
      <c r="F254" t="inlineStr">
        <is>
          <t>TABLE</t>
        </is>
      </c>
      <c r="G254" t="inlineStr">
        <is>
          <t>TABLE_BANDS</t>
        </is>
      </c>
      <c r="H254" t="inlineStr"/>
      <c r="I254" t="inlineStr">
        <is>
          <t>2023-09-15</t>
        </is>
      </c>
      <c r="J254" t="inlineStr">
        <is>
          <t>5033887-56.2022.8.21.0001 | CB2D</t>
        </is>
      </c>
      <c r="K254" t="inlineStr">
        <is>
          <t>cb2d.com.br</t>
        </is>
      </c>
      <c r="L254" s="19" t="inlineStr">
        <is>
          <t>https://www.cb2d.com.br/portal/_uploads/4d59218d-c3f4-499e-831e-175cd4a6092b.pdf</t>
        </is>
      </c>
    </row>
    <row r="255">
      <c r="A255" t="inlineStr">
        <is>
          <t>04cec4dc2895</t>
        </is>
      </c>
      <c r="B255" t="inlineStr">
        <is>
          <t>5000103-57.2006.8.21.0031</t>
        </is>
      </c>
      <c r="C255" t="inlineStr">
        <is>
          <t>UNKNOWN</t>
        </is>
      </c>
      <c r="D255" t="inlineStr">
        <is>
          <t>NO_ROWS</t>
        </is>
      </c>
      <c r="E255" t="n">
        <v>1</v>
      </c>
      <c r="F255" t="inlineStr">
        <is>
          <t>TABLE</t>
        </is>
      </c>
      <c r="G255" t="inlineStr">
        <is>
          <t>TABLE_BANDS</t>
        </is>
      </c>
      <c r="H255" t="inlineStr"/>
      <c r="J255" t="inlineStr">
        <is>
          <t>5000103-57.2006.8.21.0031 | CB2D</t>
        </is>
      </c>
      <c r="K255" t="inlineStr">
        <is>
          <t>cb2d.com.br</t>
        </is>
      </c>
      <c r="L255" s="19" t="inlineStr">
        <is>
          <t>https://www.cb2d.com.br/portal/_uploads/56a24c98-521c-41d8-bc4f-2f90eeea2621.pdf</t>
        </is>
      </c>
    </row>
    <row r="256">
      <c r="A256" t="inlineStr">
        <is>
          <t>0acb30255cb9</t>
        </is>
      </c>
      <c r="B256" t="inlineStr">
        <is>
          <t>1000400-31.2025.8.26.0354</t>
        </is>
      </c>
      <c r="C256" t="inlineStr">
        <is>
          <t>UNKNOWN</t>
        </is>
      </c>
      <c r="D256" t="inlineStr">
        <is>
          <t>NO_ROWS</t>
        </is>
      </c>
      <c r="E256" t="n">
        <v>1</v>
      </c>
      <c r="F256" t="inlineStr">
        <is>
          <t>TABLE</t>
        </is>
      </c>
      <c r="G256" t="inlineStr">
        <is>
          <t>TABLE_RULED</t>
        </is>
      </c>
      <c r="H256" t="inlineStr">
        <is>
          <t>I/BRL: PASS Δ0.00 · II/BRL: FAIL Δ-2618000.00 · III/BRL: FAIL Δ-1254350.27 · IV/BRL: FAIL Δ-2386.14</t>
        </is>
      </c>
      <c r="J256" t="inlineStr">
        <is>
          <t>Ativos</t>
        </is>
      </c>
      <c r="K256" t="inlineStr">
        <is>
          <t>ativosajce.com.br</t>
        </is>
      </c>
      <c r="L256" s="19" t="inlineStr">
        <is>
          <t>https://ativosajce.com.br/admin/download.php?file=files/processo_documento/processo_documento20254225072025_1_.pdf&amp;nome=Relação de Credores - art. 52, §1º da Lei 11.101/05 - 04/06/2025</t>
        </is>
      </c>
    </row>
    <row r="257">
      <c r="A257" t="inlineStr">
        <is>
          <t>d943ecfa9320</t>
        </is>
      </c>
      <c r="C257" t="inlineStr">
        <is>
          <t>UNKNOWN</t>
        </is>
      </c>
      <c r="D257" t="inlineStr">
        <is>
          <t>NO_ROWS</t>
        </is>
      </c>
      <c r="E257" t="n">
        <v>8</v>
      </c>
      <c r="F257" t="inlineStr">
        <is>
          <t>TABLE</t>
        </is>
      </c>
      <c r="G257" t="inlineStr">
        <is>
          <t>TABLE_BANDS</t>
        </is>
      </c>
      <c r="H257" t="inlineStr"/>
      <c r="J257" t="inlineStr">
        <is>
          <t>Base | AJ RUIZ - Administração Judicial</t>
        </is>
      </c>
      <c r="K257" t="inlineStr">
        <is>
          <t>ajruiz.com.br</t>
        </is>
      </c>
      <c r="L257" s="19" t="inlineStr">
        <is>
          <t>https://ajruiz.com.br/sites/default/files/public/arquivos-processos/2023-10/relacao_de_credores_sintetica_art._51_iii_da_lre.pdf</t>
        </is>
      </c>
    </row>
    <row r="258">
      <c r="A258" t="inlineStr">
        <is>
          <t>d791d05df293</t>
        </is>
      </c>
      <c r="C258" t="inlineStr">
        <is>
          <t>UNKNOWN</t>
        </is>
      </c>
      <c r="D258" t="inlineStr">
        <is>
          <t>NO_ROWS</t>
        </is>
      </c>
      <c r="E258" t="n">
        <v>4</v>
      </c>
      <c r="F258" t="inlineStr">
        <is>
          <t>TABLE</t>
        </is>
      </c>
      <c r="G258" t="inlineStr">
        <is>
          <t>TABLE_BANDS</t>
        </is>
      </c>
      <c r="H258" t="inlineStr"/>
      <c r="J258" t="inlineStr">
        <is>
          <t>Base | AJ RUIZ - Administração Judicial</t>
        </is>
      </c>
      <c r="K258" t="inlineStr">
        <is>
          <t>ajruiz.com.br</t>
        </is>
      </c>
      <c r="L258" s="19" t="inlineStr">
        <is>
          <t>https://ajruiz.com.br/sites/default/files/public/arquivos-processos/2023-09/edital-de-convocacao-de-credores-art.-52-a7-1o-da-lre-brassuco-industria-de-produtos-alimenticios-min.pdf</t>
        </is>
      </c>
    </row>
    <row r="259">
      <c r="A259" t="inlineStr">
        <is>
          <t>3e9f88ae9f30</t>
        </is>
      </c>
      <c r="B259" t="inlineStr">
        <is>
          <t>1000117-72.2020.8.26.0260</t>
        </is>
      </c>
      <c r="C259" t="inlineStr">
        <is>
          <t>UNKNOWN</t>
        </is>
      </c>
      <c r="D259" t="inlineStr">
        <is>
          <t>NO_ROWS</t>
        </is>
      </c>
      <c r="E259" t="n">
        <v>1</v>
      </c>
      <c r="F259" t="inlineStr">
        <is>
          <t>TABLE</t>
        </is>
      </c>
      <c r="G259" t="inlineStr">
        <is>
          <t>TABLE_BANDS</t>
        </is>
      </c>
      <c r="H259" t="inlineStr"/>
      <c r="J259" t="inlineStr">
        <is>
          <t>Translocomotiva Transportes Rodoviários e Distribuição de Cargas Ltda</t>
        </is>
      </c>
      <c r="K259" t="inlineStr">
        <is>
          <t>ativosajce.com.br</t>
        </is>
      </c>
      <c r="L259" s="19" t="inlineStr">
        <is>
          <t>https://ativosajce.com.br/admin/download.php?file=files/processo_documento/processo_documento21511013072022_1_.pdf&amp;nome= Edital de Credores - Art. 53,  lei 11.101/2005 - 03/11/2020</t>
        </is>
      </c>
    </row>
    <row r="260">
      <c r="A260" t="inlineStr">
        <is>
          <t>bedb48582803</t>
        </is>
      </c>
      <c r="B260" t="inlineStr">
        <is>
          <t>1001174-80.2024.8.26.0359</t>
        </is>
      </c>
      <c r="C260" t="inlineStr">
        <is>
          <t>UNKNOWN</t>
        </is>
      </c>
      <c r="D260" t="inlineStr">
        <is>
          <t>NO_ROWS</t>
        </is>
      </c>
      <c r="E260" t="n">
        <v>1</v>
      </c>
      <c r="F260" t="inlineStr">
        <is>
          <t>TABLE</t>
        </is>
      </c>
      <c r="G260" t="inlineStr">
        <is>
          <t>TABLE_BANDS</t>
        </is>
      </c>
      <c r="H260" t="inlineStr"/>
      <c r="J260" t="inlineStr">
        <is>
          <t>Ativos</t>
        </is>
      </c>
      <c r="K260" t="inlineStr">
        <is>
          <t>ativosajce.com.br</t>
        </is>
      </c>
      <c r="L260" s="19" t="inlineStr">
        <is>
          <t>https://ativosajce.com.br/admin/download.php?file=files/processo_documento/processo_documento11215203062025_1_.pdf&amp;nome=Edital de Credores - Art. 52, §1º, da Lei 11.101/2005 - 23/05/2025</t>
        </is>
      </c>
    </row>
    <row r="261">
      <c r="A261" t="inlineStr">
        <is>
          <t>0e8b9566d04d</t>
        </is>
      </c>
      <c r="B261" t="inlineStr">
        <is>
          <t>4000332-28.2026.8.26.0408</t>
        </is>
      </c>
      <c r="C261" t="inlineStr">
        <is>
          <t>UNKNOWN</t>
        </is>
      </c>
      <c r="D261" t="inlineStr">
        <is>
          <t>NO_ROWS</t>
        </is>
      </c>
      <c r="E261" t="n">
        <v>2</v>
      </c>
      <c r="F261" t="inlineStr">
        <is>
          <t>TABLE</t>
        </is>
      </c>
      <c r="G261" t="inlineStr">
        <is>
          <t>TABLE_BANDS</t>
        </is>
      </c>
      <c r="H261" t="inlineStr"/>
      <c r="I261" t="inlineStr">
        <is>
          <t>2026-06-17</t>
        </is>
      </c>
      <c r="J261" t="inlineStr">
        <is>
          <t>e Falência</t>
        </is>
      </c>
      <c r="K261" t="inlineStr">
        <is>
          <t>ajruiz.com.br</t>
        </is>
      </c>
      <c r="L261" s="19" t="inlineStr">
        <is>
          <t>https://ajruiz.com.br/sites/default/files/public/arquivos-processos/2026-06/edital_convocacao_credores_apresentacao_prj_art._53_par._unico_e_art._55.pdf</t>
        </is>
      </c>
    </row>
    <row r="262">
      <c r="A262" t="inlineStr">
        <is>
          <t>53cb85ef20f2</t>
        </is>
      </c>
      <c r="B262" t="inlineStr">
        <is>
          <t>1036403-05.2024.8.26.0100</t>
        </is>
      </c>
      <c r="C262" t="inlineStr">
        <is>
          <t>UNKNOWN</t>
        </is>
      </c>
      <c r="D262" t="inlineStr">
        <is>
          <t>NO_ROWS</t>
        </is>
      </c>
      <c r="E262" t="n">
        <v>8</v>
      </c>
      <c r="F262" t="inlineStr">
        <is>
          <t>TABLE</t>
        </is>
      </c>
      <c r="G262" t="inlineStr">
        <is>
          <t>TABLE_BANDS</t>
        </is>
      </c>
      <c r="H262" t="inlineStr"/>
      <c r="J262" t="inlineStr">
        <is>
          <t>e Falência</t>
        </is>
      </c>
      <c r="K262" t="inlineStr">
        <is>
          <t>bbsadvogados.com.br</t>
        </is>
      </c>
      <c r="L262" s="19" t="inlineStr">
        <is>
          <t>https://bbsadvogados.com.br/wp-content/uploads/2026/03/Sentenca-de-decretacao-de-Falencia-1-1.pdf</t>
        </is>
      </c>
    </row>
    <row r="263">
      <c r="A263" t="inlineStr">
        <is>
          <t>69ea85a0c32e</t>
        </is>
      </c>
      <c r="B263" t="inlineStr">
        <is>
          <t>1000197-12.2025.8.26.0373</t>
        </is>
      </c>
      <c r="C263" t="inlineStr">
        <is>
          <t>UNKNOWN</t>
        </is>
      </c>
      <c r="D263" t="inlineStr">
        <is>
          <t>NO_ROWS</t>
        </is>
      </c>
      <c r="E263" t="n">
        <v>3</v>
      </c>
      <c r="F263" t="inlineStr">
        <is>
          <t>TABLE</t>
        </is>
      </c>
      <c r="G263" t="inlineStr">
        <is>
          <t>TABLE_BANDS</t>
        </is>
      </c>
      <c r="H263" t="inlineStr"/>
      <c r="J263" t="inlineStr">
        <is>
          <t>Ativos</t>
        </is>
      </c>
      <c r="K263" t="inlineStr">
        <is>
          <t>ativosajce.com.br</t>
        </is>
      </c>
      <c r="L263" s="19" t="inlineStr">
        <is>
          <t>https://ativosajce.com.br/admin/download.php?file=files/processo_documento/processo_documento12060425072025_1_.pdf&amp;nome=Edital de Aviso aos Credores - Art. 53 da Lei 11.101/05 - 28/07/2025</t>
        </is>
      </c>
    </row>
    <row r="264">
      <c r="A264" t="inlineStr">
        <is>
          <t>be6c555158f8</t>
        </is>
      </c>
      <c r="B264" t="inlineStr">
        <is>
          <t>1000197-12.2025.8.26.0373</t>
        </is>
      </c>
      <c r="C264" t="inlineStr">
        <is>
          <t>UNKNOWN</t>
        </is>
      </c>
      <c r="D264" t="inlineStr">
        <is>
          <t>NO_ROWS</t>
        </is>
      </c>
      <c r="E264" t="n">
        <v>4</v>
      </c>
      <c r="F264" t="inlineStr">
        <is>
          <t>TABLE</t>
        </is>
      </c>
      <c r="G264" t="inlineStr">
        <is>
          <t>TABLE_BANDS</t>
        </is>
      </c>
      <c r="H264" t="inlineStr"/>
      <c r="J264" t="inlineStr">
        <is>
          <t>Ativos</t>
        </is>
      </c>
      <c r="K264" t="inlineStr">
        <is>
          <t>ativosajce.com.br</t>
        </is>
      </c>
      <c r="L264" s="19" t="inlineStr">
        <is>
          <t>https://ativosajce.com.br/admin/download.php?file=files/processo_documento/processo_documento12051125072025_1_.pdf&amp;nome=Edital de Relação de Credores - Art. 7º, § 2º - 28/07/2025</t>
        </is>
      </c>
    </row>
    <row r="265">
      <c r="A265" t="inlineStr">
        <is>
          <t>17b307eaa021</t>
        </is>
      </c>
      <c r="C265" t="inlineStr">
        <is>
          <t>UNKNOWN</t>
        </is>
      </c>
      <c r="D265" t="inlineStr">
        <is>
          <t>NO_ROWS</t>
        </is>
      </c>
      <c r="E265" t="n">
        <v>1</v>
      </c>
      <c r="F265" t="inlineStr">
        <is>
          <t>TABLE</t>
        </is>
      </c>
      <c r="G265" t="inlineStr">
        <is>
          <t>TABLE_BANDS</t>
        </is>
      </c>
      <c r="H265" t="inlineStr"/>
      <c r="J265" t="inlineStr">
        <is>
          <t>Base | AJ RUIZ - Administração Judicial</t>
        </is>
      </c>
      <c r="K265" t="inlineStr">
        <is>
          <t>ajruiz.com.br</t>
        </is>
      </c>
      <c r="L265" s="19" t="inlineStr">
        <is>
          <t>https://ajruiz.com.br/sites/default/files/public/arquivos-processos/2023-11/5_relacao_nominal_de_credores_individualizada.pdf</t>
        </is>
      </c>
    </row>
    <row r="266">
      <c r="A266" t="inlineStr">
        <is>
          <t>8d4aa58588c9</t>
        </is>
      </c>
      <c r="B266" t="inlineStr">
        <is>
          <t>1000386-43.2022.8.26.0260</t>
        </is>
      </c>
      <c r="C266" t="inlineStr">
        <is>
          <t>UNKNOWN</t>
        </is>
      </c>
      <c r="D266" t="inlineStr">
        <is>
          <t>NO_ROWS</t>
        </is>
      </c>
      <c r="E266" t="n">
        <v>39</v>
      </c>
      <c r="F266" t="inlineStr">
        <is>
          <t>TABLE</t>
        </is>
      </c>
      <c r="G266" t="inlineStr">
        <is>
          <t>TABLE_BANDS</t>
        </is>
      </c>
      <c r="H266" t="inlineStr"/>
      <c r="J266" t="inlineStr">
        <is>
          <t>Ativos</t>
        </is>
      </c>
      <c r="K266" t="inlineStr">
        <is>
          <t>ativosajce.com.br</t>
        </is>
      </c>
      <c r="L266" s="19" t="inlineStr">
        <is>
          <t>https://ativosajce.com.br/admin/download.php?file=files/processo_documento/processo_documento17183527022023_1_.pdf&amp;nome=Relação de Credores Consolidada Retificada - 23/01/2023</t>
        </is>
      </c>
    </row>
    <row r="267">
      <c r="A267" t="inlineStr">
        <is>
          <t>39382ddb1e67</t>
        </is>
      </c>
      <c r="B267" t="inlineStr">
        <is>
          <t>1057555-04.2023.8.26.0114</t>
        </is>
      </c>
      <c r="C267" t="inlineStr">
        <is>
          <t>HOMOLOG</t>
        </is>
      </c>
      <c r="D267" t="inlineStr">
        <is>
          <t>NO_TEXT_LAYER</t>
        </is>
      </c>
      <c r="E267" t="n">
        <v>13</v>
      </c>
      <c r="F267" t="inlineStr">
        <is>
          <t>NONE</t>
        </is>
      </c>
      <c r="G267" t="inlineStr"/>
      <c r="H267" t="inlineStr"/>
      <c r="J267" t="inlineStr">
        <is>
          <t>Wws Services Prestadora de Servicos Ltda. – VTL</t>
        </is>
      </c>
      <c r="K267" t="inlineStr">
        <is>
          <t>vtladm.com.br</t>
        </is>
      </c>
      <c r="L267" s="19" t="inlineStr">
        <is>
          <t>https://vtladm.com.br/wp-content/uploads/2024/02/17-–-Sentenca-de-Homologacao-–-WWS-Services-e-Worldwide.pdf</t>
        </is>
      </c>
    </row>
    <row r="268">
      <c r="A268" t="inlineStr">
        <is>
          <t>d7b9727595c4</t>
        </is>
      </c>
      <c r="B268" t="inlineStr">
        <is>
          <t>5031539-94.2025.8.21.0022</t>
        </is>
      </c>
      <c r="C268" t="inlineStr">
        <is>
          <t>UNKNOWN</t>
        </is>
      </c>
      <c r="D268" t="inlineStr">
        <is>
          <t>NO_TEXT_LAYER</t>
        </is>
      </c>
      <c r="E268" t="n">
        <v>1</v>
      </c>
      <c r="F268" t="inlineStr">
        <is>
          <t>NONE</t>
        </is>
      </c>
      <c r="G268" t="inlineStr"/>
      <c r="H268" t="inlineStr"/>
      <c r="J268" t="inlineStr">
        <is>
          <t>SCZ Scalzilli Administração Judicial</t>
        </is>
      </c>
      <c r="K268" t="inlineStr">
        <is>
          <t>scalzilliaj.com.br</t>
        </is>
      </c>
      <c r="L268" s="19" t="inlineStr">
        <is>
          <t>https://scalzilliaj.com.br/sgc/download.php?file=files/processo_documento/processo_documento17400412062026_1_.pdf&amp;nome=06. Relação de credores do art. 7, § 2</t>
        </is>
      </c>
    </row>
    <row r="269">
      <c r="A269" t="inlineStr">
        <is>
          <t>8390315c70a8</t>
        </is>
      </c>
      <c r="B269" t="inlineStr">
        <is>
          <t>0002141-48.2013.8.24.0048</t>
        </is>
      </c>
      <c r="C269" t="inlineStr">
        <is>
          <t>UNKNOWN</t>
        </is>
      </c>
      <c r="D269" t="inlineStr">
        <is>
          <t>NO_TEXT_LAYER</t>
        </is>
      </c>
      <c r="E269" t="n">
        <v>17</v>
      </c>
      <c r="F269" t="inlineStr">
        <is>
          <t>NONE</t>
        </is>
      </c>
      <c r="G269" t="inlineStr"/>
      <c r="H269" t="inlineStr"/>
      <c r="J269" t="inlineStr">
        <is>
          <t>JMS INDÚSTRIA E COMÉRCIO DE PESCADOS LTDA – Sgrott Administradora Judicial e Consultoria Empresarial</t>
        </is>
      </c>
      <c r="K269" t="inlineStr">
        <is>
          <t>administradorajudicialgs.com.br</t>
        </is>
      </c>
      <c r="L269" s="19" t="inlineStr">
        <is>
          <t>https://administradorajudicialgs.com.br/wp-content/uploads/2023/08/relacao-de-credores-recuperanda.pdf</t>
        </is>
      </c>
    </row>
    <row r="270">
      <c r="A270" t="inlineStr">
        <is>
          <t>2addeeb30162</t>
        </is>
      </c>
      <c r="B270" t="inlineStr">
        <is>
          <t>5007759-79.2016.8.21.0010</t>
        </is>
      </c>
      <c r="C270" t="inlineStr">
        <is>
          <t>UNKNOWN</t>
        </is>
      </c>
      <c r="D270" t="inlineStr">
        <is>
          <t>NO_TEXT_LAYER</t>
        </is>
      </c>
      <c r="E270" t="n">
        <v>86</v>
      </c>
      <c r="F270" t="inlineStr">
        <is>
          <t>NONE</t>
        </is>
      </c>
      <c r="G270" t="inlineStr"/>
      <c r="H270" t="inlineStr"/>
      <c r="J270" t="inlineStr">
        <is>
          <t>SCZ Scalzilli Administração Judicial</t>
        </is>
      </c>
      <c r="K270" t="inlineStr">
        <is>
          <t>scalzilliaj.com.br</t>
        </is>
      </c>
      <c r="L270" s="19" t="inlineStr">
        <is>
          <t>https://scalzilliaj.com.br/sgc/download.php?file=files/processo_documento/processo_documento11070607012022_1_.pdf&amp;nome=05 - Plano de recuperação judicial</t>
        </is>
      </c>
    </row>
    <row r="271">
      <c r="A271" t="inlineStr">
        <is>
          <t>d311233c3d3f</t>
        </is>
      </c>
      <c r="B271" t="inlineStr">
        <is>
          <t>0002141-48.2013.8.24.0048</t>
        </is>
      </c>
      <c r="C271" t="inlineStr">
        <is>
          <t>UNKNOWN</t>
        </is>
      </c>
      <c r="D271" t="inlineStr">
        <is>
          <t>NO_TEXT_LAYER</t>
        </is>
      </c>
      <c r="E271" t="n">
        <v>18</v>
      </c>
      <c r="F271" t="inlineStr">
        <is>
          <t>NONE</t>
        </is>
      </c>
      <c r="G271" t="inlineStr"/>
      <c r="H271" t="inlineStr"/>
      <c r="J271" t="inlineStr">
        <is>
          <t>JMS INDÚSTRIA E COMÉRCIO DE PESCADOS LTDA – Sgrott Administradora Judicial e Consultoria Empresarial</t>
        </is>
      </c>
      <c r="K271" t="inlineStr">
        <is>
          <t>administradorajudicialgs.com.br</t>
        </is>
      </c>
      <c r="L271" s="19" t="inlineStr">
        <is>
          <t>https://administradorajudicialgs.com.br/wp-content/uploads/2023/08/relacao-de-credores-recuperanda-2.pdf</t>
        </is>
      </c>
    </row>
    <row r="272">
      <c r="A272" t="inlineStr">
        <is>
          <t>da02945cb2e8</t>
        </is>
      </c>
      <c r="B272" t="inlineStr">
        <is>
          <t>0002141-48.2013.8.24.0048</t>
        </is>
      </c>
      <c r="C272" t="inlineStr">
        <is>
          <t>UNKNOWN</t>
        </is>
      </c>
      <c r="D272" t="inlineStr">
        <is>
          <t>NO_TEXT_LAYER</t>
        </is>
      </c>
      <c r="E272" t="n">
        <v>7</v>
      </c>
      <c r="F272" t="inlineStr">
        <is>
          <t>NONE</t>
        </is>
      </c>
      <c r="G272" t="inlineStr"/>
      <c r="H272" t="inlineStr"/>
      <c r="J272" t="inlineStr">
        <is>
          <t>JMS INDÚSTRIA E COMÉRCIO DE PESCADOS LTDA – Sgrott Administradora Judicial e Consultoria Empresarial</t>
        </is>
      </c>
      <c r="K272" t="inlineStr">
        <is>
          <t>administradorajudicialgs.com.br</t>
        </is>
      </c>
      <c r="L272" s="19" t="inlineStr">
        <is>
          <t>https://administradorajudicialgs.com.br/wp-content/uploads/2023/08/relacao-de-credores-adm-jud-1.pdf</t>
        </is>
      </c>
    </row>
    <row r="273">
      <c r="A273" t="inlineStr">
        <is>
          <t>a461d54c1840</t>
        </is>
      </c>
      <c r="B273" t="inlineStr">
        <is>
          <t>0022845-08.2013.8.24.0008</t>
        </is>
      </c>
      <c r="C273" t="inlineStr">
        <is>
          <t>UNKNOWN</t>
        </is>
      </c>
      <c r="D273" t="inlineStr">
        <is>
          <t>NO_TEXT_LAYER</t>
        </is>
      </c>
      <c r="E273" t="n">
        <v>43</v>
      </c>
      <c r="F273" t="inlineStr">
        <is>
          <t>NONE</t>
        </is>
      </c>
      <c r="G273" t="inlineStr"/>
      <c r="H273" t="inlineStr"/>
      <c r="J273" t="inlineStr">
        <is>
          <t>BLUTRAFOS BLUMENAU TRANSFORMADORES LTDA – Sgrott Administradora Judicial e Consultoria Empresarial</t>
        </is>
      </c>
      <c r="K273" t="inlineStr">
        <is>
          <t>administradorajudicialgs.com.br</t>
        </is>
      </c>
      <c r="L273" s="19" t="inlineStr">
        <is>
          <t>https://administradorajudicialgs.com.br/wp-content/uploads/2023/08/relacao-de-credores-da-recuperanda-1.pdf</t>
        </is>
      </c>
    </row>
    <row r="274">
      <c r="A274" t="inlineStr">
        <is>
          <t>e8d238b5c9ce</t>
        </is>
      </c>
      <c r="B274" t="inlineStr">
        <is>
          <t>5007759-79.2016.8.21.0010</t>
        </is>
      </c>
      <c r="C274" t="inlineStr">
        <is>
          <t>UNKNOWN</t>
        </is>
      </c>
      <c r="D274" t="inlineStr">
        <is>
          <t>NO_TEXT_LAYER</t>
        </is>
      </c>
      <c r="E274" t="n">
        <v>11</v>
      </c>
      <c r="F274" t="inlineStr">
        <is>
          <t>NONE</t>
        </is>
      </c>
      <c r="G274" t="inlineStr"/>
      <c r="H274" t="inlineStr"/>
      <c r="J274" t="inlineStr">
        <is>
          <t>SCZ Scalzilli Administração Judicial</t>
        </is>
      </c>
      <c r="K274" t="inlineStr">
        <is>
          <t>scalzilliaj.com.br</t>
        </is>
      </c>
      <c r="L274" s="19" t="inlineStr">
        <is>
          <t>https://scalzilliaj.com.br/sgc/download.php?file=files/processo_documento/processo_documento11260207012022_1_.pdf&amp;nome=09 - Modificativo do plano de recuperação judicial</t>
        </is>
      </c>
    </row>
    <row r="275">
      <c r="A275" t="inlineStr">
        <is>
          <t>a15d1025d832</t>
        </is>
      </c>
      <c r="B275" t="inlineStr">
        <is>
          <t>0011441-85.2025.8.17.2480</t>
        </is>
      </c>
      <c r="C275" t="inlineStr">
        <is>
          <t>UNKNOWN</t>
        </is>
      </c>
      <c r="D275" t="inlineStr">
        <is>
          <t>NO_TEXT_LAYER</t>
        </is>
      </c>
      <c r="E275" t="n">
        <v>4</v>
      </c>
      <c r="F275" t="inlineStr">
        <is>
          <t>NONE</t>
        </is>
      </c>
      <c r="G275" t="inlineStr"/>
      <c r="H275" t="inlineStr"/>
      <c r="J275" t="inlineStr">
        <is>
          <t>GRUPO NEPHRONCARE – Diligence Administração em Recuperação Judicial e Falência</t>
        </is>
      </c>
      <c r="K275" t="inlineStr">
        <is>
          <t>diligence.adm.br</t>
        </is>
      </c>
      <c r="L275" s="19" t="inlineStr">
        <is>
          <t>https://diligence.adm.br/wp-content/plugins/download-attachments/includes/download.php?id=5613</t>
        </is>
      </c>
    </row>
    <row r="276">
      <c r="A276" t="inlineStr">
        <is>
          <t>0330e72a6dfd</t>
        </is>
      </c>
      <c r="B276" t="inlineStr">
        <is>
          <t>0005010-50.2013.8.24.0026</t>
        </is>
      </c>
      <c r="C276" t="inlineStr">
        <is>
          <t>UNKNOWN</t>
        </is>
      </c>
      <c r="D276" t="inlineStr">
        <is>
          <t>NO_TEXT_LAYER</t>
        </is>
      </c>
      <c r="E276" t="n">
        <v>180</v>
      </c>
      <c r="F276" t="inlineStr">
        <is>
          <t>NONE</t>
        </is>
      </c>
      <c r="G276" t="inlineStr"/>
      <c r="H276" t="inlineStr"/>
      <c r="J276" t="inlineStr">
        <is>
          <t>MANNES LTDA E BM EMPREENDIMENTOS E PARTICIPAÇÕES – Sgrott Administradora Judicial e Consultoria Empresarial</t>
        </is>
      </c>
      <c r="K276" t="inlineStr">
        <is>
          <t>administradorajudicialgs.com.br</t>
        </is>
      </c>
      <c r="L276" s="19" t="inlineStr">
        <is>
          <t>https://administradorajudicialgs.com.br/wp-content/uploads/2024/12/4-relacao-de-credores-recuperanda.pdf</t>
        </is>
      </c>
    </row>
    <row r="277">
      <c r="A277" t="inlineStr">
        <is>
          <t>ecb9e93b23ac</t>
        </is>
      </c>
      <c r="B277" t="inlineStr">
        <is>
          <t>0005010-50.2013.8.24.0026</t>
        </is>
      </c>
      <c r="C277" t="inlineStr">
        <is>
          <t>UNKNOWN</t>
        </is>
      </c>
      <c r="D277" t="inlineStr">
        <is>
          <t>NO_TEXT_LAYER</t>
        </is>
      </c>
      <c r="E277" t="n">
        <v>27</v>
      </c>
      <c r="F277" t="inlineStr">
        <is>
          <t>NONE</t>
        </is>
      </c>
      <c r="G277" t="inlineStr"/>
      <c r="H277" t="inlineStr"/>
      <c r="J277" t="inlineStr">
        <is>
          <t>MANNES LTDA E BM EMPREENDIMENTOS E PARTICIPAÇÕES – Sgrott Administradora Judicial e Consultoria Empresarial</t>
        </is>
      </c>
      <c r="K277" t="inlineStr">
        <is>
          <t>administradorajudicialgs.com.br</t>
        </is>
      </c>
      <c r="L277" s="19" t="inlineStr">
        <is>
          <t>https://administradorajudicialgs.com.br/wp-content/uploads/2024/12/5-relacao-de-credores-adm-jud.pdf</t>
        </is>
      </c>
    </row>
    <row r="278">
      <c r="A278" t="inlineStr">
        <is>
          <t>c4d4505b946a</t>
        </is>
      </c>
      <c r="B278" t="inlineStr">
        <is>
          <t>1003919-39.2024.8.26.0260</t>
        </is>
      </c>
      <c r="C278" t="inlineStr">
        <is>
          <t>UNKNOWN</t>
        </is>
      </c>
      <c r="D278" t="inlineStr">
        <is>
          <t>NO_TEXT_LAYER</t>
        </is>
      </c>
      <c r="E278" t="n">
        <v>6</v>
      </c>
      <c r="F278" t="inlineStr">
        <is>
          <t>NONE</t>
        </is>
      </c>
      <c r="G278" t="inlineStr"/>
      <c r="H278" t="inlineStr"/>
      <c r="J278" t="inlineStr">
        <is>
          <t>MFC INDUSTRIA E COMÉRCIO LTDA - Vivante Gestão e Administração Judicial</t>
        </is>
      </c>
      <c r="K278" t="inlineStr">
        <is>
          <t>vivanteaj.com.br</t>
        </is>
      </c>
      <c r="L278" s="19" t="inlineStr">
        <is>
          <t>https://vivanteaj.com.br/wp-content/uploads/2025/02/1a-lista-de-credores-MFC.pdf</t>
        </is>
      </c>
    </row>
    <row r="279">
      <c r="A279" t="inlineStr">
        <is>
          <t>42c47b3394b4</t>
        </is>
      </c>
      <c r="B279" t="inlineStr">
        <is>
          <t>0000707-30.2008.8.02.0042</t>
        </is>
      </c>
      <c r="C279" t="inlineStr">
        <is>
          <t>UNKNOWN</t>
        </is>
      </c>
      <c r="D279" t="inlineStr">
        <is>
          <t>NO_TEXT_LAYER</t>
        </is>
      </c>
      <c r="E279" t="n">
        <v>24</v>
      </c>
      <c r="F279" t="inlineStr">
        <is>
          <t>NONE</t>
        </is>
      </c>
      <c r="G279" t="inlineStr"/>
      <c r="H279" t="inlineStr"/>
      <c r="J279" t="inlineStr">
        <is>
          <t>LAGINHA AGRO INDUSTRIAL S/A - Vivante Gestão e Administração Judicial</t>
        </is>
      </c>
      <c r="K279" t="inlineStr">
        <is>
          <t>vivanteaj.com.br</t>
        </is>
      </c>
      <c r="L279" s="19" t="inlineStr">
        <is>
          <t>https://vivanteaj.com.br/wp-content/uploads/2024/11/20.08.2013-Sentenca-Decretacao-da-Falencia-Laginha-1.pdf</t>
        </is>
      </c>
    </row>
    <row r="280">
      <c r="A280" t="inlineStr">
        <is>
          <t>c3f733246f5b</t>
        </is>
      </c>
      <c r="B280" t="inlineStr">
        <is>
          <t>8041832-19.2024.8.05.0001</t>
        </is>
      </c>
      <c r="C280" t="inlineStr">
        <is>
          <t>UNKNOWN</t>
        </is>
      </c>
      <c r="D280" t="inlineStr">
        <is>
          <t>NO_TEXT_LAYER</t>
        </is>
      </c>
      <c r="E280" t="n">
        <v>6</v>
      </c>
      <c r="F280" t="inlineStr">
        <is>
          <t>NONE</t>
        </is>
      </c>
      <c r="G280" t="inlineStr"/>
      <c r="H280" t="inlineStr"/>
      <c r="J280" t="inlineStr">
        <is>
          <t>ERT VIDROS REFORMAS E DECORAÇÕES LTDA - Vivante Gestão e Administração Judicial</t>
        </is>
      </c>
      <c r="K280" t="inlineStr">
        <is>
          <t>vivanteaj.com.br</t>
        </is>
      </c>
      <c r="L280" s="19" t="inlineStr">
        <is>
          <t>https://vivanteaj.com.br/wp-content/uploads/2026/07/Sentenca-que-encerrou-a-Falencia.pdf</t>
        </is>
      </c>
    </row>
    <row r="281">
      <c r="A281" t="inlineStr">
        <is>
          <t>60159d3fb213</t>
        </is>
      </c>
      <c r="B281" t="inlineStr">
        <is>
          <t>0124413-63.2006.8.05.0001</t>
        </is>
      </c>
      <c r="C281" t="inlineStr">
        <is>
          <t>UNKNOWN</t>
        </is>
      </c>
      <c r="D281" t="inlineStr">
        <is>
          <t>NO_TEXT_LAYER</t>
        </is>
      </c>
      <c r="E281" t="n">
        <v>2</v>
      </c>
      <c r="F281" t="inlineStr">
        <is>
          <t>NONE</t>
        </is>
      </c>
      <c r="G281" t="inlineStr"/>
      <c r="H281" t="inlineStr"/>
      <c r="J281" t="inlineStr">
        <is>
          <t>AGENDA ASSESSORIA EMPRESARIAL LTDA – ME - Vivante Gestão e Administração Judicial</t>
        </is>
      </c>
      <c r="K281" t="inlineStr">
        <is>
          <t>vivanteaj.com.br</t>
        </is>
      </c>
      <c r="L281" s="19" t="inlineStr">
        <is>
          <t>https://vivanteaj.com.br/wp-content/uploads/2024/11/Sentenca-que-encerrou-a-falencia-da-Agenda.pdf</t>
        </is>
      </c>
    </row>
    <row r="282">
      <c r="A282" t="inlineStr">
        <is>
          <t>eb8469488f86</t>
        </is>
      </c>
      <c r="B282" t="inlineStr">
        <is>
          <t>8041832-19.2024.8.05.0001</t>
        </is>
      </c>
      <c r="C282" t="inlineStr">
        <is>
          <t>UNKNOWN</t>
        </is>
      </c>
      <c r="D282" t="inlineStr">
        <is>
          <t>NO_TEXT_LAYER</t>
        </is>
      </c>
      <c r="E282" t="n">
        <v>3</v>
      </c>
      <c r="F282" t="inlineStr">
        <is>
          <t>NONE</t>
        </is>
      </c>
      <c r="G282" t="inlineStr"/>
      <c r="H282" t="inlineStr"/>
      <c r="J282" t="inlineStr">
        <is>
          <t>ERT VIDROS REFORMAS E DECORAÇÕES LTDA - Vivante Gestão e Administração Judicial</t>
        </is>
      </c>
      <c r="K282" t="inlineStr">
        <is>
          <t>vivanteaj.com.br</t>
        </is>
      </c>
      <c r="L282" s="19" t="inlineStr">
        <is>
          <t>https://vivanteaj.com.br/wp-content/uploads/2026/07/Edital-do-art.-114-A.pdf</t>
        </is>
      </c>
    </row>
    <row r="283">
      <c r="A283" t="inlineStr">
        <is>
          <t>6546778b06cc</t>
        </is>
      </c>
      <c r="B283" t="inlineStr">
        <is>
          <t>0004984-95.2024.8.16.0153</t>
        </is>
      </c>
      <c r="C283" t="inlineStr">
        <is>
          <t>UNKNOWN</t>
        </is>
      </c>
      <c r="D283" t="inlineStr">
        <is>
          <t>NO_TEXT_LAYER</t>
        </is>
      </c>
      <c r="E283" t="n">
        <v>4</v>
      </c>
      <c r="F283" t="inlineStr">
        <is>
          <t>NONE</t>
        </is>
      </c>
      <c r="G283" t="inlineStr"/>
      <c r="H283" t="inlineStr"/>
      <c r="J283" t="inlineStr">
        <is>
          <t>Agile Equipamentos Odontologicos Ltda. – VTL</t>
        </is>
      </c>
      <c r="K283" t="inlineStr">
        <is>
          <t>vtladm.com.br</t>
        </is>
      </c>
      <c r="L283" s="19" t="inlineStr">
        <is>
          <t>https://vtladm.com.br/wp-content/uploads/2025/05/02-Relacao-de-Credores-Agile-Equipamentos-Odontologicos-Ltda.pdf</t>
        </is>
      </c>
    </row>
    <row r="284">
      <c r="A284" t="inlineStr">
        <is>
          <t>6b3e5c13e21b</t>
        </is>
      </c>
      <c r="B284" t="inlineStr">
        <is>
          <t>0740910-30.1997.8.26.0100</t>
        </is>
      </c>
      <c r="C284" t="inlineStr">
        <is>
          <t>UNKNOWN</t>
        </is>
      </c>
      <c r="D284" t="inlineStr">
        <is>
          <t>NO_TEXT_LAYER</t>
        </is>
      </c>
      <c r="E284" t="n">
        <v>5</v>
      </c>
      <c r="F284" t="inlineStr">
        <is>
          <t>NONE</t>
        </is>
      </c>
      <c r="G284" t="inlineStr"/>
      <c r="H284" t="inlineStr"/>
      <c r="J284" t="inlineStr">
        <is>
          <t>Massa Falida de Francismar, Comércio, Importação e Exportação Ltda. e outros – VTL</t>
        </is>
      </c>
      <c r="K284" t="inlineStr">
        <is>
          <t>vtladm.com.br</t>
        </is>
      </c>
      <c r="L284" s="19" t="inlineStr">
        <is>
          <t>https://vtladm.com.br/wp-content/uploads/2024/07/08-–-Manifestacao-do-Sindico-–-Quadro-Geral-de-Credores-e-Ativos-–-Massa-Falida-de-Francismar-Comercio-Importacao-e-Exportacao-Ltda.-e-outros.pdf</t>
        </is>
      </c>
    </row>
    <row r="285">
      <c r="A285" t="inlineStr">
        <is>
          <t>1b8b44f15e4b</t>
        </is>
      </c>
      <c r="B285" t="inlineStr">
        <is>
          <t>0003971-03.2023.8.16.0119</t>
        </is>
      </c>
      <c r="C285" t="inlineStr">
        <is>
          <t>UNKNOWN</t>
        </is>
      </c>
      <c r="D285" t="inlineStr">
        <is>
          <t>NO_TEXT_LAYER</t>
        </is>
      </c>
      <c r="E285" t="n">
        <v>2</v>
      </c>
      <c r="F285" t="inlineStr">
        <is>
          <t>NONE</t>
        </is>
      </c>
      <c r="G285" t="inlineStr"/>
      <c r="H285" t="inlineStr"/>
      <c r="J285" t="inlineStr">
        <is>
          <t>Marques Administrações Judiciais</t>
        </is>
      </c>
      <c r="K285" t="inlineStr">
        <is>
          <t>marquesadmjudicial.com.br</t>
        </is>
      </c>
      <c r="L285" s="19" t="inlineStr">
        <is>
          <t>https://marquesadmjudicial.com.br/sgc/download.php?file=files/processo_documento/processo_documento10482924062024_1_.pdf&amp;nome=2º Edital - Relação de credores do AJ e PRJ</t>
        </is>
      </c>
    </row>
    <row r="286">
      <c r="A286" t="inlineStr">
        <is>
          <t>7da28c400e52</t>
        </is>
      </c>
      <c r="B286" t="inlineStr">
        <is>
          <t>1009827-02.2024.8.26.0576</t>
        </is>
      </c>
      <c r="C286" t="inlineStr">
        <is>
          <t>UNKNOWN</t>
        </is>
      </c>
      <c r="D286" t="inlineStr">
        <is>
          <t>NO_TEXT_LAYER</t>
        </is>
      </c>
      <c r="E286" t="n">
        <v>21</v>
      </c>
      <c r="F286" t="inlineStr">
        <is>
          <t>NONE</t>
        </is>
      </c>
      <c r="G286" t="inlineStr"/>
      <c r="H286" t="inlineStr"/>
      <c r="J286" t="inlineStr">
        <is>
          <t>Frigorífico Alfa Indústria e Comércio de Carnes e Derivados Ltda.  e Ctx Logística, Transporte E Locações Ltda. – VTL</t>
        </is>
      </c>
      <c r="K286" t="inlineStr">
        <is>
          <t>vtladm.com.br</t>
        </is>
      </c>
      <c r="L286" s="19" t="inlineStr">
        <is>
          <t>https://vtladm.com.br/wp-content/uploads/2024/04/13-1o-Modificativo-ao-Plano-de-Recuperacao-Judicial-–-Frigorifico-Alfa-e-Ctx.pdf</t>
        </is>
      </c>
    </row>
    <row r="287">
      <c r="A287" t="inlineStr">
        <is>
          <t>cbd85648a2f4</t>
        </is>
      </c>
      <c r="B287" t="inlineStr">
        <is>
          <t>1057555-04.2023.8.26.0114</t>
        </is>
      </c>
      <c r="C287" t="inlineStr">
        <is>
          <t>UNKNOWN</t>
        </is>
      </c>
      <c r="D287" t="inlineStr">
        <is>
          <t>NO_TEXT_LAYER</t>
        </is>
      </c>
      <c r="E287" t="n">
        <v>9</v>
      </c>
      <c r="F287" t="inlineStr">
        <is>
          <t>NONE</t>
        </is>
      </c>
      <c r="G287" t="inlineStr"/>
      <c r="H287" t="inlineStr"/>
      <c r="J287" t="inlineStr">
        <is>
          <t>Wws Services Prestadora de Servicos Ltda. – VTL</t>
        </is>
      </c>
      <c r="K287" t="inlineStr">
        <is>
          <t>vtladm.com.br</t>
        </is>
      </c>
      <c r="L287" s="19" t="inlineStr">
        <is>
          <t>https://vtladm.com.br/wp-content/uploads/2024/02/16-Aditivo-ao-Plano-de-Recuperacao-Judicial-WWS-Services-e-Worldwide.pdf</t>
        </is>
      </c>
    </row>
    <row r="288">
      <c r="A288" t="inlineStr">
        <is>
          <t>9fefb9d9c438</t>
        </is>
      </c>
      <c r="B288" t="inlineStr">
        <is>
          <t>0701237-50.2019.8.07.0015</t>
        </is>
      </c>
      <c r="C288" t="inlineStr">
        <is>
          <t>UNKNOWN</t>
        </is>
      </c>
      <c r="D288" t="inlineStr">
        <is>
          <t>NO_TEXT_LAYER</t>
        </is>
      </c>
      <c r="E288" t="n">
        <v>3</v>
      </c>
      <c r="F288" t="inlineStr">
        <is>
          <t>NONE</t>
        </is>
      </c>
      <c r="G288" t="inlineStr"/>
      <c r="H288" t="inlineStr"/>
      <c r="J288" t="inlineStr">
        <is>
          <t>Insolvência Civil de  Ambrosino de Serpa Coutinho – VTL</t>
        </is>
      </c>
      <c r="K288" t="inlineStr">
        <is>
          <t>vtladm.com.br</t>
        </is>
      </c>
      <c r="L288" s="19" t="inlineStr">
        <is>
          <t>https://vtladm.com.br/wp-content/uploads/2025/06/02-–-Sentenca-–-Declaracao-de-Insolvencia-Civil-–-Massa-Insolvente-de-Ambrosino-de-Serpa-Coutinho.pdf</t>
        </is>
      </c>
    </row>
    <row r="289">
      <c r="A289" t="inlineStr">
        <is>
          <t>759574e9b873</t>
        </is>
      </c>
      <c r="B289" t="inlineStr">
        <is>
          <t>0712202-53.2020.8.07.0015</t>
        </is>
      </c>
      <c r="C289" t="inlineStr">
        <is>
          <t>UNKNOWN</t>
        </is>
      </c>
      <c r="D289" t="inlineStr">
        <is>
          <t>NO_TEXT_LAYER</t>
        </is>
      </c>
      <c r="E289" t="n">
        <v>2</v>
      </c>
      <c r="F289" t="inlineStr">
        <is>
          <t>NONE</t>
        </is>
      </c>
      <c r="G289" t="inlineStr"/>
      <c r="H289" t="inlineStr"/>
      <c r="J289" t="inlineStr">
        <is>
          <t>Insolvência Civil de Augusto Cesar Zuqui Lisboa – VTL</t>
        </is>
      </c>
      <c r="K289" t="inlineStr">
        <is>
          <t>vtladm.com.br</t>
        </is>
      </c>
      <c r="L289" s="19" t="inlineStr">
        <is>
          <t>https://vtladm.com.br/wp-content/uploads/2024/11/04-Edital-de-Intimacao-de-Possiveis-Interessados-e-Credores-Sobre-a-Adocao-do-Rito-da-Insolvencia-Frustrada-–-Massa-Insolvente-de-Augusto-Cesar-Zuqui-Lisboa.pdf</t>
        </is>
      </c>
    </row>
    <row r="290">
      <c r="A290" t="inlineStr">
        <is>
          <t>836934ea6a14</t>
        </is>
      </c>
      <c r="B290" t="inlineStr">
        <is>
          <t>1003643-62.2016.8.26.0462</t>
        </is>
      </c>
      <c r="C290" t="inlineStr">
        <is>
          <t>UNKNOWN</t>
        </is>
      </c>
      <c r="D290" t="inlineStr">
        <is>
          <t>NO_TEXT_LAYER</t>
        </is>
      </c>
      <c r="E290" t="n">
        <v>16</v>
      </c>
      <c r="F290" t="inlineStr">
        <is>
          <t>NONE</t>
        </is>
      </c>
      <c r="G290" t="inlineStr"/>
      <c r="H290" t="inlineStr"/>
      <c r="J290" t="inlineStr">
        <is>
          <t>Termkcal do Brasil Isolamentos Térmicos LTDA - Real Brasil Consultoria</t>
        </is>
      </c>
      <c r="K290" t="inlineStr">
        <is>
          <t>realbrasil.com.br</t>
        </is>
      </c>
      <c r="L290" s="19" t="inlineStr">
        <is>
          <t>https://realbrasil.com.br/wp-content/uploads/2025/07/LISTA-DE-CREDORES-DO-AJ_NELSON-GAREY_Parte2.pdf</t>
        </is>
      </c>
    </row>
    <row r="291">
      <c r="A291" t="inlineStr">
        <is>
          <t>eeddeca68065</t>
        </is>
      </c>
      <c r="B291" t="inlineStr">
        <is>
          <t>5519529-12.2020.8.09.0105</t>
        </is>
      </c>
      <c r="C291" t="inlineStr">
        <is>
          <t>UNKNOWN</t>
        </is>
      </c>
      <c r="D291" t="inlineStr">
        <is>
          <t>NO_TEXT_LAYER</t>
        </is>
      </c>
      <c r="E291" t="n">
        <v>2</v>
      </c>
      <c r="F291" t="inlineStr">
        <is>
          <t>NONE</t>
        </is>
      </c>
      <c r="G291" t="inlineStr"/>
      <c r="H291" t="inlineStr"/>
      <c r="J291" t="inlineStr">
        <is>
          <t>RJ Pereira E Resende LTDA - Stenius</t>
        </is>
      </c>
      <c r="K291" t="inlineStr">
        <is>
          <t>stenius.com.br</t>
        </is>
      </c>
      <c r="L291" s="19" t="inlineStr">
        <is>
          <t>https://stenius.com.br/wp-content/uploads/2026/07/1°-Edital-relacao-de-credores.pdf</t>
        </is>
      </c>
    </row>
    <row r="292">
      <c r="A292" t="inlineStr">
        <is>
          <t>cd6821bd57d1</t>
        </is>
      </c>
      <c r="B292" t="inlineStr">
        <is>
          <t>1027680-14.2024.8.11.0003</t>
        </is>
      </c>
      <c r="C292" t="inlineStr">
        <is>
          <t>UNKNOWN</t>
        </is>
      </c>
      <c r="D292" t="inlineStr">
        <is>
          <t>NO_TEXT_LAYER</t>
        </is>
      </c>
      <c r="E292" t="n">
        <v>2</v>
      </c>
      <c r="F292" t="inlineStr">
        <is>
          <t>NONE</t>
        </is>
      </c>
      <c r="G292" t="inlineStr"/>
      <c r="H292" t="inlineStr"/>
      <c r="J292" t="inlineStr">
        <is>
          <t>MPB Administração Judicial</t>
        </is>
      </c>
      <c r="K292" t="inlineStr">
        <is>
          <t>mpbadmjudicial.com.br</t>
        </is>
      </c>
      <c r="L292" s="19" t="inlineStr">
        <is>
          <t>https://mpbadmjudicial.com.br/sgc/download.php?file=files/processo_documento/processo_documento10184213062025_1_.pdf&amp;nome=Anexo ao Plano - Credores e condições de pagamento</t>
        </is>
      </c>
    </row>
    <row r="293">
      <c r="A293" t="inlineStr">
        <is>
          <t>031cee8d86dc</t>
        </is>
      </c>
      <c r="B293" t="inlineStr">
        <is>
          <t>1033803-55.2025.8.11.0015</t>
        </is>
      </c>
      <c r="C293" t="inlineStr">
        <is>
          <t>UNKNOWN</t>
        </is>
      </c>
      <c r="D293" t="inlineStr">
        <is>
          <t>NO_TEXT_LAYER</t>
        </is>
      </c>
      <c r="E293" t="n">
        <v>3</v>
      </c>
      <c r="F293" t="inlineStr">
        <is>
          <t>NONE</t>
        </is>
      </c>
      <c r="G293" t="inlineStr"/>
      <c r="H293" t="inlineStr"/>
      <c r="J293" t="inlineStr">
        <is>
          <t>MPB Administração Judicial</t>
        </is>
      </c>
      <c r="K293" t="inlineStr">
        <is>
          <t>mpbadmjudicial.com.br</t>
        </is>
      </c>
      <c r="L293" s="19" t="inlineStr">
        <is>
          <t>https://mpbadmjudicial.com.br/sgc/download.php?file=files/processo_documento/processo_documento11562523022026_1_.pdf&amp;nome=EDITAL de deferimento - publicado no Diário Oficial MT 29172 em 12/02/2026</t>
        </is>
      </c>
    </row>
    <row r="294">
      <c r="A294" t="inlineStr">
        <is>
          <t>e9312de112d6</t>
        </is>
      </c>
      <c r="C294" t="inlineStr">
        <is>
          <t>UNKNOWN</t>
        </is>
      </c>
      <c r="D294" t="inlineStr">
        <is>
          <t>NO_TEXT_LAYER</t>
        </is>
      </c>
      <c r="E294" t="n">
        <v>3</v>
      </c>
      <c r="F294" t="inlineStr">
        <is>
          <t>NONE</t>
        </is>
      </c>
      <c r="G294" t="inlineStr"/>
      <c r="H294" t="inlineStr"/>
      <c r="J294" t="inlineStr">
        <is>
          <t>Auto Posto Imperatriz - Real Brasil Consultoria</t>
        </is>
      </c>
      <c r="K294" t="inlineStr">
        <is>
          <t>realbrasil.com.br</t>
        </is>
      </c>
      <c r="L294" s="19" t="inlineStr">
        <is>
          <t>https://realbrasil.com.br/wp-content/uploads/2017/06/Relação-Nominal-de-Credores-Imperatriz.pdf</t>
        </is>
      </c>
    </row>
    <row r="295">
      <c r="A295" t="inlineStr">
        <is>
          <t>12e37a32132c</t>
        </is>
      </c>
      <c r="C295" t="inlineStr">
        <is>
          <t>UNKNOWN</t>
        </is>
      </c>
      <c r="D295" t="inlineStr">
        <is>
          <t>NO_TEXT_LAYER</t>
        </is>
      </c>
      <c r="E295" t="n">
        <v>23</v>
      </c>
      <c r="F295" t="inlineStr">
        <is>
          <t>NONE</t>
        </is>
      </c>
      <c r="G295" t="inlineStr"/>
      <c r="H295" t="inlineStr"/>
      <c r="J295" t="inlineStr">
        <is>
          <t>Amigão Materiais para Construção - Real Brasil Consultoria</t>
        </is>
      </c>
      <c r="K295" t="inlineStr">
        <is>
          <t>realbrasil.com.br</t>
        </is>
      </c>
      <c r="L295" s="19" t="inlineStr">
        <is>
          <t>https://realbrasil.com.br/wp-content/uploads/2017/05/2_Relação-de-Credores-Recuperanda-amigão.pdf</t>
        </is>
      </c>
    </row>
    <row r="296">
      <c r="A296" t="inlineStr">
        <is>
          <t>0bf2f176944e</t>
        </is>
      </c>
      <c r="C296" t="inlineStr">
        <is>
          <t>UNKNOWN</t>
        </is>
      </c>
      <c r="D296" t="inlineStr">
        <is>
          <t>NO_TEXT_LAYER</t>
        </is>
      </c>
      <c r="E296" t="n">
        <v>2</v>
      </c>
      <c r="F296" t="inlineStr">
        <is>
          <t>NONE</t>
        </is>
      </c>
      <c r="G296" t="inlineStr"/>
      <c r="H296" t="inlineStr"/>
      <c r="J296" t="inlineStr">
        <is>
          <t>Recuperações Judiciais – Brasil Trustee</t>
        </is>
      </c>
      <c r="K296" t="inlineStr">
        <is>
          <t>brasiltrustee.com.br</t>
        </is>
      </c>
      <c r="L296" s="19" t="inlineStr">
        <is>
          <t>https://violet-wolf-754008.hostingersite.com/wp-content/uploads/recuperacoes-judiciais/aroplan/07-Certidão-de-Publicação-do-Segundo-Edital.pdf</t>
        </is>
      </c>
    </row>
    <row r="297">
      <c r="A297" t="inlineStr">
        <is>
          <t>97d149cc912c</t>
        </is>
      </c>
      <c r="C297" t="inlineStr">
        <is>
          <t>UNKNOWN</t>
        </is>
      </c>
      <c r="D297" t="inlineStr">
        <is>
          <t>NO_TEXT_LAYER</t>
        </is>
      </c>
      <c r="E297" t="n">
        <v>48</v>
      </c>
      <c r="F297" t="inlineStr">
        <is>
          <t>NONE</t>
        </is>
      </c>
      <c r="G297" t="inlineStr"/>
      <c r="H297" t="inlineStr"/>
      <c r="J297" t="inlineStr">
        <is>
          <t>Recuperações Judiciais – Brasil Trustee</t>
        </is>
      </c>
      <c r="K297" t="inlineStr">
        <is>
          <t>brasiltrustee.com.br</t>
        </is>
      </c>
      <c r="L297" s="19" t="inlineStr">
        <is>
          <t>https://violet-wolf-754008.hostingersite.com/wp-content/uploads/recuperacoes-judiciais/eit/05-Certidão-de-Publicação-do-Primeiro-Edital.pdf</t>
        </is>
      </c>
    </row>
    <row r="298">
      <c r="A298" t="inlineStr">
        <is>
          <t>9a32fb63e714</t>
        </is>
      </c>
      <c r="C298" t="inlineStr">
        <is>
          <t>UNKNOWN</t>
        </is>
      </c>
      <c r="D298" t="inlineStr">
        <is>
          <t>NO_TEXT_LAYER</t>
        </is>
      </c>
      <c r="E298" t="n">
        <v>4</v>
      </c>
      <c r="F298" t="inlineStr">
        <is>
          <t>NONE</t>
        </is>
      </c>
      <c r="G298" t="inlineStr"/>
      <c r="H298" t="inlineStr"/>
      <c r="J298" t="inlineStr">
        <is>
          <t>Recuperações Judiciais – Brasil Trustee</t>
        </is>
      </c>
      <c r="K298" t="inlineStr">
        <is>
          <t>brasiltrustee.com.br</t>
        </is>
      </c>
      <c r="L298" s="19" t="inlineStr">
        <is>
          <t>https://violet-wolf-754008.hostingersite.com/wp-content/uploads/recuperacoes-judiciais/GLC-Transportes/1-Edital-de-Credores-disponibilizado-14.09.pdf</t>
        </is>
      </c>
    </row>
    <row r="299">
      <c r="A299" t="inlineStr">
        <is>
          <t>6ede1cbd1f29</t>
        </is>
      </c>
      <c r="C299" t="inlineStr">
        <is>
          <t>UNKNOWN</t>
        </is>
      </c>
      <c r="D299" t="inlineStr">
        <is>
          <t>NO_TEXT_LAYER</t>
        </is>
      </c>
      <c r="E299" t="n">
        <v>25</v>
      </c>
      <c r="F299" t="inlineStr">
        <is>
          <t>NONE</t>
        </is>
      </c>
      <c r="G299" t="inlineStr"/>
      <c r="H299" t="inlineStr"/>
      <c r="J299" t="inlineStr">
        <is>
          <t>Recuperações Judiciais – Brasil Trustee</t>
        </is>
      </c>
      <c r="K299" t="inlineStr">
        <is>
          <t>brasiltrustee.com.br</t>
        </is>
      </c>
      <c r="L299" s="19" t="inlineStr">
        <is>
          <t>https://violet-wolf-754008.hostingersite.com/wp-content/uploads/recuperacoes-judiciais/Graúna/04-primeiro-edital.pdf</t>
        </is>
      </c>
    </row>
    <row r="300">
      <c r="A300" t="inlineStr">
        <is>
          <t>3947235063b1</t>
        </is>
      </c>
      <c r="B300" t="inlineStr">
        <is>
          <t>1074600-92.2025.8.11.0041</t>
        </is>
      </c>
      <c r="C300" t="inlineStr">
        <is>
          <t>UNKNOWN</t>
        </is>
      </c>
      <c r="D300" t="inlineStr">
        <is>
          <t>NO_TEXT_LAYER</t>
        </is>
      </c>
      <c r="E300" t="n">
        <v>1</v>
      </c>
      <c r="F300" t="inlineStr">
        <is>
          <t>NONE</t>
        </is>
      </c>
      <c r="G300" t="inlineStr"/>
      <c r="H300" t="inlineStr"/>
      <c r="J300" t="inlineStr">
        <is>
          <t>Grupo Vezignazzi - RLG-AJ</t>
        </is>
      </c>
      <c r="K300" t="inlineStr">
        <is>
          <t>rlg-aj.com.br</t>
        </is>
      </c>
      <c r="L300" s="19" t="inlineStr">
        <is>
          <t>https://rlg-aj.com.br/wp-content/uploads/2026/03/Lista-de-Credores-Vezignazzi_rotated-1.pdf</t>
        </is>
      </c>
    </row>
    <row r="301">
      <c r="A301" t="inlineStr">
        <is>
          <t>e2c590a358e0</t>
        </is>
      </c>
      <c r="B301" t="inlineStr">
        <is>
          <t>0001557-75.2004.8.24.0054</t>
        </is>
      </c>
      <c r="C301" t="inlineStr">
        <is>
          <t>UNKNOWN</t>
        </is>
      </c>
      <c r="D301" t="inlineStr">
        <is>
          <t>NO_TEXT_LAYER</t>
        </is>
      </c>
      <c r="E301" t="n">
        <v>6</v>
      </c>
      <c r="F301" t="inlineStr">
        <is>
          <t>NONE</t>
        </is>
      </c>
      <c r="G301" t="inlineStr"/>
      <c r="H301" t="inlineStr"/>
      <c r="J301" t="inlineStr">
        <is>
          <t>Autobox Industria e Comercio de Equipamentos Ltda. - RLG-AJ</t>
        </is>
      </c>
      <c r="K301" t="inlineStr">
        <is>
          <t>rlg-aj.com.br</t>
        </is>
      </c>
      <c r="L301" s="19" t="inlineStr">
        <is>
          <t>https://rlg-aj.com.br/wp-content/uploads/2024/12/04.-Relacao-de-credores.pdf</t>
        </is>
      </c>
    </row>
    <row r="302">
      <c r="A302" t="inlineStr">
        <is>
          <t>ffeb15f721c0</t>
        </is>
      </c>
      <c r="B302" t="inlineStr">
        <is>
          <t>5001743-15.2025.8.08.0024</t>
        </is>
      </c>
      <c r="C302" t="inlineStr">
        <is>
          <t>UNKNOWN</t>
        </is>
      </c>
      <c r="D302" t="inlineStr">
        <is>
          <t>NO_TEXT_LAYER</t>
        </is>
      </c>
      <c r="E302" t="n">
        <v>26</v>
      </c>
      <c r="F302" t="inlineStr">
        <is>
          <t>NONE</t>
        </is>
      </c>
      <c r="G302" t="inlineStr"/>
      <c r="H302" t="inlineStr"/>
      <c r="J302" t="inlineStr">
        <is>
          <t>Contemporânea Construções e Projetos Ltda. - RLG-AJ</t>
        </is>
      </c>
      <c r="K302" t="inlineStr">
        <is>
          <t>rlg-aj.com.br</t>
        </is>
      </c>
      <c r="L302" s="19" t="inlineStr">
        <is>
          <t>https://rlg-aj.com.br/wp-content/uploads/2026/05/Segunda-Lista-de-Credores-Artigo-7.-Paragrafo-2.-da-LRF-Contemporanea-ok.pdf</t>
        </is>
      </c>
    </row>
    <row r="303">
      <c r="A303" t="inlineStr">
        <is>
          <t>5662df9dbbcd</t>
        </is>
      </c>
      <c r="B303" t="inlineStr">
        <is>
          <t>0006899-25.1998.8.24.0039</t>
        </is>
      </c>
      <c r="C303" t="inlineStr">
        <is>
          <t>UNKNOWN</t>
        </is>
      </c>
      <c r="D303" t="inlineStr">
        <is>
          <t>NO_TEXT_LAYER</t>
        </is>
      </c>
      <c r="E303" t="n">
        <v>3</v>
      </c>
      <c r="F303" t="inlineStr">
        <is>
          <t>NONE</t>
        </is>
      </c>
      <c r="G303" t="inlineStr"/>
      <c r="H303" t="inlineStr"/>
      <c r="J303" t="inlineStr">
        <is>
          <t>Eletro Motores CC LTDA - RLG-AJ</t>
        </is>
      </c>
      <c r="K303" t="inlineStr">
        <is>
          <t>rlg-aj.com.br</t>
        </is>
      </c>
      <c r="L303" s="19" t="inlineStr">
        <is>
          <t>https://rlg-aj.com.br/wp-content/uploads/2024/07/Quadro-Geral-de-Credores-Eletro-Motores.pdf</t>
        </is>
      </c>
    </row>
    <row r="304">
      <c r="A304" t="inlineStr">
        <is>
          <t>73d88c3afbeb</t>
        </is>
      </c>
      <c r="B304" t="inlineStr">
        <is>
          <t>5092815-63.2023.8.21.0001</t>
        </is>
      </c>
      <c r="C304" t="inlineStr">
        <is>
          <t>UNKNOWN</t>
        </is>
      </c>
      <c r="D304" t="inlineStr">
        <is>
          <t>NO_TEXT_LAYER</t>
        </is>
      </c>
      <c r="E304" t="n">
        <v>3</v>
      </c>
      <c r="F304" t="inlineStr">
        <is>
          <t>NONE</t>
        </is>
      </c>
      <c r="G304" t="inlineStr"/>
      <c r="H304" t="inlineStr"/>
      <c r="J304" t="inlineStr">
        <is>
          <t>Grupo Mobra - RLG-AJ</t>
        </is>
      </c>
      <c r="K304" t="inlineStr">
        <is>
          <t>rlg-aj.com.br</t>
        </is>
      </c>
      <c r="L304" s="19" t="inlineStr">
        <is>
          <t>https://rlg-aj.com.br/wp-content/uploads/2023/07/5.-Publicação-da-1ª-Lista-de-Credores-Edital-do-art.-99-§-1º-LREF-Grupo-Mobra.pdf</t>
        </is>
      </c>
    </row>
    <row r="305">
      <c r="A305" t="inlineStr">
        <is>
          <t>83e4a73c247b</t>
        </is>
      </c>
      <c r="B305" t="inlineStr">
        <is>
          <t>0029506-77.2004.8.19.0001</t>
        </is>
      </c>
      <c r="C305" t="inlineStr">
        <is>
          <t>UNKNOWN</t>
        </is>
      </c>
      <c r="D305" t="inlineStr">
        <is>
          <t>NO_TEXT_LAYER</t>
        </is>
      </c>
      <c r="E305" t="n">
        <v>16</v>
      </c>
      <c r="F305" t="inlineStr">
        <is>
          <t>NONE</t>
        </is>
      </c>
      <c r="G305" t="inlineStr"/>
      <c r="H305" t="inlineStr"/>
      <c r="J305" t="inlineStr">
        <is>
          <t>Desenvolvimento Engenharia – 0029506-77.2004.8.19.0001 – INOVA</t>
        </is>
      </c>
      <c r="K305" t="inlineStr">
        <is>
          <t>inova-aj.com.br</t>
        </is>
      </c>
      <c r="L305" s="19" t="inlineStr">
        <is>
          <t>https://inova-aj.com.br/wp-content/uploads/2019/10/QGC-002.pdf</t>
        </is>
      </c>
    </row>
    <row r="306">
      <c r="A306" t="inlineStr">
        <is>
          <t>683a8945fa64</t>
        </is>
      </c>
      <c r="B306" t="inlineStr">
        <is>
          <t>5001386-56.2018.8.21.0044</t>
        </is>
      </c>
      <c r="C306" t="inlineStr">
        <is>
          <t>UNKNOWN</t>
        </is>
      </c>
      <c r="D306" t="inlineStr">
        <is>
          <t>NO_TEXT_LAYER</t>
        </is>
      </c>
      <c r="E306" t="n">
        <v>1</v>
      </c>
      <c r="F306" t="inlineStr">
        <is>
          <t>NONE</t>
        </is>
      </c>
      <c r="G306" t="inlineStr"/>
      <c r="H306" t="inlineStr"/>
      <c r="J306" t="inlineStr">
        <is>
          <t>5001386-56.2018.8.21.0044 | CB2D</t>
        </is>
      </c>
      <c r="K306" t="inlineStr">
        <is>
          <t>cb2d.com.br</t>
        </is>
      </c>
      <c r="L306" s="19" t="inlineStr">
        <is>
          <t>https://www.cb2d.com.br/portal/_uploads/09a5913a-6446-44a7-8296-df2a86427fbb.pdf</t>
        </is>
      </c>
    </row>
    <row r="307">
      <c r="A307" t="inlineStr">
        <is>
          <t>36d1e87584c6</t>
        </is>
      </c>
      <c r="B307" t="inlineStr">
        <is>
          <t>5009369-87.2022.8.21.0005</t>
        </is>
      </c>
      <c r="C307" t="inlineStr">
        <is>
          <t>UNKNOWN</t>
        </is>
      </c>
      <c r="D307" t="inlineStr">
        <is>
          <t>NO_TEXT_LAYER</t>
        </is>
      </c>
      <c r="E307" t="n">
        <v>2</v>
      </c>
      <c r="F307" t="inlineStr">
        <is>
          <t>NONE</t>
        </is>
      </c>
      <c r="G307" t="inlineStr"/>
      <c r="H307" t="inlineStr"/>
      <c r="J307" t="inlineStr">
        <is>
          <t>5009369-87.2022.8.21.0005 | CB2D</t>
        </is>
      </c>
      <c r="K307" t="inlineStr">
        <is>
          <t>cb2d.com.br</t>
        </is>
      </c>
      <c r="L307" s="19" t="inlineStr">
        <is>
          <t>https://www.cb2d.com.br/portal/_uploads/77d9cfa9-ea92-4dd0-95bd-537ce50c3e2d.pdf</t>
        </is>
      </c>
    </row>
    <row r="308">
      <c r="A308" t="inlineStr">
        <is>
          <t>ea875e4fdf9b</t>
        </is>
      </c>
      <c r="B308" t="inlineStr">
        <is>
          <t>5001568-23.2016.8.21.0073</t>
        </is>
      </c>
      <c r="C308" t="inlineStr">
        <is>
          <t>UNKNOWN</t>
        </is>
      </c>
      <c r="D308" t="inlineStr">
        <is>
          <t>NO_TEXT_LAYER</t>
        </is>
      </c>
      <c r="E308" t="n">
        <v>3</v>
      </c>
      <c r="F308" t="inlineStr">
        <is>
          <t>NONE</t>
        </is>
      </c>
      <c r="G308" t="inlineStr"/>
      <c r="H308" t="inlineStr"/>
      <c r="J308" t="inlineStr">
        <is>
          <t>5001568-23.2016.8.21.0073 | CB2D</t>
        </is>
      </c>
      <c r="K308" t="inlineStr">
        <is>
          <t>cb2d.com.br</t>
        </is>
      </c>
      <c r="L308" s="19" t="inlineStr">
        <is>
          <t>https://www.cb2d.com.br/portal/_uploads/24027e69-7aea-4141-923e-845b7cdbe642.pdf</t>
        </is>
      </c>
    </row>
    <row r="309">
      <c r="A309" t="inlineStr">
        <is>
          <t>224d3d949f3f</t>
        </is>
      </c>
      <c r="B309" t="inlineStr">
        <is>
          <t>1049020-41.2017.8.26.0100</t>
        </is>
      </c>
      <c r="C309" t="inlineStr">
        <is>
          <t>UNKNOWN</t>
        </is>
      </c>
      <c r="D309" t="inlineStr">
        <is>
          <t>NO_TEXT_LAYER</t>
        </is>
      </c>
      <c r="E309" t="n">
        <v>17</v>
      </c>
      <c r="F309" t="inlineStr">
        <is>
          <t>NONE</t>
        </is>
      </c>
      <c r="G309" t="inlineStr"/>
      <c r="H309" t="inlineStr"/>
      <c r="J309" t="inlineStr">
        <is>
          <t>Kennzur Centro de Bem Estar e Spa Ltda, Kennzur Serviços Administrativos e de Apoio A Escritórios Eireli – ACFB</t>
        </is>
      </c>
      <c r="K309" t="inlineStr">
        <is>
          <t>acfb.com.br</t>
        </is>
      </c>
      <c r="L309" s="19" t="inlineStr">
        <is>
          <t>https://acfb.com.br/wp-content/uploads/2018/05/Plano-de-Recuperação-Judicial-1.pdf</t>
        </is>
      </c>
    </row>
    <row r="310">
      <c r="A310" t="inlineStr">
        <is>
          <t>fcddf11a8f67</t>
        </is>
      </c>
      <c r="B310" t="inlineStr">
        <is>
          <t>0000070-34.2000.8.24.0079</t>
        </is>
      </c>
      <c r="C310" t="inlineStr">
        <is>
          <t>UNKNOWN</t>
        </is>
      </c>
      <c r="D310" t="inlineStr">
        <is>
          <t>NO_TEXT_LAYER</t>
        </is>
      </c>
      <c r="E310" t="n">
        <v>3</v>
      </c>
      <c r="F310" t="inlineStr">
        <is>
          <t>NONE</t>
        </is>
      </c>
      <c r="G310" t="inlineStr"/>
      <c r="H310" t="inlineStr"/>
      <c r="J310" t="inlineStr">
        <is>
          <t>0000070-34.2000.8.24.0079 | CB2D</t>
        </is>
      </c>
      <c r="K310" t="inlineStr">
        <is>
          <t>cb2d.com.br</t>
        </is>
      </c>
      <c r="L310" s="19" t="inlineStr">
        <is>
          <t>https://www.cb2d.com.br/portal/_uploads/6ea0819c-b8a3-4f0d-87e8-7199bd9f4ea4.pdf</t>
        </is>
      </c>
    </row>
    <row r="311">
      <c r="A311" t="inlineStr">
        <is>
          <t>edbf6cbae795</t>
        </is>
      </c>
      <c r="B311" t="inlineStr">
        <is>
          <t>1000400-31.2025.8.26.0354</t>
        </is>
      </c>
      <c r="C311" t="inlineStr">
        <is>
          <t>UNKNOWN</t>
        </is>
      </c>
      <c r="D311" t="inlineStr">
        <is>
          <t>NO_TEXT_LAYER</t>
        </is>
      </c>
      <c r="E311" t="n">
        <v>3</v>
      </c>
      <c r="F311" t="inlineStr">
        <is>
          <t>NONE</t>
        </is>
      </c>
      <c r="G311" t="inlineStr"/>
      <c r="H311" t="inlineStr"/>
      <c r="J311" t="inlineStr">
        <is>
          <t>Ativos</t>
        </is>
      </c>
      <c r="K311" t="inlineStr">
        <is>
          <t>ativosajce.com.br</t>
        </is>
      </c>
      <c r="L311" s="19" t="inlineStr">
        <is>
          <t>https://ativosajce.com.br/admin/download.php?file=files/processo_documento/processo_documento18472823092025_1_.pdf&amp;nome=Edital de Credores - art. 52, §1º da Lei 11.101/05 - 23/09/2025</t>
        </is>
      </c>
    </row>
    <row r="312">
      <c r="A312" t="inlineStr">
        <is>
          <t>d33b26c97e7e</t>
        </is>
      </c>
      <c r="C312" t="inlineStr">
        <is>
          <t>UNKNOWN</t>
        </is>
      </c>
      <c r="D312" t="inlineStr">
        <is>
          <t>NO_TEXT_LAYER</t>
        </is>
      </c>
      <c r="E312" t="n">
        <v>13</v>
      </c>
      <c r="F312" t="inlineStr">
        <is>
          <t>NONE</t>
        </is>
      </c>
      <c r="G312" t="inlineStr"/>
      <c r="H312" t="inlineStr"/>
      <c r="J312" t="inlineStr">
        <is>
          <t>Base | AJ RUIZ - Administração Judicial</t>
        </is>
      </c>
      <c r="K312" t="inlineStr">
        <is>
          <t>ajruiz.com.br</t>
        </is>
      </c>
      <c r="L312" s="19" t="inlineStr">
        <is>
          <t>https://ajruiz.com.br/sites/default/files/public/arquivos-processos/2023-09/relacao-de-credores-administradora-judicial-casa-de-aprendizagens.pdf</t>
        </is>
      </c>
    </row>
    <row r="313">
      <c r="A313" t="inlineStr">
        <is>
          <t>b09444a95f82</t>
        </is>
      </c>
      <c r="B313" t="inlineStr">
        <is>
          <t>5003861-41.2020.8.24.0008</t>
        </is>
      </c>
      <c r="C313" t="inlineStr">
        <is>
          <t>UNKNOWN</t>
        </is>
      </c>
      <c r="D313" t="inlineStr">
        <is>
          <t>NO_TEXT_LAYER</t>
        </is>
      </c>
      <c r="E313" t="n">
        <v>3</v>
      </c>
      <c r="F313" t="inlineStr">
        <is>
          <t>NONE</t>
        </is>
      </c>
      <c r="G313" t="inlineStr"/>
      <c r="H313" t="inlineStr"/>
      <c r="J313" t="inlineStr">
        <is>
          <t>PROSIL ASSESSORIA PROJETOS E CONTRUÇÕES LTDA – FALÊNCIA – Brazilio Bacellar Shirai Advogados</t>
        </is>
      </c>
      <c r="K313" t="inlineStr">
        <is>
          <t>bbsadvogados.com.br</t>
        </is>
      </c>
      <c r="L313" s="19" t="inlineStr">
        <is>
          <t>https://bbsadvogados.com.br/wp-content/uploads/2025/10/Edital-contendo-a-relacao-de-credores-apresentada-pelo-falido-§1o-do-art.-99-da-LRF.pdf</t>
        </is>
      </c>
    </row>
    <row r="314">
      <c r="A314" t="inlineStr">
        <is>
          <t>0c762a21df4e</t>
        </is>
      </c>
      <c r="C314" t="inlineStr">
        <is>
          <t>UNKNOWN</t>
        </is>
      </c>
      <c r="D314" t="inlineStr">
        <is>
          <t>NO_TEXT_LAYER</t>
        </is>
      </c>
      <c r="E314" t="n">
        <v>17</v>
      </c>
      <c r="F314" t="inlineStr">
        <is>
          <t>NONE</t>
        </is>
      </c>
      <c r="G314" t="inlineStr"/>
      <c r="H314" t="inlineStr"/>
      <c r="J314" t="inlineStr">
        <is>
          <t>Base | AJ RUIZ - Administração Judicial</t>
        </is>
      </c>
      <c r="K314" t="inlineStr">
        <is>
          <t>ajruiz.com.br</t>
        </is>
      </c>
      <c r="L314" s="19" t="inlineStr">
        <is>
          <t>https://ajruiz.com.br/sites/default/files/public/arquivos-processos/2023-10/2_relacao_de_credores_analitica_art._51_iii_da_lre.pdf</t>
        </is>
      </c>
    </row>
    <row r="315">
      <c r="A315" t="inlineStr">
        <is>
          <t>87f24b4c93d8</t>
        </is>
      </c>
      <c r="C315" t="inlineStr">
        <is>
          <t>UNKNOWN</t>
        </is>
      </c>
      <c r="D315" t="inlineStr">
        <is>
          <t>NO_TEXT_LAYER</t>
        </is>
      </c>
      <c r="E315" t="n">
        <v>14</v>
      </c>
      <c r="F315" t="inlineStr">
        <is>
          <t>NONE</t>
        </is>
      </c>
      <c r="G315" t="inlineStr"/>
      <c r="H315" t="inlineStr"/>
      <c r="J315" t="inlineStr">
        <is>
          <t>Base | AJ RUIZ - Administração Judicial</t>
        </is>
      </c>
      <c r="K315" t="inlineStr">
        <is>
          <t>ajruiz.com.br</t>
        </is>
      </c>
      <c r="L315" s="19" t="inlineStr">
        <is>
          <t>https://ajruiz.com.br/sites/default/files/public/arquivos-processos/2023-10/5_relacao_de_credores_aj_art._7o_parag._2o_da_lre.pdf</t>
        </is>
      </c>
    </row>
    <row r="316">
      <c r="A316" t="inlineStr">
        <is>
          <t>4944ccfcfb34</t>
        </is>
      </c>
      <c r="C316" t="inlineStr">
        <is>
          <t>UNKNOWN</t>
        </is>
      </c>
      <c r="D316" t="inlineStr">
        <is>
          <t>NO_TEXT_LAYER</t>
        </is>
      </c>
      <c r="E316" t="n">
        <v>7</v>
      </c>
      <c r="F316" t="inlineStr">
        <is>
          <t>NONE</t>
        </is>
      </c>
      <c r="G316" t="inlineStr"/>
      <c r="H316" t="inlineStr"/>
      <c r="J316" t="inlineStr">
        <is>
          <t>Base | AJ RUIZ - Administração Judicial</t>
        </is>
      </c>
      <c r="K316" t="inlineStr">
        <is>
          <t>ajruiz.com.br</t>
        </is>
      </c>
      <c r="L316" s="19" t="inlineStr">
        <is>
          <t>https://ajruiz.com.br/sites/default/files/public/arquivos-processos/2023-10/edital_de_convocacao_de_credores_art._52_parag._1o_da_lre.pdf</t>
        </is>
      </c>
    </row>
    <row r="317">
      <c r="A317" t="inlineStr">
        <is>
          <t>8b16879bf68d</t>
        </is>
      </c>
      <c r="B317" t="inlineStr">
        <is>
          <t>5003861-41.2020.8.24.0008</t>
        </is>
      </c>
      <c r="C317" t="inlineStr">
        <is>
          <t>UNKNOWN</t>
        </is>
      </c>
      <c r="D317" t="inlineStr">
        <is>
          <t>NO_TEXT_LAYER</t>
        </is>
      </c>
      <c r="E317" t="n">
        <v>12</v>
      </c>
      <c r="F317" t="inlineStr">
        <is>
          <t>NONE</t>
        </is>
      </c>
      <c r="G317" t="inlineStr"/>
      <c r="H317" t="inlineStr"/>
      <c r="J317" t="inlineStr">
        <is>
          <t>PROSIL ASSESSORIA PROJETOS E CONTRUÇÕES LTDA – FALÊNCIA – Brazilio Bacellar Shirai Advogados</t>
        </is>
      </c>
      <c r="K317" t="inlineStr">
        <is>
          <t>bbsadvogados.com.br</t>
        </is>
      </c>
      <c r="L317" s="19" t="inlineStr">
        <is>
          <t>https://bbsadvogados.com.br/wp-content/uploads/2025/10/Sentenca-Falencia.pdf</t>
        </is>
      </c>
    </row>
    <row r="318">
      <c r="A318" t="inlineStr">
        <is>
          <t>bd0775b9fb69</t>
        </is>
      </c>
      <c r="B318" t="inlineStr">
        <is>
          <t>1000386-43.2022.8.26.0260</t>
        </is>
      </c>
      <c r="C318" t="inlineStr">
        <is>
          <t>UNKNOWN</t>
        </is>
      </c>
      <c r="D318" t="inlineStr">
        <is>
          <t>NO_TEXT_LAYER</t>
        </is>
      </c>
      <c r="E318" t="n">
        <v>7</v>
      </c>
      <c r="F318" t="inlineStr">
        <is>
          <t>NONE</t>
        </is>
      </c>
      <c r="G318" t="inlineStr"/>
      <c r="H318" t="inlineStr"/>
      <c r="J318" t="inlineStr">
        <is>
          <t>Ativos</t>
        </is>
      </c>
      <c r="K318" t="inlineStr">
        <is>
          <t>ativosajce.com.br</t>
        </is>
      </c>
      <c r="L318" s="19" t="inlineStr">
        <is>
          <t>https://ativosajce.com.br/admin/download.php?file=files/processo_documento/processo_documento14375313072022_1_.pdf&amp;nome=Relação de Credores da Cautelar - 12/04/2022</t>
        </is>
      </c>
    </row>
    <row r="319">
      <c r="A319" t="inlineStr">
        <is>
          <t>e0941a59d43d</t>
        </is>
      </c>
      <c r="C319" t="inlineStr">
        <is>
          <t>UNKNOWN</t>
        </is>
      </c>
      <c r="D319" t="inlineStr">
        <is>
          <t>NO_TEXT_LAYER</t>
        </is>
      </c>
      <c r="E319" t="n">
        <v>10</v>
      </c>
      <c r="F319" t="inlineStr">
        <is>
          <t>NONE</t>
        </is>
      </c>
      <c r="G319" t="inlineStr"/>
      <c r="H319" t="inlineStr"/>
      <c r="K319" t="inlineStr">
        <is>
          <t>diligence.adm.br</t>
        </is>
      </c>
      <c r="L319" s="19" t="inlineStr">
        <is>
          <t>https://diligence.adm.br/wp-content/plugins/download-attachments/includes/download.php?id=4294</t>
        </is>
      </c>
    </row>
    <row r="320">
      <c r="A320" t="inlineStr">
        <is>
          <t>8144b43aa4eb</t>
        </is>
      </c>
      <c r="C320" t="inlineStr">
        <is>
          <t>UNKNOWN</t>
        </is>
      </c>
      <c r="D320" t="inlineStr">
        <is>
          <t>NO_TEXT_LAYER</t>
        </is>
      </c>
      <c r="E320" t="n">
        <v>6</v>
      </c>
      <c r="F320" t="inlineStr">
        <is>
          <t>NONE</t>
        </is>
      </c>
      <c r="G320" t="inlineStr"/>
      <c r="H320" t="inlineStr"/>
      <c r="K320" t="inlineStr">
        <is>
          <t>karenrosa.adv.br</t>
        </is>
      </c>
      <c r="L320" s="19" t="inlineStr">
        <is>
          <t>https://www.karenrosa.adv.br/storage/files/2022/07/2fa637b57a05-relacao-credores-aj.pdf</t>
        </is>
      </c>
    </row>
    <row r="321">
      <c r="A321" t="inlineStr">
        <is>
          <t>76094fb7188e</t>
        </is>
      </c>
      <c r="B321" t="inlineStr">
        <is>
          <t>0108923-15.2025.8.17.2001</t>
        </is>
      </c>
      <c r="C321" t="inlineStr">
        <is>
          <t>UNKNOWN</t>
        </is>
      </c>
      <c r="D321" t="inlineStr">
        <is>
          <t>NO_TEXT_LAYER</t>
        </is>
      </c>
      <c r="E321" t="n">
        <v>0</v>
      </c>
      <c r="F321" t="inlineStr">
        <is>
          <t>NONE</t>
        </is>
      </c>
      <c r="G321" t="inlineStr"/>
      <c r="H321" t="inlineStr"/>
      <c r="J321" t="inlineStr">
        <is>
          <t>ASA RENT A CAR LOCACAO DE VEICULOS LTDA – Diligence Administração em Recuperação Judicial e Falência</t>
        </is>
      </c>
      <c r="K321" t="inlineStr">
        <is>
          <t>diligence.adm.br</t>
        </is>
      </c>
      <c r="L321" s="19" t="inlineStr">
        <is>
          <t>https://diligence.adm.br/wp-content/plugins/download-attachments/includes/download.php?id=6199</t>
        </is>
      </c>
    </row>
    <row r="322">
      <c r="A322" t="inlineStr">
        <is>
          <t>18967075f4e7</t>
        </is>
      </c>
      <c r="C322" t="inlineStr">
        <is>
          <t>UNKNOWN</t>
        </is>
      </c>
      <c r="D322" t="inlineStr">
        <is>
          <t>NO_TEXT_LAYER</t>
        </is>
      </c>
      <c r="E322" t="n">
        <v>10</v>
      </c>
      <c r="F322" t="inlineStr">
        <is>
          <t>NONE</t>
        </is>
      </c>
      <c r="G322" t="inlineStr"/>
      <c r="H322" t="inlineStr"/>
      <c r="J322" t="inlineStr">
        <is>
          <t>Catalise Administração Judicial</t>
        </is>
      </c>
      <c r="K322" t="inlineStr">
        <is>
          <t>cataliseaj.com.br</t>
        </is>
      </c>
      <c r="L322" s="19" t="inlineStr">
        <is>
          <t>https://cataliseaj.com.br/sgc/download.php?file=files/processo_documento/processo_documento17184410062024_1_.pdf&amp;nome=2. LISTA DE CREDORES</t>
        </is>
      </c>
    </row>
    <row r="323">
      <c r="A323" t="inlineStr">
        <is>
          <t>98ccba3015a4</t>
        </is>
      </c>
      <c r="C323" t="inlineStr">
        <is>
          <t>UNKNOWN</t>
        </is>
      </c>
      <c r="D323" t="inlineStr">
        <is>
          <t>NO_TEXT_LAYER</t>
        </is>
      </c>
      <c r="E323" t="n">
        <v>5</v>
      </c>
      <c r="F323" t="inlineStr">
        <is>
          <t>NONE</t>
        </is>
      </c>
      <c r="G323" t="inlineStr"/>
      <c r="H323" t="inlineStr"/>
      <c r="J323" t="inlineStr">
        <is>
          <t>Catalise Administração Judicial</t>
        </is>
      </c>
      <c r="K323" t="inlineStr">
        <is>
          <t>cataliseaj.com.br</t>
        </is>
      </c>
      <c r="L323" s="19" t="inlineStr">
        <is>
          <t>https://cataliseaj.com.br/sgc/download.php?file=files/processo_documento/processo_documento17211210062024_1_.pdf&amp;nome=7. COMPLEMENTAÇÃO DA LISTA DE CREDORES</t>
        </is>
      </c>
    </row>
    <row r="324">
      <c r="A324" t="inlineStr">
        <is>
          <t>f19acaf4f48b</t>
        </is>
      </c>
      <c r="B324" t="inlineStr">
        <is>
          <t>5009474-18.2019.8.21.0022</t>
        </is>
      </c>
      <c r="C324" t="inlineStr">
        <is>
          <t>UNKNOWN</t>
        </is>
      </c>
      <c r="D324" t="inlineStr">
        <is>
          <t>NO_TEXT_LAYER</t>
        </is>
      </c>
      <c r="E324" t="n">
        <v>10</v>
      </c>
      <c r="F324" t="inlineStr">
        <is>
          <t>NONE</t>
        </is>
      </c>
      <c r="G324" t="inlineStr"/>
      <c r="H324" t="inlineStr"/>
      <c r="J324" t="inlineStr">
        <is>
          <t>Catalise Administração Judicial</t>
        </is>
      </c>
      <c r="K324" t="inlineStr">
        <is>
          <t>cataliseaj.com.br</t>
        </is>
      </c>
      <c r="L324" s="19" t="inlineStr">
        <is>
          <t>https://cataliseaj.com.br/sgc/download.php?file=files/processo_documento/processo_documento17401510062024_1_.pdf&amp;nome= 2. LISTA DE CREDORES</t>
        </is>
      </c>
    </row>
    <row r="325">
      <c r="A325" t="inlineStr">
        <is>
          <t>597a66365961</t>
        </is>
      </c>
      <c r="B325" t="inlineStr">
        <is>
          <t>0000312-16.2008.8.24.0013</t>
        </is>
      </c>
      <c r="C325" t="inlineStr">
        <is>
          <t>UNKNOWN</t>
        </is>
      </c>
      <c r="D325" t="inlineStr">
        <is>
          <t>NO_TEXT_LAYER</t>
        </is>
      </c>
      <c r="E325" t="n">
        <v>4</v>
      </c>
      <c r="F325" t="inlineStr">
        <is>
          <t>NONE</t>
        </is>
      </c>
      <c r="G325" t="inlineStr"/>
      <c r="H325" t="inlineStr"/>
      <c r="J325" t="inlineStr">
        <is>
          <t>Catalise Administração Judicial</t>
        </is>
      </c>
      <c r="K325" t="inlineStr">
        <is>
          <t>cataliseaj.com.br</t>
        </is>
      </c>
      <c r="L325" s="19" t="inlineStr">
        <is>
          <t>https://cataliseaj.com.br/sgc/download.php?file=files/processo_documento/processo_documento09493210032026_1_.pdf&amp;nome=10. QUADRO GERAL DE CREDORES HOMOLOGADO</t>
        </is>
      </c>
    </row>
    <row r="326">
      <c r="A326" t="inlineStr">
        <is>
          <t>5e19dac074eb</t>
        </is>
      </c>
      <c r="B326" t="inlineStr">
        <is>
          <t>0301621-43.2016.8.24.0037</t>
        </is>
      </c>
      <c r="C326" t="inlineStr">
        <is>
          <t>UNKNOWN</t>
        </is>
      </c>
      <c r="D326" t="inlineStr">
        <is>
          <t>NO_TEXT_LAYER</t>
        </is>
      </c>
      <c r="E326" t="n">
        <v>4</v>
      </c>
      <c r="F326" t="inlineStr">
        <is>
          <t>NONE</t>
        </is>
      </c>
      <c r="G326" t="inlineStr"/>
      <c r="H326" t="inlineStr"/>
      <c r="J326" t="inlineStr">
        <is>
          <t>SCZ Scalzilli Administração Judicial</t>
        </is>
      </c>
      <c r="K326" t="inlineStr">
        <is>
          <t>scalzilliaj.com.br</t>
        </is>
      </c>
      <c r="L326" s="19" t="inlineStr">
        <is>
          <t>https://scalzilliaj.com.br/sgc/download.php?file=files/processo_documento/processo_documento16205111122023_1_.pdf&amp;nome=06 - Edital do art. 7º, §2º e 53 da Lei 11.101/2005 (segunda lista de credores e recebimento do plano)</t>
        </is>
      </c>
    </row>
    <row r="327">
      <c r="A327" t="inlineStr">
        <is>
          <t>6fb9e676279f</t>
        </is>
      </c>
      <c r="C327" t="inlineStr">
        <is>
          <t>UNKNOWN</t>
        </is>
      </c>
      <c r="D327" t="inlineStr">
        <is>
          <t>NO_TEXT_LAYER</t>
        </is>
      </c>
      <c r="E327" t="n">
        <v>3</v>
      </c>
      <c r="F327" t="inlineStr">
        <is>
          <t>NONE</t>
        </is>
      </c>
      <c r="G327" t="inlineStr"/>
      <c r="H327" t="inlineStr"/>
      <c r="J327" t="inlineStr">
        <is>
          <t>Catalise Administração Judicial</t>
        </is>
      </c>
      <c r="K327" t="inlineStr">
        <is>
          <t>cataliseaj.com.br</t>
        </is>
      </c>
      <c r="L327" s="19" t="inlineStr">
        <is>
          <t>https://cataliseaj.com.br/sgc/download.php?file=files/processo_documento/processo_documento17195710062024_1_.pdf&amp;nome=5. SENTENÇA</t>
        </is>
      </c>
    </row>
    <row r="328">
      <c r="A328" t="inlineStr">
        <is>
          <t>408a227c8c2b</t>
        </is>
      </c>
      <c r="B328" t="inlineStr">
        <is>
          <t>5178617-63.2022.8.21.0001</t>
        </is>
      </c>
      <c r="C328" t="inlineStr">
        <is>
          <t>UNKNOWN</t>
        </is>
      </c>
      <c r="D328" t="inlineStr">
        <is>
          <t>NO_TEXT_LAYER</t>
        </is>
      </c>
      <c r="E328" t="n">
        <v>8</v>
      </c>
      <c r="F328" t="inlineStr">
        <is>
          <t>NONE</t>
        </is>
      </c>
      <c r="G328" t="inlineStr"/>
      <c r="H328" t="inlineStr"/>
      <c r="J328" t="inlineStr">
        <is>
          <t>Catalise Administração Judicial</t>
        </is>
      </c>
      <c r="K328" t="inlineStr">
        <is>
          <t>cataliseaj.com.br</t>
        </is>
      </c>
      <c r="L328" s="19" t="inlineStr">
        <is>
          <t>https://cataliseaj.com.br/sgc/download.php?file=files/processo_documento/processo_documento21493230042025_1_.pdf&amp;nome=SENTENÇA - DECRETAÇÃO DE FALÊNCIA</t>
        </is>
      </c>
    </row>
    <row r="329">
      <c r="A329" t="inlineStr">
        <is>
          <t>c60fd9bfbd15</t>
        </is>
      </c>
      <c r="B329" t="inlineStr">
        <is>
          <t>5297011-58.2024.8.21.0001</t>
        </is>
      </c>
      <c r="C329" t="inlineStr">
        <is>
          <t>UNKNOWN</t>
        </is>
      </c>
      <c r="D329" t="inlineStr">
        <is>
          <t>NO_TEXT_LAYER</t>
        </is>
      </c>
      <c r="E329" t="n">
        <v>4</v>
      </c>
      <c r="F329" t="inlineStr">
        <is>
          <t>NONE</t>
        </is>
      </c>
      <c r="G329" t="inlineStr"/>
      <c r="H329" t="inlineStr"/>
      <c r="J329" t="inlineStr">
        <is>
          <t>Catalise Administração Judicial</t>
        </is>
      </c>
      <c r="K329" t="inlineStr">
        <is>
          <t>cataliseaj.com.br</t>
        </is>
      </c>
      <c r="L329" s="19" t="inlineStr">
        <is>
          <t>https://cataliseaj.com.br/sgc/download.php?file=files/processo_documento/processo_documento14574726022026_1_.pdf&amp;nome=8. SENTENÇA DE DECRETAÇÃO DA FALÊNCIA</t>
        </is>
      </c>
    </row>
    <row r="330">
      <c r="A330" t="inlineStr">
        <is>
          <t>dce5db3d4bde</t>
        </is>
      </c>
      <c r="B330" t="inlineStr">
        <is>
          <t>5009474-18.2019.8.21.0022</t>
        </is>
      </c>
      <c r="C330" t="inlineStr">
        <is>
          <t>UNKNOWN</t>
        </is>
      </c>
      <c r="D330" t="inlineStr">
        <is>
          <t>NO_TEXT_LAYER</t>
        </is>
      </c>
      <c r="E330" t="n">
        <v>150</v>
      </c>
      <c r="F330" t="inlineStr">
        <is>
          <t>NONE</t>
        </is>
      </c>
      <c r="G330" t="inlineStr"/>
      <c r="H330" t="inlineStr"/>
      <c r="J330" t="inlineStr">
        <is>
          <t>Catalise Administração Judicial</t>
        </is>
      </c>
      <c r="K330" t="inlineStr">
        <is>
          <t>cataliseaj.com.br</t>
        </is>
      </c>
      <c r="L330" s="19" t="inlineStr">
        <is>
          <t>https://cataliseaj.com.br/sgc/download.php?file=files/processo_documento/processo_documento17423610062024_1_.pdf&amp;nome= 8. PLANO DE RECUPERAÇÃO JUDICIAL GRAINTEK</t>
        </is>
      </c>
    </row>
    <row r="331">
      <c r="A331" t="inlineStr">
        <is>
          <t>cccce5de30a8</t>
        </is>
      </c>
      <c r="B331" t="inlineStr">
        <is>
          <t>5009474-18.2019.8.21.0022</t>
        </is>
      </c>
      <c r="C331" t="inlineStr">
        <is>
          <t>UNKNOWN</t>
        </is>
      </c>
      <c r="D331" t="inlineStr">
        <is>
          <t>NO_TEXT_LAYER</t>
        </is>
      </c>
      <c r="E331" t="n">
        <v>148</v>
      </c>
      <c r="F331" t="inlineStr">
        <is>
          <t>NONE</t>
        </is>
      </c>
      <c r="G331" t="inlineStr"/>
      <c r="H331" t="inlineStr"/>
      <c r="J331" t="inlineStr">
        <is>
          <t>Catalise Administração Judicial</t>
        </is>
      </c>
      <c r="K331" t="inlineStr">
        <is>
          <t>cataliseaj.com.br</t>
        </is>
      </c>
      <c r="L331" s="19" t="inlineStr">
        <is>
          <t>https://cataliseaj.com.br/sgc/download.php?file=files/processo_documento/processo_documento17433310062024_1_.pdf&amp;nome=10. PLANO DE RJ REORGANIZADO</t>
        </is>
      </c>
    </row>
    <row r="332">
      <c r="A332" t="inlineStr">
        <is>
          <t>894f7d1bf2d8</t>
        </is>
      </c>
      <c r="B332" t="inlineStr">
        <is>
          <t>0303869-91.2016.8.24.0033</t>
        </is>
      </c>
      <c r="C332" t="inlineStr">
        <is>
          <t>UNKNOWN</t>
        </is>
      </c>
      <c r="D332" t="inlineStr">
        <is>
          <t>NO_TEXT_LAYER</t>
        </is>
      </c>
      <c r="E332" t="n">
        <v>2</v>
      </c>
      <c r="F332" t="inlineStr">
        <is>
          <t>NONE</t>
        </is>
      </c>
      <c r="G332" t="inlineStr"/>
      <c r="H332" t="inlineStr"/>
      <c r="J332" t="inlineStr">
        <is>
          <t>LUX TINTAS LTDA EPP – ENCERRADA – Sgrott Administradora Judicial e Consultoria Empresarial</t>
        </is>
      </c>
      <c r="K332" t="inlineStr">
        <is>
          <t>administradorajudicialgs.com.br</t>
        </is>
      </c>
      <c r="L332" s="19" t="inlineStr">
        <is>
          <t>https://administradorajudicialgs.com.br/wp-content/uploads/2023/08/relacao-de-credores-recuperanda-1.pdf</t>
        </is>
      </c>
    </row>
    <row r="333">
      <c r="A333" t="inlineStr">
        <is>
          <t>3ba3f160a17b</t>
        </is>
      </c>
      <c r="B333" t="inlineStr">
        <is>
          <t>0004838-75.2012.8.17.0370</t>
        </is>
      </c>
      <c r="C333" t="inlineStr">
        <is>
          <t>UNKNOWN</t>
        </is>
      </c>
      <c r="D333" t="inlineStr">
        <is>
          <t>NO_TEXT_LAYER</t>
        </is>
      </c>
      <c r="E333" t="n">
        <v>60</v>
      </c>
      <c r="F333" t="inlineStr">
        <is>
          <t>NONE</t>
        </is>
      </c>
      <c r="G333" t="inlineStr"/>
      <c r="H333" t="inlineStr"/>
      <c r="J333" t="inlineStr">
        <is>
          <t>Cerâmica Porto Rico - Página — Lindoso e Araujo</t>
        </is>
      </c>
      <c r="K333" t="inlineStr">
        <is>
          <t>recuperacaojudicial.squarespace.com</t>
        </is>
      </c>
      <c r="L333" s="19" t="inlineStr">
        <is>
          <t>https://recuperacaojudicial.squarespace.com/s/RJ-Ceramica-Porto-Rico-1-lista-de-credores.pdf</t>
        </is>
      </c>
    </row>
    <row r="334">
      <c r="A334" t="inlineStr">
        <is>
          <t>4f9de22438d5</t>
        </is>
      </c>
      <c r="B334" t="inlineStr">
        <is>
          <t>5004596-31.2026.8.24.0019</t>
        </is>
      </c>
      <c r="C334" t="inlineStr">
        <is>
          <t>UNKNOWN</t>
        </is>
      </c>
      <c r="D334" t="inlineStr">
        <is>
          <t>NO_TEXT_LAYER</t>
        </is>
      </c>
      <c r="E334" t="n">
        <v>16</v>
      </c>
      <c r="F334" t="inlineStr">
        <is>
          <t>NONE</t>
        </is>
      </c>
      <c r="G334" t="inlineStr"/>
      <c r="H334" t="inlineStr"/>
      <c r="J334" t="inlineStr">
        <is>
          <t>Catalise Administração Judicial</t>
        </is>
      </c>
      <c r="K334" t="inlineStr">
        <is>
          <t>cataliseaj.com.br</t>
        </is>
      </c>
      <c r="L334" s="19" t="inlineStr">
        <is>
          <t>https://cataliseaj.com.br/sgc/download.php?file=files/processo_documento/processo_documento13544512052026_1_.pdf&amp;nome=2. Sentença de Decretação da Falência</t>
        </is>
      </c>
    </row>
    <row r="335">
      <c r="A335" t="inlineStr">
        <is>
          <t>5e398c95a78b</t>
        </is>
      </c>
      <c r="B335" t="inlineStr">
        <is>
          <t>5000010-23.2004.8.21.0045</t>
        </is>
      </c>
      <c r="C335" t="inlineStr">
        <is>
          <t>UNKNOWN</t>
        </is>
      </c>
      <c r="D335" t="inlineStr">
        <is>
          <t>NO_TEXT_LAYER</t>
        </is>
      </c>
      <c r="E335" t="n">
        <v>2</v>
      </c>
      <c r="F335" t="inlineStr">
        <is>
          <t>NONE</t>
        </is>
      </c>
      <c r="G335" t="inlineStr"/>
      <c r="H335" t="inlineStr"/>
      <c r="J335" t="inlineStr">
        <is>
          <t>SCZ Scalzilli Administração Judicial</t>
        </is>
      </c>
      <c r="K335" t="inlineStr">
        <is>
          <t>scalzilliaj.com.br</t>
        </is>
      </c>
      <c r="L335" s="19" t="inlineStr">
        <is>
          <t>https://scalzilliaj.com.br/sgc/download.php?file=files/processo_documento/falencia_documento11075308072022_1_.pdf&amp;nome=04 - Edital do art. 18 da Lei 11.101/2005 (quadro geral de credores)</t>
        </is>
      </c>
    </row>
    <row r="336">
      <c r="A336" t="inlineStr">
        <is>
          <t>9b352088e5a8</t>
        </is>
      </c>
      <c r="B336" t="inlineStr">
        <is>
          <t>5000010-23.2004.8.21.0045</t>
        </is>
      </c>
      <c r="C336" t="inlineStr">
        <is>
          <t>UNKNOWN</t>
        </is>
      </c>
      <c r="D336" t="inlineStr">
        <is>
          <t>NO_TEXT_LAYER</t>
        </is>
      </c>
      <c r="E336" t="n">
        <v>1</v>
      </c>
      <c r="F336" t="inlineStr">
        <is>
          <t>NONE</t>
        </is>
      </c>
      <c r="G336" t="inlineStr"/>
      <c r="H336" t="inlineStr"/>
      <c r="J336" t="inlineStr">
        <is>
          <t>SCZ Scalzilli Administração Judicial</t>
        </is>
      </c>
      <c r="K336" t="inlineStr">
        <is>
          <t>scalzilliaj.com.br</t>
        </is>
      </c>
      <c r="L336" s="19" t="inlineStr">
        <is>
          <t>https://scalzilliaj.com.br/sgc/download.php?file=files/processo_documento/falencia_documento11081308072022_1_.pdf&amp;nome=05 - Edital do art. 18 da Lei 11.101/2005 (quadro geral de credores) - atualizado até 2004</t>
        </is>
      </c>
    </row>
    <row r="337">
      <c r="A337" t="inlineStr">
        <is>
          <t>ddf2f091b472</t>
        </is>
      </c>
      <c r="B337" t="inlineStr">
        <is>
          <t>5055918-38.2025.8.21.0010</t>
        </is>
      </c>
      <c r="C337" t="inlineStr">
        <is>
          <t>UNKNOWN</t>
        </is>
      </c>
      <c r="D337" t="inlineStr">
        <is>
          <t>NO_TEXT_LAYER</t>
        </is>
      </c>
      <c r="E337" t="n">
        <v>3</v>
      </c>
      <c r="F337" t="inlineStr">
        <is>
          <t>NONE</t>
        </is>
      </c>
      <c r="G337" t="inlineStr"/>
      <c r="H337" t="inlineStr"/>
      <c r="J337" t="inlineStr">
        <is>
          <t>Catalise Administração Judicial</t>
        </is>
      </c>
      <c r="K337" t="inlineStr">
        <is>
          <t>cataliseaj.com.br</t>
        </is>
      </c>
      <c r="L337" s="19" t="inlineStr">
        <is>
          <t>https://cataliseaj.com.br/sgc/download.php?file=files/processo_documento/processo_documento11035221112025_1_.pdf&amp;nome=02. SENTENÇA DA FALÊNCIA</t>
        </is>
      </c>
    </row>
    <row r="338">
      <c r="A338" t="inlineStr">
        <is>
          <t>814d48c9e3e2</t>
        </is>
      </c>
      <c r="B338" t="inlineStr">
        <is>
          <t>5016092-76.2018.8.21.0001</t>
        </is>
      </c>
      <c r="C338" t="inlineStr">
        <is>
          <t>UNKNOWN</t>
        </is>
      </c>
      <c r="D338" t="inlineStr">
        <is>
          <t>NO_TEXT_LAYER</t>
        </is>
      </c>
      <c r="E338" t="n">
        <v>4</v>
      </c>
      <c r="F338" t="inlineStr">
        <is>
          <t>NONE</t>
        </is>
      </c>
      <c r="G338" t="inlineStr"/>
      <c r="H338" t="inlineStr"/>
      <c r="J338" t="inlineStr">
        <is>
          <t>Catalise Administração Judicial</t>
        </is>
      </c>
      <c r="K338" t="inlineStr">
        <is>
          <t>cataliseaj.com.br</t>
        </is>
      </c>
      <c r="L338" s="19" t="inlineStr">
        <is>
          <t>https://cataliseaj.com.br/sgc/download.php?file=files/processo_documento/processo_documento16293004102024_1_.pdf&amp;nome=1. SENTENÇA</t>
        </is>
      </c>
    </row>
    <row r="339">
      <c r="A339" t="inlineStr">
        <is>
          <t>a9e9e16a854c</t>
        </is>
      </c>
      <c r="B339" t="inlineStr">
        <is>
          <t>0300754-52.2017.8.24.0025</t>
        </is>
      </c>
      <c r="C339" t="inlineStr">
        <is>
          <t>UNKNOWN</t>
        </is>
      </c>
      <c r="D339" t="inlineStr">
        <is>
          <t>NO_TEXT_LAYER</t>
        </is>
      </c>
      <c r="E339" t="n">
        <v>3</v>
      </c>
      <c r="F339" t="inlineStr">
        <is>
          <t>NONE</t>
        </is>
      </c>
      <c r="G339" t="inlineStr"/>
      <c r="H339" t="inlineStr"/>
      <c r="J339" t="inlineStr">
        <is>
          <t>CONFECÇÕES ROLÚ LTDA – Sgrott Administradora Judicial e Consultoria Empresarial</t>
        </is>
      </c>
      <c r="K339" t="inlineStr">
        <is>
          <t>administradorajudicialgs.com.br</t>
        </is>
      </c>
      <c r="L339" s="19" t="inlineStr">
        <is>
          <t>https://administradorajudicialgs.com.br/wp-content/uploads/2023/08/doc-04-editalpublicacao-da-decisao-de-processamento-e-relacao-de-credores.pdf</t>
        </is>
      </c>
    </row>
    <row r="340">
      <c r="A340" t="inlineStr">
        <is>
          <t>c9d1ed8eb35b</t>
        </is>
      </c>
      <c r="B340" t="inlineStr">
        <is>
          <t>0075105-48.2020.8.17.2001</t>
        </is>
      </c>
      <c r="C340" t="inlineStr">
        <is>
          <t>UNKNOWN</t>
        </is>
      </c>
      <c r="D340" t="inlineStr">
        <is>
          <t>NO_TEXT_LAYER</t>
        </is>
      </c>
      <c r="E340" t="n">
        <v>4</v>
      </c>
      <c r="F340" t="inlineStr">
        <is>
          <t>NONE</t>
        </is>
      </c>
      <c r="G340" t="inlineStr"/>
      <c r="H340" t="inlineStr"/>
      <c r="J340" t="inlineStr">
        <is>
          <t>DUARTE CONSTRUCOES S.A. – LRF Líderes em Recuperação Judicial e Falência</t>
        </is>
      </c>
      <c r="K340" t="inlineStr">
        <is>
          <t>lrflideres.com.br</t>
        </is>
      </c>
      <c r="L340" s="19" t="inlineStr">
        <is>
          <t>https://lrflideres.com.br/wp-content/plugins/download-attachments/includes/download.php?id=6027</t>
        </is>
      </c>
    </row>
    <row r="341">
      <c r="A341" t="inlineStr">
        <is>
          <t>206dfa70c887</t>
        </is>
      </c>
      <c r="B341" t="inlineStr">
        <is>
          <t>0077403-37.2025.8.17.2001</t>
        </is>
      </c>
      <c r="C341" t="inlineStr">
        <is>
          <t>AJ_LIST</t>
        </is>
      </c>
      <c r="D341" t="inlineStr">
        <is>
          <t>OK</t>
        </is>
      </c>
      <c r="E341" t="n">
        <v>5</v>
      </c>
      <c r="F341" t="inlineStr">
        <is>
          <t>PROSE</t>
        </is>
      </c>
      <c r="G341" t="inlineStr">
        <is>
          <t>PROSE</t>
        </is>
      </c>
      <c r="H341" t="inlineStr">
        <is>
          <t>II/BRL#s1: PASS Δ0.00 · I/BRL#s2: PASS Δ0.00 · I/BRL#s3: PASS Δ0.00 · III/BRL#s4: PASS Δ0.00 · I/BRL#s5: PASS Δ0.00 · III/BRL#s6: PASS Δ0.00</t>
        </is>
      </c>
      <c r="I341" t="inlineStr">
        <is>
          <t>2026-07-22</t>
        </is>
      </c>
      <c r="J341" t="inlineStr">
        <is>
          <t>E FALENCIA</t>
        </is>
      </c>
      <c r="K341" t="inlineStr">
        <is>
          <t>diligence.adm.br</t>
        </is>
      </c>
      <c r="L341" s="19" t="inlineStr">
        <is>
          <t>https://diligence.adm.br/wp-content/plugins/download-attachments/includes/download.php?id=6284</t>
        </is>
      </c>
    </row>
    <row r="342">
      <c r="A342" t="inlineStr">
        <is>
          <t>037f293e4309</t>
        </is>
      </c>
      <c r="B342" t="inlineStr">
        <is>
          <t>0276159-86.2022.8.06.0001</t>
        </is>
      </c>
      <c r="C342" t="inlineStr">
        <is>
          <t>AJ_LIST</t>
        </is>
      </c>
      <c r="D342" t="inlineStr">
        <is>
          <t>OK</t>
        </is>
      </c>
      <c r="E342" t="n">
        <v>5</v>
      </c>
      <c r="F342" t="inlineStr">
        <is>
          <t>TABLE</t>
        </is>
      </c>
      <c r="G342" t="inlineStr">
        <is>
          <t>TABLE_BANDS</t>
        </is>
      </c>
      <c r="H342" t="inlineStr">
        <is>
          <t>IV/BRL#s4: PASS Δ0.00</t>
        </is>
      </c>
      <c r="J342" t="inlineStr">
        <is>
          <t>Assunto Concurso de Credores Requerente e Massa</t>
        </is>
      </c>
      <c r="K342" t="inlineStr">
        <is>
          <t>bugarimecoelho.com.br</t>
        </is>
      </c>
      <c r="L342" s="19" t="inlineStr">
        <is>
          <t>https://bugarimecoelho.com.br/ws/media-library/3abd0f61bee74e12a13024632a2994ec/5.1-edital---relacao-de-credores-1.pdf</t>
        </is>
      </c>
    </row>
    <row r="343">
      <c r="A343" t="inlineStr">
        <is>
          <t>795d57c3b1a6</t>
        </is>
      </c>
      <c r="B343" t="inlineStr">
        <is>
          <t>0074500-63.2024.8.17.2001</t>
        </is>
      </c>
      <c r="C343" t="inlineStr">
        <is>
          <t>AJ_LIST</t>
        </is>
      </c>
      <c r="D343" t="inlineStr">
        <is>
          <t>OK</t>
        </is>
      </c>
      <c r="E343" t="n">
        <v>8</v>
      </c>
      <c r="F343" t="inlineStr">
        <is>
          <t>PROSE</t>
        </is>
      </c>
      <c r="G343" t="inlineStr">
        <is>
          <t>PROSE</t>
        </is>
      </c>
      <c r="H343" t="inlineStr">
        <is>
          <t>I/BRL#s1: PASS ΔNone · II/BRL#s2: PASS Δ0.00 · III/BRL#s3: PASS Δ0.00 · IV/BRL#s4: PASS Δ0.00</t>
        </is>
      </c>
      <c r="I343" t="inlineStr">
        <is>
          <t>2024-11-14</t>
        </is>
      </c>
      <c r="J343" t="inlineStr">
        <is>
          <t>GRUPO IMOBI – LRF Líderes em Recuperação Judicial e Falência</t>
        </is>
      </c>
      <c r="K343" t="inlineStr">
        <is>
          <t>lrflideres.com.br</t>
        </is>
      </c>
      <c r="L343" s="19" t="inlineStr">
        <is>
          <t>https://lrflideres.com.br/wp-content/plugins/download-attachments/includes/download.php?id=6273</t>
        </is>
      </c>
    </row>
    <row r="344">
      <c r="A344" t="inlineStr">
        <is>
          <t>b2155b7f5f30</t>
        </is>
      </c>
      <c r="B344" t="inlineStr">
        <is>
          <t>0270804-61.2023.8.06.0001</t>
        </is>
      </c>
      <c r="C344" t="inlineStr">
        <is>
          <t>AJ_LIST</t>
        </is>
      </c>
      <c r="D344" t="inlineStr">
        <is>
          <t>OK</t>
        </is>
      </c>
      <c r="E344" t="n">
        <v>5</v>
      </c>
      <c r="F344" t="inlineStr">
        <is>
          <t>TABLE</t>
        </is>
      </c>
      <c r="G344" t="inlineStr">
        <is>
          <t>TABLE_BANDS</t>
        </is>
      </c>
      <c r="H344" t="inlineStr">
        <is>
          <t>IV/BRL#s7: PASS Δ0.00</t>
        </is>
      </c>
      <c r="J344" t="inlineStr">
        <is>
          <t>Assunto Concurso de Credores Requerente Rita Farias Martins &amp; Cia</t>
        </is>
      </c>
      <c r="K344" t="inlineStr">
        <is>
          <t>bugarimecoelho.com.br</t>
        </is>
      </c>
      <c r="L344" s="19" t="inlineStr">
        <is>
          <t>https://bugarimecoelho.com.br/ws/media-library/8f7dbe28cfa44738bc17a4b8e8e8a759/12.-edital-relacao-de-credores-aj.pdf</t>
        </is>
      </c>
    </row>
    <row r="345">
      <c r="A345" t="inlineStr">
        <is>
          <t>89671ae49d87</t>
        </is>
      </c>
      <c r="B345" t="inlineStr">
        <is>
          <t>1009827-02.2024.8.26.0576</t>
        </is>
      </c>
      <c r="C345" t="inlineStr">
        <is>
          <t>AJ_LIST</t>
        </is>
      </c>
      <c r="D345" t="inlineStr">
        <is>
          <t>OK</t>
        </is>
      </c>
      <c r="E345" t="n">
        <v>2</v>
      </c>
      <c r="F345" t="inlineStr">
        <is>
          <t>TABLE</t>
        </is>
      </c>
      <c r="G345" t="inlineStr">
        <is>
          <t>TABLE_RULED</t>
        </is>
      </c>
      <c r="H345" t="inlineStr">
        <is>
          <t>II/BRL#s2: PASS Δ0.00 · III/BRL#s4: PASS Δ0.00 · IV/BRL#s6: PASS Δ0.00</t>
        </is>
      </c>
      <c r="J345" t="inlineStr">
        <is>
          <t>Frigorífico Alfa Indústria e Comércio de Carnes e Derivados Ltda.  e Ctx Logística, Transporte E Locações Ltda. – VTL</t>
        </is>
      </c>
      <c r="K345" t="inlineStr">
        <is>
          <t>vtladm.com.br</t>
        </is>
      </c>
      <c r="L345" s="19" t="inlineStr">
        <is>
          <t>https://vtladm.com.br/wp-content/uploads/2024/04/09-–-EDITAL-DE-CONVOCACAO-DE-CREDORES-–-Frigorifico-Alfa-Industria-e-Comercio-de-Carnes-e-Derivados-Ltda.-e-Ctx-Logistica-Transporte-E-Locacoes-Ltda.pdf</t>
        </is>
      </c>
    </row>
    <row r="346">
      <c r="A346" t="inlineStr">
        <is>
          <t>640f9f90349c</t>
        </is>
      </c>
      <c r="B346" t="inlineStr">
        <is>
          <t>0012043-76.2016.8.16.0069</t>
        </is>
      </c>
      <c r="C346" t="inlineStr">
        <is>
          <t>AJ_LIST</t>
        </is>
      </c>
      <c r="D346" t="inlineStr">
        <is>
          <t>OK</t>
        </is>
      </c>
      <c r="E346" t="n">
        <v>16</v>
      </c>
      <c r="F346" t="inlineStr">
        <is>
          <t>TABLE</t>
        </is>
      </c>
      <c r="G346" t="inlineStr">
        <is>
          <t>TABLE_BANDS</t>
        </is>
      </c>
      <c r="H346" t="inlineStr">
        <is>
          <t>I/BRL#s1: PASS Δ0.00 · III/BRL#s3: PASS Δ0.00 · IV/BRL#s5: PASS Δ0.00</t>
        </is>
      </c>
      <c r="I346" t="inlineStr">
        <is>
          <t>2017-03-31</t>
        </is>
      </c>
      <c r="J346" t="inlineStr">
        <is>
          <t>B. D. VEST CONFECÇÕES LTDA</t>
        </is>
      </c>
      <c r="K346" t="inlineStr">
        <is>
          <t>marquesadmjudicial.com.br</t>
        </is>
      </c>
      <c r="L346" s="19" t="inlineStr">
        <is>
          <t>https://marquesadmjudicial.com.br/sgc/download.php?file=files/processo_documento/processo_documento16092407032024_1_.pdf&amp;nome=Relação Nominal de Credores da AJ - art. 7º, §2º</t>
        </is>
      </c>
    </row>
    <row r="347">
      <c r="A347" t="inlineStr">
        <is>
          <t>d6f7a8653e64</t>
        </is>
      </c>
      <c r="B347" t="inlineStr">
        <is>
          <t>0012043-76.2016.8.16.0069</t>
        </is>
      </c>
      <c r="C347" t="inlineStr">
        <is>
          <t>AJ_LIST</t>
        </is>
      </c>
      <c r="D347" t="inlineStr">
        <is>
          <t>OK</t>
        </is>
      </c>
      <c r="E347" t="n">
        <v>5</v>
      </c>
      <c r="F347" t="inlineStr">
        <is>
          <t>TABLE</t>
        </is>
      </c>
      <c r="G347" t="inlineStr">
        <is>
          <t>TABLE_BANDS</t>
        </is>
      </c>
      <c r="H347" t="inlineStr">
        <is>
          <t>III/BRL#s1: PASS Δ-99714.31</t>
        </is>
      </c>
      <c r="I347" t="inlineStr">
        <is>
          <t>2017-09-19</t>
        </is>
      </c>
      <c r="J347" t="inlineStr">
        <is>
          <t>Marques Administrações Judiciais</t>
        </is>
      </c>
      <c r="K347" t="inlineStr">
        <is>
          <t>marquesadmjudicial.com.br</t>
        </is>
      </c>
      <c r="L347" s="19" t="inlineStr">
        <is>
          <t>https://marquesadmjudicial.com.br/sgc/download.php?file=files/processo_documento/processo_documento16120907032024_1_.pdf&amp;nome=Relação Nominal de Credores da AJ Retificada - Classe III</t>
        </is>
      </c>
    </row>
    <row r="348">
      <c r="A348" t="inlineStr">
        <is>
          <t>a3afeb0f9549</t>
        </is>
      </c>
      <c r="B348" t="inlineStr">
        <is>
          <t>0016858-63.2025.8.16.0017</t>
        </is>
      </c>
      <c r="C348" t="inlineStr">
        <is>
          <t>AJ_LIST</t>
        </is>
      </c>
      <c r="D348" t="inlineStr">
        <is>
          <t>OK</t>
        </is>
      </c>
      <c r="E348" t="n">
        <v>5</v>
      </c>
      <c r="F348" t="inlineStr">
        <is>
          <t>TABLE</t>
        </is>
      </c>
      <c r="G348" t="inlineStr">
        <is>
          <t>TABLE_BANDS</t>
        </is>
      </c>
      <c r="H348" t="inlineStr">
        <is>
          <t>III/BRL#s7: PASS Δ0.00 · IV/BRL#s9: PASS Δ0.00</t>
        </is>
      </c>
      <c r="I348" t="inlineStr">
        <is>
          <t>2025-10-06</t>
        </is>
      </c>
      <c r="J348" t="inlineStr">
        <is>
          <t>Marques Administrações Judiciais</t>
        </is>
      </c>
      <c r="K348" t="inlineStr">
        <is>
          <t>marquesadmjudicial.com.br</t>
        </is>
      </c>
      <c r="L348" s="19" t="inlineStr">
        <is>
          <t>https://marquesadmjudicial.com.br/sgc/download.php?file=files/processo_documento/processo_documento10384806112025_1_.pdf&amp;nome=Relação Nominal de Credores da AJ-Sintética</t>
        </is>
      </c>
    </row>
    <row r="349">
      <c r="A349" t="inlineStr">
        <is>
          <t>fcb10a251582</t>
        </is>
      </c>
      <c r="B349" t="inlineStr">
        <is>
          <t>0016033-22.2025.8.16.0017</t>
        </is>
      </c>
      <c r="C349" t="inlineStr">
        <is>
          <t>AJ_LIST</t>
        </is>
      </c>
      <c r="D349" t="inlineStr">
        <is>
          <t>OK</t>
        </is>
      </c>
      <c r="E349" t="n">
        <v>5</v>
      </c>
      <c r="F349" t="inlineStr">
        <is>
          <t>TABLE</t>
        </is>
      </c>
      <c r="G349" t="inlineStr">
        <is>
          <t>TABLE_BANDS</t>
        </is>
      </c>
      <c r="H349" t="inlineStr">
        <is>
          <t>I/BRL#s5: PASS Δ0.00 · III/BRL#s8: PASS Δ0.00 · IV/BRL#s10: PASS Δ0.00</t>
        </is>
      </c>
      <c r="I349" t="inlineStr">
        <is>
          <t>2025-12-17</t>
        </is>
      </c>
      <c r="J349" t="inlineStr">
        <is>
          <t>Marques Administrações Judiciais</t>
        </is>
      </c>
      <c r="K349" t="inlineStr">
        <is>
          <t>marquesadmjudicial.com.br</t>
        </is>
      </c>
      <c r="L349" s="19" t="inlineStr">
        <is>
          <t>https://marquesadmjudicial.com.br/sgc/download.php?file=files/processo_documento/processo_documento19270817122025_1_.pdf&amp;nome=Relação Nominal de Credores AJ</t>
        </is>
      </c>
    </row>
    <row r="350">
      <c r="A350" t="inlineStr">
        <is>
          <t>8eb5d0d64353</t>
        </is>
      </c>
      <c r="B350" t="inlineStr">
        <is>
          <t>0873061-47.2023.8.19.0001</t>
        </is>
      </c>
      <c r="C350" t="inlineStr">
        <is>
          <t>AJ_LIST</t>
        </is>
      </c>
      <c r="D350" t="inlineStr">
        <is>
          <t>OK</t>
        </is>
      </c>
      <c r="E350" t="n">
        <v>2</v>
      </c>
      <c r="F350" t="inlineStr">
        <is>
          <t>TABLE</t>
        </is>
      </c>
      <c r="G350" t="inlineStr">
        <is>
          <t>TABLE_RULED</t>
        </is>
      </c>
      <c r="H350" t="inlineStr">
        <is>
          <t>I/BRL#s1: PASS Δ0.00 · III/BRL#s3: PASS Δ0.03</t>
        </is>
      </c>
      <c r="I350" t="inlineStr">
        <is>
          <t>2023-06-05</t>
        </is>
      </c>
      <c r="J350" t="inlineStr">
        <is>
          <t>Real Distribuidora – Processo nº 0873061-47.2023.8.19.0001 – e-mail: admjudunica@inova-aj.com.br – INOVA</t>
        </is>
      </c>
      <c r="K350" t="inlineStr">
        <is>
          <t>inova-aj.com.br</t>
        </is>
      </c>
      <c r="L350" s="19" t="inlineStr">
        <is>
          <t>https://inova-aj.com.br/wp-content/uploads/2026/08/1a-Relacao-de-Credores-Real.pdf</t>
        </is>
      </c>
    </row>
    <row r="351">
      <c r="A351" t="inlineStr">
        <is>
          <t>9439b6923afe</t>
        </is>
      </c>
      <c r="B351" t="inlineStr">
        <is>
          <t>0873061-47.2023.8.19.0001</t>
        </is>
      </c>
      <c r="C351" t="inlineStr">
        <is>
          <t>AJ_LIST</t>
        </is>
      </c>
      <c r="D351" t="inlineStr">
        <is>
          <t>OK</t>
        </is>
      </c>
      <c r="E351" t="n">
        <v>2</v>
      </c>
      <c r="F351" t="inlineStr">
        <is>
          <t>TABLE</t>
        </is>
      </c>
      <c r="G351" t="inlineStr">
        <is>
          <t>TABLE_RULED</t>
        </is>
      </c>
      <c r="H351" t="inlineStr">
        <is>
          <t>I/BRL#s1: PASS Δ0.00 · I/BRL#s2: PASS Δ0.01</t>
        </is>
      </c>
      <c r="I351" t="inlineStr">
        <is>
          <t>2023-06-05</t>
        </is>
      </c>
      <c r="J351" t="inlineStr">
        <is>
          <t>Real Distribuidora – Processo nº 0873061-47.2023.8.19.0001 – e-mail: admjudunica@inova-aj.com.br – INOVA</t>
        </is>
      </c>
      <c r="K351" t="inlineStr">
        <is>
          <t>inova-aj.com.br</t>
        </is>
      </c>
      <c r="L351" s="19" t="inlineStr">
        <is>
          <t>https://inova-aj.com.br/wp-content/uploads/2026/08/2a-Relacao-de-Credores-Real.pdf</t>
        </is>
      </c>
    </row>
    <row r="352">
      <c r="A352" t="inlineStr">
        <is>
          <t>8fab206a2de8</t>
        </is>
      </c>
      <c r="B352" t="inlineStr">
        <is>
          <t>5001743-15.2025.8.08.0024</t>
        </is>
      </c>
      <c r="C352" t="inlineStr">
        <is>
          <t>AJ_LIST</t>
        </is>
      </c>
      <c r="D352" t="inlineStr">
        <is>
          <t>OK</t>
        </is>
      </c>
      <c r="E352" t="n">
        <v>33</v>
      </c>
      <c r="F352" t="inlineStr">
        <is>
          <t>TABLE</t>
        </is>
      </c>
      <c r="G352" t="inlineStr">
        <is>
          <t>TABLE_BANDS</t>
        </is>
      </c>
      <c r="H352" t="inlineStr">
        <is>
          <t>I/BRL#s1: PASS Δ0.00 · II/BRL#s3: PASS Δ0.00 · III/BRL#s5: PASS Δ0.00 · IV/BRL#s7: PASS Δ0.00</t>
        </is>
      </c>
      <c r="J352" t="inlineStr">
        <is>
          <t>CONTEMPORÂNEA CONSTRUÇÕES E PROJETOS LTDA</t>
        </is>
      </c>
      <c r="K352" t="inlineStr">
        <is>
          <t>rlg-aj.com.br</t>
        </is>
      </c>
      <c r="L352" s="19" t="inlineStr">
        <is>
          <t>https://rlg-aj.com.br/wp-content/uploads/2025/02/Segunda-Lista-de-Credores-Retificada-Contemporanea.pdf</t>
        </is>
      </c>
    </row>
    <row r="353">
      <c r="A353" t="inlineStr">
        <is>
          <t>de7667826616</t>
        </is>
      </c>
      <c r="B353" t="inlineStr">
        <is>
          <t>0020395-10.2020.8.19.0001</t>
        </is>
      </c>
      <c r="C353" t="inlineStr">
        <is>
          <t>AJ_LIST</t>
        </is>
      </c>
      <c r="D353" t="inlineStr">
        <is>
          <t>OK</t>
        </is>
      </c>
      <c r="E353" t="n">
        <v>25</v>
      </c>
      <c r="F353" t="inlineStr">
        <is>
          <t>TABLE</t>
        </is>
      </c>
      <c r="G353" t="inlineStr">
        <is>
          <t>TABLE_RULED</t>
        </is>
      </c>
      <c r="H353" t="inlineStr">
        <is>
          <t>I/BRL#s1: PASS Δ0.00 · III/BRL#s3: PASS Δ0.00 · IV/BRL#s5: PASS Δ0.00 · I/BRL#s7: PASS Δ0.00 · III/BRL#s9: PASS Δ0.00 · I/BRL#s11: PASS Δ0.00 · III/BRL#s13: PASS Δ0.00 · IV/BRL#s15: PASS Δ0.00 · I/BRL#s17: PASS Δ0.00 · III/BRL#s19: PASS Δ0.00 · IV/BRL#s21: PASS Δ0.00 · I/BRL#s23: PASS Δ0.00 · III/BRL#s25: PASS Δ0.00 · IV/BRL#s27: PASS Δ0.00</t>
        </is>
      </c>
      <c r="J353" t="inlineStr">
        <is>
          <t>SOCIEDADES COLÉGIO MIGUEL COUTO LTDA</t>
        </is>
      </c>
      <c r="K353" t="inlineStr">
        <is>
          <t>inova-aj.com.br</t>
        </is>
      </c>
      <c r="L353" s="19" t="inlineStr">
        <is>
          <t>https://inova-aj.com.br/wp-content/uploads/2020/04/Relação-de-Credores-Grupo-Miguel-Couto-Art.-7º§2º-LRE.pdf</t>
        </is>
      </c>
    </row>
    <row r="354">
      <c r="A354" t="inlineStr">
        <is>
          <t>3aa7f9828b87</t>
        </is>
      </c>
      <c r="B354" t="inlineStr">
        <is>
          <t>1116156-84.2019.8.26.0100</t>
        </is>
      </c>
      <c r="C354" t="inlineStr">
        <is>
          <t>AJ_LIST</t>
        </is>
      </c>
      <c r="D354" t="inlineStr">
        <is>
          <t>OK</t>
        </is>
      </c>
      <c r="E354" t="n">
        <v>5</v>
      </c>
      <c r="F354" t="inlineStr">
        <is>
          <t>TABLE</t>
        </is>
      </c>
      <c r="G354" t="inlineStr">
        <is>
          <t>TABLE_RULED</t>
        </is>
      </c>
      <c r="H354" t="inlineStr">
        <is>
          <t>I/BRL#s3: PASS Δ0.00 · III/BRL#s5: PASS Δ0.00 · IV/BRL#s7: PASS Δ0.00 · III/BRL#s9: PASS Δ0.00 · III/BRL#s10: PASS Δ0.00 · III/BRL#s11: PASS Δ0.00 · III/BRL#s12: PASS Δ0.00 · III/BRL#s13: PASS Δ0.00</t>
        </is>
      </c>
      <c r="J354" t="inlineStr">
        <is>
          <t>SOCIEDADES TECH-SCIENCE COSMÉTICOS INDÚSTRIA E COMÉRCIO LTDA</t>
        </is>
      </c>
      <c r="K354" t="inlineStr">
        <is>
          <t>inova-aj.com.br</t>
        </is>
      </c>
      <c r="L354" s="19" t="inlineStr">
        <is>
          <t>https://inova-aj.com.br/wp-content/uploads/2020/02/Relacao-de-Credores.pdf</t>
        </is>
      </c>
    </row>
    <row r="355">
      <c r="A355" t="inlineStr">
        <is>
          <t>87aa6aaedb56</t>
        </is>
      </c>
      <c r="B355" t="inlineStr">
        <is>
          <t>0141112-22.2018.8.19.0001</t>
        </is>
      </c>
      <c r="C355" t="inlineStr">
        <is>
          <t>AJ_LIST</t>
        </is>
      </c>
      <c r="D355" t="inlineStr">
        <is>
          <t>OK</t>
        </is>
      </c>
      <c r="E355" t="n">
        <v>10</v>
      </c>
      <c r="F355" t="inlineStr">
        <is>
          <t>TABLE</t>
        </is>
      </c>
      <c r="G355" t="inlineStr">
        <is>
          <t>TABLE_RULED</t>
        </is>
      </c>
      <c r="H355" t="inlineStr">
        <is>
          <t>I/BRL#s1: PASS Δ0.00 · III/BRL#s3: PASS Δ0.00 · IV/BRL#s5: PASS Δ0.00</t>
        </is>
      </c>
      <c r="J355" t="inlineStr">
        <is>
          <t>Companhia Federal de Fundição – Processo nº 0141112-22.2018.8.19.0001 – e-mail: admjudcff@inova-aj.com.br – INOVA</t>
        </is>
      </c>
      <c r="K355" t="inlineStr">
        <is>
          <t>inova-aj.com.br</t>
        </is>
      </c>
      <c r="L355" s="19" t="inlineStr">
        <is>
          <t>https://inova-aj.com.br/wp-content/uploads/2018/11/Relação-de-Credores-Grupo-CFF-Art.-7º-§2º-LRE-RETIFICADA.pdf</t>
        </is>
      </c>
    </row>
    <row r="356">
      <c r="A356" t="inlineStr">
        <is>
          <t>9d691fb2bb54</t>
        </is>
      </c>
      <c r="B356" t="inlineStr">
        <is>
          <t>5008630-83.2025.8.24.0019</t>
        </is>
      </c>
      <c r="C356" t="inlineStr">
        <is>
          <t>AJ_LIST</t>
        </is>
      </c>
      <c r="D356" t="inlineStr">
        <is>
          <t>OK</t>
        </is>
      </c>
      <c r="E356" t="n">
        <v>3</v>
      </c>
      <c r="F356" t="inlineStr">
        <is>
          <t>TABLE</t>
        </is>
      </c>
      <c r="G356" t="inlineStr">
        <is>
          <t>TABLE_BANDS</t>
        </is>
      </c>
      <c r="H356" t="inlineStr">
        <is>
          <t>II/BRL#s1: PASS Δ0.00 · III/BRL#s3: PASS Δ0.00</t>
        </is>
      </c>
      <c r="J356" t="inlineStr">
        <is>
          <t>Grupo Madeireira Madefus - RLG-AJ</t>
        </is>
      </c>
      <c r="K356" t="inlineStr">
        <is>
          <t>rlg-aj.com.br</t>
        </is>
      </c>
      <c r="L356" s="19" t="inlineStr">
        <is>
          <t>https://rlg-aj.com.br/wp-content/uploads/2026/02/2a-Lista-de-Credores-Relacao-Completa-Artigo-7o-Paragrafo-2-da-Lei-11.101-de-2005-Madefus.pdf</t>
        </is>
      </c>
    </row>
    <row r="357">
      <c r="A357" t="inlineStr">
        <is>
          <t>f2e927f299f0</t>
        </is>
      </c>
      <c r="B357" t="inlineStr">
        <is>
          <t>1076662-18.2019.8.26.0100</t>
        </is>
      </c>
      <c r="C357" t="inlineStr">
        <is>
          <t>AJ_LIST</t>
        </is>
      </c>
      <c r="D357" t="inlineStr">
        <is>
          <t>OK</t>
        </is>
      </c>
      <c r="E357" t="n">
        <v>14</v>
      </c>
      <c r="F357" t="inlineStr">
        <is>
          <t>TABLE</t>
        </is>
      </c>
      <c r="G357" t="inlineStr">
        <is>
          <t>TABLE_RULED</t>
        </is>
      </c>
      <c r="H357" t="inlineStr">
        <is>
          <t>I/BRL#s1: PASS Δ0.00 · I/BRL#s2: PASS Δ0.00 · III/BRL#s4: PASS Δ0.00</t>
        </is>
      </c>
      <c r="I357" t="inlineStr">
        <is>
          <t>2019-08-08</t>
        </is>
      </c>
      <c r="J357" t="inlineStr">
        <is>
          <t>OU DISTRIBUÍDA POR DEPENDÊNCIA</t>
        </is>
      </c>
      <c r="K357" t="inlineStr">
        <is>
          <t>inova-aj.com.br</t>
        </is>
      </c>
      <c r="L357" s="19" t="inlineStr">
        <is>
          <t>https://inova-aj.com.br/wp-content/uploads/2020/01/Relação-de-Credores-Falida-Art.-99-PU-LRE.pdf</t>
        </is>
      </c>
    </row>
    <row r="358">
      <c r="A358" t="inlineStr">
        <is>
          <t>8f43067372ce</t>
        </is>
      </c>
      <c r="B358" t="inlineStr">
        <is>
          <t>1045338-78.2017.8.26.0100</t>
        </is>
      </c>
      <c r="C358" t="inlineStr">
        <is>
          <t>AJ_LIST</t>
        </is>
      </c>
      <c r="D358" t="inlineStr">
        <is>
          <t>OK</t>
        </is>
      </c>
      <c r="E358" t="n">
        <v>4</v>
      </c>
      <c r="F358" t="inlineStr">
        <is>
          <t>TABLE</t>
        </is>
      </c>
      <c r="G358" t="inlineStr">
        <is>
          <t>TABLE_RULED</t>
        </is>
      </c>
      <c r="H358" t="inlineStr">
        <is>
          <t>I/BRL#s1: PASS Δ0.00 · I/BRL#s2: PASS Δ0.00 · I/BRL#s3: PASS Δ0.00 · I/BRL#s4: PASS Δ0.00</t>
        </is>
      </c>
      <c r="J358" t="inlineStr">
        <is>
          <t>ou após a Falência</t>
        </is>
      </c>
      <c r="K358" t="inlineStr">
        <is>
          <t>gatekeeperaj.com.br</t>
        </is>
      </c>
      <c r="L358" s="19" t="inlineStr">
        <is>
          <t>https://gatekeeperaj.com.br/wp-content/uploads/2025/01/Relacao-de-Credores-Art.7-2.pdf</t>
        </is>
      </c>
    </row>
    <row r="359">
      <c r="A359" t="inlineStr">
        <is>
          <t>a699583e426b</t>
        </is>
      </c>
      <c r="B359" t="inlineStr">
        <is>
          <t>1004824-39.2019.8.26.0286</t>
        </is>
      </c>
      <c r="C359" t="inlineStr">
        <is>
          <t>AJ_LIST</t>
        </is>
      </c>
      <c r="D359" t="inlineStr">
        <is>
          <t>OK</t>
        </is>
      </c>
      <c r="E359" t="n">
        <v>6</v>
      </c>
      <c r="F359" t="inlineStr">
        <is>
          <t>TABLE</t>
        </is>
      </c>
      <c r="G359" t="inlineStr">
        <is>
          <t>TABLE_BANDS</t>
        </is>
      </c>
      <c r="H359" t="inlineStr">
        <is>
          <t>I/BRL#s1: PASS Δ0.00 · III/BRL#s3: PASS Δ0.00 · IV/BRL#s5: PASS Δ0.00</t>
        </is>
      </c>
      <c r="I359" t="inlineStr">
        <is>
          <t>2019-06-10</t>
        </is>
      </c>
      <c r="J359" t="inlineStr">
        <is>
          <t>BRASSUCO INDÚSTRIA DE PRODUTOS ALIMENTÍCIOS LTDA</t>
        </is>
      </c>
      <c r="K359" t="inlineStr">
        <is>
          <t>ajruiz.com.br</t>
        </is>
      </c>
      <c r="L359" s="19" t="inlineStr">
        <is>
          <t>https://ajruiz.com.br/sites/default/files/public/arquivos-processos/2023-09/relacao-de-credores-aj_art.-7o-da-lre-brassuco-industria-de-produtos-alimenticios-min-1.pdf</t>
        </is>
      </c>
    </row>
    <row r="360">
      <c r="A360" t="inlineStr">
        <is>
          <t>0abd80e950b9</t>
        </is>
      </c>
      <c r="B360" t="inlineStr">
        <is>
          <t>1036403-05.2024.8.26.0100</t>
        </is>
      </c>
      <c r="C360" t="inlineStr">
        <is>
          <t>AJ_LIST</t>
        </is>
      </c>
      <c r="D360" t="inlineStr">
        <is>
          <t>OK</t>
        </is>
      </c>
      <c r="E360" t="n">
        <v>2</v>
      </c>
      <c r="F360" t="inlineStr">
        <is>
          <t>TABLE</t>
        </is>
      </c>
      <c r="G360" t="inlineStr">
        <is>
          <t>TABLE_RULED</t>
        </is>
      </c>
      <c r="H360" t="inlineStr">
        <is>
          <t>I/BRL#s4: PASS Δ0.00 · III/BRL#s6: PASS Δ0.00</t>
        </is>
      </c>
      <c r="J360" t="inlineStr">
        <is>
          <t>e Falência</t>
        </is>
      </c>
      <c r="K360" t="inlineStr">
        <is>
          <t>bbsadvogados.com.br</t>
        </is>
      </c>
      <c r="L360" s="19" t="inlineStr">
        <is>
          <t>https://bbsadvogados.com.br/wp-content/uploads/2026/03/Relacao-de-Credores-da-Administradora-Judicial-§2o-do-art.-7-da-LRF-1.pdf</t>
        </is>
      </c>
    </row>
    <row r="361">
      <c r="A361" t="inlineStr">
        <is>
          <t>e9d023c65bbd</t>
        </is>
      </c>
      <c r="B361" t="inlineStr">
        <is>
          <t>0133628-14.2024.8.17.2001</t>
        </is>
      </c>
      <c r="C361" t="inlineStr">
        <is>
          <t>AJ_LIST</t>
        </is>
      </c>
      <c r="D361" t="inlineStr">
        <is>
          <t>OK</t>
        </is>
      </c>
      <c r="E361" t="n">
        <v>8</v>
      </c>
      <c r="F361" t="inlineStr">
        <is>
          <t>PROSE</t>
        </is>
      </c>
      <c r="G361" t="inlineStr">
        <is>
          <t>PROSE</t>
        </is>
      </c>
      <c r="H361" t="inlineStr">
        <is>
          <t>I/BRL#s1: PASS Δ-0.06 · III/BRL#s3: PASS Δ0.00 · IV/BRL#s4: PASS Δ0.13 · II/BRL: PASS Δ0.00</t>
        </is>
      </c>
      <c r="I361" t="inlineStr">
        <is>
          <t>2025-09-12</t>
        </is>
      </c>
      <c r="J361" t="inlineStr">
        <is>
          <t>CEAM - Recupera Soluções Empresariais</t>
        </is>
      </c>
      <c r="K361" t="inlineStr">
        <is>
          <t>recuperasolucoes.com</t>
        </is>
      </c>
      <c r="L361" s="19" t="inlineStr">
        <is>
          <t>https://recuperasolucoes.com/wp-content/plugins/download-attachments/includes/download.php?id=1492</t>
        </is>
      </c>
    </row>
    <row r="362">
      <c r="A362" t="inlineStr">
        <is>
          <t>6a92d74da333</t>
        </is>
      </c>
      <c r="C362" t="inlineStr">
        <is>
          <t>AJ_LIST</t>
        </is>
      </c>
      <c r="D362" t="inlineStr">
        <is>
          <t>OK</t>
        </is>
      </c>
      <c r="E362" t="n">
        <v>4</v>
      </c>
      <c r="F362" t="inlineStr">
        <is>
          <t>TABLE</t>
        </is>
      </c>
      <c r="G362" t="inlineStr">
        <is>
          <t>TABLE_RULED</t>
        </is>
      </c>
      <c r="H362" t="inlineStr">
        <is>
          <t>I/BRL#s0: PASS Δ0.00 · III/BRL#s1: PASS Δ0.00</t>
        </is>
      </c>
      <c r="K362" t="inlineStr">
        <is>
          <t>bernardobicalho.com.br</t>
        </is>
      </c>
      <c r="L362" s="19" t="inlineStr">
        <is>
          <t>http://bernardobicalho.com.br/login/app/documents/Rela%C3%A7%C3%A3o%20de%20Credores/6.%20RVC-%20Nutricium%20-%20simplificada.pdf</t>
        </is>
      </c>
    </row>
    <row r="363">
      <c r="A363" t="inlineStr">
        <is>
          <t>7501ec99fc8e</t>
        </is>
      </c>
      <c r="B363" t="inlineStr">
        <is>
          <t>0800778-16.2023.8.20.5104</t>
        </is>
      </c>
      <c r="C363" t="inlineStr">
        <is>
          <t>AJ_LIST</t>
        </is>
      </c>
      <c r="D363" t="inlineStr">
        <is>
          <t>OK</t>
        </is>
      </c>
      <c r="E363" t="n">
        <v>8</v>
      </c>
      <c r="F363" t="inlineStr">
        <is>
          <t>TABLE</t>
        </is>
      </c>
      <c r="G363" t="inlineStr">
        <is>
          <t>TABLE_RULED</t>
        </is>
      </c>
      <c r="H363" t="inlineStr">
        <is>
          <t>I/BRL#s3: PASS Δ0.00 · III/BRL#s4: PASS Δ0.00 · III/BRL#s5: PASS Δ0.00</t>
        </is>
      </c>
      <c r="I363" t="inlineStr">
        <is>
          <t>2024-10-04</t>
        </is>
      </c>
      <c r="J363" t="inlineStr">
        <is>
          <t>e Falência</t>
        </is>
      </c>
      <c r="K363" t="inlineStr">
        <is>
          <t>recuperacaojudicial.squarespace.com</t>
        </is>
      </c>
      <c r="L363" s="19" t="inlineStr">
        <is>
          <t>http://recuperacaojudicial.squarespace.com/s/LISTA-DE-CREDORES-CONSOLIDADA-ATE-04102024.pdf</t>
        </is>
      </c>
    </row>
    <row r="364">
      <c r="A364" t="inlineStr">
        <is>
          <t>47e92e4db6f8</t>
        </is>
      </c>
      <c r="B364" t="inlineStr">
        <is>
          <t>0829315-43.2023.8.15.0001</t>
        </is>
      </c>
      <c r="C364" t="inlineStr">
        <is>
          <t>AJ_LIST</t>
        </is>
      </c>
      <c r="D364" t="inlineStr">
        <is>
          <t>OK</t>
        </is>
      </c>
      <c r="E364" t="n">
        <v>3</v>
      </c>
      <c r="F364" t="inlineStr">
        <is>
          <t>PROSE</t>
        </is>
      </c>
      <c r="G364" t="inlineStr">
        <is>
          <t>PROSE</t>
        </is>
      </c>
      <c r="H364" t="inlineStr">
        <is>
          <t>I/BRL#s1: PASS Δ0.00 · III/BRL#s2: PASS Δ0.00</t>
        </is>
      </c>
      <c r="I364" t="inlineStr">
        <is>
          <t>2024-04-18</t>
        </is>
      </c>
      <c r="K364" t="inlineStr">
        <is>
          <t>lrflideres.com.br</t>
        </is>
      </c>
      <c r="L364" s="19" t="inlineStr">
        <is>
          <t>https://lrflideres.com.br/wp-content/plugins/download-attachments/includes/download.php?id=5828</t>
        </is>
      </c>
    </row>
    <row r="365">
      <c r="A365" t="inlineStr">
        <is>
          <t>c56751547323</t>
        </is>
      </c>
      <c r="B365" t="inlineStr">
        <is>
          <t>0804401-51.2025.8.14.0039</t>
        </is>
      </c>
      <c r="C365" t="inlineStr">
        <is>
          <t>AJ_LIST</t>
        </is>
      </c>
      <c r="D365" t="inlineStr">
        <is>
          <t>OK</t>
        </is>
      </c>
      <c r="E365" t="n">
        <v>2</v>
      </c>
      <c r="F365" t="inlineStr">
        <is>
          <t>PROSE</t>
        </is>
      </c>
      <c r="G365" t="inlineStr">
        <is>
          <t>PROSE</t>
        </is>
      </c>
      <c r="H365" t="inlineStr">
        <is>
          <t>II/BRL#s1: PASS Δ0.00 · III/BRL#s2: PASS Δ0.00 · IV/BRL#s3: PASS Δ0.00</t>
        </is>
      </c>
      <c r="I365" t="inlineStr">
        <is>
          <t>2026-01-15</t>
        </is>
      </c>
      <c r="J365" t="inlineStr">
        <is>
          <t>SOJAL COMERCIA</t>
        </is>
      </c>
      <c r="K365" t="inlineStr">
        <is>
          <t>lrflideres.com.br</t>
        </is>
      </c>
      <c r="L365" s="19" t="inlineStr">
        <is>
          <t>https://lrflideres.com.br/wp-content/plugins/download-attachments/includes/download.php?id=6879</t>
        </is>
      </c>
    </row>
    <row r="366">
      <c r="A366" t="inlineStr">
        <is>
          <t>1355f93a13cd</t>
        </is>
      </c>
      <c r="B366" t="inlineStr">
        <is>
          <t>0804204-35.2022.8.15.0731</t>
        </is>
      </c>
      <c r="C366" t="inlineStr">
        <is>
          <t>AJ_LIST</t>
        </is>
      </c>
      <c r="D366" t="inlineStr">
        <is>
          <t>OK</t>
        </is>
      </c>
      <c r="E366" t="n">
        <v>2</v>
      </c>
      <c r="F366" t="inlineStr">
        <is>
          <t>PROSE</t>
        </is>
      </c>
      <c r="G366" t="inlineStr">
        <is>
          <t>PROSE</t>
        </is>
      </c>
      <c r="H366" t="inlineStr">
        <is>
          <t>III/BRL#s3: PASS Δ0.00 · IV/BRL#s4: PASS Δ0.00</t>
        </is>
      </c>
      <c r="I366" t="inlineStr">
        <is>
          <t>2023-12-04</t>
        </is>
      </c>
      <c r="J366" t="inlineStr">
        <is>
          <t>SECULAR COMERCIO CONSTRUÇÃO E REPRESENTAÇÃO LTDA</t>
        </is>
      </c>
      <c r="K366" t="inlineStr">
        <is>
          <t>lrflideres.com.br</t>
        </is>
      </c>
      <c r="L366" s="19" t="inlineStr">
        <is>
          <t>https://lrflideres.com.br/wp-content/uploads/2022/08/4.-EDITAL-2a-LISTA-DE-CREDORES.pdf</t>
        </is>
      </c>
    </row>
    <row r="367">
      <c r="A367" t="inlineStr">
        <is>
          <t>49e767732638</t>
        </is>
      </c>
      <c r="B367" t="inlineStr">
        <is>
          <t>0824037-95.2022.8.15.0001</t>
        </is>
      </c>
      <c r="C367" t="inlineStr">
        <is>
          <t>AJ_LIST</t>
        </is>
      </c>
      <c r="D367" t="inlineStr">
        <is>
          <t>OK</t>
        </is>
      </c>
      <c r="E367" t="n">
        <v>3</v>
      </c>
      <c r="F367" t="inlineStr">
        <is>
          <t>PROSE</t>
        </is>
      </c>
      <c r="G367" t="inlineStr">
        <is>
          <t>PROSE</t>
        </is>
      </c>
      <c r="H367" t="inlineStr">
        <is>
          <t>I/BRL#s1: PASS Δ0.04 · III/BRL#s2: PASS Δ0.00</t>
        </is>
      </c>
      <c r="I367" t="inlineStr">
        <is>
          <t>2023-11-24</t>
        </is>
      </c>
      <c r="J367" t="inlineStr">
        <is>
          <t>em questão. FAZ SA</t>
        </is>
      </c>
      <c r="K367" t="inlineStr">
        <is>
          <t>lrflideres.com.br</t>
        </is>
      </c>
      <c r="L367" s="19" t="inlineStr">
        <is>
          <t>https://lrflideres.com.br/wp-content/uploads/2023/01/4.-EDITAL-2a-LISTA-DE-CREDORES-1.pdf</t>
        </is>
      </c>
    </row>
    <row r="368">
      <c r="A368" t="inlineStr">
        <is>
          <t>e7a1e923dae2</t>
        </is>
      </c>
      <c r="B368" t="inlineStr">
        <is>
          <t>0829315-43.2023.8.15.0001</t>
        </is>
      </c>
      <c r="C368" t="inlineStr">
        <is>
          <t>AJ_LIST</t>
        </is>
      </c>
      <c r="D368" t="inlineStr">
        <is>
          <t>OK</t>
        </is>
      </c>
      <c r="E368" t="n">
        <v>22</v>
      </c>
      <c r="F368" t="inlineStr">
        <is>
          <t>PROSE</t>
        </is>
      </c>
      <c r="G368" t="inlineStr">
        <is>
          <t>PROSE</t>
        </is>
      </c>
      <c r="H368" t="inlineStr">
        <is>
          <t>I/BRL#s166: PASS Δ0.00 · III/BRL#s167: PASS Δ0.00</t>
        </is>
      </c>
      <c r="I368" t="inlineStr">
        <is>
          <t>2024-03-21</t>
        </is>
      </c>
      <c r="J368" t="inlineStr">
        <is>
          <t>consta no Doc 04 aqui acostado, servindo a Rua Padre Carapuceiro, 706, Empresa</t>
        </is>
      </c>
      <c r="K368" t="inlineStr">
        <is>
          <t>lrflideres.com.br</t>
        </is>
      </c>
      <c r="L368" s="19" t="inlineStr">
        <is>
          <t>https://lrflideres.com.br/wp-content/uploads/2023/12/3.1-PROTOCOLO-DA-2a-LISTA-DE-CREDORES.pdf</t>
        </is>
      </c>
    </row>
    <row r="369">
      <c r="A369" t="inlineStr">
        <is>
          <t>9b292ab96619</t>
        </is>
      </c>
      <c r="B369" t="inlineStr">
        <is>
          <t>0700087-51.2020.8.02.0043</t>
        </is>
      </c>
      <c r="C369" t="inlineStr">
        <is>
          <t>AJ_LIST</t>
        </is>
      </c>
      <c r="D369" t="inlineStr">
        <is>
          <t>OK</t>
        </is>
      </c>
      <c r="E369" t="n">
        <v>4</v>
      </c>
      <c r="F369" t="inlineStr">
        <is>
          <t>TABLE</t>
        </is>
      </c>
      <c r="G369" t="inlineStr">
        <is>
          <t>TABLE_RULED</t>
        </is>
      </c>
      <c r="H369" t="inlineStr">
        <is>
          <t>III/BRL#s2: PASS Δ0.00</t>
        </is>
      </c>
      <c r="I369" t="inlineStr">
        <is>
          <t>2025-07-15</t>
        </is>
      </c>
      <c r="J369" t="inlineStr">
        <is>
          <t>AUTO POSTO FREITAS &amp; MAIA LTDA</t>
        </is>
      </c>
      <c r="K369" t="inlineStr">
        <is>
          <t>recuperacaojudicial.squarespace.com</t>
        </is>
      </c>
      <c r="L369" s="19" t="inlineStr">
        <is>
          <t>https://recuperacaojudicial.squarespace.com/s/LISTA-DE-CREDORES-CONSOLIDADA-EM-11072025_6419.pdf</t>
        </is>
      </c>
    </row>
    <row r="370">
      <c r="A370" t="inlineStr">
        <is>
          <t>8b35887b8907</t>
        </is>
      </c>
      <c r="B370" t="inlineStr">
        <is>
          <t>0062771-12.2013.8.17.0001</t>
        </is>
      </c>
      <c r="C370" t="inlineStr">
        <is>
          <t>AJ_LIST</t>
        </is>
      </c>
      <c r="D370" t="inlineStr">
        <is>
          <t>OK</t>
        </is>
      </c>
      <c r="E370" t="n">
        <v>2</v>
      </c>
      <c r="F370" t="inlineStr">
        <is>
          <t>PROSE</t>
        </is>
      </c>
      <c r="G370" t="inlineStr">
        <is>
          <t>PROSE</t>
        </is>
      </c>
      <c r="H370" t="inlineStr">
        <is>
          <t>I/BRL#s1: PASS Δ0.00</t>
        </is>
      </c>
      <c r="I370" t="inlineStr">
        <is>
          <t>2019-11-12</t>
        </is>
      </c>
      <c r="J370" t="inlineStr">
        <is>
          <t>que foi convertida em Falência</t>
        </is>
      </c>
      <c r="K370" t="inlineStr">
        <is>
          <t>lrflideres.com.br</t>
        </is>
      </c>
      <c r="L370" s="19" t="inlineStr">
        <is>
          <t>https://lrflideres.com.br/wp-content/plugins/download-attachments/includes/download.php?id=7179</t>
        </is>
      </c>
    </row>
    <row r="371">
      <c r="A371" t="inlineStr">
        <is>
          <t>0f6124399bb9</t>
        </is>
      </c>
      <c r="B371" t="inlineStr">
        <is>
          <t>0062771-12.2013.8.17.0001</t>
        </is>
      </c>
      <c r="C371" t="inlineStr">
        <is>
          <t>AJ_LIST</t>
        </is>
      </c>
      <c r="D371" t="inlineStr">
        <is>
          <t>OK</t>
        </is>
      </c>
      <c r="E371" t="n">
        <v>2</v>
      </c>
      <c r="F371" t="inlineStr">
        <is>
          <t>PROSE</t>
        </is>
      </c>
      <c r="G371" t="inlineStr">
        <is>
          <t>PROSE</t>
        </is>
      </c>
      <c r="H371" t="inlineStr">
        <is>
          <t>I/BRL#s1: PASS Δ0.00</t>
        </is>
      </c>
      <c r="I371" t="inlineStr">
        <is>
          <t>2019-11-12</t>
        </is>
      </c>
      <c r="J371" t="inlineStr">
        <is>
          <t>que foi convertida em Falência</t>
        </is>
      </c>
      <c r="K371" t="inlineStr">
        <is>
          <t>lrflideres.com.br</t>
        </is>
      </c>
      <c r="L371" s="19" t="inlineStr">
        <is>
          <t>https://lrflideres.com.br/wp-content/plugins/download-attachments/includes/download.php?id=7180</t>
        </is>
      </c>
    </row>
    <row r="372">
      <c r="A372" t="inlineStr">
        <is>
          <t>2e68d9417d05</t>
        </is>
      </c>
      <c r="B372" t="inlineStr">
        <is>
          <t>0034714-90.2016.8.17.2001</t>
        </is>
      </c>
      <c r="C372" t="inlineStr">
        <is>
          <t>AJ_LIST</t>
        </is>
      </c>
      <c r="D372" t="inlineStr">
        <is>
          <t>OK</t>
        </is>
      </c>
      <c r="E372" t="n">
        <v>6</v>
      </c>
      <c r="F372" t="inlineStr">
        <is>
          <t>TABLE</t>
        </is>
      </c>
      <c r="G372" t="inlineStr">
        <is>
          <t>TABLE_BANDS</t>
        </is>
      </c>
      <c r="H372" t="inlineStr">
        <is>
          <t>III/BRL: PASS Δ-117.00 · IV/BRL: PASS Δ-80.00</t>
        </is>
      </c>
      <c r="I372" t="inlineStr">
        <is>
          <t>2021-09-20</t>
        </is>
      </c>
      <c r="J372" t="inlineStr">
        <is>
          <t>E FALÊNCIA</t>
        </is>
      </c>
      <c r="K372" t="inlineStr">
        <is>
          <t>lrflideres.com.br</t>
        </is>
      </c>
      <c r="L372" s="19" t="inlineStr">
        <is>
          <t>https://lrflideres.com.br/wp-content/plugins/download-attachments/includes/download.php?id=3556</t>
        </is>
      </c>
    </row>
    <row r="373">
      <c r="A373" t="inlineStr">
        <is>
          <t>05e15e3ab097</t>
        </is>
      </c>
      <c r="B373" t="inlineStr">
        <is>
          <t>0015488-29.2018.8.17.2810</t>
        </is>
      </c>
      <c r="C373" t="inlineStr">
        <is>
          <t>AJ_LIST</t>
        </is>
      </c>
      <c r="D373" t="inlineStr">
        <is>
          <t>OK</t>
        </is>
      </c>
      <c r="E373" t="n">
        <v>5</v>
      </c>
      <c r="F373" t="inlineStr">
        <is>
          <t>PROSE</t>
        </is>
      </c>
      <c r="G373" t="inlineStr">
        <is>
          <t>PROSE</t>
        </is>
      </c>
      <c r="H373" t="inlineStr">
        <is>
          <t>III/BRL: PASS ΔNone · IV/BRL: PASS ΔNone</t>
        </is>
      </c>
      <c r="I373" t="inlineStr">
        <is>
          <t>2019-11-25</t>
        </is>
      </c>
      <c r="J373" t="inlineStr">
        <is>
          <t>CENTRO DE TRATAMENTO RENAL ZONA SUL LTDA</t>
        </is>
      </c>
      <c r="K373" t="inlineStr">
        <is>
          <t>recuperacaojudicial.squarespace.com</t>
        </is>
      </c>
      <c r="L373" s="19" t="inlineStr">
        <is>
          <t>https://recuperacaojudicial.squarespace.com/s/4-RJCTREditalda2ListadeCredoresnovembro2019.pdf</t>
        </is>
      </c>
    </row>
    <row r="374">
      <c r="A374" t="inlineStr">
        <is>
          <t>6232303ad927</t>
        </is>
      </c>
      <c r="B374" t="inlineStr">
        <is>
          <t>0000721-61.2024.8.17.2620</t>
        </is>
      </c>
      <c r="C374" t="inlineStr">
        <is>
          <t>DEBTOR_LIST</t>
        </is>
      </c>
      <c r="D374" t="inlineStr">
        <is>
          <t>OK</t>
        </is>
      </c>
      <c r="E374" t="n">
        <v>6</v>
      </c>
      <c r="F374" t="inlineStr">
        <is>
          <t>PROSE</t>
        </is>
      </c>
      <c r="G374" t="inlineStr">
        <is>
          <t>PROSE</t>
        </is>
      </c>
      <c r="H374" t="inlineStr">
        <is>
          <t>I/BRL#s4: PASS Δ0.00 · II/BRL#s5: PASS Δ0.00 · III/BRL#s6: PASS Δ0.00 · IV/BRL#s7: PASS Δ0.00</t>
        </is>
      </c>
      <c r="I374" t="inlineStr">
        <is>
          <t>2024-08-30</t>
        </is>
      </c>
      <c r="J374" t="inlineStr">
        <is>
          <t>em litisconsórcio ativo, conforme entendimento jurisprudencia</t>
        </is>
      </c>
      <c r="K374" t="inlineStr">
        <is>
          <t>lrflideres.com.br</t>
        </is>
      </c>
      <c r="L374" s="19" t="inlineStr">
        <is>
          <t>https://lrflideres.com.br/wp-content/plugins/download-attachments/includes/download.php?id=6104</t>
        </is>
      </c>
    </row>
    <row r="375">
      <c r="A375" t="inlineStr">
        <is>
          <t>e4d792000479</t>
        </is>
      </c>
      <c r="B375" t="inlineStr">
        <is>
          <t>0141112-22.2018.8.19.0001</t>
        </is>
      </c>
      <c r="C375" t="inlineStr">
        <is>
          <t>DEBTOR_LIST</t>
        </is>
      </c>
      <c r="D375" t="inlineStr">
        <is>
          <t>OK</t>
        </is>
      </c>
      <c r="E375" t="n">
        <v>11</v>
      </c>
      <c r="F375" t="inlineStr">
        <is>
          <t>TABLE</t>
        </is>
      </c>
      <c r="G375" t="inlineStr">
        <is>
          <t>TABLE_RULED</t>
        </is>
      </c>
      <c r="H375" t="inlineStr">
        <is>
          <t>I/BRL#s1: PASS Δ0.00 · III/BRL#s3: PASS Δ0.00 · III/BRL#s4: PASS Δ0.00 · IV/BRL#s6: PASS Δ0.00</t>
        </is>
      </c>
      <c r="J375" t="inlineStr">
        <is>
          <t>Companhia Federal de Fundição – Processo nº 0141112-22.2018.8.19.0001 – e-mail: admjudcff@inova-aj.com.br – INOVA</t>
        </is>
      </c>
      <c r="K375" t="inlineStr">
        <is>
          <t>inova-aj.com.br</t>
        </is>
      </c>
      <c r="L375" s="19" t="inlineStr">
        <is>
          <t>https://inova-aj.com.br/wp-content/uploads/2018/08/Relação-de-Credores-CFF-Art.-52-§1º-LRE.pdf</t>
        </is>
      </c>
    </row>
    <row r="376">
      <c r="A376" t="inlineStr">
        <is>
          <t>94deac4b28ef</t>
        </is>
      </c>
      <c r="B376" t="inlineStr">
        <is>
          <t>5008630-83.2025.8.24.0019</t>
        </is>
      </c>
      <c r="C376" t="inlineStr">
        <is>
          <t>DEBTOR_LIST</t>
        </is>
      </c>
      <c r="D376" t="inlineStr">
        <is>
          <t>OK</t>
        </is>
      </c>
      <c r="E376" t="n">
        <v>3</v>
      </c>
      <c r="F376" t="inlineStr">
        <is>
          <t>TABLE</t>
        </is>
      </c>
      <c r="G376" t="inlineStr">
        <is>
          <t>TABLE_RULED</t>
        </is>
      </c>
      <c r="H376" t="inlineStr">
        <is>
          <t>III/BRL#s1: PASS Δ0.00 · III/BRL#s2: PASS Δ0.00</t>
        </is>
      </c>
      <c r="J376" t="inlineStr">
        <is>
          <t>Grupo Madeireira Madefus - RLG-AJ</t>
        </is>
      </c>
      <c r="K376" t="inlineStr">
        <is>
          <t>rlg-aj.com.br</t>
        </is>
      </c>
      <c r="L376" s="19" t="inlineStr">
        <is>
          <t>https://rlg-aj.com.br/wp-content/uploads/2026/02/Rela____o_de_Credores.pdf</t>
        </is>
      </c>
    </row>
    <row r="377">
      <c r="A377" t="inlineStr">
        <is>
          <t>5da7b77bb569</t>
        </is>
      </c>
      <c r="B377" t="inlineStr">
        <is>
          <t>0001639-09.2026.8.17.2810</t>
        </is>
      </c>
      <c r="C377" t="inlineStr">
        <is>
          <t>DEBTOR_LIST</t>
        </is>
      </c>
      <c r="D377" t="inlineStr">
        <is>
          <t>OK</t>
        </is>
      </c>
      <c r="E377" t="n">
        <v>14</v>
      </c>
      <c r="F377" t="inlineStr">
        <is>
          <t>PROSE</t>
        </is>
      </c>
      <c r="G377" t="inlineStr">
        <is>
          <t>PROSE</t>
        </is>
      </c>
      <c r="H377" t="inlineStr">
        <is>
          <t>IV/BRL#s18: PASS Δ0.00</t>
        </is>
      </c>
      <c r="I377" t="inlineStr">
        <is>
          <t>2026-05-21</t>
        </is>
      </c>
      <c r="J377" t="inlineStr">
        <is>
          <t>E FALENCIA</t>
        </is>
      </c>
      <c r="K377" t="inlineStr">
        <is>
          <t>recuperasolucoes.com</t>
        </is>
      </c>
      <c r="L377" s="19" t="inlineStr">
        <is>
          <t>https://recuperasolucoes.com/wp-content/plugins/download-attachments/includes/download.php?id=1597</t>
        </is>
      </c>
    </row>
    <row r="378">
      <c r="A378" t="inlineStr">
        <is>
          <t>dcca871af84a</t>
        </is>
      </c>
      <c r="B378" t="inlineStr">
        <is>
          <t>0133628-14.2024.8.17.2001</t>
        </is>
      </c>
      <c r="C378" t="inlineStr">
        <is>
          <t>DEBTOR_LIST</t>
        </is>
      </c>
      <c r="D378" t="inlineStr">
        <is>
          <t>OK</t>
        </is>
      </c>
      <c r="E378" t="n">
        <v>10</v>
      </c>
      <c r="F378" t="inlineStr">
        <is>
          <t>PROSE</t>
        </is>
      </c>
      <c r="G378" t="inlineStr">
        <is>
          <t>PROSE</t>
        </is>
      </c>
      <c r="H378" t="inlineStr">
        <is>
          <t>I/BRL#s2: PASS Δ-0.06 · II/BRL#s3: PASS Δ0.00 · III/BRL#s4: PASS Δ0.02 · IV/BRL#s5: PASS Δ0.13</t>
        </is>
      </c>
      <c r="I378" t="inlineStr">
        <is>
          <t>2025-01-08</t>
        </is>
      </c>
      <c r="J378" t="inlineStr">
        <is>
          <t>CEAM - Recupera Soluções Empresariais</t>
        </is>
      </c>
      <c r="K378" t="inlineStr">
        <is>
          <t>recuperasolucoes.com</t>
        </is>
      </c>
      <c r="L378" s="19" t="inlineStr">
        <is>
          <t>https://recuperasolucoes.com/wp-content/plugins/download-attachments/includes/download.php?id=1363</t>
        </is>
      </c>
    </row>
    <row r="379">
      <c r="A379" t="inlineStr">
        <is>
          <t>1658892fa167</t>
        </is>
      </c>
      <c r="B379" t="inlineStr">
        <is>
          <t>0008526-45.2025.8.17.2001</t>
        </is>
      </c>
      <c r="C379" t="inlineStr">
        <is>
          <t>DEBTOR_LIST</t>
        </is>
      </c>
      <c r="D379" t="inlineStr">
        <is>
          <t>OK</t>
        </is>
      </c>
      <c r="E379" t="n">
        <v>7</v>
      </c>
      <c r="F379" t="inlineStr">
        <is>
          <t>PROSE</t>
        </is>
      </c>
      <c r="G379" t="inlineStr">
        <is>
          <t>PROSE</t>
        </is>
      </c>
      <c r="H379" t="inlineStr">
        <is>
          <t>I/BRL#s1: PASS Δ-0.02 · III/BRL#s2: PASS Δ0.01 · III/USD#s3: PASS Δ0.00 · IV/BRL#s4: PASS Δ0.00</t>
        </is>
      </c>
      <c r="I379" t="inlineStr">
        <is>
          <t>2025-06-10</t>
        </is>
      </c>
      <c r="J379" t="inlineStr">
        <is>
          <t>E FALENCIA</t>
        </is>
      </c>
      <c r="K379" t="inlineStr">
        <is>
          <t>diligence.adm.br</t>
        </is>
      </c>
      <c r="L379" s="19" t="inlineStr">
        <is>
          <t>https://diligence.adm.br/wp-content/uploads/2025/06/Edital-1a-Lista-de-Credores.pdf</t>
        </is>
      </c>
    </row>
    <row r="380">
      <c r="A380" t="inlineStr">
        <is>
          <t>4e09ec1252d3</t>
        </is>
      </c>
      <c r="B380" t="inlineStr">
        <is>
          <t>0108923-15.2025.8.17.2001</t>
        </is>
      </c>
      <c r="C380" t="inlineStr">
        <is>
          <t>DEBTOR_LIST</t>
        </is>
      </c>
      <c r="D380" t="inlineStr">
        <is>
          <t>OK</t>
        </is>
      </c>
      <c r="E380" t="n">
        <v>16</v>
      </c>
      <c r="F380" t="inlineStr">
        <is>
          <t>PROSE</t>
        </is>
      </c>
      <c r="G380" t="inlineStr">
        <is>
          <t>PROSE</t>
        </is>
      </c>
      <c r="H380" t="inlineStr">
        <is>
          <t>I/BRL#s1: PASS Δ-0.11 · III/BRL#s2: PASS Δ0.00 · IV/BRL#s3: PASS Δ0.00 · I/BRL#s5: PASS Δ-0.02 · III/BRL#s6: PASS Δ0.00 · IV/BRL#s7: PASS Δ0.00</t>
        </is>
      </c>
      <c r="I380" t="inlineStr">
        <is>
          <t>2026-03-12</t>
        </is>
      </c>
      <c r="J380" t="inlineStr">
        <is>
          <t>E FALENCIA</t>
        </is>
      </c>
      <c r="K380" t="inlineStr">
        <is>
          <t>diligence.adm.br</t>
        </is>
      </c>
      <c r="L380" s="19" t="inlineStr">
        <is>
          <t>https://diligence.adm.br/wp-content/plugins/download-attachments/includes/download.php?id=6205</t>
        </is>
      </c>
    </row>
    <row r="381">
      <c r="A381" t="inlineStr">
        <is>
          <t>24ed98480a57</t>
        </is>
      </c>
      <c r="B381" t="inlineStr">
        <is>
          <t>5088952-81.2025.8.13.0024</t>
        </is>
      </c>
      <c r="C381" t="inlineStr">
        <is>
          <t>DEBTOR_LIST</t>
        </is>
      </c>
      <c r="D381" t="inlineStr">
        <is>
          <t>OK</t>
        </is>
      </c>
      <c r="E381" t="n">
        <v>93</v>
      </c>
      <c r="F381" t="inlineStr">
        <is>
          <t>TABLE</t>
        </is>
      </c>
      <c r="G381" t="inlineStr">
        <is>
          <t>TABLE_RULED</t>
        </is>
      </c>
      <c r="H381" t="inlineStr">
        <is>
          <t>I/BRL#s6: PASS Δ0.00 · II/BRL#s8: PASS Δ0.00 · III/BRL#s10: PASS Δ-0.01 · IV/BRL#s12: PASS Δ0.00</t>
        </is>
      </c>
      <c r="J381" t="inlineStr">
        <is>
          <t>SCZ Scalzilli Administração Judicial</t>
        </is>
      </c>
      <c r="K381" t="inlineStr">
        <is>
          <t>scalzilliaj.com.br</t>
        </is>
      </c>
      <c r="L381" s="19" t="inlineStr">
        <is>
          <t>https://scalzilliaj.com.br/sgc/download.php?file=files/processo_documento/processo_documento09514021082025_1_.pdf&amp;nome=04 - Relação de credores das Recuperandas</t>
        </is>
      </c>
    </row>
    <row r="382">
      <c r="A382" t="inlineStr">
        <is>
          <t>24cf2f95fd57</t>
        </is>
      </c>
      <c r="B382" t="inlineStr">
        <is>
          <t>0011283-80.2023.8.17.2001</t>
        </is>
      </c>
      <c r="C382" t="inlineStr">
        <is>
          <t>DEBTOR_LIST</t>
        </is>
      </c>
      <c r="D382" t="inlineStr">
        <is>
          <t>OK</t>
        </is>
      </c>
      <c r="E382" t="n">
        <v>11</v>
      </c>
      <c r="F382" t="inlineStr">
        <is>
          <t>PROSE</t>
        </is>
      </c>
      <c r="G382" t="inlineStr">
        <is>
          <t>PROSE</t>
        </is>
      </c>
      <c r="H382" t="inlineStr">
        <is>
          <t>I/BRL#s3: PASS Δ0.00 · III/BRL#s4: PASS Δ0.00 · IV/BRL#s5: PASS Δ0.00</t>
        </is>
      </c>
      <c r="J382" t="inlineStr">
        <is>
          <t>e a concretização de uma etapa no processo, visa</t>
        </is>
      </c>
      <c r="K382" t="inlineStr">
        <is>
          <t>recuperacaojudicial.squarespace.com</t>
        </is>
      </c>
      <c r="L382" s="19" t="inlineStr">
        <is>
          <t>https://recuperacaojudicial.squarespace.com/s/RJ-Nautico-Edital-de-1-Lista-republicado-abril-2023.pdf</t>
        </is>
      </c>
    </row>
    <row r="383">
      <c r="A383" t="inlineStr">
        <is>
          <t>ea63dbf6e884</t>
        </is>
      </c>
      <c r="B383" t="inlineStr">
        <is>
          <t>1111148-53.2024.8.26.0100</t>
        </is>
      </c>
      <c r="C383" t="inlineStr">
        <is>
          <t>PLAN</t>
        </is>
      </c>
      <c r="D383" t="inlineStr">
        <is>
          <t>OK</t>
        </is>
      </c>
      <c r="E383" t="n">
        <v>39</v>
      </c>
      <c r="F383" t="inlineStr">
        <is>
          <t>TABLE</t>
        </is>
      </c>
      <c r="G383" t="inlineStr">
        <is>
          <t>TABLE_BANDS</t>
        </is>
      </c>
      <c r="H383" t="inlineStr">
        <is>
          <t>I/BRL#s13: PASS Δ0.00</t>
        </is>
      </c>
      <c r="J383" t="inlineStr">
        <is>
          <t>SMO PARTICIPAÇÕES LTDA</t>
        </is>
      </c>
      <c r="K383" t="inlineStr">
        <is>
          <t>vivanteaj.com.br</t>
        </is>
      </c>
      <c r="L383" s="19" t="inlineStr">
        <is>
          <t>https://vivanteaj.com.br/wp-content/uploads/2024/11/plano-mettaloys.pdf</t>
        </is>
      </c>
    </row>
    <row r="384">
      <c r="A384" t="inlineStr">
        <is>
          <t>5e274422f357</t>
        </is>
      </c>
      <c r="B384" t="inlineStr">
        <is>
          <t>0007565-40.2020.8.17.2370</t>
        </is>
      </c>
      <c r="C384" t="inlineStr">
        <is>
          <t>QGC</t>
        </is>
      </c>
      <c r="D384" t="inlineStr">
        <is>
          <t>OK</t>
        </is>
      </c>
      <c r="E384" t="n">
        <v>6</v>
      </c>
      <c r="F384" t="inlineStr">
        <is>
          <t>PROSE</t>
        </is>
      </c>
      <c r="G384" t="inlineStr">
        <is>
          <t>PROSE</t>
        </is>
      </c>
      <c r="H384" t="inlineStr">
        <is>
          <t>I/BRL#s4: PASS ΔNone · III/BRL#s5: PASS ΔNone · IV/BRL#s6: PASS ΔNone</t>
        </is>
      </c>
      <c r="I384" t="inlineStr">
        <is>
          <t>2016-04-13</t>
        </is>
      </c>
      <c r="J384" t="inlineStr">
        <is>
          <t>aludida empresa</t>
        </is>
      </c>
      <c r="K384" t="inlineStr">
        <is>
          <t>recuperacaojudicial.squarespace.com</t>
        </is>
      </c>
      <c r="L384" s="19" t="inlineStr">
        <is>
          <t>https://recuperacaojudicial.squarespace.com/s/RJ-Credimoveis-Publicaco-Edital-art-52-1-1-Lista-de-Credores.pdf</t>
        </is>
      </c>
    </row>
    <row r="385">
      <c r="A385" t="inlineStr">
        <is>
          <t>849d4fe5adce</t>
        </is>
      </c>
      <c r="B385" t="inlineStr">
        <is>
          <t>0007565-40.2020.8.17.2370</t>
        </is>
      </c>
      <c r="C385" t="inlineStr">
        <is>
          <t>QGC</t>
        </is>
      </c>
      <c r="D385" t="inlineStr">
        <is>
          <t>OK</t>
        </is>
      </c>
      <c r="E385" t="n">
        <v>20</v>
      </c>
      <c r="F385" t="inlineStr">
        <is>
          <t>TABLE</t>
        </is>
      </c>
      <c r="G385" t="inlineStr">
        <is>
          <t>TABLE_RULED</t>
        </is>
      </c>
      <c r="H385" t="inlineStr">
        <is>
          <t>I/BRL: PASS Δ0.00 · III/BRL: PASS Δ0.00 · IV/BRL: PASS Δ0.00</t>
        </is>
      </c>
      <c r="I385" t="inlineStr">
        <is>
          <t>2026-01-28</t>
        </is>
      </c>
      <c r="J385" t="inlineStr">
        <is>
          <t>e Falência</t>
        </is>
      </c>
      <c r="K385" t="inlineStr">
        <is>
          <t>recuperacaojudicial.squarespace.com</t>
        </is>
      </c>
      <c r="L385" s="19" t="inlineStr">
        <is>
          <t>https://recuperacaojudicial.squarespace.com/s/RJ-Credimoveis-QGC-01082025.pdf</t>
        </is>
      </c>
    </row>
    <row r="386">
      <c r="A386" t="inlineStr">
        <is>
          <t>2902e68ee648</t>
        </is>
      </c>
      <c r="B386" t="inlineStr">
        <is>
          <t>0214287-36.2023.8.06.0001</t>
        </is>
      </c>
      <c r="C386" t="inlineStr">
        <is>
          <t>QGC</t>
        </is>
      </c>
      <c r="D386" t="inlineStr">
        <is>
          <t>OK</t>
        </is>
      </c>
      <c r="E386" t="n">
        <v>2</v>
      </c>
      <c r="F386" t="inlineStr">
        <is>
          <t>TABLE</t>
        </is>
      </c>
      <c r="G386" t="inlineStr">
        <is>
          <t>TABLE_BANDS</t>
        </is>
      </c>
      <c r="H386" t="inlineStr">
        <is>
          <t>I/BRL#s1: PASS Δ0.00</t>
        </is>
      </c>
      <c r="J386" t="inlineStr">
        <is>
          <t>Assunto Concurso de Credores Requerente Pminas Brasil Construção Civil e Serviços Ltda</t>
        </is>
      </c>
      <c r="K386" t="inlineStr">
        <is>
          <t>bugarimecoelho.com.br</t>
        </is>
      </c>
      <c r="L386" s="19" t="inlineStr">
        <is>
          <t>https://bugarimecoelho.com.br/ws/media-library/6dc4bc2c988846629882c8d3713c7921/34.-edital-04o-aditivo-relacao-de-credores-2024.pdf</t>
        </is>
      </c>
    </row>
    <row r="387">
      <c r="A387" t="inlineStr">
        <is>
          <t>ad13509b394d</t>
        </is>
      </c>
      <c r="B387" t="inlineStr">
        <is>
          <t>0024643-24.2017.8.19.0001</t>
        </is>
      </c>
      <c r="C387" t="inlineStr">
        <is>
          <t>QGC</t>
        </is>
      </c>
      <c r="D387" t="inlineStr">
        <is>
          <t>OK</t>
        </is>
      </c>
      <c r="E387" t="n">
        <v>52</v>
      </c>
      <c r="F387" t="inlineStr">
        <is>
          <t>TABLE</t>
        </is>
      </c>
      <c r="G387" t="inlineStr">
        <is>
          <t>TABLE_RULED</t>
        </is>
      </c>
      <c r="H387" t="inlineStr">
        <is>
          <t>III/BRL#s1: PASS Δ0.00 · IV/BRL#s3: PASS Δ0.00 · III/BRL#s5: PASS Δ0.01 · IV/BRL#s7: PASS Δ-146.00</t>
        </is>
      </c>
      <c r="J387" t="inlineStr">
        <is>
          <t>SOCIEDADES ENGETÉCNICA SERVIÇOS E CONSTRUÇÕES LTDA</t>
        </is>
      </c>
      <c r="K387" t="inlineStr">
        <is>
          <t>inova-aj.com.br</t>
        </is>
      </c>
      <c r="L387" s="19" t="inlineStr">
        <is>
          <t>https://inova-aj.com.br/wp-content/uploads/2022/06/QGC-Engetecnica-e-Construtora-Zadar-Homologado.pdf</t>
        </is>
      </c>
    </row>
    <row r="388">
      <c r="A388" t="inlineStr">
        <is>
          <t>176542426fdb</t>
        </is>
      </c>
      <c r="B388" t="inlineStr">
        <is>
          <t>1045338-78.2017.8.26.0100</t>
        </is>
      </c>
      <c r="C388" t="inlineStr">
        <is>
          <t>QGC</t>
        </is>
      </c>
      <c r="D388" t="inlineStr">
        <is>
          <t>OK</t>
        </is>
      </c>
      <c r="E388" t="n">
        <v>2</v>
      </c>
      <c r="F388" t="inlineStr">
        <is>
          <t>TABLE</t>
        </is>
      </c>
      <c r="G388" t="inlineStr">
        <is>
          <t>TABLE_RULED</t>
        </is>
      </c>
      <c r="H388" t="inlineStr">
        <is>
          <t>III/BRL#s10: PASS Δ0.00</t>
        </is>
      </c>
      <c r="I388" t="inlineStr">
        <is>
          <t>2019-02-18</t>
        </is>
      </c>
      <c r="J388" t="inlineStr">
        <is>
          <t>GateKeeper | Recuperação Judicial em São Paulo – Ética, técnica e profissionalismo na administração judicial de processos de recuperação e falência.</t>
        </is>
      </c>
      <c r="K388" t="inlineStr">
        <is>
          <t>gatekeeperaj.com.br</t>
        </is>
      </c>
      <c r="L388" s="19" t="inlineStr">
        <is>
          <t>https://gatekeeperaj.com.br/wp-content/uploads/2026/08/QGC-AGOSTO-07.08.2026-1.pdf</t>
        </is>
      </c>
    </row>
    <row r="389">
      <c r="A389" t="inlineStr">
        <is>
          <t>3386ec7d9cf9</t>
        </is>
      </c>
      <c r="B389" t="inlineStr">
        <is>
          <t>0255180-67.2007.8.26.0100</t>
        </is>
      </c>
      <c r="C389" t="inlineStr">
        <is>
          <t>QGC</t>
        </is>
      </c>
      <c r="D389" t="inlineStr">
        <is>
          <t>OK</t>
        </is>
      </c>
      <c r="E389" t="n">
        <v>86</v>
      </c>
      <c r="F389" t="inlineStr">
        <is>
          <t>TABLE</t>
        </is>
      </c>
      <c r="G389" t="inlineStr">
        <is>
          <t>TABLE_RULED</t>
        </is>
      </c>
      <c r="H389" t="inlineStr">
        <is>
          <t>I/BRL#s7: PASS Δ-0.12 · I/BRL#s8: PASS Δ0.00</t>
        </is>
      </c>
      <c r="I389" t="inlineStr">
        <is>
          <t>2022-03-09</t>
        </is>
      </c>
      <c r="J389" t="inlineStr">
        <is>
          <t>GateKeeper | Recuperação Judicial em São Paulo – Ética, técnica e profissionalismo na administração judicial de processos de recuperação e falência.</t>
        </is>
      </c>
      <c r="K389" t="inlineStr">
        <is>
          <t>gatekeeperaj.com.br</t>
        </is>
      </c>
      <c r="L389" s="19" t="inlineStr">
        <is>
          <t>https://gatekeeperaj.com.br/wp-content/uploads/2026/03/BRA2_merged.pdf</t>
        </is>
      </c>
    </row>
    <row r="390">
      <c r="A390" t="inlineStr">
        <is>
          <t>ba9636d4566f</t>
        </is>
      </c>
      <c r="B390" t="inlineStr">
        <is>
          <t>1005079-94.2024.8.26.0100</t>
        </is>
      </c>
      <c r="C390" t="inlineStr">
        <is>
          <t>QGC</t>
        </is>
      </c>
      <c r="D390" t="inlineStr">
        <is>
          <t>OK</t>
        </is>
      </c>
      <c r="E390" t="n">
        <v>6</v>
      </c>
      <c r="F390" t="inlineStr">
        <is>
          <t>TABLE</t>
        </is>
      </c>
      <c r="G390" t="inlineStr">
        <is>
          <t>TABLE_RULED</t>
        </is>
      </c>
      <c r="H390" t="inlineStr">
        <is>
          <t>III/BRL#s5: PASS Δ0.00 · III/BRL#s6: PASS Δ0.00 · III/BRL#s7: PASS Δ0.00</t>
        </is>
      </c>
      <c r="I390" t="inlineStr">
        <is>
          <t>2025-07-25</t>
        </is>
      </c>
      <c r="J390" t="inlineStr">
        <is>
          <t>GateKeeper | Recuperação Judicial em São Paulo – Ética, técnica e profissionalismo na administração judicial de processos de recuperação e falência.</t>
        </is>
      </c>
      <c r="K390" t="inlineStr">
        <is>
          <t>gatekeeperaj.com.br</t>
        </is>
      </c>
      <c r="L390" s="19" t="inlineStr">
        <is>
          <t>https://gatekeeperaj.com.br/wp-content/uploads/2026/06/QGC-BERTINI-16.06.2026.pdf</t>
        </is>
      </c>
    </row>
    <row r="391">
      <c r="A391" t="inlineStr">
        <is>
          <t>5ee09f527391</t>
        </is>
      </c>
      <c r="B391" t="inlineStr">
        <is>
          <t>0000335-78.2024.8.26.0260</t>
        </is>
      </c>
      <c r="C391" t="inlineStr">
        <is>
          <t>QGC</t>
        </is>
      </c>
      <c r="D391" t="inlineStr">
        <is>
          <t>OK</t>
        </is>
      </c>
      <c r="E391" t="n">
        <v>3</v>
      </c>
      <c r="F391" t="inlineStr">
        <is>
          <t>TABLE</t>
        </is>
      </c>
      <c r="G391" t="inlineStr">
        <is>
          <t>TABLE_RULED</t>
        </is>
      </c>
      <c r="H391" t="inlineStr">
        <is>
          <t>I/BRL#s1: PASS Δ0.00</t>
        </is>
      </c>
      <c r="J391" t="inlineStr">
        <is>
          <t>GateKeeper | Recuperação Judicial em São Paulo – Ética, técnica e profissionalismo na administração judicial de processos de recuperação e falência.</t>
        </is>
      </c>
      <c r="K391" t="inlineStr">
        <is>
          <t>gatekeeperaj.com.br</t>
        </is>
      </c>
      <c r="L391" s="19" t="inlineStr">
        <is>
          <t>https://gatekeeperaj.com.br/wp-content/uploads/2025/08/Relacao-de-Credores-do-art.-7o-§2o-da-Lei-no-11.101-2005.pdf</t>
        </is>
      </c>
    </row>
    <row r="392">
      <c r="A392" t="inlineStr">
        <is>
          <t>0d5d96c1f6ca</t>
        </is>
      </c>
      <c r="B392" t="inlineStr">
        <is>
          <t>0604226-98.1997.8.26.0100</t>
        </is>
      </c>
      <c r="C392" t="inlineStr">
        <is>
          <t>QGC</t>
        </is>
      </c>
      <c r="D392" t="inlineStr">
        <is>
          <t>OK</t>
        </is>
      </c>
      <c r="E392" t="n">
        <v>3</v>
      </c>
      <c r="F392" t="inlineStr">
        <is>
          <t>TABLE</t>
        </is>
      </c>
      <c r="G392" t="inlineStr">
        <is>
          <t>TABLE_RULED</t>
        </is>
      </c>
      <c r="H392" t="inlineStr">
        <is>
          <t>III/BRL#s3: PASS Δ0.00</t>
        </is>
      </c>
      <c r="J392" t="inlineStr">
        <is>
          <t>GateKeeper | Recuperação Judicial em São Paulo – Ética, técnica e profissionalismo na administração judicial de processos de recuperação e falência.</t>
        </is>
      </c>
      <c r="K392" t="inlineStr">
        <is>
          <t>gatekeeperaj.com.br</t>
        </is>
      </c>
      <c r="L392" s="19" t="inlineStr">
        <is>
          <t>https://gatekeeperaj.com.br/wp-content/uploads/2025/03/Seno-Filhos-QGC-1.pdf</t>
        </is>
      </c>
    </row>
    <row r="393">
      <c r="A393" t="inlineStr">
        <is>
          <t>f1243615227d</t>
        </is>
      </c>
      <c r="B393" t="inlineStr">
        <is>
          <t>1004824-39.2019.8.26.0286</t>
        </is>
      </c>
      <c r="C393" t="inlineStr">
        <is>
          <t>QGC</t>
        </is>
      </c>
      <c r="D393" t="inlineStr">
        <is>
          <t>OK</t>
        </is>
      </c>
      <c r="E393" t="n">
        <v>5</v>
      </c>
      <c r="F393" t="inlineStr">
        <is>
          <t>TABLE</t>
        </is>
      </c>
      <c r="G393" t="inlineStr">
        <is>
          <t>TABLE_BANDS</t>
        </is>
      </c>
      <c r="H393" t="inlineStr">
        <is>
          <t>I/BRL#s1: PASS Δ0.00 · III/BRL#s3: PASS Δ0.00 · IV/BRL#s5: PASS Δ0.00</t>
        </is>
      </c>
      <c r="J393" t="inlineStr">
        <is>
          <t>BRASSUCO INDÚSTRIA DE PRODUTOS ALIMENTÍCIOS LTDA</t>
        </is>
      </c>
      <c r="K393" t="inlineStr">
        <is>
          <t>ajruiz.com.br</t>
        </is>
      </c>
      <c r="L393" s="19" t="inlineStr">
        <is>
          <t>https://ajruiz.com.br/sites/default/files/public/arquivos-processos/2025-10/brassuco_quadro_geral_de_credores_provisorio_mo.pdf</t>
        </is>
      </c>
    </row>
    <row r="394">
      <c r="A394" t="inlineStr">
        <is>
          <t>2f90c773d04b</t>
        </is>
      </c>
      <c r="B394" t="inlineStr">
        <is>
          <t>0022066-39.2018.8.19.0001</t>
        </is>
      </c>
      <c r="C394" t="inlineStr">
        <is>
          <t>QGC</t>
        </is>
      </c>
      <c r="D394" t="inlineStr">
        <is>
          <t>OK</t>
        </is>
      </c>
      <c r="E394" t="n">
        <v>1</v>
      </c>
      <c r="F394" t="inlineStr">
        <is>
          <t>TABLE</t>
        </is>
      </c>
      <c r="G394" t="inlineStr">
        <is>
          <t>TABLE_RULED</t>
        </is>
      </c>
      <c r="H394" t="inlineStr">
        <is>
          <t>I/BRL#s1: PASS Δ0.00 · III/BRL#s3: PASS Δ0.00</t>
        </is>
      </c>
      <c r="J394" t="inlineStr">
        <is>
          <t>SOCIEDADE RECICLYN COMERCIO E INDÚSTRIA DE METAIS LTDA</t>
        </is>
      </c>
      <c r="K394" t="inlineStr">
        <is>
          <t>inova-aj.com.br</t>
        </is>
      </c>
      <c r="L394" s="19" t="inlineStr">
        <is>
          <t>https://inova-aj.com.br/wp-content/uploads/2021/08/Reciclyn-Quadro-Geral-de-Credores.xlsx.pdf</t>
        </is>
      </c>
    </row>
    <row r="395">
      <c r="A395" t="inlineStr">
        <is>
          <t>142eb78b1ec9</t>
        </is>
      </c>
      <c r="C395" t="inlineStr">
        <is>
          <t>QGC</t>
        </is>
      </c>
      <c r="D395" t="inlineStr">
        <is>
          <t>OK</t>
        </is>
      </c>
      <c r="E395" t="n">
        <v>6</v>
      </c>
      <c r="F395" t="inlineStr">
        <is>
          <t>TABLE</t>
        </is>
      </c>
      <c r="G395" t="inlineStr">
        <is>
          <t>TABLE_RULED</t>
        </is>
      </c>
      <c r="H395" t="inlineStr">
        <is>
          <t>II/BRL#s1: PASS Δ0.00 · III/BRL#s3: PASS Δ-2268.27</t>
        </is>
      </c>
      <c r="K395" t="inlineStr">
        <is>
          <t>vivanteaj.com.br</t>
        </is>
      </c>
      <c r="L395" s="19" t="inlineStr">
        <is>
          <t>https://vivanteaj.com.br/wp-content/uploads/2024/11/Primeira-relacao-de-credores-da-Falencia-Multidia.pdf</t>
        </is>
      </c>
    </row>
    <row r="396">
      <c r="A396" t="inlineStr">
        <is>
          <t>380922480f80</t>
        </is>
      </c>
      <c r="B396" t="inlineStr">
        <is>
          <t>1022634-27.2024.8.26.0100</t>
        </is>
      </c>
      <c r="C396" t="inlineStr">
        <is>
          <t>QGC</t>
        </is>
      </c>
      <c r="D396" t="inlineStr">
        <is>
          <t>OK</t>
        </is>
      </c>
      <c r="E396" t="n">
        <v>11</v>
      </c>
      <c r="F396" t="inlineStr">
        <is>
          <t>TABLE</t>
        </is>
      </c>
      <c r="G396" t="inlineStr">
        <is>
          <t>TABLE_RULED</t>
        </is>
      </c>
      <c r="H396" t="inlineStr">
        <is>
          <t>I/BRL#s11: PASS Δ0.00 · III/BRL#s13: PASS Δ0.00 · IV/BRL#s15: PASS Δ0.00</t>
        </is>
      </c>
      <c r="I396" t="inlineStr">
        <is>
          <t>2024-01-31</t>
        </is>
      </c>
      <c r="J396" t="inlineStr">
        <is>
          <t>Base | AJ RUIZ - Administração Judicial</t>
        </is>
      </c>
      <c r="K396" t="inlineStr">
        <is>
          <t>ajruiz.com.br</t>
        </is>
      </c>
      <c r="L396" s="19" t="inlineStr">
        <is>
          <t>https://ajruiz.com.br/sites/default/files/public/arquivos-processos/2024-04/relacao_de_credores_recuperanda_1.pdf</t>
        </is>
      </c>
    </row>
    <row r="397">
      <c r="A397" t="inlineStr">
        <is>
          <t>8874249418db</t>
        </is>
      </c>
      <c r="B397" t="inlineStr">
        <is>
          <t>0011283-80.2023.8.17.2001</t>
        </is>
      </c>
      <c r="C397" t="inlineStr">
        <is>
          <t>UNKNOWN</t>
        </is>
      </c>
      <c r="D397" t="inlineStr">
        <is>
          <t>OK</t>
        </is>
      </c>
      <c r="E397" t="n">
        <v>23</v>
      </c>
      <c r="F397" t="inlineStr">
        <is>
          <t>TABLE</t>
        </is>
      </c>
      <c r="G397" t="inlineStr">
        <is>
          <t>TABLE_RULED</t>
        </is>
      </c>
      <c r="H397" t="inlineStr">
        <is>
          <t>I/BRL: PASS Δ0.00 · III/BRL: PASS Δ0.00 · IV/BRL: PASS Δ0.00</t>
        </is>
      </c>
      <c r="I397" t="inlineStr">
        <is>
          <t>2025-12-15</t>
        </is>
      </c>
      <c r="J397" t="inlineStr">
        <is>
          <t>Náutico - Página — Lindoso e Araujo</t>
        </is>
      </c>
      <c r="K397" t="inlineStr">
        <is>
          <t>recuperacaojudicial.squarespace.com</t>
        </is>
      </c>
      <c r="L397" s="19" t="inlineStr">
        <is>
          <t>https://recuperacaojudicial.squarespace.com/s/RJ-Clube-Nautico-Lista-de-Credores-Consolidada-em-10122025.pdf</t>
        </is>
      </c>
    </row>
    <row r="398">
      <c r="A398" t="inlineStr">
        <is>
          <t>cd4d5c0f8200</t>
        </is>
      </c>
      <c r="B398" t="inlineStr">
        <is>
          <t>0022845-08.2013.8.24.0008</t>
        </is>
      </c>
      <c r="C398" t="inlineStr">
        <is>
          <t>UNKNOWN</t>
        </is>
      </c>
      <c r="D398" t="inlineStr">
        <is>
          <t>OK</t>
        </is>
      </c>
      <c r="E398" t="n">
        <v>1</v>
      </c>
      <c r="F398" t="inlineStr">
        <is>
          <t>TABLE</t>
        </is>
      </c>
      <c r="G398" t="inlineStr">
        <is>
          <t>TABLE_RULED</t>
        </is>
      </c>
      <c r="H398" t="inlineStr">
        <is>
          <t>I/BRL#s1: PASS Δ0.00</t>
        </is>
      </c>
      <c r="J398" t="inlineStr">
        <is>
          <t>BLUTRAFOS BLUMENAU TRANSFORMADORES LTDA – Sgrott Administradora Judicial e Consultoria Empresarial</t>
        </is>
      </c>
      <c r="K398" t="inlineStr">
        <is>
          <t>administradorajudicialgs.com.br</t>
        </is>
      </c>
      <c r="L398" s="19" t="inlineStr">
        <is>
          <t>https://administradorajudicialgs.com.br/wp-content/uploads/2023/08/advogados-sgrott-relacao-credores-aj-trabalhista.pdf</t>
        </is>
      </c>
    </row>
    <row r="399">
      <c r="A399" t="inlineStr">
        <is>
          <t>22ac347cfe4f</t>
        </is>
      </c>
      <c r="B399" t="inlineStr">
        <is>
          <t>0022845-08.2013.8.24.0008</t>
        </is>
      </c>
      <c r="C399" t="inlineStr">
        <is>
          <t>UNKNOWN</t>
        </is>
      </c>
      <c r="D399" t="inlineStr">
        <is>
          <t>OK</t>
        </is>
      </c>
      <c r="E399" t="n">
        <v>6</v>
      </c>
      <c r="F399" t="inlineStr">
        <is>
          <t>TABLE</t>
        </is>
      </c>
      <c r="G399" t="inlineStr">
        <is>
          <t>TABLE_RULED</t>
        </is>
      </c>
      <c r="H399" t="inlineStr">
        <is>
          <t>III/BRL#s1: PASS Δ0.00</t>
        </is>
      </c>
      <c r="J399" t="inlineStr">
        <is>
          <t>BLUTRAFOS BLUMENAU TRANSFORMADORES LTDA – Sgrott Administradora Judicial e Consultoria Empresarial</t>
        </is>
      </c>
      <c r="K399" t="inlineStr">
        <is>
          <t>administradorajudicialgs.com.br</t>
        </is>
      </c>
      <c r="L399" s="19" t="inlineStr">
        <is>
          <t>https://administradorajudicialgs.com.br/wp-content/uploads/2023/08/advogados-sgrott-doc-22-relacao-de-credores-do-administrador-judicial-classe-iii-05-02-14.pdf</t>
        </is>
      </c>
    </row>
    <row r="400">
      <c r="A400" t="inlineStr">
        <is>
          <t>7dc4b6cc0e2b</t>
        </is>
      </c>
      <c r="B400" t="inlineStr">
        <is>
          <t>0022845-08.2013.8.24.0008</t>
        </is>
      </c>
      <c r="C400" t="inlineStr">
        <is>
          <t>UNKNOWN</t>
        </is>
      </c>
      <c r="D400" t="inlineStr">
        <is>
          <t>OK</t>
        </is>
      </c>
      <c r="E400" t="n">
        <v>1</v>
      </c>
      <c r="F400" t="inlineStr">
        <is>
          <t>TABLE</t>
        </is>
      </c>
      <c r="G400" t="inlineStr">
        <is>
          <t>TABLE_RULED</t>
        </is>
      </c>
      <c r="H400" t="inlineStr">
        <is>
          <t>II/BRL#s1: PASS Δ0.00</t>
        </is>
      </c>
      <c r="J400" t="inlineStr">
        <is>
          <t>BLUTRAFOS BLUMENAU TRANSFORMADORES LTDA – Sgrott Administradora Judicial e Consultoria Empresarial</t>
        </is>
      </c>
      <c r="K400" t="inlineStr">
        <is>
          <t>administradorajudicialgs.com.br</t>
        </is>
      </c>
      <c r="L400" s="19" t="inlineStr">
        <is>
          <t>https://administradorajudicialgs.com.br/wp-content/uploads/2023/08/advogados-sgrott-relacao-credores-aj-garantia-real.pdf</t>
        </is>
      </c>
    </row>
    <row r="401">
      <c r="A401" t="inlineStr">
        <is>
          <t>0a597f6ae324</t>
        </is>
      </c>
      <c r="B401" t="inlineStr">
        <is>
          <t>0276159-86.2022.8.06.0001</t>
        </is>
      </c>
      <c r="C401" t="inlineStr">
        <is>
          <t>UNKNOWN</t>
        </is>
      </c>
      <c r="D401" t="inlineStr">
        <is>
          <t>OK</t>
        </is>
      </c>
      <c r="E401" t="n">
        <v>2</v>
      </c>
      <c r="F401" t="inlineStr">
        <is>
          <t>TABLE</t>
        </is>
      </c>
      <c r="G401" t="inlineStr">
        <is>
          <t>TABLE_BANDS</t>
        </is>
      </c>
      <c r="H401" t="inlineStr">
        <is>
          <t>I/BRL#s1: PASS Δ0.00 · II/BRL#s3: PASS Δ0.00 · III/BRL#s5: PASS Δ0.00 · IV/BRL#s7: PASS Δ0.00</t>
        </is>
      </c>
      <c r="J401" t="inlineStr">
        <is>
          <t>PÃ¡gina inicial</t>
        </is>
      </c>
      <c r="K401" t="inlineStr">
        <is>
          <t>bugarimecoelho.com.br</t>
        </is>
      </c>
      <c r="L401" s="19" t="inlineStr">
        <is>
          <t>https://bugarimecoelho.com.br/ws/media-library/acb4bec624ec4fc7b485528b26bad747/3.-relacao-credores-1.pdf</t>
        </is>
      </c>
    </row>
    <row r="402">
      <c r="A402" t="inlineStr">
        <is>
          <t>19126614a4ce</t>
        </is>
      </c>
      <c r="B402" t="inlineStr">
        <is>
          <t>0000377-15.2000.8.24.0070</t>
        </is>
      </c>
      <c r="C402" t="inlineStr">
        <is>
          <t>UNKNOWN</t>
        </is>
      </c>
      <c r="D402" t="inlineStr">
        <is>
          <t>OK</t>
        </is>
      </c>
      <c r="E402" t="n">
        <v>4</v>
      </c>
      <c r="F402" t="inlineStr">
        <is>
          <t>TABLE</t>
        </is>
      </c>
      <c r="G402" t="inlineStr">
        <is>
          <t>TABLE_RULED</t>
        </is>
      </c>
      <c r="H402" t="inlineStr">
        <is>
          <t>I/BRL#s1: PASS Δ0.00</t>
        </is>
      </c>
      <c r="I402" t="inlineStr">
        <is>
          <t>2018-06-30</t>
        </is>
      </c>
      <c r="J402" t="inlineStr">
        <is>
          <t>FÁBRICA DE MÓVEIS SANTA IZABEL LTDA – Sgrott Administradora Judicial e Consultoria Empresarial</t>
        </is>
      </c>
      <c r="K402" t="inlineStr">
        <is>
          <t>administradorajudicialgs.com.br</t>
        </is>
      </c>
      <c r="L402" s="19" t="inlineStr">
        <is>
          <t>https://administradorajudicialgs.com.br/wp-content/uploads/2024/06/relacao-de-credores.pdf</t>
        </is>
      </c>
    </row>
    <row r="403">
      <c r="A403" t="inlineStr">
        <is>
          <t>1b5dd024ca79</t>
        </is>
      </c>
      <c r="B403" t="inlineStr">
        <is>
          <t>0214287-36.2023.8.06.0001</t>
        </is>
      </c>
      <c r="C403" t="inlineStr">
        <is>
          <t>UNKNOWN</t>
        </is>
      </c>
      <c r="D403" t="inlineStr">
        <is>
          <t>OK</t>
        </is>
      </c>
      <c r="E403" t="n">
        <v>1</v>
      </c>
      <c r="F403" t="inlineStr">
        <is>
          <t>TABLE</t>
        </is>
      </c>
      <c r="G403" t="inlineStr">
        <is>
          <t>TABLE_BANDS</t>
        </is>
      </c>
      <c r="H403" t="inlineStr">
        <is>
          <t>I/BRL#s1: PASS Δ0.00 · IV/BRL#s5: PASS Δ0.00</t>
        </is>
      </c>
      <c r="J403" t="inlineStr">
        <is>
          <t>- PMINAS BRASIL CONSTRUÇÃO CIVIL E SERVIÇOS LTDA</t>
        </is>
      </c>
      <c r="K403" t="inlineStr">
        <is>
          <t>bugarimecoelho.com.br</t>
        </is>
      </c>
      <c r="L403" s="19" t="inlineStr">
        <is>
          <t>https://bugarimecoelho.com.br/ws/media-library/2764952506de59f305f9610dc83d6dbe/43---05o-aditivo-qgc.2.pdf</t>
        </is>
      </c>
    </row>
    <row r="404">
      <c r="A404" t="inlineStr">
        <is>
          <t>7e14d03c26b3</t>
        </is>
      </c>
      <c r="B404" t="inlineStr">
        <is>
          <t>0214287-36.2023.8.06.0001</t>
        </is>
      </c>
      <c r="C404" t="inlineStr">
        <is>
          <t>UNKNOWN</t>
        </is>
      </c>
      <c r="D404" t="inlineStr">
        <is>
          <t>OK</t>
        </is>
      </c>
      <c r="E404" t="n">
        <v>1</v>
      </c>
      <c r="F404" t="inlineStr">
        <is>
          <t>TABLE</t>
        </is>
      </c>
      <c r="G404" t="inlineStr">
        <is>
          <t>TABLE_BANDS</t>
        </is>
      </c>
      <c r="H404" t="inlineStr">
        <is>
          <t>I/BRL#s1: PASS Δ0.00 · III/BRL#s4: PASS Δ0.00 · IV/BRL#s6: PASS Δ0.00</t>
        </is>
      </c>
      <c r="J404" t="inlineStr">
        <is>
          <t>- PMINAS BRASIL CONSTRUÇÃO CIVIL E SERVIÇOS LTDA</t>
        </is>
      </c>
      <c r="K404" t="inlineStr">
        <is>
          <t>bugarimecoelho.com.br</t>
        </is>
      </c>
      <c r="L404" s="19" t="inlineStr">
        <is>
          <t>https://bugarimecoelho.com.br/ws/media-library/b1fffc6d065f5fc1f6df17b6fb5b8f89/50---06o-aditivo-qgc.2.pdf</t>
        </is>
      </c>
    </row>
    <row r="405">
      <c r="A405" t="inlineStr">
        <is>
          <t>e031cd784464</t>
        </is>
      </c>
      <c r="B405" t="inlineStr">
        <is>
          <t>0270804-61.2023.8.06.0001</t>
        </is>
      </c>
      <c r="C405" t="inlineStr">
        <is>
          <t>UNKNOWN</t>
        </is>
      </c>
      <c r="D405" t="inlineStr">
        <is>
          <t>OK</t>
        </is>
      </c>
      <c r="E405" t="n">
        <v>3</v>
      </c>
      <c r="F405" t="inlineStr">
        <is>
          <t>TABLE</t>
        </is>
      </c>
      <c r="G405" t="inlineStr">
        <is>
          <t>TABLE_BANDS</t>
        </is>
      </c>
      <c r="H405" t="inlineStr">
        <is>
          <t>III/BRL#s3: PASS Δ0.00 · IV/BRL#s5: PASS Δ0.00</t>
        </is>
      </c>
      <c r="J405" t="inlineStr">
        <is>
          <t>- RITA FARIAS MARTINS &amp; CIA</t>
        </is>
      </c>
      <c r="K405" t="inlineStr">
        <is>
          <t>bugarimecoelho.com.br</t>
        </is>
      </c>
      <c r="L405" s="19" t="inlineStr">
        <is>
          <t>https://bugarimecoelho.com.br/ws/media-library/fe15ea79292d4e3cb7ce97d21dd1f6cc/10.-relacao-de-credores-aj.pdf</t>
        </is>
      </c>
    </row>
    <row r="406">
      <c r="A406" t="inlineStr">
        <is>
          <t>edafa342503f</t>
        </is>
      </c>
      <c r="B406" t="inlineStr">
        <is>
          <t>0270804-61.2023.8.06.0001</t>
        </is>
      </c>
      <c r="C406" t="inlineStr">
        <is>
          <t>UNKNOWN</t>
        </is>
      </c>
      <c r="D406" t="inlineStr">
        <is>
          <t>OK</t>
        </is>
      </c>
      <c r="E406" t="n">
        <v>1</v>
      </c>
      <c r="F406" t="inlineStr">
        <is>
          <t>TABLE</t>
        </is>
      </c>
      <c r="G406" t="inlineStr">
        <is>
          <t>TABLE_BANDS</t>
        </is>
      </c>
      <c r="H406" t="inlineStr">
        <is>
          <t>III/BRL#s3: PASS Δ0.00</t>
        </is>
      </c>
      <c r="J406" t="inlineStr">
        <is>
          <t>- RITA FARIAS MARTINS &amp; CIA</t>
        </is>
      </c>
      <c r="K406" t="inlineStr">
        <is>
          <t>bugarimecoelho.com.br</t>
        </is>
      </c>
      <c r="L406" s="19" t="inlineStr">
        <is>
          <t>https://bugarimecoelho.com.br/ws/media-library/23a62c69fad196160f743ef6fa48b4f1/27---01o-aditivo-a-qgc.2.pdf</t>
        </is>
      </c>
    </row>
    <row r="407">
      <c r="A407" t="inlineStr">
        <is>
          <t>e6f7840898dd</t>
        </is>
      </c>
      <c r="B407" t="inlineStr">
        <is>
          <t>3000117-40.2025.8.06.0512</t>
        </is>
      </c>
      <c r="C407" t="inlineStr">
        <is>
          <t>UNKNOWN</t>
        </is>
      </c>
      <c r="D407" t="inlineStr">
        <is>
          <t>OK</t>
        </is>
      </c>
      <c r="E407" t="n">
        <v>5</v>
      </c>
      <c r="F407" t="inlineStr">
        <is>
          <t>TABLE</t>
        </is>
      </c>
      <c r="G407" t="inlineStr">
        <is>
          <t>TABLE_RULED</t>
        </is>
      </c>
      <c r="H407" t="inlineStr">
        <is>
          <t>III/BRL#s3: PASS Δ0.00</t>
        </is>
      </c>
      <c r="J407" t="inlineStr">
        <is>
          <t>- VENEZA SERVIÇOS ADMINISTRATIVOS LTDA</t>
        </is>
      </c>
      <c r="K407" t="inlineStr">
        <is>
          <t>bugarimecoelho.com.br</t>
        </is>
      </c>
      <c r="L407" s="19" t="inlineStr">
        <is>
          <t>https://bugarimecoelho.com.br/ws/media-library/fcc045082b2058d33121dc5c3776994e/06---relacao-de-credores-veneza.pdf</t>
        </is>
      </c>
    </row>
    <row r="408">
      <c r="A408" t="inlineStr">
        <is>
          <t>033d29144f63</t>
        </is>
      </c>
      <c r="B408" t="inlineStr">
        <is>
          <t>1018313-46.2024.8.26.0100</t>
        </is>
      </c>
      <c r="C408" t="inlineStr">
        <is>
          <t>UNKNOWN</t>
        </is>
      </c>
      <c r="D408" t="inlineStr">
        <is>
          <t>OK</t>
        </is>
      </c>
      <c r="E408" t="n">
        <v>1</v>
      </c>
      <c r="F408" t="inlineStr">
        <is>
          <t>TABLE</t>
        </is>
      </c>
      <c r="G408" t="inlineStr">
        <is>
          <t>TABLE_RULED</t>
        </is>
      </c>
      <c r="H408" t="inlineStr">
        <is>
          <t>I/BRL#s1: PASS Δ0.00 · II/BRL#s3: PASS Δ0.00 · III/BRL#s5: PASS Δ0.00 · IV/BRL#s7: PASS Δ0.00</t>
        </is>
      </c>
      <c r="I408" t="inlineStr">
        <is>
          <t>2022-11-02</t>
        </is>
      </c>
      <c r="J408" t="inlineStr">
        <is>
          <t>JA SANTOS IMPORTAÇÃO E EXPORTAÇÃO DE FERRAMENTAS LTDA. (CONCEPT FERRAMENTAS) - Vivante Gestão e Administração Judicial</t>
        </is>
      </c>
      <c r="K408" t="inlineStr">
        <is>
          <t>vivanteaj.com.br</t>
        </is>
      </c>
      <c r="L408" s="19" t="inlineStr">
        <is>
          <t>https://vivanteaj.com.br/wp-content/uploads/2024/11/1a-lista-de-credores-JA-Santos.pdf</t>
        </is>
      </c>
    </row>
    <row r="409">
      <c r="A409" t="inlineStr">
        <is>
          <t>d9ab54fe1ab0</t>
        </is>
      </c>
      <c r="B409" t="inlineStr">
        <is>
          <t>0214287-36.2023.8.06.0001</t>
        </is>
      </c>
      <c r="C409" t="inlineStr">
        <is>
          <t>UNKNOWN</t>
        </is>
      </c>
      <c r="D409" t="inlineStr">
        <is>
          <t>OK</t>
        </is>
      </c>
      <c r="E409" t="n">
        <v>12</v>
      </c>
      <c r="F409" t="inlineStr">
        <is>
          <t>TABLE</t>
        </is>
      </c>
      <c r="G409" t="inlineStr">
        <is>
          <t>TABLE_BANDS</t>
        </is>
      </c>
      <c r="H409" t="inlineStr">
        <is>
          <t>II/BRL#s1: PASS Δ-1.82</t>
        </is>
      </c>
      <c r="J409" t="inlineStr">
        <is>
          <t>PÃ¡gina inicial</t>
        </is>
      </c>
      <c r="K409" t="inlineStr">
        <is>
          <t>bugarimecoelho.com.br</t>
        </is>
      </c>
      <c r="L409" s="19" t="inlineStr">
        <is>
          <t>https://bugarimecoelho.com.br/ws/media-library/71722120c8b4f03400841fd0bc4312f7/42---02deg-aditivo-ao-plano-de-recuperacao-judicial-1-12.pdf</t>
        </is>
      </c>
    </row>
    <row r="410">
      <c r="A410" t="inlineStr">
        <is>
          <t>73b45cbf1779</t>
        </is>
      </c>
      <c r="B410" t="inlineStr">
        <is>
          <t>3000117-40.2025.8.06.0512</t>
        </is>
      </c>
      <c r="C410" t="inlineStr">
        <is>
          <t>UNKNOWN</t>
        </is>
      </c>
      <c r="D410" t="inlineStr">
        <is>
          <t>OK</t>
        </is>
      </c>
      <c r="E410" t="n">
        <v>17</v>
      </c>
      <c r="F410" t="inlineStr">
        <is>
          <t>TABLE</t>
        </is>
      </c>
      <c r="G410" t="inlineStr">
        <is>
          <t>TABLE_RULED</t>
        </is>
      </c>
      <c r="H410" t="inlineStr">
        <is>
          <t>I/BRL#s1: PASS Δ0.00 · III/BRL#s4: PASS Δ0.00 · IV/BRL#s6: PASS Δ0.00</t>
        </is>
      </c>
      <c r="I410" t="inlineStr">
        <is>
          <t>2026-07-09</t>
        </is>
      </c>
      <c r="J410" t="inlineStr">
        <is>
          <t>PÃ¡gina inicial</t>
        </is>
      </c>
      <c r="K410" t="inlineStr">
        <is>
          <t>bugarimecoelho.com.br</t>
        </is>
      </c>
      <c r="L410" s="19" t="inlineStr">
        <is>
          <t>https://bugarimecoelho.com.br/ws/media-library/b6b7ea42b9fa2afe30bc728fe00cd5c6/07---edital-do-processamento-da-recuperacao-judicial.pdf</t>
        </is>
      </c>
    </row>
    <row r="411">
      <c r="A411" t="inlineStr">
        <is>
          <t>ea574e1d75aa</t>
        </is>
      </c>
      <c r="B411" t="inlineStr">
        <is>
          <t>0012043-76.2016.8.16.0069</t>
        </is>
      </c>
      <c r="C411" t="inlineStr">
        <is>
          <t>UNKNOWN</t>
        </is>
      </c>
      <c r="D411" t="inlineStr">
        <is>
          <t>OK</t>
        </is>
      </c>
      <c r="E411" t="n">
        <v>7</v>
      </c>
      <c r="F411" t="inlineStr">
        <is>
          <t>TABLE</t>
        </is>
      </c>
      <c r="G411" t="inlineStr">
        <is>
          <t>TABLE_BANDS</t>
        </is>
      </c>
      <c r="H411" t="inlineStr">
        <is>
          <t>I/BRL#s1: PASS Δ0.00</t>
        </is>
      </c>
      <c r="I411" t="inlineStr">
        <is>
          <t>2017-09-19</t>
        </is>
      </c>
      <c r="J411" t="inlineStr">
        <is>
          <t>Marques Administrações Judiciais</t>
        </is>
      </c>
      <c r="K411" t="inlineStr">
        <is>
          <t>marquesadmjudicial.com.br</t>
        </is>
      </c>
      <c r="L411" s="19" t="inlineStr">
        <is>
          <t>https://marquesadmjudicial.com.br/sgc/download.php?file=files/processo_documento/processo_documento16122407032024_1_.pdf&amp;nome=Relação Nominal de Credores da AJ Retificada - Classe I</t>
        </is>
      </c>
    </row>
    <row r="412">
      <c r="A412" t="inlineStr">
        <is>
          <t>82275b95fa5b</t>
        </is>
      </c>
      <c r="B412" t="inlineStr">
        <is>
          <t>0044747-14.2024.8.16.0021</t>
        </is>
      </c>
      <c r="C412" t="inlineStr">
        <is>
          <t>UNKNOWN</t>
        </is>
      </c>
      <c r="D412" t="inlineStr">
        <is>
          <t>OK</t>
        </is>
      </c>
      <c r="E412" t="n">
        <v>1</v>
      </c>
      <c r="F412" t="inlineStr">
        <is>
          <t>TABLE</t>
        </is>
      </c>
      <c r="G412" t="inlineStr">
        <is>
          <t>TABLE_BANDS</t>
        </is>
      </c>
      <c r="H412" t="inlineStr">
        <is>
          <t>III/BRL#s1: PASS Δ0.00</t>
        </is>
      </c>
      <c r="I412" t="inlineStr">
        <is>
          <t>2024-02-05</t>
        </is>
      </c>
      <c r="J412" t="inlineStr">
        <is>
          <t>Marques Administrações Judiciais</t>
        </is>
      </c>
      <c r="K412" t="inlineStr">
        <is>
          <t>marquesadmjudicial.com.br</t>
        </is>
      </c>
      <c r="L412" s="19" t="inlineStr">
        <is>
          <t>https://marquesadmjudicial.com.br/sgc/download.php?file=files/processo_documento/processo_documento09342616012025_1_.pdf&amp;nome=Relação de Credores Recuperandas Classe III - Quirografário</t>
        </is>
      </c>
    </row>
    <row r="413">
      <c r="A413" t="inlineStr">
        <is>
          <t>f7dea850dbf2</t>
        </is>
      </c>
      <c r="B413" t="inlineStr">
        <is>
          <t>1057555-04.2023.8.26.0114</t>
        </is>
      </c>
      <c r="C413" t="inlineStr">
        <is>
          <t>UNKNOWN</t>
        </is>
      </c>
      <c r="D413" t="inlineStr">
        <is>
          <t>OK</t>
        </is>
      </c>
      <c r="E413" t="n">
        <v>114</v>
      </c>
      <c r="F413" t="inlineStr">
        <is>
          <t>TABLE</t>
        </is>
      </c>
      <c r="G413" t="inlineStr">
        <is>
          <t>TABLE_BANDS</t>
        </is>
      </c>
      <c r="H413" t="inlineStr">
        <is>
          <t>III/BRL#s3: PASS Δ-1000.00 · IV/BRL#s5: PASS Δ-1000.00</t>
        </is>
      </c>
      <c r="I413" t="inlineStr">
        <is>
          <t>2024-04-15</t>
        </is>
      </c>
      <c r="J413" t="inlineStr">
        <is>
          <t>E WORLDWIDE SEGURANÇA EIRELI</t>
        </is>
      </c>
      <c r="K413" t="inlineStr">
        <is>
          <t>vtladm.com.br</t>
        </is>
      </c>
      <c r="L413" s="19" t="inlineStr">
        <is>
          <t>https://vtladm.com.br/wp-content/uploads/2024/02/07-–-Plano-de-Recuperacao-Judicial-–-WWS-Services-e-Worldwide.pdf</t>
        </is>
      </c>
    </row>
    <row r="414">
      <c r="A414" t="inlineStr">
        <is>
          <t>b29dafefb0d6</t>
        </is>
      </c>
      <c r="B414" t="inlineStr">
        <is>
          <t>1000280-56.2023.8.26.0548</t>
        </is>
      </c>
      <c r="C414" t="inlineStr">
        <is>
          <t>UNKNOWN</t>
        </is>
      </c>
      <c r="D414" t="inlineStr">
        <is>
          <t>OK</t>
        </is>
      </c>
      <c r="E414" t="n">
        <v>63</v>
      </c>
      <c r="F414" t="inlineStr">
        <is>
          <t>TABLE</t>
        </is>
      </c>
      <c r="G414" t="inlineStr">
        <is>
          <t>TABLE_BANDS</t>
        </is>
      </c>
      <c r="H414" t="inlineStr">
        <is>
          <t>III/BRL#s3: PASS Δ-1000.00 · IV/BRL#s5: PASS Δ-1000.00</t>
        </is>
      </c>
      <c r="I414" t="inlineStr">
        <is>
          <t>2024-04-15</t>
        </is>
      </c>
      <c r="J414" t="inlineStr">
        <is>
          <t>WORLDWIDE SEGURAÇA LTDA</t>
        </is>
      </c>
      <c r="K414" t="inlineStr">
        <is>
          <t>vtladm.com.br</t>
        </is>
      </c>
      <c r="L414" s="19" t="inlineStr">
        <is>
          <t>https://vtladm.com.br/wp-content/uploads/2024/02/10-–-Plano-de-Recuperacao-Judicial-–-WWS-Services-e-Worldwide.pdf</t>
        </is>
      </c>
    </row>
    <row r="415">
      <c r="A415" t="inlineStr">
        <is>
          <t>d85bdfbfbdc8</t>
        </is>
      </c>
      <c r="B415" t="inlineStr">
        <is>
          <t>0802426-35.2019.8.10.0000</t>
        </is>
      </c>
      <c r="C415" t="inlineStr">
        <is>
          <t>UNKNOWN</t>
        </is>
      </c>
      <c r="D415" t="inlineStr">
        <is>
          <t>OK</t>
        </is>
      </c>
      <c r="E415" t="n">
        <v>5</v>
      </c>
      <c r="F415" t="inlineStr">
        <is>
          <t>TABLE</t>
        </is>
      </c>
      <c r="G415" t="inlineStr">
        <is>
          <t>TABLE_BANDS</t>
        </is>
      </c>
      <c r="H415" t="inlineStr">
        <is>
          <t>I/BRL#s1: PASS Δ0.00 · III/BRL#s4: PASS Δ0.00 · IV/BRL#s7: PASS Δ0.00</t>
        </is>
      </c>
      <c r="J415" t="inlineStr">
        <is>
          <t>Roque Materiais para Construção - Real Brasil Consultoria</t>
        </is>
      </c>
      <c r="K415" t="inlineStr">
        <is>
          <t>realbrasil.com.br</t>
        </is>
      </c>
      <c r="L415" s="19" t="inlineStr">
        <is>
          <t>https://realbrasil.com.br/wp-content/uploads/2018/06/2_LISTA-DE-CREDORES-DA-RECUPERANDA_ROQUE.pdf</t>
        </is>
      </c>
    </row>
    <row r="416">
      <c r="A416" t="inlineStr">
        <is>
          <t>2ca81d20c8ad</t>
        </is>
      </c>
      <c r="B416" t="inlineStr">
        <is>
          <t>1025706-74.2024.8.26.0309</t>
        </is>
      </c>
      <c r="C416" t="inlineStr">
        <is>
          <t>UNKNOWN</t>
        </is>
      </c>
      <c r="D416" t="inlineStr">
        <is>
          <t>OK</t>
        </is>
      </c>
      <c r="E416" t="n">
        <v>4</v>
      </c>
      <c r="F416" t="inlineStr">
        <is>
          <t>TABLE</t>
        </is>
      </c>
      <c r="G416" t="inlineStr">
        <is>
          <t>TABLE_RULED</t>
        </is>
      </c>
      <c r="H416" t="inlineStr">
        <is>
          <t>I/BRL#s1: PASS Δ0.00 · III/BRL#s3: PASS Δ0.00 · III/BRL#s4: PASS Δ0.00 · IV/BRL#s6: PASS Δ0.00</t>
        </is>
      </c>
      <c r="J416" t="inlineStr">
        <is>
          <t>Grupo Propel | Administração Judicial - Credibilità</t>
        </is>
      </c>
      <c r="K416" t="inlineStr">
        <is>
          <t>credibilita.com.br</t>
        </is>
      </c>
      <c r="L416" s="19" t="inlineStr">
        <is>
          <t>https://credibilita.com.br/wp-content/uploads/2025/02/6.-Lista-de-credores-05.12.2024.pdf</t>
        </is>
      </c>
    </row>
    <row r="417">
      <c r="A417" t="inlineStr">
        <is>
          <t>29a9da6c85c7</t>
        </is>
      </c>
      <c r="B417" t="inlineStr">
        <is>
          <t>0055090-53.2021.8.19.0001</t>
        </is>
      </c>
      <c r="C417" t="inlineStr">
        <is>
          <t>UNKNOWN</t>
        </is>
      </c>
      <c r="D417" t="inlineStr">
        <is>
          <t>OK</t>
        </is>
      </c>
      <c r="E417" t="n">
        <v>21</v>
      </c>
      <c r="F417" t="inlineStr">
        <is>
          <t>TABLE</t>
        </is>
      </c>
      <c r="G417" t="inlineStr">
        <is>
          <t>TABLE_RULED</t>
        </is>
      </c>
      <c r="H417" t="inlineStr">
        <is>
          <t>I/BRL#s1: PASS Δ-0.03</t>
        </is>
      </c>
      <c r="J417" t="inlineStr">
        <is>
          <t>Cimento Tupi – Processo nº 0012239‐96.2021.8.19.0001 – e-mail: admjudtupi@inova-aj.com.br – INOVA</t>
        </is>
      </c>
      <c r="K417" t="inlineStr">
        <is>
          <t>inova-aj.com.br</t>
        </is>
      </c>
      <c r="L417" s="19" t="inlineStr">
        <is>
          <t>https://inova-aj.com.br/wp-content/uploads/2021/02/CIMENTO-TUPI-Nova-relacao-de-credores-Fls.-822.pdf</t>
        </is>
      </c>
    </row>
    <row r="418">
      <c r="A418" t="inlineStr">
        <is>
          <t>861486b2afbc</t>
        </is>
      </c>
      <c r="B418" t="inlineStr">
        <is>
          <t>0806815-98.2025.8.19.0001</t>
        </is>
      </c>
      <c r="C418" t="inlineStr">
        <is>
          <t>UNKNOWN</t>
        </is>
      </c>
      <c r="D418" t="inlineStr">
        <is>
          <t>OK</t>
        </is>
      </c>
      <c r="E418" t="n">
        <v>4</v>
      </c>
      <c r="F418" t="inlineStr">
        <is>
          <t>TABLE</t>
        </is>
      </c>
      <c r="G418" t="inlineStr">
        <is>
          <t>TABLE_RULED</t>
        </is>
      </c>
      <c r="H418" t="inlineStr">
        <is>
          <t>I/BRL#s1: PASS Δ-0.02 · III/BRL#s4: PASS Δ0.00 · III/BRL#s5: PASS Δ0.00 · IV/BRL#s7: PASS Δ0.00 · IV/BRL#s8: PASS Δ0.00</t>
        </is>
      </c>
      <c r="J418" t="inlineStr">
        <is>
          <t>Grupo Widmen – Processo nº 0806815-98.2025.8.19.0001 – e-mail: admjudwidmen@inova-aj.com.br – INOVA</t>
        </is>
      </c>
      <c r="K418" t="inlineStr">
        <is>
          <t>inova-aj.com.br</t>
        </is>
      </c>
      <c r="L418" s="19" t="inlineStr">
        <is>
          <t>https://inova-aj.com.br/wp-content/uploads/2025/01/Grupo-Widmen-Primeira-Relacao-de-Credores.pdf</t>
        </is>
      </c>
    </row>
    <row r="419">
      <c r="A419" t="inlineStr">
        <is>
          <t>bff5188290e8</t>
        </is>
      </c>
      <c r="B419" t="inlineStr">
        <is>
          <t>1116156-84.2019.8.26.0100</t>
        </is>
      </c>
      <c r="C419" t="inlineStr">
        <is>
          <t>UNKNOWN</t>
        </is>
      </c>
      <c r="D419" t="inlineStr">
        <is>
          <t>OK</t>
        </is>
      </c>
      <c r="E419" t="n">
        <v>53</v>
      </c>
      <c r="F419" t="inlineStr">
        <is>
          <t>TABLE</t>
        </is>
      </c>
      <c r="G419" t="inlineStr">
        <is>
          <t>TABLE_RULED</t>
        </is>
      </c>
      <c r="H419" t="inlineStr">
        <is>
          <t>III/BRL#s11: PASS Δ0.00 · IV/BRL#s13: PASS Δ0.00 · III/BRL#s31: PASS Δ0.00 · IV/BRL#s33: PASS Δ0.00</t>
        </is>
      </c>
      <c r="J419" t="inlineStr">
        <is>
          <t>Avora Cosméticos – Processo nº 1116156-84.2019.8.26.0100 – e-mail: admjudavora@inova-aj.com.br – INOVA</t>
        </is>
      </c>
      <c r="K419" t="inlineStr">
        <is>
          <t>inova-aj.com.br</t>
        </is>
      </c>
      <c r="L419" s="19" t="inlineStr">
        <is>
          <t>https://inova-aj.com.br/wp-content/uploads/2019/11/Relação-de-Credores-Grupo-Avora-Cosméticos-Art.-52§1º-LRE.pdf</t>
        </is>
      </c>
    </row>
    <row r="420">
      <c r="A420" t="inlineStr">
        <is>
          <t>cefc6f1f4e0b</t>
        </is>
      </c>
      <c r="B420" t="inlineStr">
        <is>
          <t>1001087-02.2022.8.26.0390</t>
        </is>
      </c>
      <c r="C420" t="inlineStr">
        <is>
          <t>UNKNOWN</t>
        </is>
      </c>
      <c r="D420" t="inlineStr">
        <is>
          <t>OK</t>
        </is>
      </c>
      <c r="E420" t="n">
        <v>4</v>
      </c>
      <c r="F420" t="inlineStr">
        <is>
          <t>TABLE</t>
        </is>
      </c>
      <c r="G420" t="inlineStr">
        <is>
          <t>TABLE_RULED</t>
        </is>
      </c>
      <c r="H420" t="inlineStr">
        <is>
          <t>I/BRL#s1: PASS Δ0.00 · III/BRL#s3: PASS Δ0.00</t>
        </is>
      </c>
      <c r="J420" t="inlineStr">
        <is>
          <t>Recuperações Judiciais – Brasil Trustee</t>
        </is>
      </c>
      <c r="K420" t="inlineStr">
        <is>
          <t>brasiltrustee.com.br</t>
        </is>
      </c>
      <c r="L420" s="19" t="inlineStr">
        <is>
          <t>https://violet-wolf-754008.hostingersite.com/wp-content/uploads/2022/10/Primeiro-Edital-de-Credores-Integral-com-creditos.pdf</t>
        </is>
      </c>
    </row>
    <row r="421">
      <c r="A421" t="inlineStr">
        <is>
          <t>ab1781e6d00b</t>
        </is>
      </c>
      <c r="B421" t="inlineStr">
        <is>
          <t>5012743-51.2023.8.24.0019</t>
        </is>
      </c>
      <c r="C421" t="inlineStr">
        <is>
          <t>UNKNOWN</t>
        </is>
      </c>
      <c r="D421" t="inlineStr">
        <is>
          <t>OK</t>
        </is>
      </c>
      <c r="E421" t="n">
        <v>2</v>
      </c>
      <c r="F421" t="inlineStr">
        <is>
          <t>TABLE</t>
        </is>
      </c>
      <c r="G421" t="inlineStr">
        <is>
          <t>TABLE_RULED</t>
        </is>
      </c>
      <c r="H421" t="inlineStr">
        <is>
          <t>I/BRL#s1: PASS Δ0.00 · III/BRL#s2: PASS Δ0.01 · IV/BRL: PASS Δ0.00</t>
        </is>
      </c>
      <c r="J421" t="inlineStr">
        <is>
          <t>Alto Uruguai Indústria e Comércio de Óleos Ltda</t>
        </is>
      </c>
      <c r="K421" t="inlineStr">
        <is>
          <t>ajruiz.com.br</t>
        </is>
      </c>
      <c r="L421" s="19" t="inlineStr">
        <is>
          <t>https://ajruiz.com.br/sites/default/files/public/arquivos-processos/2024-06/relacao_de_credores_aj_alto_uruguai.pdf</t>
        </is>
      </c>
    </row>
    <row r="422">
      <c r="A422" t="inlineStr">
        <is>
          <t>75336e98f447</t>
        </is>
      </c>
      <c r="B422" t="inlineStr">
        <is>
          <t>5012743-51.2023.8.24.0019</t>
        </is>
      </c>
      <c r="C422" t="inlineStr">
        <is>
          <t>UNKNOWN</t>
        </is>
      </c>
      <c r="D422" t="inlineStr">
        <is>
          <t>OK</t>
        </is>
      </c>
      <c r="E422" t="n">
        <v>2</v>
      </c>
      <c r="F422" t="inlineStr">
        <is>
          <t>TABLE</t>
        </is>
      </c>
      <c r="G422" t="inlineStr">
        <is>
          <t>TABLE_RULED</t>
        </is>
      </c>
      <c r="H422" t="inlineStr">
        <is>
          <t>I/BRL#s1: PASS Δ0.00 · III/BRL#s2: PASS Δ0.01 · IV/BRL: PASS Δ0.00</t>
        </is>
      </c>
      <c r="J422" t="inlineStr">
        <is>
          <t>Alto Uruguai Indústria e Comércio de Óleos Ltda</t>
        </is>
      </c>
      <c r="K422" t="inlineStr">
        <is>
          <t>ajruiz.com.br</t>
        </is>
      </c>
      <c r="L422" s="19" t="inlineStr">
        <is>
          <t>https://ajruiz.com.br/sites/default/files/public/arquivos-processos/2026-06/alto_uruguai_qgc_junho.2026.pdf</t>
        </is>
      </c>
    </row>
    <row r="423">
      <c r="A423" t="inlineStr">
        <is>
          <t>2407a56c3502</t>
        </is>
      </c>
      <c r="C423" t="inlineStr">
        <is>
          <t>UNKNOWN</t>
        </is>
      </c>
      <c r="D423" t="inlineStr">
        <is>
          <t>OK</t>
        </is>
      </c>
      <c r="E423" t="n">
        <v>9</v>
      </c>
      <c r="F423" t="inlineStr">
        <is>
          <t>TABLE</t>
        </is>
      </c>
      <c r="G423" t="inlineStr">
        <is>
          <t>TABLE_RULED</t>
        </is>
      </c>
      <c r="H423" t="inlineStr">
        <is>
          <t>III/BRL#s2: PASS Δ-12665.39</t>
        </is>
      </c>
      <c r="J423" t="inlineStr">
        <is>
          <t>Base | AJ RUIZ - Administração Judicial</t>
        </is>
      </c>
      <c r="K423" t="inlineStr">
        <is>
          <t>ajruiz.com.br</t>
        </is>
      </c>
      <c r="L423" s="19" t="inlineStr">
        <is>
          <t>https://ajruiz.com.br/sites/default/files/public/arquivos-processos/2023-11/4_relacao_de_credores_analitica_art._51_iii_da_lre.pdf</t>
        </is>
      </c>
    </row>
    <row r="424">
      <c r="A424" t="inlineStr">
        <is>
          <t>5ab9c6b6d223</t>
        </is>
      </c>
      <c r="B424" t="inlineStr">
        <is>
          <t>0000206-69.2013.8.17.1340</t>
        </is>
      </c>
      <c r="C424" t="inlineStr">
        <is>
          <t>UNKNOWN</t>
        </is>
      </c>
      <c r="D424" t="inlineStr">
        <is>
          <t>OK</t>
        </is>
      </c>
      <c r="E424" t="n">
        <v>3</v>
      </c>
      <c r="F424" t="inlineStr">
        <is>
          <t>TABLE</t>
        </is>
      </c>
      <c r="G424" t="inlineStr">
        <is>
          <t>TABLE_RULED</t>
        </is>
      </c>
      <c r="H424" t="inlineStr">
        <is>
          <t>I/BRL#s1: PASS Δ0.00</t>
        </is>
      </c>
      <c r="J424" t="inlineStr">
        <is>
          <t>AGROPECUÁRIA SERROTE REDONDO – LRF Líderes em Recuperação Judicial e Falência</t>
        </is>
      </c>
      <c r="K424" t="inlineStr">
        <is>
          <t>lrflideres.com.br</t>
        </is>
      </c>
      <c r="L424" s="19" t="inlineStr">
        <is>
          <t>https://lrflideres.com.br/wp-content/plugins/download-attachments/includes/download.php?id=4999</t>
        </is>
      </c>
    </row>
    <row r="425">
      <c r="A425" t="inlineStr">
        <is>
          <t>ab7097a8638d</t>
        </is>
      </c>
      <c r="B425" t="inlineStr">
        <is>
          <t>0000206-69.2013.8.17.1340</t>
        </is>
      </c>
      <c r="C425" t="inlineStr">
        <is>
          <t>UNKNOWN</t>
        </is>
      </c>
      <c r="D425" t="inlineStr">
        <is>
          <t>OK</t>
        </is>
      </c>
      <c r="E425" t="n">
        <v>1</v>
      </c>
      <c r="F425" t="inlineStr">
        <is>
          <t>TABLE</t>
        </is>
      </c>
      <c r="G425" t="inlineStr">
        <is>
          <t>TABLE_RULED</t>
        </is>
      </c>
      <c r="H425" t="inlineStr">
        <is>
          <t>II/BRL#s1: PASS Δ0.00</t>
        </is>
      </c>
      <c r="J425" t="inlineStr">
        <is>
          <t>AGROPECUÁRIA SERROTE REDONDO – LRF Líderes em Recuperação Judicial e Falência</t>
        </is>
      </c>
      <c r="K425" t="inlineStr">
        <is>
          <t>lrflideres.com.br</t>
        </is>
      </c>
      <c r="L425" s="19" t="inlineStr">
        <is>
          <t>https://lrflideres.com.br/wp-content/plugins/download-attachments/includes/download.php?id=5000</t>
        </is>
      </c>
    </row>
    <row r="426">
      <c r="A426" t="inlineStr">
        <is>
          <t>7c0ce2830d0d</t>
        </is>
      </c>
      <c r="B426" t="inlineStr">
        <is>
          <t>0000206-69.2013.8.17.1340</t>
        </is>
      </c>
      <c r="C426" t="inlineStr">
        <is>
          <t>UNKNOWN</t>
        </is>
      </c>
      <c r="D426" t="inlineStr">
        <is>
          <t>OK</t>
        </is>
      </c>
      <c r="E426" t="n">
        <v>4</v>
      </c>
      <c r="F426" t="inlineStr">
        <is>
          <t>TABLE</t>
        </is>
      </c>
      <c r="G426" t="inlineStr">
        <is>
          <t>TABLE_RULED</t>
        </is>
      </c>
      <c r="H426" t="inlineStr">
        <is>
          <t>III/BRL#s1: PASS Δ0.01</t>
        </is>
      </c>
      <c r="J426" t="inlineStr">
        <is>
          <t>AGROPECUÁRIA SERROTE REDONDO – LRF Líderes em Recuperação Judicial e Falência</t>
        </is>
      </c>
      <c r="K426" t="inlineStr">
        <is>
          <t>lrflideres.com.br</t>
        </is>
      </c>
      <c r="L426" s="19" t="inlineStr">
        <is>
          <t>https://lrflideres.com.br/wp-content/plugins/download-attachments/includes/download.php?id=5001</t>
        </is>
      </c>
    </row>
    <row r="427">
      <c r="A427" t="inlineStr">
        <is>
          <t>fc246ec883ec</t>
        </is>
      </c>
      <c r="B427" t="inlineStr">
        <is>
          <t>0108923-15.2025.8.17.2001</t>
        </is>
      </c>
      <c r="C427" t="inlineStr">
        <is>
          <t>UNKNOWN</t>
        </is>
      </c>
      <c r="D427" t="inlineStr">
        <is>
          <t>OK</t>
        </is>
      </c>
      <c r="E427" t="n">
        <v>12</v>
      </c>
      <c r="F427" t="inlineStr">
        <is>
          <t>PROSE</t>
        </is>
      </c>
      <c r="G427" t="inlineStr">
        <is>
          <t>PROSE</t>
        </is>
      </c>
      <c r="H427" t="inlineStr">
        <is>
          <t>I/BRL#s1: PASS Δ-0.17 · III/BRL#s2: PASS Δ0.00 · IV/BRL#s3: PASS Δ0.00 · I/BRL#s5: PASS Δ-0.02 · III/BRL#s6: PASS Δ0.00 · IV/BRL#s7: PASS Δ0.00</t>
        </is>
      </c>
      <c r="I427" t="inlineStr">
        <is>
          <t>2026-06-16</t>
        </is>
      </c>
      <c r="J427" t="inlineStr">
        <is>
          <t>E FALENCIA</t>
        </is>
      </c>
      <c r="K427" t="inlineStr">
        <is>
          <t>diligence.adm.br</t>
        </is>
      </c>
      <c r="L427" s="19" t="inlineStr">
        <is>
          <t>https://diligence.adm.br/wp-content/plugins/download-attachments/includes/download.php?id=6255</t>
        </is>
      </c>
    </row>
    <row r="428">
      <c r="A428" t="inlineStr">
        <is>
          <t>fc3f57178c55</t>
        </is>
      </c>
      <c r="B428" t="inlineStr">
        <is>
          <t>0837278-92.2018.8.15.2001</t>
        </is>
      </c>
      <c r="C428" t="inlineStr">
        <is>
          <t>UNKNOWN</t>
        </is>
      </c>
      <c r="D428" t="inlineStr">
        <is>
          <t>OK</t>
        </is>
      </c>
      <c r="E428" t="n">
        <v>23</v>
      </c>
      <c r="F428" t="inlineStr">
        <is>
          <t>TABLE</t>
        </is>
      </c>
      <c r="G428" t="inlineStr">
        <is>
          <t>TABLE_RULED</t>
        </is>
      </c>
      <c r="H428" t="inlineStr">
        <is>
          <t>III/BRL#s14: PASS Δ0.00 · IV/BRL#s15: PASS Δ0.00</t>
        </is>
      </c>
      <c r="I428" t="inlineStr">
        <is>
          <t>2021-09-29</t>
        </is>
      </c>
      <c r="J428" t="inlineStr">
        <is>
          <t>ATACADAO DOS ELETRODOMESTICOS DO NORDESTE LTDA – LRF Líderes em Recuperação Judicial e Falência</t>
        </is>
      </c>
      <c r="K428" t="inlineStr">
        <is>
          <t>lrflideres.com.br</t>
        </is>
      </c>
      <c r="L428" s="19" t="inlineStr">
        <is>
          <t>https://lrflideres.com.br/wp-content/plugins/download-attachments/includes/download.php?id=3683</t>
        </is>
      </c>
    </row>
    <row r="429">
      <c r="A429" t="inlineStr">
        <is>
          <t>f57433fcdb6d</t>
        </is>
      </c>
      <c r="B429" t="inlineStr">
        <is>
          <t>0822279-56.2026.8.15.2001</t>
        </is>
      </c>
      <c r="C429" t="inlineStr">
        <is>
          <t>UNKNOWN</t>
        </is>
      </c>
      <c r="D429" t="inlineStr">
        <is>
          <t>OK</t>
        </is>
      </c>
      <c r="E429" t="n">
        <v>79</v>
      </c>
      <c r="F429" t="inlineStr">
        <is>
          <t>TABLE</t>
        </is>
      </c>
      <c r="G429" t="inlineStr">
        <is>
          <t>TABLE_RULED</t>
        </is>
      </c>
      <c r="H429" t="inlineStr">
        <is>
          <t>I/BRL#s8: PASS Δ0.00 · III/BRL#s9: PASS Δ0.00 · IV/BRL#s10: PASS Δ0.00</t>
        </is>
      </c>
      <c r="I429" t="inlineStr">
        <is>
          <t>2026-07-07</t>
        </is>
      </c>
      <c r="J429" t="inlineStr">
        <is>
          <t>DIAGSON DIAGNOSTICO EM ULTRA SONOGRAFIA MED FETAL LTDA – EPP – LRF Líderes em Recuperação Judicial e Falência</t>
        </is>
      </c>
      <c r="K429" t="inlineStr">
        <is>
          <t>lrflideres.com.br</t>
        </is>
      </c>
      <c r="L429" s="19" t="inlineStr">
        <is>
          <t>https://lrflideres.com.br/wp-content/plugins/download-attachments/includes/download.php?id=7266</t>
        </is>
      </c>
    </row>
    <row r="430">
      <c r="A430" t="inlineStr">
        <is>
          <t>aaa3ba84eaa9</t>
        </is>
      </c>
      <c r="B430" t="inlineStr">
        <is>
          <t>0001639-09.2026.8.17.2810</t>
        </is>
      </c>
      <c r="C430" t="inlineStr">
        <is>
          <t>UNKNOWN</t>
        </is>
      </c>
      <c r="D430" t="inlineStr">
        <is>
          <t>OK</t>
        </is>
      </c>
      <c r="E430" t="n">
        <v>15</v>
      </c>
      <c r="F430" t="inlineStr">
        <is>
          <t>PROSE</t>
        </is>
      </c>
      <c r="G430" t="inlineStr">
        <is>
          <t>PROSE</t>
        </is>
      </c>
      <c r="H430" t="inlineStr">
        <is>
          <t>IV/BRL#s18: PASS Δ0.00</t>
        </is>
      </c>
      <c r="I430" t="inlineStr">
        <is>
          <t>2026-06-08</t>
        </is>
      </c>
      <c r="J430" t="inlineStr">
        <is>
          <t>E FALENCIA</t>
        </is>
      </c>
      <c r="K430" t="inlineStr">
        <is>
          <t>diligence.adm.br</t>
        </is>
      </c>
      <c r="L430" s="19" t="inlineStr">
        <is>
          <t>https://diligence.adm.br/wp-content/plugins/download-attachments/includes/download.php?id=6245</t>
        </is>
      </c>
    </row>
    <row r="431">
      <c r="A431" t="inlineStr">
        <is>
          <t>462c279a5c5e</t>
        </is>
      </c>
      <c r="B431" t="inlineStr">
        <is>
          <t>3309791-31.2005.8.21.0001</t>
        </is>
      </c>
      <c r="C431" t="inlineStr">
        <is>
          <t>AJ_LIST</t>
        </is>
      </c>
      <c r="D431" t="inlineStr">
        <is>
          <t>OK_NO_TOTALS</t>
        </is>
      </c>
      <c r="E431" t="n">
        <v>1</v>
      </c>
      <c r="F431" t="inlineStr">
        <is>
          <t>PROSE</t>
        </is>
      </c>
      <c r="G431" t="inlineStr">
        <is>
          <t>PROSE</t>
        </is>
      </c>
      <c r="H431" t="inlineStr"/>
      <c r="I431" t="inlineStr">
        <is>
          <t>2013-09-17</t>
        </is>
      </c>
      <c r="J431" t="inlineStr">
        <is>
          <t>SCZ Scalzilli Administração Judicial</t>
        </is>
      </c>
      <c r="K431" t="inlineStr">
        <is>
          <t>scalzilliaj.com.br</t>
        </is>
      </c>
      <c r="L431" s="19" t="inlineStr">
        <is>
          <t>https://scalzilliaj.com.br/sgc/download.php?file=files/processo_documento/falencia_documento11134908072022_1_.pdf&amp;nome=05 - Edital do art. 7º, §2º da Lei 11.101/2005 (segunda lista de credores)</t>
        </is>
      </c>
    </row>
    <row r="432">
      <c r="A432" t="inlineStr">
        <is>
          <t>ad3f7bb689f8</t>
        </is>
      </c>
      <c r="B432" t="inlineStr">
        <is>
          <t>5000298-02.2017.8.21.0049</t>
        </is>
      </c>
      <c r="C432" t="inlineStr">
        <is>
          <t>AJ_LIST</t>
        </is>
      </c>
      <c r="D432" t="inlineStr">
        <is>
          <t>OK_NO_TOTALS</t>
        </is>
      </c>
      <c r="E432" t="n">
        <v>1</v>
      </c>
      <c r="F432" t="inlineStr">
        <is>
          <t>PROSE</t>
        </is>
      </c>
      <c r="G432" t="inlineStr">
        <is>
          <t>PROSE</t>
        </is>
      </c>
      <c r="H432" t="inlineStr"/>
      <c r="J432" t="inlineStr">
        <is>
          <t>SCZ Scalzilli Administração Judicial</t>
        </is>
      </c>
      <c r="K432" t="inlineStr">
        <is>
          <t>scalzilliaj.com.br</t>
        </is>
      </c>
      <c r="L432" s="19" t="inlineStr">
        <is>
          <t>https://scalzilliaj.com.br/sgc/download.php?file=files/processo_documento/processo_documento15521717062026_1_.pdf&amp;nome=07 - Segunda Lista de Credores</t>
        </is>
      </c>
    </row>
    <row r="433">
      <c r="A433" t="inlineStr">
        <is>
          <t>d249243f41b5</t>
        </is>
      </c>
      <c r="B433" t="inlineStr">
        <is>
          <t>0000357-47.2014.8.24.0033</t>
        </is>
      </c>
      <c r="C433" t="inlineStr">
        <is>
          <t>AJ_LIST</t>
        </is>
      </c>
      <c r="D433" t="inlineStr">
        <is>
          <t>OK_NO_TOTALS</t>
        </is>
      </c>
      <c r="E433" t="n">
        <v>4</v>
      </c>
      <c r="F433" t="inlineStr">
        <is>
          <t>TABLE</t>
        </is>
      </c>
      <c r="G433" t="inlineStr">
        <is>
          <t>TABLE_RULED</t>
        </is>
      </c>
      <c r="H433" t="inlineStr"/>
      <c r="J433" t="inlineStr">
        <is>
          <t>AMPEX BRASIL EMPREENDIMENTOS COMERCIAIS INDUSTRIALIZAÇÃO E PARTICIPAÇÕES LTDA – Sgrott Administradora Judicial e Consultoria Empresarial</t>
        </is>
      </c>
      <c r="K433" t="inlineStr">
        <is>
          <t>administradorajudicialgs.com.br</t>
        </is>
      </c>
      <c r="L433" s="19" t="inlineStr">
        <is>
          <t>https://administradorajudicialgs.com.br/wp-content/uploads/2023/07/doc-07-relacao-de-credores-do-administrador-judicial.pdf</t>
        </is>
      </c>
    </row>
    <row r="434">
      <c r="A434" t="inlineStr">
        <is>
          <t>355910f41079</t>
        </is>
      </c>
      <c r="B434" t="inlineStr">
        <is>
          <t>0276159-86.2022.8.06.0001</t>
        </is>
      </c>
      <c r="C434" t="inlineStr">
        <is>
          <t>AJ_LIST</t>
        </is>
      </c>
      <c r="D434" t="inlineStr">
        <is>
          <t>OK_NO_TOTALS</t>
        </is>
      </c>
      <c r="E434" t="n">
        <v>1</v>
      </c>
      <c r="F434" t="inlineStr">
        <is>
          <t>TABLE</t>
        </is>
      </c>
      <c r="G434" t="inlineStr">
        <is>
          <t>TABLE_BANDS</t>
        </is>
      </c>
      <c r="H434" t="inlineStr"/>
      <c r="J434" t="inlineStr">
        <is>
          <t>PÃ¡gina inicial</t>
        </is>
      </c>
      <c r="K434" t="inlineStr">
        <is>
          <t>bugarimecoelho.com.br</t>
        </is>
      </c>
      <c r="L434" s="19" t="inlineStr">
        <is>
          <t>https://bugarimecoelho.com.br/ws/media-library/9dd3a0ca6a154326944a0ffe0980e0ac/4.-retificacao-da-relacao-de-credores-1.pdf</t>
        </is>
      </c>
    </row>
    <row r="435">
      <c r="A435" t="inlineStr">
        <is>
          <t>738ade85e185</t>
        </is>
      </c>
      <c r="B435" t="inlineStr">
        <is>
          <t>0276159-86.2022.8.06.0001</t>
        </is>
      </c>
      <c r="C435" t="inlineStr">
        <is>
          <t>AJ_LIST</t>
        </is>
      </c>
      <c r="D435" t="inlineStr">
        <is>
          <t>OK_NO_TOTALS</t>
        </is>
      </c>
      <c r="E435" t="n">
        <v>6</v>
      </c>
      <c r="F435" t="inlineStr">
        <is>
          <t>TABLE</t>
        </is>
      </c>
      <c r="G435" t="inlineStr">
        <is>
          <t>TABLE_BANDS</t>
        </is>
      </c>
      <c r="H435" t="inlineStr"/>
      <c r="I435" t="inlineStr">
        <is>
          <t>2022-10-14</t>
        </is>
      </c>
      <c r="J435" t="inlineStr">
        <is>
          <t>PÃ¡gina inicial</t>
        </is>
      </c>
      <c r="K435" t="inlineStr">
        <is>
          <t>bugarimecoelho.com.br</t>
        </is>
      </c>
      <c r="L435" s="19" t="inlineStr">
        <is>
          <t>https://bugarimecoelho.com.br/ws/media-library/5baa1c5c93e64fcbabcdb61e722bd8d0/5.-relacao-de-credores---manifestacoes-administrativas.pdf</t>
        </is>
      </c>
    </row>
    <row r="436">
      <c r="A436" t="inlineStr">
        <is>
          <t>0e98068b87bd</t>
        </is>
      </c>
      <c r="B436" t="inlineStr">
        <is>
          <t>5100227-29.2022.8.24.0023</t>
        </is>
      </c>
      <c r="C436" t="inlineStr">
        <is>
          <t>AJ_LIST</t>
        </is>
      </c>
      <c r="D436" t="inlineStr">
        <is>
          <t>OK_NO_TOTALS</t>
        </is>
      </c>
      <c r="E436" t="n">
        <v>21</v>
      </c>
      <c r="F436" t="inlineStr">
        <is>
          <t>TABLE</t>
        </is>
      </c>
      <c r="G436" t="inlineStr">
        <is>
          <t>TABLE_RULED</t>
        </is>
      </c>
      <c r="H436" t="inlineStr"/>
      <c r="I436" t="inlineStr">
        <is>
          <t>2025-04-24</t>
        </is>
      </c>
      <c r="J436" t="inlineStr">
        <is>
          <t>MUNDO BIZARRO IMPORTAÇÃO E EXPORTAÇÃO LTDA – Sgrott Administradora Judicial e Consultoria Empresarial</t>
        </is>
      </c>
      <c r="K436" t="inlineStr">
        <is>
          <t>administradorajudicialgs.com.br</t>
        </is>
      </c>
      <c r="L436" s="19" t="inlineStr">
        <is>
          <t>https://administradorajudicialgs.com.br/wp-content/uploads/2024/10/relacao-de-credores-e-verificacao-de-credito-2025.pdf</t>
        </is>
      </c>
    </row>
    <row r="437">
      <c r="A437" t="inlineStr">
        <is>
          <t>5ee14ba3a40f</t>
        </is>
      </c>
      <c r="B437" t="inlineStr">
        <is>
          <t>0700434-14.2025.8.02.0042</t>
        </is>
      </c>
      <c r="C437" t="inlineStr">
        <is>
          <t>AJ_LIST</t>
        </is>
      </c>
      <c r="D437" t="inlineStr">
        <is>
          <t>OK_NO_TOTALS</t>
        </is>
      </c>
      <c r="E437" t="n">
        <v>15</v>
      </c>
      <c r="F437" t="inlineStr">
        <is>
          <t>TABLE</t>
        </is>
      </c>
      <c r="G437" t="inlineStr">
        <is>
          <t>TABLE_BANDS</t>
        </is>
      </c>
      <c r="H437" t="inlineStr"/>
      <c r="I437" t="inlineStr">
        <is>
          <t>2026-02-28</t>
        </is>
      </c>
      <c r="J437" t="inlineStr">
        <is>
          <t>LAGINHA AGRO INDUSTRIAL S/A - Vivante Gestão e Administração Judicial</t>
        </is>
      </c>
      <c r="K437" t="inlineStr">
        <is>
          <t>vivanteaj.com.br</t>
        </is>
      </c>
      <c r="L437" s="19" t="inlineStr">
        <is>
          <t>https://vivanteaj.com.br/wp-content/uploads/2024/11/Sentenca-Prest.-Contas-Vivante.pdf</t>
        </is>
      </c>
    </row>
    <row r="438">
      <c r="A438" t="inlineStr">
        <is>
          <t>3c2c8c48199e</t>
        </is>
      </c>
      <c r="B438" t="inlineStr">
        <is>
          <t>0700116-36.2022.8.02.0042</t>
        </is>
      </c>
      <c r="C438" t="inlineStr">
        <is>
          <t>AJ_LIST</t>
        </is>
      </c>
      <c r="D438" t="inlineStr">
        <is>
          <t>OK_NO_TOTALS</t>
        </is>
      </c>
      <c r="E438" t="n">
        <v>135</v>
      </c>
      <c r="F438" t="inlineStr">
        <is>
          <t>PROSE</t>
        </is>
      </c>
      <c r="G438" t="inlineStr">
        <is>
          <t>PROSE</t>
        </is>
      </c>
      <c r="H438" t="inlineStr"/>
      <c r="J438" t="inlineStr">
        <is>
          <t>LAGINHA AGRO INDUSTRIAL S/A - Vivante Gestão e Administração Judicial</t>
        </is>
      </c>
      <c r="K438" t="inlineStr">
        <is>
          <t>vivanteaj.com.br</t>
        </is>
      </c>
      <c r="L438" s="19" t="inlineStr">
        <is>
          <t>https://vivanteaj.com.br/wp-content/uploads/2024/11/Contrato-Arrendamento-Copervales-Homologado.pdf</t>
        </is>
      </c>
    </row>
    <row r="439">
      <c r="A439" t="inlineStr">
        <is>
          <t>9365ea27c7f3</t>
        </is>
      </c>
      <c r="B439" t="inlineStr">
        <is>
          <t>0000707-30.2008.8.02.0042</t>
        </is>
      </c>
      <c r="C439" t="inlineStr">
        <is>
          <t>AJ_LIST</t>
        </is>
      </c>
      <c r="D439" t="inlineStr">
        <is>
          <t>OK_NO_TOTALS</t>
        </is>
      </c>
      <c r="E439" t="n">
        <v>48</v>
      </c>
      <c r="F439" t="inlineStr">
        <is>
          <t>TABLE</t>
        </is>
      </c>
      <c r="G439" t="inlineStr">
        <is>
          <t>TABLE_RULED</t>
        </is>
      </c>
      <c r="H439" t="inlineStr"/>
      <c r="J439" t="inlineStr">
        <is>
          <t>LAGINHA AGRO INDUSTRIAL S/A - Vivante Gestão e Administração Judicial</t>
        </is>
      </c>
      <c r="K439" t="inlineStr">
        <is>
          <t>vivanteaj.com.br</t>
        </is>
      </c>
      <c r="L439" s="19" t="inlineStr">
        <is>
          <t>https://vivanteaj.com.br/wp-content/uploads/2024/11/Contrato-Arrendamento-Utinga-Homologado.pdf</t>
        </is>
      </c>
    </row>
    <row r="440">
      <c r="A440" t="inlineStr">
        <is>
          <t>6e1de5dc2c64</t>
        </is>
      </c>
      <c r="B440" t="inlineStr">
        <is>
          <t>0137354-93.2024.8.17.2001</t>
        </is>
      </c>
      <c r="C440" t="inlineStr">
        <is>
          <t>AJ_LIST</t>
        </is>
      </c>
      <c r="D440" t="inlineStr">
        <is>
          <t>OK_NO_TOTALS</t>
        </is>
      </c>
      <c r="E440" t="n">
        <v>28</v>
      </c>
      <c r="F440" t="inlineStr">
        <is>
          <t>TABLE</t>
        </is>
      </c>
      <c r="G440" t="inlineStr">
        <is>
          <t>TABLE_RULED</t>
        </is>
      </c>
      <c r="H440" t="inlineStr"/>
      <c r="I440" t="inlineStr">
        <is>
          <t>2026-04-06</t>
        </is>
      </c>
      <c r="J440" t="inlineStr">
        <is>
          <t>PCG – ENGENHARIA E PCG - TECNOLOGIA (GRUPO PROCENGE) - Vivante Gestão e Administração Judicial</t>
        </is>
      </c>
      <c r="K440" t="inlineStr">
        <is>
          <t>vivanteaj.com.br</t>
        </is>
      </c>
      <c r="L440" s="19" t="inlineStr">
        <is>
          <t>https://vivanteaj.com.br/wp-content/uploads/2024/12/Modificativo-ao-PRJ-Grupo-Procenge.pdf</t>
        </is>
      </c>
    </row>
    <row r="441">
      <c r="A441" t="inlineStr">
        <is>
          <t>53201976136b</t>
        </is>
      </c>
      <c r="B441" t="inlineStr">
        <is>
          <t>8041832-19.2024.8.05.0001</t>
        </is>
      </c>
      <c r="C441" t="inlineStr">
        <is>
          <t>AJ_LIST</t>
        </is>
      </c>
      <c r="D441" t="inlineStr">
        <is>
          <t>OK_NO_TOTALS</t>
        </is>
      </c>
      <c r="E441" t="n">
        <v>11</v>
      </c>
      <c r="F441" t="inlineStr">
        <is>
          <t>TABLE</t>
        </is>
      </c>
      <c r="G441" t="inlineStr">
        <is>
          <t>TABLE_BANDS</t>
        </is>
      </c>
      <c r="H441" t="inlineStr"/>
      <c r="I441" t="inlineStr">
        <is>
          <t>2025-08-18</t>
        </is>
      </c>
      <c r="J441" t="inlineStr">
        <is>
          <t>deverá requerer ao juízo sua falência</t>
        </is>
      </c>
      <c r="K441" t="inlineStr">
        <is>
          <t>vivanteaj.com.br</t>
        </is>
      </c>
      <c r="L441" s="19" t="inlineStr">
        <is>
          <t>https://vivanteaj.com.br/wp-content/uploads/2026/07/Sentenca-que-decretou-a-falencia-da-Ert-2.pdf</t>
        </is>
      </c>
    </row>
    <row r="442">
      <c r="A442" t="inlineStr">
        <is>
          <t>e9004acac74c</t>
        </is>
      </c>
      <c r="B442" t="inlineStr">
        <is>
          <t>0004984-95.2024.8.16.0153</t>
        </is>
      </c>
      <c r="C442" t="inlineStr">
        <is>
          <t>AJ_LIST</t>
        </is>
      </c>
      <c r="D442" t="inlineStr">
        <is>
          <t>OK_NO_TOTALS</t>
        </is>
      </c>
      <c r="E442" t="n">
        <v>2</v>
      </c>
      <c r="F442" t="inlineStr">
        <is>
          <t>PROSE</t>
        </is>
      </c>
      <c r="G442" t="inlineStr">
        <is>
          <t>PROSE</t>
        </is>
      </c>
      <c r="H442" t="inlineStr"/>
      <c r="I442" t="inlineStr">
        <is>
          <t>2025-08-17</t>
        </is>
      </c>
      <c r="J442" t="inlineStr">
        <is>
          <t>insolvência</t>
        </is>
      </c>
      <c r="K442" t="inlineStr">
        <is>
          <t>vtladm.com.br</t>
        </is>
      </c>
      <c r="L442" s="19" t="inlineStr">
        <is>
          <t>https://vtladm.com.br/wp-content/uploads/2025/05/06_Primeiro_Edital_Convocacao_Credores_Agile_Equipamentos_Odontologicos.pdf</t>
        </is>
      </c>
    </row>
    <row r="443">
      <c r="A443" t="inlineStr">
        <is>
          <t>1ee499984e77</t>
        </is>
      </c>
      <c r="B443" t="inlineStr">
        <is>
          <t>0012822-66.2019.8.16.0185</t>
        </is>
      </c>
      <c r="C443" t="inlineStr">
        <is>
          <t>AJ_LIST</t>
        </is>
      </c>
      <c r="D443" t="inlineStr">
        <is>
          <t>OK_NO_TOTALS</t>
        </is>
      </c>
      <c r="E443" t="n">
        <v>2</v>
      </c>
      <c r="F443" t="inlineStr">
        <is>
          <t>TABLE</t>
        </is>
      </c>
      <c r="G443" t="inlineStr">
        <is>
          <t>TABLE_BANDS</t>
        </is>
      </c>
      <c r="H443" t="inlineStr"/>
      <c r="I443" t="inlineStr">
        <is>
          <t>2020-09-02</t>
        </is>
      </c>
      <c r="J443" t="inlineStr">
        <is>
          <t>Marques Administrações Judiciais</t>
        </is>
      </c>
      <c r="K443" t="inlineStr">
        <is>
          <t>marquesadmjudicial.com.br</t>
        </is>
      </c>
      <c r="L443" s="19" t="inlineStr">
        <is>
          <t>https://marquesadmjudicial.com.br/sgc/download.php?file=files/processo_documento/processo_documento11431807032024_1_.pdf&amp;nome=Relação nominal de credores retificada</t>
        </is>
      </c>
    </row>
    <row r="444">
      <c r="A444" t="inlineStr">
        <is>
          <t>9c6ed1c6cb6b</t>
        </is>
      </c>
      <c r="B444" t="inlineStr">
        <is>
          <t>0031120-52.2024.8.16.0017</t>
        </is>
      </c>
      <c r="C444" t="inlineStr">
        <is>
          <t>AJ_LIST</t>
        </is>
      </c>
      <c r="D444" t="inlineStr">
        <is>
          <t>OK_NO_TOTALS</t>
        </is>
      </c>
      <c r="E444" t="n">
        <v>1</v>
      </c>
      <c r="F444" t="inlineStr">
        <is>
          <t>PROSE</t>
        </is>
      </c>
      <c r="G444" t="inlineStr">
        <is>
          <t>PROSE</t>
        </is>
      </c>
      <c r="H444" t="inlineStr"/>
      <c r="J444" t="inlineStr">
        <is>
          <t>supramencionado, nos autos principais da presente Recuperação Judicia</t>
        </is>
      </c>
      <c r="K444" t="inlineStr">
        <is>
          <t>marquesadmjudicial.com.br</t>
        </is>
      </c>
      <c r="L444" s="19" t="inlineStr">
        <is>
          <t>https://marquesadmjudicial.com.br/sgc/download.php?file=files/processo_documento/processo_documento11241027032026_1_.pdf&amp;nome=2° Edital - Relação de Credores AJ e PRJ</t>
        </is>
      </c>
    </row>
    <row r="445">
      <c r="A445" t="inlineStr">
        <is>
          <t>4dd6cfab3700</t>
        </is>
      </c>
      <c r="B445" t="inlineStr">
        <is>
          <t>0701237-50.2019.8.07.0015</t>
        </is>
      </c>
      <c r="C445" t="inlineStr">
        <is>
          <t>AJ_LIST</t>
        </is>
      </c>
      <c r="D445" t="inlineStr">
        <is>
          <t>OK_NO_TOTALS</t>
        </is>
      </c>
      <c r="E445" t="n">
        <v>3</v>
      </c>
      <c r="F445" t="inlineStr">
        <is>
          <t>TABLE</t>
        </is>
      </c>
      <c r="G445" t="inlineStr">
        <is>
          <t>TABLE_BANDS</t>
        </is>
      </c>
      <c r="H445" t="inlineStr"/>
      <c r="I445" t="inlineStr">
        <is>
          <t>2026-02-23</t>
        </is>
      </c>
      <c r="J445" t="inlineStr">
        <is>
          <t>Insolvência Civil de Augusto Cesar Zuqui Lisboa – VTL</t>
        </is>
      </c>
      <c r="K445" t="inlineStr">
        <is>
          <t>vtladm.com.br</t>
        </is>
      </c>
      <c r="L445" s="19" t="inlineStr">
        <is>
          <t>https://vtladm.com.br/wp-content/uploads/2024/07/07_Edital_Publicacao_Segunda_Relacao_Credores_Insolvencia_Civil_Ambrosino_Serpa_Coutinho.pdf</t>
        </is>
      </c>
    </row>
    <row r="446">
      <c r="A446" t="inlineStr">
        <is>
          <t>492eb783da5b</t>
        </is>
      </c>
      <c r="B446" t="inlineStr">
        <is>
          <t>1000831-12.2024.8.26.0286</t>
        </is>
      </c>
      <c r="C446" t="inlineStr">
        <is>
          <t>AJ_LIST</t>
        </is>
      </c>
      <c r="D446" t="inlineStr">
        <is>
          <t>OK_NO_TOTALS</t>
        </is>
      </c>
      <c r="E446" t="n">
        <v>7</v>
      </c>
      <c r="F446" t="inlineStr">
        <is>
          <t>TABLE</t>
        </is>
      </c>
      <c r="G446" t="inlineStr">
        <is>
          <t>TABLE_BANDS</t>
        </is>
      </c>
      <c r="H446" t="inlineStr"/>
      <c r="J446" t="inlineStr">
        <is>
          <t>Massa Falida de Blue Sol Energia Solar Ltda. e outros – VTL</t>
        </is>
      </c>
      <c r="K446" t="inlineStr">
        <is>
          <t>vtladm.com.br</t>
        </is>
      </c>
      <c r="L446" s="19" t="inlineStr">
        <is>
          <t>https://vtladm.com.br/wp-content/uploads/2024/11/03-Edital-Decretacao-de-Falencia-e-Convocacao-de-Credores-Massa-Falida-de-Blue-Sol-Energia-Solar-Ltda-e-Outros.pdf</t>
        </is>
      </c>
    </row>
    <row r="447">
      <c r="A447" t="inlineStr">
        <is>
          <t>5fa919099e88</t>
        </is>
      </c>
      <c r="B447" t="inlineStr">
        <is>
          <t>1094652-46.2024.8.26.0100</t>
        </is>
      </c>
      <c r="C447" t="inlineStr">
        <is>
          <t>AJ_LIST</t>
        </is>
      </c>
      <c r="D447" t="inlineStr">
        <is>
          <t>OK_NO_TOTALS</t>
        </is>
      </c>
      <c r="E447" t="n">
        <v>26</v>
      </c>
      <c r="F447" t="inlineStr">
        <is>
          <t>TABLE</t>
        </is>
      </c>
      <c r="G447" t="inlineStr">
        <is>
          <t>TABLE_RULED</t>
        </is>
      </c>
      <c r="H447" t="inlineStr"/>
      <c r="J447" t="inlineStr">
        <is>
          <t>Massa Falida de Blue Sol Energia Solar Ltda. e outros – VTL</t>
        </is>
      </c>
      <c r="K447" t="inlineStr">
        <is>
          <t>vtladm.com.br</t>
        </is>
      </c>
      <c r="L447" s="19" t="inlineStr">
        <is>
          <t>https://vtladm.com.br/wp-content/uploads/2024/09/05-–-Segunda-Lista-de-Credores-–-Massa-Falida-de-Blue-Sol-Energia-Solar-Ltda-e-Outros.pdf</t>
        </is>
      </c>
    </row>
    <row r="448">
      <c r="A448" t="inlineStr">
        <is>
          <t>9846e4c0bb37</t>
        </is>
      </c>
      <c r="B448" t="inlineStr">
        <is>
          <t>0043030-30.2025.8.16.0021</t>
        </is>
      </c>
      <c r="C448" t="inlineStr">
        <is>
          <t>AJ_LIST</t>
        </is>
      </c>
      <c r="D448" t="inlineStr">
        <is>
          <t>OK_NO_TOTALS</t>
        </is>
      </c>
      <c r="E448" t="n">
        <v>1</v>
      </c>
      <c r="F448" t="inlineStr">
        <is>
          <t>PROSE</t>
        </is>
      </c>
      <c r="G448" t="inlineStr">
        <is>
          <t>PROSE</t>
        </is>
      </c>
      <c r="H448" t="inlineStr"/>
      <c r="I448" t="inlineStr">
        <is>
          <t>2025-09-12</t>
        </is>
      </c>
      <c r="J448" t="inlineStr">
        <is>
          <t>foi apresentado no movimento 112 dos autos supramencionados, em consonância</t>
        </is>
      </c>
      <c r="K448" t="inlineStr">
        <is>
          <t>marquesadmjudicial.com.br</t>
        </is>
      </c>
      <c r="L448" s="19" t="inlineStr">
        <is>
          <t>https://marquesadmjudicial.com.br/sgc/download.php?file=files/processo_documento/processo_documento18581929042026_1_.pdf&amp;nome=3º Edital - Relação de Credores e PRJ</t>
        </is>
      </c>
    </row>
    <row r="449">
      <c r="A449" t="inlineStr">
        <is>
          <t>a8e829e4f024</t>
        </is>
      </c>
      <c r="B449" t="inlineStr">
        <is>
          <t>0005910-33.2023.8.16.0017</t>
        </is>
      </c>
      <c r="C449" t="inlineStr">
        <is>
          <t>AJ_LIST</t>
        </is>
      </c>
      <c r="D449" t="inlineStr">
        <is>
          <t>OK_NO_TOTALS</t>
        </is>
      </c>
      <c r="E449" t="n">
        <v>3</v>
      </c>
      <c r="F449" t="inlineStr">
        <is>
          <t>PROSE</t>
        </is>
      </c>
      <c r="G449" t="inlineStr">
        <is>
          <t>PROSE</t>
        </is>
      </c>
      <c r="H449" t="inlineStr"/>
      <c r="I449" t="inlineStr">
        <is>
          <t>2023-10-24</t>
        </is>
      </c>
      <c r="J449" t="inlineStr">
        <is>
          <t>Marques Administrações Judiciais</t>
        </is>
      </c>
      <c r="K449" t="inlineStr">
        <is>
          <t>marquesadmjudicial.com.br</t>
        </is>
      </c>
      <c r="L449" s="19" t="inlineStr">
        <is>
          <t>https://marquesadmjudicial.com.br/sgc/download.php?file=files/processo_documento/processo_documento16444407032024_1_.pdf&amp;nome=2° Edital - Relação de Credores AJ e Recebimento do PRJ</t>
        </is>
      </c>
    </row>
    <row r="450">
      <c r="A450" t="inlineStr">
        <is>
          <t>437e79745649</t>
        </is>
      </c>
      <c r="B450" t="inlineStr">
        <is>
          <t>0037411-27.2022.8.16.0021</t>
        </is>
      </c>
      <c r="C450" t="inlineStr">
        <is>
          <t>AJ_LIST</t>
        </is>
      </c>
      <c r="D450" t="inlineStr">
        <is>
          <t>OK_NO_TOTALS</t>
        </is>
      </c>
      <c r="E450" t="n">
        <v>3</v>
      </c>
      <c r="F450" t="inlineStr">
        <is>
          <t>PROSE</t>
        </is>
      </c>
      <c r="G450" t="inlineStr">
        <is>
          <t>PROSE</t>
        </is>
      </c>
      <c r="H450" t="inlineStr"/>
      <c r="I450" t="inlineStr">
        <is>
          <t>2022-11-17</t>
        </is>
      </c>
      <c r="J450" t="inlineStr">
        <is>
          <t>APRESENTADO PELA RECUPERANDA, NA FORMA Distribuidora S.A</t>
        </is>
      </c>
      <c r="K450" t="inlineStr">
        <is>
          <t>marquesadmjudicial.com.br</t>
        </is>
      </c>
      <c r="L450" s="19" t="inlineStr">
        <is>
          <t>https://marquesadmjudicial.com.br/sgc/download.php?file=files/processo_documento/processo_documento16562707032024_1_.pdf&amp;nome=2º Edital-Relação de Credores do art. 7, §2 da LREF e do Plano de Recuperação Judicial</t>
        </is>
      </c>
    </row>
    <row r="451">
      <c r="A451" t="inlineStr">
        <is>
          <t>59edede5a45f</t>
        </is>
      </c>
      <c r="B451" t="inlineStr">
        <is>
          <t>0001943-40.2024.8.16.0115</t>
        </is>
      </c>
      <c r="C451" t="inlineStr">
        <is>
          <t>AJ_LIST</t>
        </is>
      </c>
      <c r="D451" t="inlineStr">
        <is>
          <t>OK_NO_TOTALS</t>
        </is>
      </c>
      <c r="E451" t="n">
        <v>1</v>
      </c>
      <c r="F451" t="inlineStr">
        <is>
          <t>PROSE</t>
        </is>
      </c>
      <c r="G451" t="inlineStr">
        <is>
          <t>PROSE</t>
        </is>
      </c>
      <c r="H451" t="inlineStr"/>
      <c r="I451" t="inlineStr">
        <is>
          <t>2024-06-17</t>
        </is>
      </c>
      <c r="J451" t="inlineStr">
        <is>
          <t>- D &amp; D LOGÍSTICA E TRANSPORTE Comercia</t>
        </is>
      </c>
      <c r="K451" t="inlineStr">
        <is>
          <t>marquesadmjudicial.com.br</t>
        </is>
      </c>
      <c r="L451" s="19" t="inlineStr">
        <is>
          <t>https://marquesadmjudicial.com.br/sgc/download.php?file=files/processo_documento/processo_documento16013521112024_1_.pdf&amp;nome=4º Edital - Art. 7º, § 2º - Aviso de Apresentação da Relação de Credores</t>
        </is>
      </c>
    </row>
    <row r="452">
      <c r="A452" t="inlineStr">
        <is>
          <t>3b41e1096ace</t>
        </is>
      </c>
      <c r="B452" t="inlineStr">
        <is>
          <t>1005755-09.2025.8.26.0132</t>
        </is>
      </c>
      <c r="C452" t="inlineStr">
        <is>
          <t>AJ_LIST</t>
        </is>
      </c>
      <c r="D452" t="inlineStr">
        <is>
          <t>OK_NO_TOTALS</t>
        </is>
      </c>
      <c r="E452" t="n">
        <v>29</v>
      </c>
      <c r="F452" t="inlineStr">
        <is>
          <t>TABLE</t>
        </is>
      </c>
      <c r="G452" t="inlineStr">
        <is>
          <t>TABLE_RULED</t>
        </is>
      </c>
      <c r="H452" t="inlineStr"/>
      <c r="J452" t="inlineStr">
        <is>
          <t>Plano de Recuperação Judicia</t>
        </is>
      </c>
      <c r="K452" t="inlineStr">
        <is>
          <t>vtladm.com.br</t>
        </is>
      </c>
      <c r="L452" s="19" t="inlineStr">
        <is>
          <t>https://vtladm.com.br/wp-content/uploads/2025/08/09_Plano_Recuperacao_Judicial_Distribuidora_Frutas_Rumo_Novo.pdf</t>
        </is>
      </c>
    </row>
    <row r="453">
      <c r="A453" t="inlineStr">
        <is>
          <t>c720f6bdb4f7</t>
        </is>
      </c>
      <c r="B453" t="inlineStr">
        <is>
          <t>0000410-68.2021.8.16.0174</t>
        </is>
      </c>
      <c r="C453" t="inlineStr">
        <is>
          <t>AJ_LIST</t>
        </is>
      </c>
      <c r="D453" t="inlineStr">
        <is>
          <t>OK_NO_TOTALS</t>
        </is>
      </c>
      <c r="E453" t="n">
        <v>2</v>
      </c>
      <c r="F453" t="inlineStr">
        <is>
          <t>PROSE</t>
        </is>
      </c>
      <c r="G453" t="inlineStr">
        <is>
          <t>PROSE</t>
        </is>
      </c>
      <c r="H453" t="inlineStr"/>
      <c r="J453" t="inlineStr">
        <is>
          <t>consonância</t>
        </is>
      </c>
      <c r="K453" t="inlineStr">
        <is>
          <t>marquesadmjudicial.com.br</t>
        </is>
      </c>
      <c r="L453" s="19" t="inlineStr">
        <is>
          <t>https://marquesadmjudicial.com.br/sgc/download.php?file=files/processo_documento/processo_documento14290608032024_1_.pdf&amp;nome=3º Edital - Art. 7º, § 2º - Aviso de Apresentação da Relação de Credores</t>
        </is>
      </c>
    </row>
    <row r="454">
      <c r="A454" t="inlineStr">
        <is>
          <t>ce2f12f70e88</t>
        </is>
      </c>
      <c r="B454" t="inlineStr">
        <is>
          <t>0016858-63.2025.8.16.0017</t>
        </is>
      </c>
      <c r="C454" t="inlineStr">
        <is>
          <t>AJ_LIST</t>
        </is>
      </c>
      <c r="D454" t="inlineStr">
        <is>
          <t>OK_NO_TOTALS</t>
        </is>
      </c>
      <c r="E454" t="n">
        <v>1</v>
      </c>
      <c r="F454" t="inlineStr">
        <is>
          <t>PROSE</t>
        </is>
      </c>
      <c r="G454" t="inlineStr">
        <is>
          <t>PROSE</t>
        </is>
      </c>
      <c r="H454" t="inlineStr"/>
      <c r="I454" t="inlineStr">
        <is>
          <t>2025-07-02</t>
        </is>
      </c>
      <c r="J454" t="inlineStr">
        <is>
          <t>- ACD PEÇAS MARINGÁ LTDA</t>
        </is>
      </c>
      <c r="K454" t="inlineStr">
        <is>
          <t>marquesadmjudicial.com.br</t>
        </is>
      </c>
      <c r="L454" s="19" t="inlineStr">
        <is>
          <t>https://marquesadmjudicial.com.br/sgc/download.php?file=files/processo_documento/processo_documento09284811112025_1_.pdf&amp;nome=2º Edital - PRJ  e Relação Nominal de Credores art. 7º, § 2º, DA LEI 11.101_2005</t>
        </is>
      </c>
    </row>
    <row r="455">
      <c r="A455" t="inlineStr">
        <is>
          <t>abd2d5ffdf9d</t>
        </is>
      </c>
      <c r="B455" t="inlineStr">
        <is>
          <t>0804994-81.2024.8.07.0016</t>
        </is>
      </c>
      <c r="C455" t="inlineStr">
        <is>
          <t>AJ_LIST</t>
        </is>
      </c>
      <c r="D455" t="inlineStr">
        <is>
          <t>OK_NO_TOTALS</t>
        </is>
      </c>
      <c r="E455" t="n">
        <v>8</v>
      </c>
      <c r="F455" t="inlineStr">
        <is>
          <t>TABLE</t>
        </is>
      </c>
      <c r="G455" t="inlineStr">
        <is>
          <t>TABLE_BANDS</t>
        </is>
      </c>
      <c r="H455" t="inlineStr"/>
      <c r="I455" t="inlineStr">
        <is>
          <t>2026-06-08</t>
        </is>
      </c>
      <c r="J455" t="inlineStr">
        <is>
          <t>Ellite Consultoria E Assessoria Ltda. – VTL</t>
        </is>
      </c>
      <c r="K455" t="inlineStr">
        <is>
          <t>vtladm.com.br</t>
        </is>
      </c>
      <c r="L455" s="19" t="inlineStr">
        <is>
          <t>https://vtladm.com.br/wp-content/uploads/2026/01/17-–-Plano-de-Recuperacao-Judicial-–-Ellite-Consultoria-E-Assessoria-Ltda.pdf</t>
        </is>
      </c>
    </row>
    <row r="456">
      <c r="A456" t="inlineStr">
        <is>
          <t>b10e169cea3c</t>
        </is>
      </c>
      <c r="B456" t="inlineStr">
        <is>
          <t>0016858-63.2025.8.16.0017</t>
        </is>
      </c>
      <c r="C456" t="inlineStr">
        <is>
          <t>AJ_LIST</t>
        </is>
      </c>
      <c r="D456" t="inlineStr">
        <is>
          <t>OK_NO_TOTALS</t>
        </is>
      </c>
      <c r="E456" t="n">
        <v>1</v>
      </c>
      <c r="F456" t="inlineStr">
        <is>
          <t>PROSE</t>
        </is>
      </c>
      <c r="G456" t="inlineStr">
        <is>
          <t>PROSE</t>
        </is>
      </c>
      <c r="H456" t="inlineStr"/>
      <c r="I456" t="inlineStr">
        <is>
          <t>2025-07-02</t>
        </is>
      </c>
      <c r="J456" t="inlineStr">
        <is>
          <t>participante se responsa</t>
        </is>
      </c>
      <c r="K456" t="inlineStr">
        <is>
          <t>marquesadmjudicial.com.br</t>
        </is>
      </c>
      <c r="L456" s="19" t="inlineStr">
        <is>
          <t>https://marquesadmjudicial.com.br/sgc/download.php?file=files/processo_documento/processo_documento09362812012026_1_.pdf&amp;nome=3° Edital - Intimação de Credores e Terceiros Interessados</t>
        </is>
      </c>
    </row>
    <row r="457">
      <c r="A457" t="inlineStr">
        <is>
          <t>96830f5ef11b</t>
        </is>
      </c>
      <c r="B457" t="inlineStr">
        <is>
          <t>0000357-17.2024.8.16.0131</t>
        </is>
      </c>
      <c r="C457" t="inlineStr">
        <is>
          <t>AJ_LIST</t>
        </is>
      </c>
      <c r="D457" t="inlineStr">
        <is>
          <t>OK_NO_TOTALS</t>
        </is>
      </c>
      <c r="E457" t="n">
        <v>2</v>
      </c>
      <c r="F457" t="inlineStr">
        <is>
          <t>PROSE</t>
        </is>
      </c>
      <c r="G457" t="inlineStr">
        <is>
          <t>PROSE</t>
        </is>
      </c>
      <c r="H457" t="inlineStr"/>
      <c r="I457" t="inlineStr">
        <is>
          <t>2024-01-12</t>
        </is>
      </c>
      <c r="J457" t="inlineStr">
        <is>
          <t>Destro Comercio De Alimentos LTDA</t>
        </is>
      </c>
      <c r="K457" t="inlineStr">
        <is>
          <t>marquesadmjudicial.com.br</t>
        </is>
      </c>
      <c r="L457" s="19" t="inlineStr">
        <is>
          <t>https://marquesadmjudicial.com.br/sgc/download.php?file=files/processo_documento/processo_documento10074612042024_1_.pdf&amp;nome=2º Edital-Relação de Credores AJ e PRJ</t>
        </is>
      </c>
    </row>
    <row r="458">
      <c r="A458" t="inlineStr">
        <is>
          <t>1180d0ff83f8</t>
        </is>
      </c>
      <c r="B458" t="inlineStr">
        <is>
          <t>0008897-71.2025.8.16.0017</t>
        </is>
      </c>
      <c r="C458" t="inlineStr">
        <is>
          <t>AJ_LIST</t>
        </is>
      </c>
      <c r="D458" t="inlineStr">
        <is>
          <t>OK_NO_TOTALS</t>
        </is>
      </c>
      <c r="E458" t="n">
        <v>2</v>
      </c>
      <c r="F458" t="inlineStr">
        <is>
          <t>PROSE</t>
        </is>
      </c>
      <c r="G458" t="inlineStr">
        <is>
          <t>PROSE</t>
        </is>
      </c>
      <c r="H458" t="inlineStr"/>
      <c r="I458" t="inlineStr">
        <is>
          <t>2025-04-08</t>
        </is>
      </c>
      <c r="J458" t="inlineStr">
        <is>
          <t>Marques Administrações Judiciais</t>
        </is>
      </c>
      <c r="K458" t="inlineStr">
        <is>
          <t>marquesadmjudicial.com.br</t>
        </is>
      </c>
      <c r="L458" s="19" t="inlineStr">
        <is>
          <t>https://marquesadmjudicial.com.br/sgc/download.php?file=files/processo_documento/processo_documento09444722082025_1_.pdf&amp;nome=2° Edital - Relação de Credores AJ e PRJ</t>
        </is>
      </c>
    </row>
    <row r="459">
      <c r="A459" t="inlineStr">
        <is>
          <t>9cdc12d4347b</t>
        </is>
      </c>
      <c r="B459" t="inlineStr">
        <is>
          <t>0005010-98.2023.8.16.0001</t>
        </is>
      </c>
      <c r="C459" t="inlineStr">
        <is>
          <t>AJ_LIST</t>
        </is>
      </c>
      <c r="D459" t="inlineStr">
        <is>
          <t>OK_NO_TOTALS</t>
        </is>
      </c>
      <c r="E459" t="n">
        <v>4</v>
      </c>
      <c r="F459" t="inlineStr">
        <is>
          <t>PROSE</t>
        </is>
      </c>
      <c r="G459" t="inlineStr">
        <is>
          <t>PROSE</t>
        </is>
      </c>
      <c r="H459" t="inlineStr"/>
      <c r="I459" t="inlineStr">
        <is>
          <t>2023-06-07</t>
        </is>
      </c>
      <c r="J459" t="inlineStr">
        <is>
          <t>Marques Administrações Judiciais</t>
        </is>
      </c>
      <c r="K459" t="inlineStr">
        <is>
          <t>marquesadmjudicial.com.br</t>
        </is>
      </c>
      <c r="L459" s="19" t="inlineStr">
        <is>
          <t>https://marquesadmjudicial.com.br/sgc/download.php?file=files/processo_documento/processo_documento14474608032024_1_.pdf&amp;nome=3º Edital-Relação de Credores AJ e PRJ</t>
        </is>
      </c>
    </row>
    <row r="460">
      <c r="A460" t="inlineStr">
        <is>
          <t>9ab32db8c619</t>
        </is>
      </c>
      <c r="B460" t="inlineStr">
        <is>
          <t>0044747-14.2024.8.16.0021</t>
        </is>
      </c>
      <c r="C460" t="inlineStr">
        <is>
          <t>AJ_LIST</t>
        </is>
      </c>
      <c r="D460" t="inlineStr">
        <is>
          <t>OK_NO_TOTALS</t>
        </is>
      </c>
      <c r="E460" t="n">
        <v>1</v>
      </c>
      <c r="F460" t="inlineStr">
        <is>
          <t>PROSE</t>
        </is>
      </c>
      <c r="G460" t="inlineStr">
        <is>
          <t>PROSE</t>
        </is>
      </c>
      <c r="H460" t="inlineStr"/>
      <c r="I460" t="inlineStr">
        <is>
          <t>2024-11-01</t>
        </is>
      </c>
      <c r="J460" t="inlineStr">
        <is>
          <t>foi apresentado no movimento 103 dos autos supramencionados, em consonância</t>
        </is>
      </c>
      <c r="K460" t="inlineStr">
        <is>
          <t>marquesadmjudicial.com.br</t>
        </is>
      </c>
      <c r="L460" s="19" t="inlineStr">
        <is>
          <t>https://marquesadmjudicial.com.br/sgc/download.php?file=files/processo_documento/processo_documento09364127032025_1_.pdf&amp;nome=3º Edital - Relação de Credores AJ e PRJ</t>
        </is>
      </c>
    </row>
    <row r="461">
      <c r="A461" t="inlineStr">
        <is>
          <t>2b3afeed1492</t>
        </is>
      </c>
      <c r="B461" t="inlineStr">
        <is>
          <t>0016033-22.2025.8.16.0017</t>
        </is>
      </c>
      <c r="C461" t="inlineStr">
        <is>
          <t>AJ_LIST</t>
        </is>
      </c>
      <c r="D461" t="inlineStr">
        <is>
          <t>OK_NO_TOTALS</t>
        </is>
      </c>
      <c r="E461" t="n">
        <v>1</v>
      </c>
      <c r="F461" t="inlineStr">
        <is>
          <t>PROSE</t>
        </is>
      </c>
      <c r="G461" t="inlineStr">
        <is>
          <t>PROSE</t>
        </is>
      </c>
      <c r="H461" t="inlineStr"/>
      <c r="I461" t="inlineStr">
        <is>
          <t>2025-08-27</t>
        </is>
      </c>
      <c r="J461" t="inlineStr">
        <is>
          <t>KADIMA EMPREENDIMENTOS subscrevi e assinei. E PARTICIPAÇÕES S.A</t>
        </is>
      </c>
      <c r="K461" t="inlineStr">
        <is>
          <t>marquesadmjudicial.com.br</t>
        </is>
      </c>
      <c r="L461" s="19" t="inlineStr">
        <is>
          <t>https://marquesadmjudicial.com.br/sgc/download.php?file=files/processo_documento/processo_documento15291029012026_1_.pdf&amp;nome=3° Edital de Intimação de Credores e Terceiros Interessados</t>
        </is>
      </c>
    </row>
    <row r="462">
      <c r="A462" t="inlineStr">
        <is>
          <t>f22deef6e39e</t>
        </is>
      </c>
      <c r="B462" t="inlineStr">
        <is>
          <t>0708109-34.2026.8.07.0016</t>
        </is>
      </c>
      <c r="C462" t="inlineStr">
        <is>
          <t>AJ_LIST</t>
        </is>
      </c>
      <c r="D462" t="inlineStr">
        <is>
          <t>OK_NO_TOTALS</t>
        </is>
      </c>
      <c r="E462" t="n">
        <v>6</v>
      </c>
      <c r="F462" t="inlineStr">
        <is>
          <t>TABLE</t>
        </is>
      </c>
      <c r="G462" t="inlineStr">
        <is>
          <t>TABLE_BANDS</t>
        </is>
      </c>
      <c r="H462" t="inlineStr"/>
      <c r="I462" t="inlineStr">
        <is>
          <t>2026-04-02</t>
        </is>
      </c>
      <c r="J462" t="inlineStr">
        <is>
          <t>Insolvência Civil de Marcelo Gomes de Figueiredo Mesquita – VTL</t>
        </is>
      </c>
      <c r="K462" t="inlineStr">
        <is>
          <t>vtladm.com.br</t>
        </is>
      </c>
      <c r="L462" s="19" t="inlineStr">
        <is>
          <t>https://vtladm.com.br/wp-content/uploads/2026/04/03-–-Sentenca–-Massa-Insolvente-de-Marcelo-Gomes-de-Figueiredo-Mesquita.pdf</t>
        </is>
      </c>
    </row>
    <row r="463">
      <c r="A463" t="inlineStr">
        <is>
          <t>954a0c5b5274</t>
        </is>
      </c>
      <c r="B463" t="inlineStr">
        <is>
          <t>0033222-82.2003.8.07.0001</t>
        </is>
      </c>
      <c r="C463" t="inlineStr">
        <is>
          <t>AJ_LIST</t>
        </is>
      </c>
      <c r="D463" t="inlineStr">
        <is>
          <t>OK_NO_TOTALS</t>
        </is>
      </c>
      <c r="E463" t="n">
        <v>4</v>
      </c>
      <c r="F463" t="inlineStr">
        <is>
          <t>TABLE</t>
        </is>
      </c>
      <c r="G463" t="inlineStr">
        <is>
          <t>TABLE_BANDS</t>
        </is>
      </c>
      <c r="H463" t="inlineStr"/>
      <c r="I463" t="inlineStr">
        <is>
          <t>2020-07-14</t>
        </is>
      </c>
      <c r="J463" t="inlineStr">
        <is>
          <t>Insolvência Civil de Augusto Cesar Zuqui Lisboa – VTL</t>
        </is>
      </c>
      <c r="K463" t="inlineStr">
        <is>
          <t>vtladm.com.br</t>
        </is>
      </c>
      <c r="L463" s="19" t="inlineStr">
        <is>
          <t>https://vtladm.com.br/wp-content/uploads/2024/11/02-–-Sentenca-–-Declaracao-de-Insolvencia-Civil-–-Massa-Insolvente-de-Augusto-Cesar-Zuqui-Lisboa.pdf</t>
        </is>
      </c>
    </row>
    <row r="464">
      <c r="A464" t="inlineStr">
        <is>
          <t>48b1e937b4df</t>
        </is>
      </c>
      <c r="B464" t="inlineStr">
        <is>
          <t>0841183-02.2023.8.12.0001</t>
        </is>
      </c>
      <c r="C464" t="inlineStr">
        <is>
          <t>AJ_LIST</t>
        </is>
      </c>
      <c r="D464" t="inlineStr">
        <is>
          <t>OK_NO_TOTALS</t>
        </is>
      </c>
      <c r="E464" t="n">
        <v>5</v>
      </c>
      <c r="F464" t="inlineStr">
        <is>
          <t>PROSE</t>
        </is>
      </c>
      <c r="G464" t="inlineStr">
        <is>
          <t>PROSE</t>
        </is>
      </c>
      <c r="H464" t="inlineStr"/>
      <c r="I464" t="inlineStr">
        <is>
          <t>2021-10-20</t>
        </is>
      </c>
      <c r="J464" t="inlineStr">
        <is>
          <t>RINATTA LATICÍNIO LTDA</t>
        </is>
      </c>
      <c r="K464" t="inlineStr">
        <is>
          <t>realbrasil.com.br</t>
        </is>
      </c>
      <c r="L464" s="19" t="inlineStr">
        <is>
          <t>https://realbrasil.com.br/wp-content/uploads/2024/05/6.EDITAL-PROCESSAMENTO-DA-RJ-E-LISTA-DE-CREDORES_22.03.2024.pdf</t>
        </is>
      </c>
    </row>
    <row r="465">
      <c r="A465" t="inlineStr">
        <is>
          <t>019054905696</t>
        </is>
      </c>
      <c r="B465" t="inlineStr">
        <is>
          <t>5048671-58.2024.8.08.0024</t>
        </is>
      </c>
      <c r="C465" t="inlineStr">
        <is>
          <t>AJ_LIST</t>
        </is>
      </c>
      <c r="D465" t="inlineStr">
        <is>
          <t>OK_NO_TOTALS</t>
        </is>
      </c>
      <c r="E465" t="n">
        <v>7</v>
      </c>
      <c r="F465" t="inlineStr">
        <is>
          <t>PROSE</t>
        </is>
      </c>
      <c r="G465" t="inlineStr">
        <is>
          <t>PROSE</t>
        </is>
      </c>
      <c r="H465" t="inlineStr"/>
      <c r="I465" t="inlineStr">
        <is>
          <t>2025-04-07</t>
        </is>
      </c>
      <c r="J465" t="inlineStr">
        <is>
          <t>e Falência</t>
        </is>
      </c>
      <c r="K465" t="inlineStr">
        <is>
          <t>ricardobiancardi.com.br</t>
        </is>
      </c>
      <c r="L465" s="19" t="inlineStr">
        <is>
          <t>https://ricardobiancardi.com.br/wp-content/uploads/2025/01/Edital-Credores-prazo_-10-dias-pub.-07.04.25.pdf</t>
        </is>
      </c>
    </row>
    <row r="466">
      <c r="A466" t="inlineStr">
        <is>
          <t>e4925fc39e3a</t>
        </is>
      </c>
      <c r="B466" t="inlineStr">
        <is>
          <t>5560721-64.2026.8.09.0120</t>
        </is>
      </c>
      <c r="C466" t="inlineStr">
        <is>
          <t>AJ_LIST</t>
        </is>
      </c>
      <c r="D466" t="inlineStr">
        <is>
          <t>OK_NO_TOTALS</t>
        </is>
      </c>
      <c r="E466" t="n">
        <v>6</v>
      </c>
      <c r="F466" t="inlineStr">
        <is>
          <t>TABLE</t>
        </is>
      </c>
      <c r="G466" t="inlineStr">
        <is>
          <t>TABLE_BANDS</t>
        </is>
      </c>
      <c r="H466" t="inlineStr"/>
      <c r="I466" t="inlineStr">
        <is>
          <t>2026-07-21</t>
        </is>
      </c>
      <c r="J466" t="inlineStr">
        <is>
          <t>e a opção de consulta às suas peças principais, sa</t>
        </is>
      </c>
      <c r="K466" t="inlineStr">
        <is>
          <t>stenius.com.br</t>
        </is>
      </c>
      <c r="L466" s="19" t="inlineStr">
        <is>
          <t>https://stenius.com.br/wp-content/uploads/2026/07/1°-EDITAL-RELACAO-DE-CREDORES-GRUPO-ALMEIDA.pdf</t>
        </is>
      </c>
    </row>
    <row r="467">
      <c r="A467" t="inlineStr">
        <is>
          <t>c6ce3a11e10c</t>
        </is>
      </c>
      <c r="B467" t="inlineStr">
        <is>
          <t>0010297-16.2019.8.19.0028</t>
        </is>
      </c>
      <c r="C467" t="inlineStr">
        <is>
          <t>AJ_LIST</t>
        </is>
      </c>
      <c r="D467" t="inlineStr">
        <is>
          <t>OK_NO_TOTALS</t>
        </is>
      </c>
      <c r="E467" t="n">
        <v>130</v>
      </c>
      <c r="F467" t="inlineStr">
        <is>
          <t>TABLE</t>
        </is>
      </c>
      <c r="G467" t="inlineStr">
        <is>
          <t>TABLE_RULED</t>
        </is>
      </c>
      <c r="H467" t="inlineStr"/>
      <c r="I467" t="inlineStr">
        <is>
          <t>2020-03-20</t>
        </is>
      </c>
      <c r="J467" t="inlineStr">
        <is>
          <t>ALPHATEC INOVAÇÃO EM INFRAESTRUTURA - Real Brasil Consultoria</t>
        </is>
      </c>
      <c r="K467" t="inlineStr">
        <is>
          <t>realbrasil.com.br</t>
        </is>
      </c>
      <c r="L467" s="19" t="inlineStr">
        <is>
          <t>https://realbrasil.com.br/wp-content/uploads/2022/09/LISTA-DE-CREDORES-DO-AJ_retificada.pdf</t>
        </is>
      </c>
    </row>
    <row r="468">
      <c r="A468" t="inlineStr">
        <is>
          <t>f3117e5953af</t>
        </is>
      </c>
      <c r="B468" t="inlineStr">
        <is>
          <t>0841357-55.2016.8.12.0001</t>
        </is>
      </c>
      <c r="C468" t="inlineStr">
        <is>
          <t>AJ_LIST</t>
        </is>
      </c>
      <c r="D468" t="inlineStr">
        <is>
          <t>OK_NO_TOTALS</t>
        </is>
      </c>
      <c r="E468" t="n">
        <v>7</v>
      </c>
      <c r="F468" t="inlineStr">
        <is>
          <t>TABLE</t>
        </is>
      </c>
      <c r="G468" t="inlineStr">
        <is>
          <t>TABLE_RULED</t>
        </is>
      </c>
      <c r="H468" t="inlineStr"/>
      <c r="J468" t="inlineStr">
        <is>
          <t>e Falência</t>
        </is>
      </c>
      <c r="K468" t="inlineStr">
        <is>
          <t>realbrasil.com.br</t>
        </is>
      </c>
      <c r="L468" s="19" t="inlineStr">
        <is>
          <t>https://realbrasil.com.br/wp-content/uploads/2025/09/3.QUADRO-GERAL-DE-CREDORES-RETIFICADO_RATEIO.pdf</t>
        </is>
      </c>
    </row>
    <row r="469">
      <c r="A469" t="inlineStr">
        <is>
          <t>6403d7a497cb</t>
        </is>
      </c>
      <c r="B469" t="inlineStr">
        <is>
          <t>1027680-14.2024.8.19.0003</t>
        </is>
      </c>
      <c r="C469" t="inlineStr">
        <is>
          <t>AJ_LIST</t>
        </is>
      </c>
      <c r="D469" t="inlineStr">
        <is>
          <t>OK_NO_TOTALS</t>
        </is>
      </c>
      <c r="E469" t="n">
        <v>30</v>
      </c>
      <c r="F469" t="inlineStr">
        <is>
          <t>TABLE</t>
        </is>
      </c>
      <c r="G469" t="inlineStr">
        <is>
          <t>TABLE_BANDS</t>
        </is>
      </c>
      <c r="H469" t="inlineStr"/>
      <c r="I469" t="inlineStr">
        <is>
          <t>2024-10-23</t>
        </is>
      </c>
      <c r="J469" t="inlineStr">
        <is>
          <t>EURIPEDES BARSA</t>
        </is>
      </c>
      <c r="K469" t="inlineStr">
        <is>
          <t>mpbadmjudicial.com.br</t>
        </is>
      </c>
      <c r="L469" s="19" t="inlineStr">
        <is>
          <t>https://mpbadmjudicial.com.br/sgc/download.php?file=files/processo_documento/processo_documento10181913062025_1_.pdf&amp;nome=Plano de Recuperação Judicial</t>
        </is>
      </c>
    </row>
    <row r="470">
      <c r="A470" t="inlineStr">
        <is>
          <t>7b7f5a8ac268</t>
        </is>
      </c>
      <c r="C470" t="inlineStr">
        <is>
          <t>AJ_LIST</t>
        </is>
      </c>
      <c r="D470" t="inlineStr">
        <is>
          <t>OK_NO_TOTALS</t>
        </is>
      </c>
      <c r="E470" t="n">
        <v>2</v>
      </c>
      <c r="F470" t="inlineStr">
        <is>
          <t>TABLE</t>
        </is>
      </c>
      <c r="G470" t="inlineStr">
        <is>
          <t>TABLE_BANDS</t>
        </is>
      </c>
      <c r="H470" t="inlineStr"/>
      <c r="I470" t="inlineStr">
        <is>
          <t>2015-09-16</t>
        </is>
      </c>
      <c r="J470" t="inlineStr">
        <is>
          <t>EMPRESA</t>
        </is>
      </c>
      <c r="K470" t="inlineStr">
        <is>
          <t>realbrasil.com.br</t>
        </is>
      </c>
      <c r="L470" s="19" t="inlineStr">
        <is>
          <t>https://realbrasil.com.br/wp-content/uploads/2018/07/EDITAL-QGC_AJ_03.07.2018.pdf</t>
        </is>
      </c>
    </row>
    <row r="471">
      <c r="A471" t="inlineStr">
        <is>
          <t>5cac6a8cb939</t>
        </is>
      </c>
      <c r="B471" t="inlineStr">
        <is>
          <t>5401053-70.2026.8.09.0051</t>
        </is>
      </c>
      <c r="C471" t="inlineStr">
        <is>
          <t>AJ_LIST</t>
        </is>
      </c>
      <c r="D471" t="inlineStr">
        <is>
          <t>OK_NO_TOTALS</t>
        </is>
      </c>
      <c r="E471" t="n">
        <v>6</v>
      </c>
      <c r="F471" t="inlineStr">
        <is>
          <t>TABLE</t>
        </is>
      </c>
      <c r="G471" t="inlineStr">
        <is>
          <t>TABLE_RULED</t>
        </is>
      </c>
      <c r="H471" t="inlineStr"/>
      <c r="I471" t="inlineStr">
        <is>
          <t>2026-08-13</t>
        </is>
      </c>
      <c r="J471" t="inlineStr">
        <is>
          <t>em falência</t>
        </is>
      </c>
      <c r="K471" t="inlineStr">
        <is>
          <t>stenius.com.br</t>
        </is>
      </c>
      <c r="L471" s="19" t="inlineStr">
        <is>
          <t>https://stenius.com.br/wp-content/uploads/2026/08/1°-EDITAL-GRUPO-TENDAS.pdf</t>
        </is>
      </c>
    </row>
    <row r="472">
      <c r="A472" t="inlineStr">
        <is>
          <t>62943bec3423</t>
        </is>
      </c>
      <c r="B472" t="inlineStr">
        <is>
          <t>5677250-87.2023.8.09.0051</t>
        </is>
      </c>
      <c r="C472" t="inlineStr">
        <is>
          <t>AJ_LIST</t>
        </is>
      </c>
      <c r="D472" t="inlineStr">
        <is>
          <t>OK_NO_TOTALS</t>
        </is>
      </c>
      <c r="E472" t="n">
        <v>25</v>
      </c>
      <c r="F472" t="inlineStr">
        <is>
          <t>TABLE</t>
        </is>
      </c>
      <c r="G472" t="inlineStr">
        <is>
          <t>TABLE_RULED</t>
        </is>
      </c>
      <c r="H472" t="inlineStr"/>
      <c r="I472" t="inlineStr">
        <is>
          <t>2025-03-27</t>
        </is>
      </c>
      <c r="J472" t="inlineStr">
        <is>
          <t>GRUPO UNIBRÁS, por seu representante legal Dr. STENIUS LACERDA BASTOS, faz sa</t>
        </is>
      </c>
      <c r="K472" t="inlineStr">
        <is>
          <t>stenius.com.br</t>
        </is>
      </c>
      <c r="L472" s="19" t="inlineStr">
        <is>
          <t>https://stenius.com.br/wp-content/uploads/2026/03/EDITAL-1-UNIBRAS.pdf</t>
        </is>
      </c>
    </row>
    <row r="473">
      <c r="A473" t="inlineStr">
        <is>
          <t>301e3cf58b98</t>
        </is>
      </c>
      <c r="B473" t="inlineStr">
        <is>
          <t>5264228-81.2025.8.09.0172</t>
        </is>
      </c>
      <c r="C473" t="inlineStr">
        <is>
          <t>AJ_LIST</t>
        </is>
      </c>
      <c r="D473" t="inlineStr">
        <is>
          <t>OK_NO_TOTALS</t>
        </is>
      </c>
      <c r="E473" t="n">
        <v>2</v>
      </c>
      <c r="F473" t="inlineStr">
        <is>
          <t>TABLE</t>
        </is>
      </c>
      <c r="G473" t="inlineStr">
        <is>
          <t>TABLE_RULED</t>
        </is>
      </c>
      <c r="H473" t="inlineStr"/>
      <c r="I473" t="inlineStr">
        <is>
          <t>2026-06-30</t>
        </is>
      </c>
      <c r="J473" t="inlineStr">
        <is>
          <t>CINCOS CONSULTORIA ORGANIZACIONAL LTDA</t>
        </is>
      </c>
      <c r="K473" t="inlineStr">
        <is>
          <t>stenius.com.br</t>
        </is>
      </c>
      <c r="L473" s="19" t="inlineStr">
        <is>
          <t>https://stenius.com.br/wp-content/uploads/2026/06/EDITAL-GRUPO-FAEL.pdf</t>
        </is>
      </c>
    </row>
    <row r="474">
      <c r="A474" t="inlineStr">
        <is>
          <t>a593183e6dea</t>
        </is>
      </c>
      <c r="B474" t="inlineStr">
        <is>
          <t>1046550-03.2018.8.26.0100</t>
        </is>
      </c>
      <c r="C474" t="inlineStr">
        <is>
          <t>AJ_LIST</t>
        </is>
      </c>
      <c r="D474" t="inlineStr">
        <is>
          <t>OK_NO_TOTALS</t>
        </is>
      </c>
      <c r="E474" t="n">
        <v>4</v>
      </c>
      <c r="F474" t="inlineStr">
        <is>
          <t>TABLE</t>
        </is>
      </c>
      <c r="G474" t="inlineStr">
        <is>
          <t>TABLE_BANDS</t>
        </is>
      </c>
      <c r="H474" t="inlineStr"/>
      <c r="I474" t="inlineStr">
        <is>
          <t>2021-04-20</t>
        </is>
      </c>
      <c r="J474" t="inlineStr">
        <is>
          <t>ALCATEIA ENGENHARIA DE SISTEMA LTDA</t>
        </is>
      </c>
      <c r="K474" t="inlineStr">
        <is>
          <t>brasiltrustee.com.br</t>
        </is>
      </c>
      <c r="L474" s="19" t="inlineStr">
        <is>
          <t>https://violet-wolf-754008.hostingersite.com/wp-content/uploads/recuperacoes-judiciais/Alcateia-Engenharia-de-Sistema-LTDA/Primeiro-edital-de-credores.pdf</t>
        </is>
      </c>
    </row>
    <row r="475">
      <c r="A475" t="inlineStr">
        <is>
          <t>e4e76dff4083</t>
        </is>
      </c>
      <c r="B475" t="inlineStr">
        <is>
          <t>1006896-09.2026.8.11.0015</t>
        </is>
      </c>
      <c r="C475" t="inlineStr">
        <is>
          <t>AJ_LIST</t>
        </is>
      </c>
      <c r="D475" t="inlineStr">
        <is>
          <t>OK_NO_TOTALS</t>
        </is>
      </c>
      <c r="E475" t="n">
        <v>7</v>
      </c>
      <c r="F475" t="inlineStr">
        <is>
          <t>PROSE</t>
        </is>
      </c>
      <c r="G475" t="inlineStr">
        <is>
          <t>PROSE</t>
        </is>
      </c>
      <c r="H475" t="inlineStr"/>
      <c r="I475" t="inlineStr">
        <is>
          <t>2026-06-22</t>
        </is>
      </c>
      <c r="J475" t="inlineStr">
        <is>
          <t>GRUPO ZANATTA | Administração Judicial - Credibilità</t>
        </is>
      </c>
      <c r="K475" t="inlineStr">
        <is>
          <t>credibilita.com.br</t>
        </is>
      </c>
      <c r="L475" s="19" t="inlineStr">
        <is>
          <t>https://credibilita.com.br/wp-content/uploads/2026/06/Expedicao-Edital-Credores-16.06.2026.pdf</t>
        </is>
      </c>
    </row>
    <row r="476">
      <c r="A476" t="inlineStr">
        <is>
          <t>27348f7ead4e</t>
        </is>
      </c>
      <c r="B476" t="inlineStr">
        <is>
          <t>0003679-79.2026.8.16.0194</t>
        </is>
      </c>
      <c r="C476" t="inlineStr">
        <is>
          <t>AJ_LIST</t>
        </is>
      </c>
      <c r="D476" t="inlineStr">
        <is>
          <t>OK_NO_TOTALS</t>
        </is>
      </c>
      <c r="E476" t="n">
        <v>23</v>
      </c>
      <c r="F476" t="inlineStr">
        <is>
          <t>TABLE</t>
        </is>
      </c>
      <c r="G476" t="inlineStr">
        <is>
          <t>TABLE_BANDS</t>
        </is>
      </c>
      <c r="H476" t="inlineStr"/>
      <c r="I476" t="inlineStr">
        <is>
          <t>2026-05-08</t>
        </is>
      </c>
      <c r="J476" t="inlineStr">
        <is>
          <t>Fasttel Engenharia S.A. | Administração Judicial - Credibilità</t>
        </is>
      </c>
      <c r="K476" t="inlineStr">
        <is>
          <t>credibilita.com.br</t>
        </is>
      </c>
      <c r="L476" s="19" t="inlineStr">
        <is>
          <t>https://credibilita.com.br/wp-content/uploads/2026/03/08.05.2026-Lista-de-Credores-reapresentada-pela-Recuperanda-mov.-152.pdf</t>
        </is>
      </c>
    </row>
    <row r="477">
      <c r="A477" t="inlineStr">
        <is>
          <t>78dcb9b8f149</t>
        </is>
      </c>
      <c r="B477" t="inlineStr">
        <is>
          <t>0806815-98.2025.8.19.0001</t>
        </is>
      </c>
      <c r="C477" t="inlineStr">
        <is>
          <t>AJ_LIST</t>
        </is>
      </c>
      <c r="D477" t="inlineStr">
        <is>
          <t>OK_NO_TOTALS</t>
        </is>
      </c>
      <c r="E477" t="n">
        <v>4</v>
      </c>
      <c r="F477" t="inlineStr">
        <is>
          <t>TABLE</t>
        </is>
      </c>
      <c r="G477" t="inlineStr">
        <is>
          <t>TABLE_BANDS</t>
        </is>
      </c>
      <c r="H477" t="inlineStr"/>
      <c r="I477" t="inlineStr">
        <is>
          <t>2025-04-10</t>
        </is>
      </c>
      <c r="J477" t="inlineStr">
        <is>
          <t>SOCIEDADES WIDMEN AUTO CENTER LTDA</t>
        </is>
      </c>
      <c r="K477" t="inlineStr">
        <is>
          <t>inova-aj.com.br</t>
        </is>
      </c>
      <c r="L477" s="19" t="inlineStr">
        <is>
          <t>https://inova-aj.com.br/wp-content/uploads/2025/04/Edital-de-Intimacao-Primeira-Relacao-de-Credores-e-Decisao-de-Deferimento.pdf</t>
        </is>
      </c>
    </row>
    <row r="478">
      <c r="A478" t="inlineStr">
        <is>
          <t>75d90d6311b7</t>
        </is>
      </c>
      <c r="B478" t="inlineStr">
        <is>
          <t>5003049-91.2026.8.21.0001</t>
        </is>
      </c>
      <c r="C478" t="inlineStr">
        <is>
          <t>AJ_LIST</t>
        </is>
      </c>
      <c r="D478" t="inlineStr">
        <is>
          <t>OK_NO_TOTALS</t>
        </is>
      </c>
      <c r="E478" t="n">
        <v>54</v>
      </c>
      <c r="F478" t="inlineStr">
        <is>
          <t>PROSE</t>
        </is>
      </c>
      <c r="G478" t="inlineStr">
        <is>
          <t>PROSE</t>
        </is>
      </c>
      <c r="H478" t="inlineStr"/>
      <c r="J478" t="inlineStr">
        <is>
          <t>autos supracitados, em que é Requerente a empresa</t>
        </is>
      </c>
      <c r="K478" t="inlineStr">
        <is>
          <t>credibilita.com.br</t>
        </is>
      </c>
      <c r="L478" s="19" t="inlineStr">
        <is>
          <t>https://credibilita.com.br/wp-content/uploads/2026/03/05.08.2026-Manifestacao-da-Administradora-Judicial-que-apresenta-a-Lista-de-Credores-prevista-no-art.-7o-§-2o-da-LREF-ev.-200.pdf</t>
        </is>
      </c>
    </row>
    <row r="479">
      <c r="A479" t="inlineStr">
        <is>
          <t>39c3779930c0</t>
        </is>
      </c>
      <c r="B479" t="inlineStr">
        <is>
          <t>5003049-91.2026.8.21.0001</t>
        </is>
      </c>
      <c r="C479" t="inlineStr">
        <is>
          <t>AJ_LIST</t>
        </is>
      </c>
      <c r="D479" t="inlineStr">
        <is>
          <t>OK_NO_TOTALS</t>
        </is>
      </c>
      <c r="E479" t="n">
        <v>2</v>
      </c>
      <c r="F479" t="inlineStr">
        <is>
          <t>PROSE</t>
        </is>
      </c>
      <c r="G479" t="inlineStr">
        <is>
          <t>PROSE</t>
        </is>
      </c>
      <c r="H479" t="inlineStr"/>
      <c r="I479" t="inlineStr">
        <is>
          <t>2026-08-07</t>
        </is>
      </c>
      <c r="J479" t="inlineStr">
        <is>
          <t>CM DISTRIBUIDORA DE CARNES LTDA. | Administração Judicial - Credibilità</t>
        </is>
      </c>
      <c r="K479" t="inlineStr">
        <is>
          <t>credibilita.com.br</t>
        </is>
      </c>
      <c r="L479" s="19" t="inlineStr">
        <is>
          <t>https://credibilita.com.br/wp-content/uploads/2026/03/06.08.2026-Edital-do-art.-7o-§-2o-da-Lei-no-11.1012005-Relacao-de-Credores-apresentada-pela-Administradora-Judicial-ev.-203.pdf</t>
        </is>
      </c>
    </row>
    <row r="480">
      <c r="A480" t="inlineStr">
        <is>
          <t>9ac4930199da</t>
        </is>
      </c>
      <c r="B480" t="inlineStr">
        <is>
          <t>0949160-58.2023.8.19.0001</t>
        </is>
      </c>
      <c r="C480" t="inlineStr">
        <is>
          <t>AJ_LIST</t>
        </is>
      </c>
      <c r="D480" t="inlineStr">
        <is>
          <t>OK_NO_TOTALS</t>
        </is>
      </c>
      <c r="E480" t="n">
        <v>1</v>
      </c>
      <c r="F480" t="inlineStr">
        <is>
          <t>PROSE</t>
        </is>
      </c>
      <c r="G480" t="inlineStr">
        <is>
          <t>PROSE</t>
        </is>
      </c>
      <c r="H480" t="inlineStr"/>
      <c r="I480" t="inlineStr">
        <is>
          <t>2023-11-09</t>
        </is>
      </c>
      <c r="J480" t="inlineStr">
        <is>
          <t>Grupo Officilab – Processo nº 0949160-58.2023.8.19.0001 – e-mail: admjudofficilab@inova-aj.com.br – INOVA</t>
        </is>
      </c>
      <c r="K480" t="inlineStr">
        <is>
          <t>inova-aj.com.br</t>
        </is>
      </c>
      <c r="L480" s="19" t="inlineStr">
        <is>
          <t>https://inova-aj.com.br/wp-content/uploads/2024/06/Officilab-Edital-Conjunto-Segunda-Relacao-de-Credores-e-REcebimento-do-PRJ-art.-7o-§-2o-e-art.-53-pu.pdf</t>
        </is>
      </c>
    </row>
    <row r="481">
      <c r="A481" t="inlineStr">
        <is>
          <t>35ffd4ba360b</t>
        </is>
      </c>
      <c r="B481" t="inlineStr">
        <is>
          <t>1025706-74.2024.8.26.0309</t>
        </is>
      </c>
      <c r="C481" t="inlineStr">
        <is>
          <t>AJ_LIST</t>
        </is>
      </c>
      <c r="D481" t="inlineStr">
        <is>
          <t>OK_NO_TOTALS</t>
        </is>
      </c>
      <c r="E481" t="n">
        <v>60</v>
      </c>
      <c r="F481" t="inlineStr">
        <is>
          <t>TABLE</t>
        </is>
      </c>
      <c r="G481" t="inlineStr">
        <is>
          <t>TABLE_BANDS</t>
        </is>
      </c>
      <c r="H481" t="inlineStr"/>
      <c r="J481" t="inlineStr">
        <is>
          <t>Grupo Propel | Administração Judicial - Credibilità</t>
        </is>
      </c>
      <c r="K481" t="inlineStr">
        <is>
          <t>credibilita.com.br</t>
        </is>
      </c>
      <c r="L481" s="19" t="inlineStr">
        <is>
          <t>https://credibilita.com.br/wp-content/uploads/2025/02/38.-Modificativo-do-Plano-de-Recuperacao-Judicial.pdf</t>
        </is>
      </c>
    </row>
    <row r="482">
      <c r="A482" t="inlineStr">
        <is>
          <t>2329ec5bf539</t>
        </is>
      </c>
      <c r="B482" t="inlineStr">
        <is>
          <t>0873061-47.2023.8.19.0001</t>
        </is>
      </c>
      <c r="C482" t="inlineStr">
        <is>
          <t>AJ_LIST</t>
        </is>
      </c>
      <c r="D482" t="inlineStr">
        <is>
          <t>OK_NO_TOTALS</t>
        </is>
      </c>
      <c r="E482" t="n">
        <v>3</v>
      </c>
      <c r="F482" t="inlineStr">
        <is>
          <t>PROSE</t>
        </is>
      </c>
      <c r="G482" t="inlineStr">
        <is>
          <t>PROSE</t>
        </is>
      </c>
      <c r="H482" t="inlineStr"/>
      <c r="I482" t="inlineStr">
        <is>
          <t>2024-10-29</t>
        </is>
      </c>
      <c r="J482" t="inlineStr">
        <is>
          <t>REAL DISTRIBUIDORA ÚNICA RIO COMÉRCIO DE REFRIGERAÇÃO LTDA</t>
        </is>
      </c>
      <c r="K482" t="inlineStr">
        <is>
          <t>inova-aj.com.br</t>
        </is>
      </c>
      <c r="L482" s="19" t="inlineStr">
        <is>
          <t>https://inova-aj.com.br/wp-content/uploads/2024/10/Real-Edital-Relacao-de-Credores-Art.-7o-§-2o-Lei-no-11.101.pdf</t>
        </is>
      </c>
    </row>
    <row r="483">
      <c r="A483" t="inlineStr">
        <is>
          <t>4c894580c5e9</t>
        </is>
      </c>
      <c r="B483" t="inlineStr">
        <is>
          <t>5008465-92.2023.8.24.0023</t>
        </is>
      </c>
      <c r="C483" t="inlineStr">
        <is>
          <t>AJ_LIST</t>
        </is>
      </c>
      <c r="D483" t="inlineStr">
        <is>
          <t>OK_NO_TOTALS</t>
        </is>
      </c>
      <c r="E483" t="n">
        <v>14</v>
      </c>
      <c r="F483" t="inlineStr">
        <is>
          <t>TABLE</t>
        </is>
      </c>
      <c r="G483" t="inlineStr">
        <is>
          <t>TABLE_BANDS</t>
        </is>
      </c>
      <c r="H483" t="inlineStr"/>
      <c r="I483" t="inlineStr">
        <is>
          <t>2025-10-20</t>
        </is>
      </c>
      <c r="J483" t="inlineStr">
        <is>
          <t>formulado por SELLETA SERVICOS LTDA</t>
        </is>
      </c>
      <c r="K483" t="inlineStr">
        <is>
          <t>credibilita.com.br</t>
        </is>
      </c>
      <c r="L483" s="19" t="inlineStr">
        <is>
          <t>https://credibilita.com.br/wp-content/uploads/2023/12/Sentenca-concedendo-a-recuperacao-judicial.pdf</t>
        </is>
      </c>
    </row>
    <row r="484">
      <c r="A484" t="inlineStr">
        <is>
          <t>873137a7e6ca</t>
        </is>
      </c>
      <c r="B484" t="inlineStr">
        <is>
          <t>5001743-15.2025.8.08.0024</t>
        </is>
      </c>
      <c r="C484" t="inlineStr">
        <is>
          <t>AJ_LIST</t>
        </is>
      </c>
      <c r="D484" t="inlineStr">
        <is>
          <t>OK_NO_TOTALS</t>
        </is>
      </c>
      <c r="E484" t="n">
        <v>5</v>
      </c>
      <c r="F484" t="inlineStr">
        <is>
          <t>TABLE</t>
        </is>
      </c>
      <c r="G484" t="inlineStr">
        <is>
          <t>TABLE_BANDS</t>
        </is>
      </c>
      <c r="H484" t="inlineStr"/>
      <c r="I484" t="inlineStr">
        <is>
          <t>2025-02-14</t>
        </is>
      </c>
      <c r="J484" t="inlineStr">
        <is>
          <t>e Falência</t>
        </is>
      </c>
      <c r="K484" t="inlineStr">
        <is>
          <t>rlg-aj.com.br</t>
        </is>
      </c>
      <c r="L484" s="19" t="inlineStr">
        <is>
          <t>https://rlg-aj.com.br/wp-content/uploads/2025/02/Edital-Artigo-52.-Parágrafo-1.-Contemporanea.pdf</t>
        </is>
      </c>
    </row>
    <row r="485">
      <c r="A485" t="inlineStr">
        <is>
          <t>675516c7349d</t>
        </is>
      </c>
      <c r="B485" t="inlineStr">
        <is>
          <t>0873061-47.2023.8.19.0001</t>
        </is>
      </c>
      <c r="C485" t="inlineStr">
        <is>
          <t>AJ_LIST</t>
        </is>
      </c>
      <c r="D485" t="inlineStr">
        <is>
          <t>OK_NO_TOTALS</t>
        </is>
      </c>
      <c r="E485" t="n">
        <v>2</v>
      </c>
      <c r="F485" t="inlineStr">
        <is>
          <t>TABLE</t>
        </is>
      </c>
      <c r="G485" t="inlineStr">
        <is>
          <t>TABLE_RULED</t>
        </is>
      </c>
      <c r="H485" t="inlineStr"/>
      <c r="J485" t="inlineStr">
        <is>
          <t>Real Distribuidora – Processo nº 0873061-47.2023.8.19.0001 – e-mail: admjudunica@inova-aj.com.br – INOVA</t>
        </is>
      </c>
      <c r="K485" t="inlineStr">
        <is>
          <t>inova-aj.com.br</t>
        </is>
      </c>
      <c r="L485" s="19" t="inlineStr">
        <is>
          <t>https://inova-aj.com.br/wp-content/uploads/2024/09/Doc.-02-2°-Relacao-de-Credores.pdf</t>
        </is>
      </c>
    </row>
    <row r="486">
      <c r="A486" t="inlineStr">
        <is>
          <t>8fb0d3409027</t>
        </is>
      </c>
      <c r="B486" t="inlineStr">
        <is>
          <t>0873061-47.2023.8.19.0001</t>
        </is>
      </c>
      <c r="C486" t="inlineStr">
        <is>
          <t>AJ_LIST</t>
        </is>
      </c>
      <c r="D486" t="inlineStr">
        <is>
          <t>OK_NO_TOTALS</t>
        </is>
      </c>
      <c r="E486" t="n">
        <v>2</v>
      </c>
      <c r="F486" t="inlineStr">
        <is>
          <t>TABLE</t>
        </is>
      </c>
      <c r="G486" t="inlineStr">
        <is>
          <t>TABLE_RULED</t>
        </is>
      </c>
      <c r="H486" t="inlineStr"/>
      <c r="J486" t="inlineStr">
        <is>
          <t>Real Distribuidora – Processo nº 0873061-47.2023.8.19.0001 – e-mail: admjudunica@inova-aj.com.br – INOVA</t>
        </is>
      </c>
      <c r="K486" t="inlineStr">
        <is>
          <t>inova-aj.com.br</t>
        </is>
      </c>
      <c r="L486" s="19" t="inlineStr">
        <is>
          <t>https://inova-aj.com.br/wp-content/uploads/2024/05/Real-Primeira-Relacao-de-Credores-1.pdf</t>
        </is>
      </c>
    </row>
    <row r="487">
      <c r="A487" t="inlineStr">
        <is>
          <t>e308ff0afd15</t>
        </is>
      </c>
      <c r="B487" t="inlineStr">
        <is>
          <t>5004799-61.2024.8.24.0019</t>
        </is>
      </c>
      <c r="C487" t="inlineStr">
        <is>
          <t>AJ_LIST</t>
        </is>
      </c>
      <c r="D487" t="inlineStr">
        <is>
          <t>OK_NO_TOTALS</t>
        </is>
      </c>
      <c r="E487" t="n">
        <v>289</v>
      </c>
      <c r="F487" t="inlineStr">
        <is>
          <t>PROSE</t>
        </is>
      </c>
      <c r="G487" t="inlineStr">
        <is>
          <t>PROSE</t>
        </is>
      </c>
      <c r="H487" t="inlineStr"/>
      <c r="J487" t="inlineStr">
        <is>
          <t>movida por DIOMAR ANTONIO DE SOUZA E CIA</t>
        </is>
      </c>
      <c r="K487" t="inlineStr">
        <is>
          <t>rlg-aj.com.br</t>
        </is>
      </c>
      <c r="L487" s="19" t="inlineStr">
        <is>
          <t>https://rlg-aj.com.br/wp-content/uploads/2024/05/Relação-de-Credores-elaborada-nos-termos-do-art.-7º-da-LREF-Diomar.pdf</t>
        </is>
      </c>
    </row>
    <row r="488">
      <c r="A488" t="inlineStr">
        <is>
          <t>ad59024ca110</t>
        </is>
      </c>
      <c r="B488" t="inlineStr">
        <is>
          <t>1013435-20.2015.8.26.0577</t>
        </is>
      </c>
      <c r="C488" t="inlineStr">
        <is>
          <t>AJ_LIST</t>
        </is>
      </c>
      <c r="D488" t="inlineStr">
        <is>
          <t>OK_NO_TOTALS</t>
        </is>
      </c>
      <c r="E488" t="n">
        <v>4</v>
      </c>
      <c r="F488" t="inlineStr">
        <is>
          <t>TABLE</t>
        </is>
      </c>
      <c r="G488" t="inlineStr">
        <is>
          <t>TABLE_BANDS</t>
        </is>
      </c>
      <c r="H488" t="inlineStr"/>
      <c r="J488" t="inlineStr">
        <is>
          <t>ENGES ENGENHARIA E COMÉRCIO LTDA</t>
        </is>
      </c>
      <c r="K488" t="inlineStr">
        <is>
          <t>brasiltrustee.com.br</t>
        </is>
      </c>
      <c r="L488" s="19" t="inlineStr">
        <is>
          <t>https://violet-wolf-754008.hostingersite.com/wp-content/uploads/recuperacoes-judiciais/enges-engenharia/05-Certidão-de-Publicação-do-Primeiro-Edital.pdf</t>
        </is>
      </c>
    </row>
    <row r="489">
      <c r="A489" t="inlineStr">
        <is>
          <t>9f215213e71b</t>
        </is>
      </c>
      <c r="B489" t="inlineStr">
        <is>
          <t>0009773-70.2012.8.26.0577</t>
        </is>
      </c>
      <c r="C489" t="inlineStr">
        <is>
          <t>AJ_LIST</t>
        </is>
      </c>
      <c r="D489" t="inlineStr">
        <is>
          <t>OK_NO_TOTALS</t>
        </is>
      </c>
      <c r="E489" t="n">
        <v>3</v>
      </c>
      <c r="F489" t="inlineStr">
        <is>
          <t>PROSE</t>
        </is>
      </c>
      <c r="G489" t="inlineStr">
        <is>
          <t>PROSE</t>
        </is>
      </c>
      <c r="H489" t="inlineStr"/>
      <c r="I489" t="inlineStr">
        <is>
          <t>2011-08-06</t>
        </is>
      </c>
      <c r="J489" t="inlineStr">
        <is>
          <t>Recuperações Judiciais – Brasil Trustee</t>
        </is>
      </c>
      <c r="K489" t="inlineStr">
        <is>
          <t>brasiltrustee.com.br</t>
        </is>
      </c>
      <c r="L489" s="19" t="inlineStr">
        <is>
          <t>https://violet-wolf-754008.hostingersite.com/wp-content/uploads/recuperacoes-judiciais/enges-engenharia/Segundo-edital-Enges.pdf</t>
        </is>
      </c>
    </row>
    <row r="490">
      <c r="A490" t="inlineStr">
        <is>
          <t>298df513d500</t>
        </is>
      </c>
      <c r="B490" t="inlineStr">
        <is>
          <t>5074883-62.2023.8.21.0001</t>
        </is>
      </c>
      <c r="C490" t="inlineStr">
        <is>
          <t>AJ_LIST</t>
        </is>
      </c>
      <c r="D490" t="inlineStr">
        <is>
          <t>OK_NO_TOTALS</t>
        </is>
      </c>
      <c r="E490" t="n">
        <v>5</v>
      </c>
      <c r="F490" t="inlineStr">
        <is>
          <t>TABLE</t>
        </is>
      </c>
      <c r="G490" t="inlineStr">
        <is>
          <t>TABLE_RULED</t>
        </is>
      </c>
      <c r="H490" t="inlineStr"/>
      <c r="J490" t="inlineStr">
        <is>
          <t>MAGAZINE SA</t>
        </is>
      </c>
      <c r="K490" t="inlineStr">
        <is>
          <t>rlg-aj.com.br</t>
        </is>
      </c>
      <c r="L490" s="19" t="inlineStr">
        <is>
          <t>https://rlg-aj.com.br/wp-content/uploads/2023/05/Relacao-de-Credores-do-art.-7o-§2o-da-Lei-n.o-11.101-de-2005-Lojas-Aldo.pdf</t>
        </is>
      </c>
    </row>
    <row r="491">
      <c r="A491" t="inlineStr">
        <is>
          <t>1de8ac48c4c5</t>
        </is>
      </c>
      <c r="B491" t="inlineStr">
        <is>
          <t>1074600-92.2025.8.11.0041</t>
        </is>
      </c>
      <c r="C491" t="inlineStr">
        <is>
          <t>AJ_LIST</t>
        </is>
      </c>
      <c r="D491" t="inlineStr">
        <is>
          <t>OK_NO_TOTALS</t>
        </is>
      </c>
      <c r="E491" t="n">
        <v>7</v>
      </c>
      <c r="F491" t="inlineStr">
        <is>
          <t>TABLE</t>
        </is>
      </c>
      <c r="G491" t="inlineStr">
        <is>
          <t>TABLE_BANDS</t>
        </is>
      </c>
      <c r="H491" t="inlineStr"/>
      <c r="I491" t="inlineStr">
        <is>
          <t>2026-03-05</t>
        </is>
      </c>
      <c r="J491" t="inlineStr">
        <is>
          <t>empresa</t>
        </is>
      </c>
      <c r="K491" t="inlineStr">
        <is>
          <t>rlg-aj.com.br</t>
        </is>
      </c>
      <c r="L491" s="19" t="inlineStr">
        <is>
          <t>https://rlg-aj.com.br/wp-content/uploads/2026/03/20260306-EDT-Publicacao-Artigo-52.-Paragrafo-1.-Grupo-Vezignazzi.pdf</t>
        </is>
      </c>
    </row>
    <row r="492">
      <c r="A492" t="inlineStr">
        <is>
          <t>fa5f86115d8f</t>
        </is>
      </c>
      <c r="B492" t="inlineStr">
        <is>
          <t>1000506-49.2019.8.26.0565</t>
        </is>
      </c>
      <c r="C492" t="inlineStr">
        <is>
          <t>AJ_LIST</t>
        </is>
      </c>
      <c r="D492" t="inlineStr">
        <is>
          <t>OK_NO_TOTALS</t>
        </is>
      </c>
      <c r="E492" t="n">
        <v>4</v>
      </c>
      <c r="F492" t="inlineStr">
        <is>
          <t>PROSE</t>
        </is>
      </c>
      <c r="G492" t="inlineStr">
        <is>
          <t>PROSE</t>
        </is>
      </c>
      <c r="H492" t="inlineStr"/>
      <c r="I492" t="inlineStr">
        <is>
          <t>2019-01-31</t>
        </is>
      </c>
      <c r="J492" t="inlineStr">
        <is>
          <t>empresa</t>
        </is>
      </c>
      <c r="K492" t="inlineStr">
        <is>
          <t>brasiltrustee.com.br</t>
        </is>
      </c>
      <c r="L492" s="19" t="inlineStr">
        <is>
          <t>https://violet-wolf-754008.hostingersite.com/wp-content/uploads/recuperacoes-judiciais/Pires-do-rio/Pires-do-Rio-1º-EDITAL-PUBLICADO-DJE-20.03.2019.pdf</t>
        </is>
      </c>
    </row>
    <row r="493">
      <c r="A493" t="inlineStr">
        <is>
          <t>0586a5adac82</t>
        </is>
      </c>
      <c r="B493" t="inlineStr">
        <is>
          <t>5004799-61.2024.8.24.0019</t>
        </is>
      </c>
      <c r="C493" t="inlineStr">
        <is>
          <t>AJ_LIST</t>
        </is>
      </c>
      <c r="D493" t="inlineStr">
        <is>
          <t>OK_NO_TOTALS</t>
        </is>
      </c>
      <c r="E493" t="n">
        <v>25</v>
      </c>
      <c r="F493" t="inlineStr">
        <is>
          <t>PROSE</t>
        </is>
      </c>
      <c r="G493" t="inlineStr">
        <is>
          <t>PROSE</t>
        </is>
      </c>
      <c r="H493" t="inlineStr"/>
      <c r="I493" t="inlineStr">
        <is>
          <t>2026-05-27</t>
        </is>
      </c>
      <c r="J493" t="inlineStr">
        <is>
          <t>DIOMAR ANTONIO DE SOUZA E CIA</t>
        </is>
      </c>
      <c r="K493" t="inlineStr">
        <is>
          <t>rlg-aj.com.br</t>
        </is>
      </c>
      <c r="L493" s="19" t="inlineStr">
        <is>
          <t>https://rlg-aj.com.br/wp-content/uploads/2026/04/20260529-EDT-Publicacao-Artigo-99.-Paragrafo-1.-Supermercado-Faxinal.pdf</t>
        </is>
      </c>
    </row>
    <row r="494">
      <c r="A494" t="inlineStr">
        <is>
          <t>d1749a0042f5</t>
        </is>
      </c>
      <c r="B494" t="inlineStr">
        <is>
          <t>0000335-78.2024.8.26.0260</t>
        </is>
      </c>
      <c r="C494" t="inlineStr">
        <is>
          <t>AJ_LIST</t>
        </is>
      </c>
      <c r="D494" t="inlineStr">
        <is>
          <t>OK_NO_TOTALS</t>
        </is>
      </c>
      <c r="E494" t="n">
        <v>2</v>
      </c>
      <c r="F494" t="inlineStr">
        <is>
          <t>TABLE</t>
        </is>
      </c>
      <c r="G494" t="inlineStr">
        <is>
          <t>TABLE_BANDS</t>
        </is>
      </c>
      <c r="H494" t="inlineStr"/>
      <c r="J494" t="inlineStr">
        <is>
          <t>GateKeeper | Recuperação Judicial em São Paulo – Ética, técnica e profissionalismo na administração judicial de processos de recuperação e falência.</t>
        </is>
      </c>
      <c r="K494" t="inlineStr">
        <is>
          <t>gatekeeperaj.com.br</t>
        </is>
      </c>
      <c r="L494" s="19" t="inlineStr">
        <is>
          <t>https://gatekeeperaj.com.br/wp-content/uploads/2024/03/Relacao-de-Credores-Actech.pdf</t>
        </is>
      </c>
    </row>
    <row r="495">
      <c r="A495" t="inlineStr">
        <is>
          <t>515b7799da16</t>
        </is>
      </c>
      <c r="B495" t="inlineStr">
        <is>
          <t>5022281-22.2022.8.08.0024</t>
        </is>
      </c>
      <c r="C495" t="inlineStr">
        <is>
          <t>AJ_LIST</t>
        </is>
      </c>
      <c r="D495" t="inlineStr">
        <is>
          <t>OK_NO_TOTALS</t>
        </is>
      </c>
      <c r="E495" t="n">
        <v>4</v>
      </c>
      <c r="F495" t="inlineStr">
        <is>
          <t>TABLE</t>
        </is>
      </c>
      <c r="G495" t="inlineStr">
        <is>
          <t>TABLE_BANDS</t>
        </is>
      </c>
      <c r="H495" t="inlineStr"/>
      <c r="I495" t="inlineStr">
        <is>
          <t>2023-07-20</t>
        </is>
      </c>
      <c r="J495" t="inlineStr">
        <is>
          <t>e Falência</t>
        </is>
      </c>
      <c r="K495" t="inlineStr">
        <is>
          <t>rlg-aj.com.br</t>
        </is>
      </c>
      <c r="L495" s="19" t="inlineStr">
        <is>
          <t>https://rlg-aj.com.br/wp-content/uploads/2023/05/Relacao-Nominal-dos-Credores-Lista-do-Artigo-99.-Paragrafo-1.-Criart-1.pdf</t>
        </is>
      </c>
    </row>
    <row r="496">
      <c r="A496" t="inlineStr">
        <is>
          <t>8727584760b7</t>
        </is>
      </c>
      <c r="B496" t="inlineStr">
        <is>
          <t>5022281-22.2022.8.08.0024</t>
        </is>
      </c>
      <c r="C496" t="inlineStr">
        <is>
          <t>AJ_LIST</t>
        </is>
      </c>
      <c r="D496" t="inlineStr">
        <is>
          <t>OK_NO_TOTALS</t>
        </is>
      </c>
      <c r="E496" t="n">
        <v>3</v>
      </c>
      <c r="F496" t="inlineStr">
        <is>
          <t>TABLE</t>
        </is>
      </c>
      <c r="G496" t="inlineStr">
        <is>
          <t>TABLE_BANDS</t>
        </is>
      </c>
      <c r="H496" t="inlineStr"/>
      <c r="I496" t="inlineStr">
        <is>
          <t>2023-07-20</t>
        </is>
      </c>
      <c r="J496" t="inlineStr">
        <is>
          <t>e Falência</t>
        </is>
      </c>
      <c r="K496" t="inlineStr">
        <is>
          <t>rlg-aj.com.br</t>
        </is>
      </c>
      <c r="L496" s="19" t="inlineStr">
        <is>
          <t>https://rlg-aj.com.br/wp-content/uploads/2023/05/Relacao-Nominal-dos-Credores-Lista-do-Artigo-99.-Paragrafo-1.-M-Manenti.pdf</t>
        </is>
      </c>
    </row>
    <row r="497">
      <c r="A497" t="inlineStr">
        <is>
          <t>15fa73f70150</t>
        </is>
      </c>
      <c r="B497" t="inlineStr">
        <is>
          <t>0255180-67.2007.8.26.0100</t>
        </is>
      </c>
      <c r="C497" t="inlineStr">
        <is>
          <t>AJ_LIST</t>
        </is>
      </c>
      <c r="D497" t="inlineStr">
        <is>
          <t>OK_NO_TOTALS</t>
        </is>
      </c>
      <c r="E497" t="n">
        <v>74</v>
      </c>
      <c r="F497" t="inlineStr">
        <is>
          <t>PROSE</t>
        </is>
      </c>
      <c r="G497" t="inlineStr">
        <is>
          <t>PROSE</t>
        </is>
      </c>
      <c r="H497" t="inlineStr"/>
      <c r="I497" t="inlineStr">
        <is>
          <t>2022-03-09</t>
        </is>
      </c>
      <c r="J497" t="inlineStr">
        <is>
          <t>BRA TRANSPORTES AÉREOS S/A</t>
        </is>
      </c>
      <c r="K497" t="inlineStr">
        <is>
          <t>gatekeeperaj.com.br</t>
        </is>
      </c>
      <c r="L497" s="19" t="inlineStr">
        <is>
          <t>https://gatekeeperaj.com.br/wp-content/uploads/2023/06/Relacao-de-credores-do-art.-7o-§1o.pdf</t>
        </is>
      </c>
    </row>
    <row r="498">
      <c r="A498" t="inlineStr">
        <is>
          <t>f4d39c4c07f8</t>
        </is>
      </c>
      <c r="B498" t="inlineStr">
        <is>
          <t>5001743-15.2025.8.08.0024</t>
        </is>
      </c>
      <c r="C498" t="inlineStr">
        <is>
          <t>AJ_LIST</t>
        </is>
      </c>
      <c r="D498" t="inlineStr">
        <is>
          <t>OK_NO_TOTALS</t>
        </is>
      </c>
      <c r="E498" t="n">
        <v>6</v>
      </c>
      <c r="F498" t="inlineStr">
        <is>
          <t>TABLE</t>
        </is>
      </c>
      <c r="G498" t="inlineStr">
        <is>
          <t>TABLE_BANDS</t>
        </is>
      </c>
      <c r="H498" t="inlineStr"/>
      <c r="I498" t="inlineStr">
        <is>
          <t>2026-05-25</t>
        </is>
      </c>
      <c r="J498" t="inlineStr">
        <is>
          <t>e Falência</t>
        </is>
      </c>
      <c r="K498" t="inlineStr">
        <is>
          <t>rlg-aj.com.br</t>
        </is>
      </c>
      <c r="L498" s="19" t="inlineStr">
        <is>
          <t>https://rlg-aj.com.br/wp-content/uploads/2025/02/20260522-Sentenca-de-Convolacao-da-RJ-em-Falencia-e-Nomeacao-RLG-Contemporanea.pdf</t>
        </is>
      </c>
    </row>
    <row r="499">
      <c r="A499" t="inlineStr">
        <is>
          <t>d4a1e219a2c7</t>
        </is>
      </c>
      <c r="B499" t="inlineStr">
        <is>
          <t>1005079-94.2024.8.26.0100</t>
        </is>
      </c>
      <c r="C499" t="inlineStr">
        <is>
          <t>AJ_LIST</t>
        </is>
      </c>
      <c r="D499" t="inlineStr">
        <is>
          <t>OK_NO_TOTALS</t>
        </is>
      </c>
      <c r="E499" t="n">
        <v>4</v>
      </c>
      <c r="F499" t="inlineStr">
        <is>
          <t>TABLE</t>
        </is>
      </c>
      <c r="G499" t="inlineStr">
        <is>
          <t>TABLE_BANDS</t>
        </is>
      </c>
      <c r="H499" t="inlineStr"/>
      <c r="I499" t="inlineStr">
        <is>
          <t>2025-07-25</t>
        </is>
      </c>
      <c r="J499" t="inlineStr">
        <is>
          <t>GateKeeper | Recuperação Judicial em São Paulo – Ética, técnica e profissionalismo na administração judicial de processos de recuperação e falência.</t>
        </is>
      </c>
      <c r="K499" t="inlineStr">
        <is>
          <t>gatekeeperaj.com.br</t>
        </is>
      </c>
      <c r="L499" s="19" t="inlineStr">
        <is>
          <t>https://gatekeeperaj.com.br/wp-content/uploads/2025/10/EDITAL-CONV-BERTINIS.pdf</t>
        </is>
      </c>
    </row>
    <row r="500">
      <c r="A500" t="inlineStr">
        <is>
          <t>fefcbf43d19a</t>
        </is>
      </c>
      <c r="B500" t="inlineStr">
        <is>
          <t>5004592-19.2024.8.21.0028</t>
        </is>
      </c>
      <c r="C500" t="inlineStr">
        <is>
          <t>AJ_LIST</t>
        </is>
      </c>
      <c r="D500" t="inlineStr">
        <is>
          <t>OK_NO_TOTALS</t>
        </is>
      </c>
      <c r="E500" t="n">
        <v>3</v>
      </c>
      <c r="F500" t="inlineStr">
        <is>
          <t>PROSE</t>
        </is>
      </c>
      <c r="G500" t="inlineStr">
        <is>
          <t>PROSE</t>
        </is>
      </c>
      <c r="H500" t="inlineStr"/>
      <c r="I500" t="inlineStr">
        <is>
          <t>2024-10-14</t>
        </is>
      </c>
      <c r="J500" t="inlineStr">
        <is>
          <t>5004592-19.2024.8.21.0028 | CB2D</t>
        </is>
      </c>
      <c r="K500" t="inlineStr">
        <is>
          <t>cb2d.com.br</t>
        </is>
      </c>
      <c r="L500" s="19" t="inlineStr">
        <is>
          <t>https://www.cb2d.com.br/portal/_uploads/4270e808-8367-4c04-a7ae-240724b24512.pdf</t>
        </is>
      </c>
    </row>
    <row r="501">
      <c r="A501" t="inlineStr">
        <is>
          <t>36bbc62a709b</t>
        </is>
      </c>
      <c r="B501" t="inlineStr">
        <is>
          <t>5021496-35.2023.8.21.0001</t>
        </is>
      </c>
      <c r="C501" t="inlineStr">
        <is>
          <t>AJ_LIST</t>
        </is>
      </c>
      <c r="D501" t="inlineStr">
        <is>
          <t>OK_NO_TOTALS</t>
        </is>
      </c>
      <c r="E501" t="n">
        <v>8</v>
      </c>
      <c r="F501" t="inlineStr">
        <is>
          <t>TABLE</t>
        </is>
      </c>
      <c r="G501" t="inlineStr">
        <is>
          <t>TABLE_BANDS</t>
        </is>
      </c>
      <c r="H501" t="inlineStr"/>
      <c r="I501" t="inlineStr">
        <is>
          <t>2024-07-09</t>
        </is>
      </c>
      <c r="J501" t="inlineStr">
        <is>
          <t>5021496-35.2023.8.21.0001 | CB2D</t>
        </is>
      </c>
      <c r="K501" t="inlineStr">
        <is>
          <t>cb2d.com.br</t>
        </is>
      </c>
      <c r="L501" s="19" t="inlineStr">
        <is>
          <t>https://www.cb2d.com.br/portal/_uploads/1c7e1d44-d3a6-4299-ac49-46095f702fbc.pdf</t>
        </is>
      </c>
    </row>
    <row r="502">
      <c r="A502" t="inlineStr">
        <is>
          <t>075624a95200</t>
        </is>
      </c>
      <c r="B502" t="inlineStr">
        <is>
          <t>5007435-75.2024.8.21.0021</t>
        </is>
      </c>
      <c r="C502" t="inlineStr">
        <is>
          <t>AJ_LIST</t>
        </is>
      </c>
      <c r="D502" t="inlineStr">
        <is>
          <t>OK_NO_TOTALS</t>
        </is>
      </c>
      <c r="E502" t="n">
        <v>4</v>
      </c>
      <c r="F502" t="inlineStr">
        <is>
          <t>PROSE</t>
        </is>
      </c>
      <c r="G502" t="inlineStr">
        <is>
          <t>PROSE</t>
        </is>
      </c>
      <c r="H502" t="inlineStr"/>
      <c r="I502" t="inlineStr">
        <is>
          <t>2024-08-21</t>
        </is>
      </c>
      <c r="J502" t="inlineStr">
        <is>
          <t>5007435-75.2024.8.21.0021 | CB2D</t>
        </is>
      </c>
      <c r="K502" t="inlineStr">
        <is>
          <t>cb2d.com.br</t>
        </is>
      </c>
      <c r="L502" s="19" t="inlineStr">
        <is>
          <t>https://www.cb2d.com.br/portal/_uploads/87b1f001-428b-4c8a-ae00-e84bf634a781.pdf</t>
        </is>
      </c>
    </row>
    <row r="503">
      <c r="A503" t="inlineStr">
        <is>
          <t>d07837570c5c</t>
        </is>
      </c>
      <c r="B503" t="inlineStr">
        <is>
          <t>5007531-46.2021.8.21.0005</t>
        </is>
      </c>
      <c r="C503" t="inlineStr">
        <is>
          <t>AJ_LIST</t>
        </is>
      </c>
      <c r="D503" t="inlineStr">
        <is>
          <t>OK_NO_TOTALS</t>
        </is>
      </c>
      <c r="E503" t="n">
        <v>9</v>
      </c>
      <c r="F503" t="inlineStr">
        <is>
          <t>PROSE</t>
        </is>
      </c>
      <c r="G503" t="inlineStr">
        <is>
          <t>PROSE</t>
        </is>
      </c>
      <c r="H503" t="inlineStr"/>
      <c r="I503" t="inlineStr">
        <is>
          <t>2024-11-05</t>
        </is>
      </c>
      <c r="J503" t="inlineStr">
        <is>
          <t>5007531-46.2021.8.21.0005 | CB2D</t>
        </is>
      </c>
      <c r="K503" t="inlineStr">
        <is>
          <t>cb2d.com.br</t>
        </is>
      </c>
      <c r="L503" s="19" t="inlineStr">
        <is>
          <t>https://www.cb2d.com.br/portal/_uploads/3e197128-9049-4520-aa9e-46bc6d4ac183.pdf</t>
        </is>
      </c>
    </row>
    <row r="504">
      <c r="A504" t="inlineStr">
        <is>
          <t>cbd042396c7d</t>
        </is>
      </c>
      <c r="B504" t="inlineStr">
        <is>
          <t>5000152-26.2023.8.21.0121</t>
        </is>
      </c>
      <c r="C504" t="inlineStr">
        <is>
          <t>AJ_LIST</t>
        </is>
      </c>
      <c r="D504" t="inlineStr">
        <is>
          <t>OK_NO_TOTALS</t>
        </is>
      </c>
      <c r="E504" t="n">
        <v>3</v>
      </c>
      <c r="F504" t="inlineStr">
        <is>
          <t>TABLE</t>
        </is>
      </c>
      <c r="G504" t="inlineStr">
        <is>
          <t>TABLE_BANDS</t>
        </is>
      </c>
      <c r="H504" t="inlineStr"/>
      <c r="I504" t="inlineStr">
        <is>
          <t>2023-10-19</t>
        </is>
      </c>
      <c r="J504" t="inlineStr">
        <is>
          <t>5000152-26.2023.8.21.0121 | CB2D</t>
        </is>
      </c>
      <c r="K504" t="inlineStr">
        <is>
          <t>cb2d.com.br</t>
        </is>
      </c>
      <c r="L504" s="19" t="inlineStr">
        <is>
          <t>https://www.cb2d.com.br/portal/_uploads/7583870e-fc67-4040-836a-b98e144302de.pdf</t>
        </is>
      </c>
    </row>
    <row r="505">
      <c r="A505" t="inlineStr">
        <is>
          <t>d22635fabaf7</t>
        </is>
      </c>
      <c r="B505" t="inlineStr">
        <is>
          <t>5308338-84.2023.8.13.0024</t>
        </is>
      </c>
      <c r="C505" t="inlineStr">
        <is>
          <t>AJ_LIST</t>
        </is>
      </c>
      <c r="D505" t="inlineStr">
        <is>
          <t>OK_NO_TOTALS</t>
        </is>
      </c>
      <c r="E505" t="n">
        <v>2</v>
      </c>
      <c r="F505" t="inlineStr">
        <is>
          <t>PROSE</t>
        </is>
      </c>
      <c r="G505" t="inlineStr">
        <is>
          <t>PROSE</t>
        </is>
      </c>
      <c r="H505" t="inlineStr"/>
      <c r="I505" t="inlineStr">
        <is>
          <t>2026-04-30</t>
        </is>
      </c>
      <c r="J505" t="inlineStr">
        <is>
          <t>GateKeeper | Recuperação Judicial em São Paulo – Ética, técnica e profissionalismo na administração judicial de processos de recuperação e falência.</t>
        </is>
      </c>
      <c r="K505" t="inlineStr">
        <is>
          <t>gatekeeperaj.com.br</t>
        </is>
      </c>
      <c r="L505" s="19" t="inlineStr">
        <is>
          <t>https://gatekeeperaj.com.br/wp-content/uploads/2026/05/EDITAL-FERREIRA-M.pdf</t>
        </is>
      </c>
    </row>
    <row r="506">
      <c r="A506" t="inlineStr">
        <is>
          <t>0081bc638ec8</t>
        </is>
      </c>
      <c r="B506" t="inlineStr">
        <is>
          <t>1048631-46.2023.8.26.0100</t>
        </is>
      </c>
      <c r="C506" t="inlineStr">
        <is>
          <t>AJ_LIST</t>
        </is>
      </c>
      <c r="D506" t="inlineStr">
        <is>
          <t>OK_NO_TOTALS</t>
        </is>
      </c>
      <c r="E506" t="n">
        <v>2</v>
      </c>
      <c r="F506" t="inlineStr">
        <is>
          <t>TABLE</t>
        </is>
      </c>
      <c r="G506" t="inlineStr">
        <is>
          <t>TABLE_BANDS</t>
        </is>
      </c>
      <c r="H506" t="inlineStr"/>
      <c r="I506" t="inlineStr">
        <is>
          <t>2022-05-26</t>
        </is>
      </c>
      <c r="J506" t="inlineStr">
        <is>
          <t>DROGARIA DROGANADI LTDA</t>
        </is>
      </c>
      <c r="K506" t="inlineStr">
        <is>
          <t>gatekeeperaj.com.br</t>
        </is>
      </c>
      <c r="L506" s="19" t="inlineStr">
        <is>
          <t>https://gatekeeperaj.com.br/wp-content/uploads/2024/08/Edital-de-Convocacao-dos-Credores-arts.-99-§-1o-e-114-A-da-LREF-DJE.pdf</t>
        </is>
      </c>
    </row>
    <row r="507">
      <c r="A507" t="inlineStr">
        <is>
          <t>8e876b3778ba</t>
        </is>
      </c>
      <c r="B507" t="inlineStr">
        <is>
          <t>5001013-67.2017.8.21.0009</t>
        </is>
      </c>
      <c r="C507" t="inlineStr">
        <is>
          <t>AJ_LIST</t>
        </is>
      </c>
      <c r="D507" t="inlineStr">
        <is>
          <t>OK_NO_TOTALS</t>
        </is>
      </c>
      <c r="E507" t="n">
        <v>1</v>
      </c>
      <c r="F507" t="inlineStr">
        <is>
          <t>TABLE</t>
        </is>
      </c>
      <c r="G507" t="inlineStr">
        <is>
          <t>TABLE_BANDS</t>
        </is>
      </c>
      <c r="H507" t="inlineStr"/>
      <c r="J507" t="inlineStr">
        <is>
          <t>5001013-67.2017.8.21.0009 | CB2D</t>
        </is>
      </c>
      <c r="K507" t="inlineStr">
        <is>
          <t>cb2d.com.br</t>
        </is>
      </c>
      <c r="L507" s="19" t="inlineStr">
        <is>
          <t>https://www.cb2d.com.br/portal/_uploads/e189ed86-dfda-4772-9ffe-b88d34154346.pdf</t>
        </is>
      </c>
    </row>
    <row r="508">
      <c r="A508" t="inlineStr">
        <is>
          <t>2e5a72da4e0e</t>
        </is>
      </c>
      <c r="B508" t="inlineStr">
        <is>
          <t>1110501-63.2021.8.26.0100</t>
        </is>
      </c>
      <c r="C508" t="inlineStr">
        <is>
          <t>AJ_LIST</t>
        </is>
      </c>
      <c r="D508" t="inlineStr">
        <is>
          <t>OK_NO_TOTALS</t>
        </is>
      </c>
      <c r="E508" t="n">
        <v>2</v>
      </c>
      <c r="F508" t="inlineStr">
        <is>
          <t>PROSE</t>
        </is>
      </c>
      <c r="G508" t="inlineStr">
        <is>
          <t>PROSE</t>
        </is>
      </c>
      <c r="H508" t="inlineStr"/>
      <c r="J508" t="inlineStr">
        <is>
          <t>GateKeeper | Recuperação Judicial em São Paulo – Ética, técnica e profissionalismo na administração judicial de processos de recuperação e falência.</t>
        </is>
      </c>
      <c r="K508" t="inlineStr">
        <is>
          <t>gatekeeperaj.com.br</t>
        </is>
      </c>
      <c r="L508" s="19" t="inlineStr">
        <is>
          <t>https://gatekeeperaj.com.br/wp-content/uploads/2023/06/Edital-art.-7o-§2o.pdf</t>
        </is>
      </c>
    </row>
    <row r="509">
      <c r="A509" t="inlineStr">
        <is>
          <t>1af4c840827e</t>
        </is>
      </c>
      <c r="B509" t="inlineStr">
        <is>
          <t>1110501-63.2021.8.26.0100</t>
        </is>
      </c>
      <c r="C509" t="inlineStr">
        <is>
          <t>AJ_LIST</t>
        </is>
      </c>
      <c r="D509" t="inlineStr">
        <is>
          <t>OK_NO_TOTALS</t>
        </is>
      </c>
      <c r="E509" t="n">
        <v>2</v>
      </c>
      <c r="F509" t="inlineStr">
        <is>
          <t>PROSE</t>
        </is>
      </c>
      <c r="G509" t="inlineStr">
        <is>
          <t>PROSE</t>
        </is>
      </c>
      <c r="H509" t="inlineStr"/>
      <c r="I509" t="inlineStr">
        <is>
          <t>2008-08-08</t>
        </is>
      </c>
      <c r="J509" t="inlineStr">
        <is>
          <t>GateKeeper | Recuperação Judicial em São Paulo – Ética, técnica e profissionalismo na administração judicial de processos de recuperação e falência.</t>
        </is>
      </c>
      <c r="K509" t="inlineStr">
        <is>
          <t>gatekeeperaj.com.br</t>
        </is>
      </c>
      <c r="L509" s="19" t="inlineStr">
        <is>
          <t>https://gatekeeperaj.com.br/wp-content/uploads/2023/06/Edital-114-A-DJE.pdf</t>
        </is>
      </c>
    </row>
    <row r="510">
      <c r="A510" t="inlineStr">
        <is>
          <t>2114cbd2b580</t>
        </is>
      </c>
      <c r="B510" t="inlineStr">
        <is>
          <t>1110501-63.2021.8.26.0100</t>
        </is>
      </c>
      <c r="C510" t="inlineStr">
        <is>
          <t>AJ_LIST</t>
        </is>
      </c>
      <c r="D510" t="inlineStr">
        <is>
          <t>OK_NO_TOTALS</t>
        </is>
      </c>
      <c r="E510" t="n">
        <v>2</v>
      </c>
      <c r="F510" t="inlineStr">
        <is>
          <t>TABLE</t>
        </is>
      </c>
      <c r="G510" t="inlineStr">
        <is>
          <t>TABLE_RULED</t>
        </is>
      </c>
      <c r="H510" t="inlineStr"/>
      <c r="I510" t="inlineStr">
        <is>
          <t>2022-01-21</t>
        </is>
      </c>
      <c r="J510" t="inlineStr">
        <is>
          <t>GateKeeper | Recuperação Judicial em São Paulo – Ética, técnica e profissionalismo na administração judicial de processos de recuperação e falência.</t>
        </is>
      </c>
      <c r="K510" t="inlineStr">
        <is>
          <t>gatekeeperaj.com.br</t>
        </is>
      </c>
      <c r="L510" s="19" t="inlineStr">
        <is>
          <t>https://gatekeeperaj.com.br/wp-content/uploads/2023/07/2a-Lista-de-credores-LR-1.pdf</t>
        </is>
      </c>
    </row>
    <row r="511">
      <c r="A511" t="inlineStr">
        <is>
          <t>d082ae31c1c4</t>
        </is>
      </c>
      <c r="B511" t="inlineStr">
        <is>
          <t>0004986-18.2023.8.16.0083</t>
        </is>
      </c>
      <c r="C511" t="inlineStr">
        <is>
          <t>AJ_LIST</t>
        </is>
      </c>
      <c r="D511" t="inlineStr">
        <is>
          <t>OK_NO_TOTALS</t>
        </is>
      </c>
      <c r="E511" t="n">
        <v>2</v>
      </c>
      <c r="F511" t="inlineStr">
        <is>
          <t>PROSE</t>
        </is>
      </c>
      <c r="G511" t="inlineStr">
        <is>
          <t>PROSE</t>
        </is>
      </c>
      <c r="H511" t="inlineStr"/>
      <c r="I511" t="inlineStr">
        <is>
          <t>2024-02-22</t>
        </is>
      </c>
      <c r="J511" t="inlineStr">
        <is>
          <t>DALAZEN DISTR.DE PROD.DE HIGIENE PESSOAL LTDA</t>
        </is>
      </c>
      <c r="K511" t="inlineStr">
        <is>
          <t>cb2d.com.br</t>
        </is>
      </c>
      <c r="L511" s="19" t="inlineStr">
        <is>
          <t>https://www.cb2d.com.br/portal/_uploads/aedf9fd0-469c-4191-8ab8-e63f110c649f.pdf</t>
        </is>
      </c>
    </row>
    <row r="512">
      <c r="A512" t="inlineStr">
        <is>
          <t>6e9bc102695e</t>
        </is>
      </c>
      <c r="B512" t="inlineStr">
        <is>
          <t>5003408-08.2023.8.24.0019</t>
        </is>
      </c>
      <c r="C512" t="inlineStr">
        <is>
          <t>AJ_LIST</t>
        </is>
      </c>
      <c r="D512" t="inlineStr">
        <is>
          <t>OK_NO_TOTALS</t>
        </is>
      </c>
      <c r="E512" t="n">
        <v>4</v>
      </c>
      <c r="F512" t="inlineStr">
        <is>
          <t>PROSE</t>
        </is>
      </c>
      <c r="G512" t="inlineStr">
        <is>
          <t>PROSE</t>
        </is>
      </c>
      <c r="H512" t="inlineStr"/>
      <c r="J512" t="inlineStr">
        <is>
          <t>GECPAV CONSTRUÇÃO E PAVIMENTAÇÃO EIRELI</t>
        </is>
      </c>
      <c r="K512" t="inlineStr">
        <is>
          <t>cb2d.com.br</t>
        </is>
      </c>
      <c r="L512" s="19" t="inlineStr">
        <is>
          <t>https://www.cb2d.com.br/portal/_uploads/76c4de9c-0dff-4099-91ee-111393fb03d1.pdf</t>
        </is>
      </c>
    </row>
    <row r="513">
      <c r="A513" t="inlineStr">
        <is>
          <t>2828e563ab25</t>
        </is>
      </c>
      <c r="B513" t="inlineStr">
        <is>
          <t>5134453-76.2023.8.21.0001</t>
        </is>
      </c>
      <c r="C513" t="inlineStr">
        <is>
          <t>AJ_LIST</t>
        </is>
      </c>
      <c r="D513" t="inlineStr">
        <is>
          <t>OK_NO_TOTALS</t>
        </is>
      </c>
      <c r="E513" t="n">
        <v>2</v>
      </c>
      <c r="F513" t="inlineStr">
        <is>
          <t>TABLE</t>
        </is>
      </c>
      <c r="G513" t="inlineStr">
        <is>
          <t>TABLE_BANDS</t>
        </is>
      </c>
      <c r="H513" t="inlineStr"/>
      <c r="I513" t="inlineStr">
        <is>
          <t>2023-11-30</t>
        </is>
      </c>
      <c r="J513" t="inlineStr">
        <is>
          <t>5134453-76.2023.8.21.0001 | CB2D</t>
        </is>
      </c>
      <c r="K513" t="inlineStr">
        <is>
          <t>cb2d.com.br</t>
        </is>
      </c>
      <c r="L513" s="19" t="inlineStr">
        <is>
          <t>https://www.cb2d.com.br/portal/_uploads/9559d972-5420-47f8-bce3-9248a8e190d7.pdf</t>
        </is>
      </c>
    </row>
    <row r="514">
      <c r="A514" t="inlineStr">
        <is>
          <t>c95c067d7ba0</t>
        </is>
      </c>
      <c r="B514" t="inlineStr">
        <is>
          <t>1029618-48.2025.8.26.0114</t>
        </is>
      </c>
      <c r="C514" t="inlineStr">
        <is>
          <t>AJ_LIST</t>
        </is>
      </c>
      <c r="D514" t="inlineStr">
        <is>
          <t>OK_NO_TOTALS</t>
        </is>
      </c>
      <c r="E514" t="n">
        <v>3</v>
      </c>
      <c r="F514" t="inlineStr">
        <is>
          <t>PROSE</t>
        </is>
      </c>
      <c r="G514" t="inlineStr">
        <is>
          <t>PROSE</t>
        </is>
      </c>
      <c r="H514" t="inlineStr"/>
      <c r="I514" t="inlineStr">
        <is>
          <t>2026-06-26</t>
        </is>
      </c>
      <c r="J514" t="inlineStr">
        <is>
          <t>GateKeeper | Recuperação Judicial em São Paulo – Ética, técnica e profissionalismo na administração judicial de processos de recuperação e falência.</t>
        </is>
      </c>
      <c r="K514" t="inlineStr">
        <is>
          <t>gatekeeperaj.com.br</t>
        </is>
      </c>
      <c r="L514" s="19" t="inlineStr">
        <is>
          <t>https://gatekeeperaj.com.br/wp-content/uploads/2026/07/EDITAL-JOMAR.pdf</t>
        </is>
      </c>
    </row>
    <row r="515">
      <c r="A515" t="inlineStr">
        <is>
          <t>046bcc46b48a</t>
        </is>
      </c>
      <c r="B515" t="inlineStr">
        <is>
          <t>5000080-63.2023.8.21.0016</t>
        </is>
      </c>
      <c r="C515" t="inlineStr">
        <is>
          <t>AJ_LIST</t>
        </is>
      </c>
      <c r="D515" t="inlineStr">
        <is>
          <t>OK_NO_TOTALS</t>
        </is>
      </c>
      <c r="E515" t="n">
        <v>2</v>
      </c>
      <c r="F515" t="inlineStr">
        <is>
          <t>PROSE</t>
        </is>
      </c>
      <c r="G515" t="inlineStr">
        <is>
          <t>PROSE</t>
        </is>
      </c>
      <c r="H515" t="inlineStr"/>
      <c r="I515" t="inlineStr">
        <is>
          <t>2023-07-10</t>
        </is>
      </c>
      <c r="J515" t="inlineStr">
        <is>
          <t>5000080-63.2023.8.21.0016 | CB2D</t>
        </is>
      </c>
      <c r="K515" t="inlineStr">
        <is>
          <t>cb2d.com.br</t>
        </is>
      </c>
      <c r="L515" s="19" t="inlineStr">
        <is>
          <t>https://www.cb2d.com.br/portal/_uploads/9dc61875-5c65-45ad-a767-9e4157da8726.pdf</t>
        </is>
      </c>
    </row>
    <row r="516">
      <c r="A516" t="inlineStr">
        <is>
          <t>645c0da7e5ff</t>
        </is>
      </c>
      <c r="B516" t="inlineStr">
        <is>
          <t>1000146-58.2024.8.26.0430</t>
        </is>
      </c>
      <c r="C516" t="inlineStr">
        <is>
          <t>AJ_LIST</t>
        </is>
      </c>
      <c r="D516" t="inlineStr">
        <is>
          <t>OK_NO_TOTALS</t>
        </is>
      </c>
      <c r="E516" t="n">
        <v>2</v>
      </c>
      <c r="F516" t="inlineStr">
        <is>
          <t>PROSE</t>
        </is>
      </c>
      <c r="G516" t="inlineStr">
        <is>
          <t>PROSE</t>
        </is>
      </c>
      <c r="H516" t="inlineStr"/>
      <c r="I516" t="inlineStr">
        <is>
          <t>2025-05-27</t>
        </is>
      </c>
      <c r="J516" t="inlineStr">
        <is>
          <t>e Falência</t>
        </is>
      </c>
      <c r="K516" t="inlineStr">
        <is>
          <t>gatekeeperaj.com.br</t>
        </is>
      </c>
      <c r="L516" s="19" t="inlineStr">
        <is>
          <t>https://gatekeeperaj.com.br/wp-content/uploads/2025/05/Edital-LCR.pdf</t>
        </is>
      </c>
    </row>
    <row r="517">
      <c r="A517" t="inlineStr">
        <is>
          <t>159ab9318b96</t>
        </is>
      </c>
      <c r="B517" t="inlineStr">
        <is>
          <t>5000846-68.2020.8.21.0066</t>
        </is>
      </c>
      <c r="C517" t="inlineStr">
        <is>
          <t>AJ_LIST</t>
        </is>
      </c>
      <c r="D517" t="inlineStr">
        <is>
          <t>OK_NO_TOTALS</t>
        </is>
      </c>
      <c r="E517" t="n">
        <v>3</v>
      </c>
      <c r="F517" t="inlineStr">
        <is>
          <t>PROSE</t>
        </is>
      </c>
      <c r="G517" t="inlineStr">
        <is>
          <t>PROSE</t>
        </is>
      </c>
      <c r="H517" t="inlineStr"/>
      <c r="I517" t="inlineStr">
        <is>
          <t>2021-05-31</t>
        </is>
      </c>
      <c r="J517" t="inlineStr">
        <is>
          <t>5000846-68.2020.8.21.0066 | CB2D</t>
        </is>
      </c>
      <c r="K517" t="inlineStr">
        <is>
          <t>cb2d.com.br</t>
        </is>
      </c>
      <c r="L517" s="19" t="inlineStr">
        <is>
          <t>https://www.cb2d.com.br/portal/_uploads/ac46e7cb-c1f9-4057-933a-2261d8e8deb8.pdf</t>
        </is>
      </c>
    </row>
    <row r="518">
      <c r="A518" t="inlineStr">
        <is>
          <t>542c8a3477b3</t>
        </is>
      </c>
      <c r="B518" t="inlineStr">
        <is>
          <t>5037362-88.2020.8.21.0001</t>
        </is>
      </c>
      <c r="C518" t="inlineStr">
        <is>
          <t>AJ_LIST</t>
        </is>
      </c>
      <c r="D518" t="inlineStr">
        <is>
          <t>OK_NO_TOTALS</t>
        </is>
      </c>
      <c r="E518" t="n">
        <v>1</v>
      </c>
      <c r="F518" t="inlineStr">
        <is>
          <t>PROSE</t>
        </is>
      </c>
      <c r="G518" t="inlineStr">
        <is>
          <t>PROSE</t>
        </is>
      </c>
      <c r="H518" t="inlineStr"/>
      <c r="I518" t="inlineStr">
        <is>
          <t>2022-08-10</t>
        </is>
      </c>
      <c r="J518" t="inlineStr">
        <is>
          <t>5147697-43.2021.8.21.0001 | CB2D</t>
        </is>
      </c>
      <c r="K518" t="inlineStr">
        <is>
          <t>cb2d.com.br</t>
        </is>
      </c>
      <c r="L518" s="19" t="inlineStr">
        <is>
          <t>https://www.cb2d.com.br/portal/_uploads/1d9879cf-e70a-4c82-b3da-453d43886c71.pdf</t>
        </is>
      </c>
    </row>
    <row r="519">
      <c r="A519" t="inlineStr">
        <is>
          <t>40bc19471fca</t>
        </is>
      </c>
      <c r="B519" t="inlineStr">
        <is>
          <t>1024993-78.2019.8.26.0405</t>
        </is>
      </c>
      <c r="C519" t="inlineStr">
        <is>
          <t>AJ_LIST</t>
        </is>
      </c>
      <c r="D519" t="inlineStr">
        <is>
          <t>OK_NO_TOTALS</t>
        </is>
      </c>
      <c r="E519" t="n">
        <v>11</v>
      </c>
      <c r="F519" t="inlineStr">
        <is>
          <t>TABLE</t>
        </is>
      </c>
      <c r="G519" t="inlineStr">
        <is>
          <t>TABLE_RULED</t>
        </is>
      </c>
      <c r="H519" t="inlineStr"/>
      <c r="J519" t="inlineStr">
        <is>
          <t>empresa</t>
        </is>
      </c>
      <c r="K519" t="inlineStr">
        <is>
          <t>acfb.com.br</t>
        </is>
      </c>
      <c r="L519" s="19" t="inlineStr">
        <is>
          <t>https://acfb.com.br/wp-content/uploads/2024/06/doc_227774999.pdf</t>
        </is>
      </c>
    </row>
    <row r="520">
      <c r="A520" t="inlineStr">
        <is>
          <t>f6b247da5b3e</t>
        </is>
      </c>
      <c r="B520" t="inlineStr">
        <is>
          <t>1049020-41.2017.8.26.0100</t>
        </is>
      </c>
      <c r="C520" t="inlineStr">
        <is>
          <t>AJ_LIST</t>
        </is>
      </c>
      <c r="D520" t="inlineStr">
        <is>
          <t>OK_NO_TOTALS</t>
        </is>
      </c>
      <c r="E520" t="n">
        <v>3</v>
      </c>
      <c r="F520" t="inlineStr">
        <is>
          <t>PROSE</t>
        </is>
      </c>
      <c r="G520" t="inlineStr">
        <is>
          <t>PROSE</t>
        </is>
      </c>
      <c r="H520" t="inlineStr"/>
      <c r="I520" t="inlineStr">
        <is>
          <t>2010-01-26</t>
        </is>
      </c>
      <c r="J520" t="inlineStr">
        <is>
          <t>EMPRESA</t>
        </is>
      </c>
      <c r="K520" t="inlineStr">
        <is>
          <t>acfb.com.br</t>
        </is>
      </c>
      <c r="L520" s="19" t="inlineStr">
        <is>
          <t>https://acfb.com.br/wp-content/uploads/2018/05/2º-Edital.pdf</t>
        </is>
      </c>
    </row>
    <row r="521">
      <c r="A521" t="inlineStr">
        <is>
          <t>6cc01a612bb7</t>
        </is>
      </c>
      <c r="B521" t="inlineStr">
        <is>
          <t>5217536-87.2023.8.21.0001</t>
        </is>
      </c>
      <c r="C521" t="inlineStr">
        <is>
          <t>AJ_LIST</t>
        </is>
      </c>
      <c r="D521" t="inlineStr">
        <is>
          <t>OK_NO_TOTALS</t>
        </is>
      </c>
      <c r="E521" t="n">
        <v>2</v>
      </c>
      <c r="F521" t="inlineStr">
        <is>
          <t>PROSE</t>
        </is>
      </c>
      <c r="G521" t="inlineStr">
        <is>
          <t>PROSE</t>
        </is>
      </c>
      <c r="H521" t="inlineStr"/>
      <c r="I521" t="inlineStr">
        <is>
          <t>2024-04-26</t>
        </is>
      </c>
      <c r="J521" t="inlineStr">
        <is>
          <t>5217536-87.2023.8.21.0001 | CB2D</t>
        </is>
      </c>
      <c r="K521" t="inlineStr">
        <is>
          <t>cb2d.com.br</t>
        </is>
      </c>
      <c r="L521" s="19" t="inlineStr">
        <is>
          <t>https://www.cb2d.com.br/portal/_uploads/90d84dbb-ba11-4915-b65d-98d831bb93b8.pdf</t>
        </is>
      </c>
    </row>
    <row r="522">
      <c r="A522" t="inlineStr">
        <is>
          <t>8be5fe5830aa</t>
        </is>
      </c>
      <c r="B522" t="inlineStr">
        <is>
          <t>0103934-53.2016.8.21.0001</t>
        </is>
      </c>
      <c r="C522" t="inlineStr">
        <is>
          <t>AJ_LIST</t>
        </is>
      </c>
      <c r="D522" t="inlineStr">
        <is>
          <t>OK_NO_TOTALS</t>
        </is>
      </c>
      <c r="E522" t="n">
        <v>2</v>
      </c>
      <c r="F522" t="inlineStr">
        <is>
          <t>PROSE</t>
        </is>
      </c>
      <c r="G522" t="inlineStr">
        <is>
          <t>PROSE</t>
        </is>
      </c>
      <c r="H522" t="inlineStr"/>
      <c r="I522" t="inlineStr">
        <is>
          <t>2015-08-14</t>
        </is>
      </c>
      <c r="J522" t="inlineStr">
        <is>
          <t>5063950-35.2020.8.21.0001 | CB2D</t>
        </is>
      </c>
      <c r="K522" t="inlineStr">
        <is>
          <t>cb2d.com.br</t>
        </is>
      </c>
      <c r="L522" s="19" t="inlineStr">
        <is>
          <t>https://www.cb2d.com.br/portal/_uploads/3901124d-5e78-40f5-837a-ea11d6c69527.pdf</t>
        </is>
      </c>
    </row>
    <row r="523">
      <c r="A523" t="inlineStr">
        <is>
          <t>6829bf3eb3c0</t>
        </is>
      </c>
      <c r="B523" t="inlineStr">
        <is>
          <t>0296812-39.2015.8.21.0001</t>
        </is>
      </c>
      <c r="C523" t="inlineStr">
        <is>
          <t>AJ_LIST</t>
        </is>
      </c>
      <c r="D523" t="inlineStr">
        <is>
          <t>OK_NO_TOTALS</t>
        </is>
      </c>
      <c r="E523" t="n">
        <v>1</v>
      </c>
      <c r="F523" t="inlineStr">
        <is>
          <t>PROSE</t>
        </is>
      </c>
      <c r="G523" t="inlineStr">
        <is>
          <t>PROSE</t>
        </is>
      </c>
      <c r="H523" t="inlineStr"/>
      <c r="I523" t="inlineStr">
        <is>
          <t>2018-08-15</t>
        </is>
      </c>
      <c r="J523" t="inlineStr">
        <is>
          <t>5063950-35.2020.8.21.0001 | CB2D</t>
        </is>
      </c>
      <c r="K523" t="inlineStr">
        <is>
          <t>cb2d.com.br</t>
        </is>
      </c>
      <c r="L523" s="19" t="inlineStr">
        <is>
          <t>https://www.cb2d.com.br/portal/_uploads/7ee8d870-ccd2-48c0-8956-becd6b724157.pdf</t>
        </is>
      </c>
    </row>
    <row r="524">
      <c r="A524" t="inlineStr">
        <is>
          <t>48b978521d11</t>
        </is>
      </c>
      <c r="B524" t="inlineStr">
        <is>
          <t>5268801-31.2023.8.21.0001</t>
        </is>
      </c>
      <c r="C524" t="inlineStr">
        <is>
          <t>AJ_LIST</t>
        </is>
      </c>
      <c r="D524" t="inlineStr">
        <is>
          <t>OK_NO_TOTALS</t>
        </is>
      </c>
      <c r="E524" t="n">
        <v>2</v>
      </c>
      <c r="F524" t="inlineStr">
        <is>
          <t>PROSE</t>
        </is>
      </c>
      <c r="G524" t="inlineStr">
        <is>
          <t>PROSE</t>
        </is>
      </c>
      <c r="H524" t="inlineStr"/>
      <c r="I524" t="inlineStr">
        <is>
          <t>2024-08-12</t>
        </is>
      </c>
      <c r="J524" t="inlineStr">
        <is>
          <t>5268801-31.2023.8.21.0001 | CB2D</t>
        </is>
      </c>
      <c r="K524" t="inlineStr">
        <is>
          <t>cb2d.com.br</t>
        </is>
      </c>
      <c r="L524" s="19" t="inlineStr">
        <is>
          <t>https://www.cb2d.com.br/portal/_uploads/e133a69c-5147-417c-ab51-b070cf2d3b7b.pdf</t>
        </is>
      </c>
    </row>
    <row r="525">
      <c r="A525" t="inlineStr">
        <is>
          <t>a6816afa74ad</t>
        </is>
      </c>
      <c r="B525" t="inlineStr">
        <is>
          <t>1056683-07.2018.8.26.0100</t>
        </is>
      </c>
      <c r="C525" t="inlineStr">
        <is>
          <t>AJ_LIST</t>
        </is>
      </c>
      <c r="D525" t="inlineStr">
        <is>
          <t>OK_NO_TOTALS</t>
        </is>
      </c>
      <c r="E525" t="n">
        <v>20</v>
      </c>
      <c r="F525" t="inlineStr">
        <is>
          <t>TABLE</t>
        </is>
      </c>
      <c r="G525" t="inlineStr">
        <is>
          <t>TABLE_BANDS</t>
        </is>
      </c>
      <c r="H525" t="inlineStr"/>
      <c r="J525" t="inlineStr">
        <is>
          <t>ALIANÇA METALÚRGICA S/A</t>
        </is>
      </c>
      <c r="K525" t="inlineStr">
        <is>
          <t>ajruiz.com.br</t>
        </is>
      </c>
      <c r="L525" s="19" t="inlineStr">
        <is>
          <t>https://ajruiz.com.br/sites/default/files/public/arquivos-processos/2023-09/edital-de-relacao-de-credores-art.-7o-2o-e-aviso-sobre-o-plano-de-recuperacao-judicial-art.-53-unico-alianca-metalurgica-min.pdf</t>
        </is>
      </c>
    </row>
    <row r="526">
      <c r="A526" t="inlineStr">
        <is>
          <t>f93c6add5972</t>
        </is>
      </c>
      <c r="B526" t="inlineStr">
        <is>
          <t>5188654-52.2022.8.21.0001</t>
        </is>
      </c>
      <c r="C526" t="inlineStr">
        <is>
          <t>AJ_LIST</t>
        </is>
      </c>
      <c r="D526" t="inlineStr">
        <is>
          <t>OK_NO_TOTALS</t>
        </is>
      </c>
      <c r="E526" t="n">
        <v>9</v>
      </c>
      <c r="F526" t="inlineStr">
        <is>
          <t>PROSE</t>
        </is>
      </c>
      <c r="G526" t="inlineStr">
        <is>
          <t>PROSE</t>
        </is>
      </c>
      <c r="H526" t="inlineStr"/>
      <c r="I526" t="inlineStr">
        <is>
          <t>2023-06-15</t>
        </is>
      </c>
      <c r="J526" t="inlineStr">
        <is>
          <t>5188654-52.2022.8.21.0001 | CB2D</t>
        </is>
      </c>
      <c r="K526" t="inlineStr">
        <is>
          <t>cb2d.com.br</t>
        </is>
      </c>
      <c r="L526" s="19" t="inlineStr">
        <is>
          <t>https://www.cb2d.com.br/portal/_uploads/fd3aa07f-855c-40df-874d-61b0f89db243.pdf</t>
        </is>
      </c>
    </row>
    <row r="527">
      <c r="A527" t="inlineStr">
        <is>
          <t>2523d6511f4f</t>
        </is>
      </c>
      <c r="B527" t="inlineStr">
        <is>
          <t>5072041-17.2020.8.21.0001</t>
        </is>
      </c>
      <c r="C527" t="inlineStr">
        <is>
          <t>AJ_LIST</t>
        </is>
      </c>
      <c r="D527" t="inlineStr">
        <is>
          <t>OK_NO_TOTALS</t>
        </is>
      </c>
      <c r="E527" t="n">
        <v>1</v>
      </c>
      <c r="F527" t="inlineStr">
        <is>
          <t>PROSE</t>
        </is>
      </c>
      <c r="G527" t="inlineStr">
        <is>
          <t>PROSE</t>
        </is>
      </c>
      <c r="H527" t="inlineStr"/>
      <c r="I527" t="inlineStr">
        <is>
          <t>2021-03-29</t>
        </is>
      </c>
      <c r="J527" t="inlineStr">
        <is>
          <t>E CENTRAL X DE SERVIÇOS LTDA</t>
        </is>
      </c>
      <c r="K527" t="inlineStr">
        <is>
          <t>cb2d.com.br</t>
        </is>
      </c>
      <c r="L527" s="19" t="inlineStr">
        <is>
          <t>https://www.cb2d.com.br/portal/_uploads/a3da370c-3727-4054-9268-00da3aa71d6d.pdf</t>
        </is>
      </c>
    </row>
    <row r="528">
      <c r="A528" t="inlineStr">
        <is>
          <t>967cc7a72d60</t>
        </is>
      </c>
      <c r="B528" t="inlineStr">
        <is>
          <t>5072041-17.2020.8.21.0001</t>
        </is>
      </c>
      <c r="C528" t="inlineStr">
        <is>
          <t>AJ_LIST</t>
        </is>
      </c>
      <c r="D528" t="inlineStr">
        <is>
          <t>OK_NO_TOTALS</t>
        </is>
      </c>
      <c r="E528" t="n">
        <v>3</v>
      </c>
      <c r="F528" t="inlineStr">
        <is>
          <t>PROSE</t>
        </is>
      </c>
      <c r="G528" t="inlineStr">
        <is>
          <t>PROSE</t>
        </is>
      </c>
      <c r="H528" t="inlineStr"/>
      <c r="I528" t="inlineStr">
        <is>
          <t>2022-10-21</t>
        </is>
      </c>
      <c r="J528" t="inlineStr">
        <is>
          <t>5072041-17.2020.8.21.0001 | CB2D</t>
        </is>
      </c>
      <c r="K528" t="inlineStr">
        <is>
          <t>cb2d.com.br</t>
        </is>
      </c>
      <c r="L528" s="19" t="inlineStr">
        <is>
          <t>https://www.cb2d.com.br/portal/_uploads/eafda02f-72b5-49f5-bd0c-ad02f7723768.pdf</t>
        </is>
      </c>
    </row>
    <row r="529">
      <c r="A529" t="inlineStr">
        <is>
          <t>66a7356aac10</t>
        </is>
      </c>
      <c r="B529" t="inlineStr">
        <is>
          <t>5005973-42.2023.8.24.0019</t>
        </is>
      </c>
      <c r="C529" t="inlineStr">
        <is>
          <t>AJ_LIST</t>
        </is>
      </c>
      <c r="D529" t="inlineStr">
        <is>
          <t>OK_NO_TOTALS</t>
        </is>
      </c>
      <c r="E529" t="n">
        <v>2</v>
      </c>
      <c r="F529" t="inlineStr">
        <is>
          <t>TABLE</t>
        </is>
      </c>
      <c r="G529" t="inlineStr">
        <is>
          <t>TABLE_BANDS</t>
        </is>
      </c>
      <c r="H529" t="inlineStr"/>
      <c r="I529" t="inlineStr">
        <is>
          <t>2024-03-08</t>
        </is>
      </c>
      <c r="J529" t="inlineStr">
        <is>
          <t>5005973-42.2023.8.24.0019 | CB2D</t>
        </is>
      </c>
      <c r="K529" t="inlineStr">
        <is>
          <t>cb2d.com.br</t>
        </is>
      </c>
      <c r="L529" s="19" t="inlineStr">
        <is>
          <t>https://www.cb2d.com.br/portal/_uploads/867ebd54-fc9f-47f7-8b58-825945811fbd.pdf</t>
        </is>
      </c>
    </row>
    <row r="530">
      <c r="A530" t="inlineStr">
        <is>
          <t>3c26476f70f8</t>
        </is>
      </c>
      <c r="B530" t="inlineStr">
        <is>
          <t>5001016-22.2017.8.21.0009</t>
        </is>
      </c>
      <c r="C530" t="inlineStr">
        <is>
          <t>AJ_LIST</t>
        </is>
      </c>
      <c r="D530" t="inlineStr">
        <is>
          <t>OK_NO_TOTALS</t>
        </is>
      </c>
      <c r="E530" t="n">
        <v>2</v>
      </c>
      <c r="F530" t="inlineStr">
        <is>
          <t>PROSE</t>
        </is>
      </c>
      <c r="G530" t="inlineStr">
        <is>
          <t>PROSE</t>
        </is>
      </c>
      <c r="H530" t="inlineStr"/>
      <c r="J530" t="inlineStr">
        <is>
          <t>5001016-22.2017.8.21.0009 | CB2D</t>
        </is>
      </c>
      <c r="K530" t="inlineStr">
        <is>
          <t>cb2d.com.br</t>
        </is>
      </c>
      <c r="L530" s="19" t="inlineStr">
        <is>
          <t>https://www.cb2d.com.br/portal/_uploads/c2aee309-cce2-46d6-9f0e-add8ba102ee1.pdf</t>
        </is>
      </c>
    </row>
    <row r="531">
      <c r="A531" t="inlineStr">
        <is>
          <t>4de2a29ff412</t>
        </is>
      </c>
      <c r="B531" t="inlineStr">
        <is>
          <t>5127763-65.2022.8.21.0001</t>
        </is>
      </c>
      <c r="C531" t="inlineStr">
        <is>
          <t>AJ_LIST</t>
        </is>
      </c>
      <c r="D531" t="inlineStr">
        <is>
          <t>OK_NO_TOTALS</t>
        </is>
      </c>
      <c r="E531" t="n">
        <v>2</v>
      </c>
      <c r="F531" t="inlineStr">
        <is>
          <t>PROSE</t>
        </is>
      </c>
      <c r="G531" t="inlineStr">
        <is>
          <t>PROSE</t>
        </is>
      </c>
      <c r="H531" t="inlineStr"/>
      <c r="I531" t="inlineStr">
        <is>
          <t>2023-11-10</t>
        </is>
      </c>
      <c r="J531" t="inlineStr">
        <is>
          <t>5127763-65.2022.8.21.0001 | CB2D</t>
        </is>
      </c>
      <c r="K531" t="inlineStr">
        <is>
          <t>cb2d.com.br</t>
        </is>
      </c>
      <c r="L531" s="19" t="inlineStr">
        <is>
          <t>https://www.cb2d.com.br/portal/_uploads/5ebdbda8-8c54-44f0-a808-f797478607ed.pdf</t>
        </is>
      </c>
    </row>
    <row r="532">
      <c r="A532" t="inlineStr">
        <is>
          <t>f4490721a980</t>
        </is>
      </c>
      <c r="B532" t="inlineStr">
        <is>
          <t>5127763-65.2022.8.21.0001</t>
        </is>
      </c>
      <c r="C532" t="inlineStr">
        <is>
          <t>AJ_LIST</t>
        </is>
      </c>
      <c r="D532" t="inlineStr">
        <is>
          <t>OK_NO_TOTALS</t>
        </is>
      </c>
      <c r="E532" t="n">
        <v>2</v>
      </c>
      <c r="F532" t="inlineStr">
        <is>
          <t>PROSE</t>
        </is>
      </c>
      <c r="G532" t="inlineStr">
        <is>
          <t>PROSE</t>
        </is>
      </c>
      <c r="H532" t="inlineStr"/>
      <c r="I532" t="inlineStr">
        <is>
          <t>2024-04-16</t>
        </is>
      </c>
      <c r="J532" t="inlineStr">
        <is>
          <t>5127763-65.2022.8.21.0001 | CB2D</t>
        </is>
      </c>
      <c r="K532" t="inlineStr">
        <is>
          <t>cb2d.com.br</t>
        </is>
      </c>
      <c r="L532" s="19" t="inlineStr">
        <is>
          <t>https://www.cb2d.com.br/portal/_uploads/49be2fec-2b78-48b0-966c-8d8f0b9d8220.pdf</t>
        </is>
      </c>
    </row>
    <row r="533">
      <c r="A533" t="inlineStr">
        <is>
          <t>8fa47bf2f4dd</t>
        </is>
      </c>
      <c r="B533" t="inlineStr">
        <is>
          <t>0011144-26.2026.8.17.2001</t>
        </is>
      </c>
      <c r="C533" t="inlineStr">
        <is>
          <t>AJ_LIST</t>
        </is>
      </c>
      <c r="D533" t="inlineStr">
        <is>
          <t>OK_NO_TOTALS</t>
        </is>
      </c>
      <c r="E533" t="n">
        <v>5</v>
      </c>
      <c r="F533" t="inlineStr">
        <is>
          <t>TABLE</t>
        </is>
      </c>
      <c r="G533" t="inlineStr">
        <is>
          <t>TABLE_BANDS</t>
        </is>
      </c>
      <c r="H533" t="inlineStr"/>
      <c r="I533" t="inlineStr">
        <is>
          <t>2026-06-08</t>
        </is>
      </c>
      <c r="J533" t="inlineStr">
        <is>
          <t>e a necessidade da autofalência</t>
        </is>
      </c>
      <c r="K533" t="inlineStr">
        <is>
          <t>recuperasolucoes.com</t>
        </is>
      </c>
      <c r="L533" s="19" t="inlineStr">
        <is>
          <t>https://recuperasolucoes.com/wp-content/plugins/download-attachments/includes/download.php?id=1602</t>
        </is>
      </c>
    </row>
    <row r="534">
      <c r="A534" t="inlineStr">
        <is>
          <t>88713be1d3da</t>
        </is>
      </c>
      <c r="B534" t="inlineStr">
        <is>
          <t>5000333-25.2024.8.24.0536</t>
        </is>
      </c>
      <c r="C534" t="inlineStr">
        <is>
          <t>AJ_LIST</t>
        </is>
      </c>
      <c r="D534" t="inlineStr">
        <is>
          <t>OK_NO_TOTALS</t>
        </is>
      </c>
      <c r="E534" t="n">
        <v>3</v>
      </c>
      <c r="F534" t="inlineStr">
        <is>
          <t>PROSE</t>
        </is>
      </c>
      <c r="G534" t="inlineStr">
        <is>
          <t>PROSE</t>
        </is>
      </c>
      <c r="H534" t="inlineStr"/>
      <c r="I534" t="inlineStr">
        <is>
          <t>2025-03-05</t>
        </is>
      </c>
      <c r="J534" t="inlineStr">
        <is>
          <t>5000333-25.2024.8.24.0536 | CB2D</t>
        </is>
      </c>
      <c r="K534" t="inlineStr">
        <is>
          <t>cb2d.com.br</t>
        </is>
      </c>
      <c r="L534" s="19" t="inlineStr">
        <is>
          <t>https://www.cb2d.com.br/portal/_uploads/3d6194a9-0d18-41a2-81df-1e270464997f.pdf</t>
        </is>
      </c>
    </row>
    <row r="535">
      <c r="A535" t="inlineStr">
        <is>
          <t>18975be46188</t>
        </is>
      </c>
      <c r="B535" t="inlineStr">
        <is>
          <t>4000167-23.2025.8.26.0373</t>
        </is>
      </c>
      <c r="C535" t="inlineStr">
        <is>
          <t>AJ_LIST</t>
        </is>
      </c>
      <c r="D535" t="inlineStr">
        <is>
          <t>OK_NO_TOTALS</t>
        </is>
      </c>
      <c r="E535" t="n">
        <v>8</v>
      </c>
      <c r="F535" t="inlineStr">
        <is>
          <t>TABLE</t>
        </is>
      </c>
      <c r="G535" t="inlineStr">
        <is>
          <t>TABLE_BANDS</t>
        </is>
      </c>
      <c r="H535" t="inlineStr"/>
      <c r="I535" t="inlineStr">
        <is>
          <t>2026-01-14</t>
        </is>
      </c>
      <c r="J535" t="inlineStr">
        <is>
          <t>em epígrafe, vem, respeitosa</t>
        </is>
      </c>
      <c r="K535" t="inlineStr">
        <is>
          <t>ajruiz.com.br</t>
        </is>
      </c>
      <c r="L535" s="19" t="inlineStr">
        <is>
          <t>https://ajruiz.com.br/sites/default/files/public/arquivos-processos/2026-01/safrasul_relacao_de_credores_recuperanda.pdf</t>
        </is>
      </c>
    </row>
    <row r="536">
      <c r="A536" t="inlineStr">
        <is>
          <t>95851b4446fe</t>
        </is>
      </c>
      <c r="B536" t="inlineStr">
        <is>
          <t>0016951-30.2019.8.16.0019</t>
        </is>
      </c>
      <c r="C536" t="inlineStr">
        <is>
          <t>AJ_LIST</t>
        </is>
      </c>
      <c r="D536" t="inlineStr">
        <is>
          <t>OK_NO_TOTALS</t>
        </is>
      </c>
      <c r="E536" t="n">
        <v>2</v>
      </c>
      <c r="F536" t="inlineStr">
        <is>
          <t>TABLE</t>
        </is>
      </c>
      <c r="G536" t="inlineStr">
        <is>
          <t>TABLE_BANDS</t>
        </is>
      </c>
      <c r="H536" t="inlineStr"/>
      <c r="I536" t="inlineStr">
        <is>
          <t>2025-07-31</t>
        </is>
      </c>
      <c r="J536" t="inlineStr">
        <is>
          <t>CONVOLADA EM FALÊNCIA</t>
        </is>
      </c>
      <c r="K536" t="inlineStr">
        <is>
          <t>bbsadvogados.com.br</t>
        </is>
      </c>
      <c r="L536" s="19" t="inlineStr">
        <is>
          <t>https://bbsadvogados.com.br/wp-content/uploads/2025/09/EDITAL-DE-PUBLICACAO-DA-RELACAO-DE-CREDORES-§-2.o-DO-ART.-7.o-da-LRF-BUTURI.pdf</t>
        </is>
      </c>
    </row>
    <row r="537">
      <c r="A537" t="inlineStr">
        <is>
          <t>69d3187746eb</t>
        </is>
      </c>
      <c r="B537" t="inlineStr">
        <is>
          <t>5028800-87.2023.8.24.0038</t>
        </is>
      </c>
      <c r="C537" t="inlineStr">
        <is>
          <t>AJ_LIST</t>
        </is>
      </c>
      <c r="D537" t="inlineStr">
        <is>
          <t>OK_NO_TOTALS</t>
        </is>
      </c>
      <c r="E537" t="n">
        <v>2</v>
      </c>
      <c r="F537" t="inlineStr">
        <is>
          <t>TABLE</t>
        </is>
      </c>
      <c r="G537" t="inlineStr">
        <is>
          <t>TABLE_BANDS</t>
        </is>
      </c>
      <c r="H537" t="inlineStr"/>
      <c r="I537" t="inlineStr">
        <is>
          <t>2025-03-14</t>
        </is>
      </c>
      <c r="J537" t="inlineStr">
        <is>
          <t>e Extrajudicia</t>
        </is>
      </c>
      <c r="K537" t="inlineStr">
        <is>
          <t>bbsadvogados.com.br</t>
        </is>
      </c>
      <c r="L537" s="19" t="inlineStr">
        <is>
          <t>https://bbsadvogados.com.br/wp-content/uploads/2025/03/Delicatessen-__-310073064683-eproc-__-edital-contendo-a-decisao-que-decretou-a-falencia-e-a-relacao-de-credores-apresentada-pelo-Falido-art.-7o1o-LRF.pdf</t>
        </is>
      </c>
    </row>
    <row r="538">
      <c r="A538" t="inlineStr">
        <is>
          <t>dd6112d59a34</t>
        </is>
      </c>
      <c r="B538" t="inlineStr">
        <is>
          <t>1500553-79.2019.8.26.0010</t>
        </is>
      </c>
      <c r="C538" t="inlineStr">
        <is>
          <t>AJ_LIST</t>
        </is>
      </c>
      <c r="D538" t="inlineStr">
        <is>
          <t>OK_NO_TOTALS</t>
        </is>
      </c>
      <c r="E538" t="n">
        <v>2</v>
      </c>
      <c r="F538" t="inlineStr">
        <is>
          <t>PROSE</t>
        </is>
      </c>
      <c r="G538" t="inlineStr">
        <is>
          <t>PROSE</t>
        </is>
      </c>
      <c r="H538" t="inlineStr"/>
      <c r="I538" t="inlineStr">
        <is>
          <t>2020-07-10</t>
        </is>
      </c>
      <c r="J538" t="inlineStr">
        <is>
          <t>deTRANSLOCOMOTIVA TRANSPORTES RODOVIÁRIOS E DISTRIBUIÇÃO DE CARGAS LTDA</t>
        </is>
      </c>
      <c r="K538" t="inlineStr">
        <is>
          <t>ativosajce.com.br</t>
        </is>
      </c>
      <c r="L538" s="19" t="inlineStr">
        <is>
          <t>https://ativosajce.com.br/admin/download.php?file=files/processo_documento/processo_documento13352804122023_1_.pdf&amp;nome=Edital de Credores - Art. 7º § 2º, da Lei nº 11.101/2005 - 13/11/2020</t>
        </is>
      </c>
    </row>
    <row r="539">
      <c r="A539" t="inlineStr">
        <is>
          <t>b9895d3bab05</t>
        </is>
      </c>
      <c r="B539" t="inlineStr">
        <is>
          <t>0033736-15.2023.8.16.0185</t>
        </is>
      </c>
      <c r="C539" t="inlineStr">
        <is>
          <t>AJ_LIST</t>
        </is>
      </c>
      <c r="D539" t="inlineStr">
        <is>
          <t>OK_NO_TOTALS</t>
        </is>
      </c>
      <c r="E539" t="n">
        <v>42</v>
      </c>
      <c r="F539" t="inlineStr">
        <is>
          <t>TABLE</t>
        </is>
      </c>
      <c r="G539" t="inlineStr">
        <is>
          <t>TABLE_BANDS</t>
        </is>
      </c>
      <c r="H539" t="inlineStr"/>
      <c r="I539" t="inlineStr">
        <is>
          <t>2025-04-08</t>
        </is>
      </c>
      <c r="J539" t="inlineStr">
        <is>
          <t>EQUIP SEG INTELIGÊNCIA EM SEGURANÇA LTDA – FALÊNCIA – Brazilio Bacellar Shirai Advogados</t>
        </is>
      </c>
      <c r="K539" t="inlineStr">
        <is>
          <t>bbsadvogados.com.br</t>
        </is>
      </c>
      <c r="L539" s="19" t="inlineStr">
        <is>
          <t>https://bbsadvogados.com.br/wp-content/uploads/2025/04/Equipseg-Edital-Relacao-de-Credores-da-Administradora-Judicial-art.-7o2o-da-LRF.pdf</t>
        </is>
      </c>
    </row>
    <row r="540">
      <c r="A540" t="inlineStr">
        <is>
          <t>6dc8e47b2738</t>
        </is>
      </c>
      <c r="B540" t="inlineStr">
        <is>
          <t>1000117-72.2020.8.26.0260</t>
        </is>
      </c>
      <c r="C540" t="inlineStr">
        <is>
          <t>AJ_LIST</t>
        </is>
      </c>
      <c r="D540" t="inlineStr">
        <is>
          <t>OK_NO_TOTALS</t>
        </is>
      </c>
      <c r="E540" t="n">
        <v>26</v>
      </c>
      <c r="F540" t="inlineStr">
        <is>
          <t>PROSE</t>
        </is>
      </c>
      <c r="G540" t="inlineStr">
        <is>
          <t>PROSE</t>
        </is>
      </c>
      <c r="H540" t="inlineStr"/>
      <c r="J540" t="inlineStr">
        <is>
          <t>promovida por TRANSLOCOMOTIVA TRANSPORTES RODOVIÁRIOS E DISTRIBUIÇÃO DE CARGAS LTDA</t>
        </is>
      </c>
      <c r="K540" t="inlineStr">
        <is>
          <t>ativosajce.com.br</t>
        </is>
      </c>
      <c r="L540" s="19" t="inlineStr">
        <is>
          <t>https://ativosajce.com.br/admin/download.php?file=files/processo_documento/processo_documento11482307012026_1_.pdf&amp;nome=Relação de Credores - Arts. 22, I,‘e’ c.c. 7º, § 2º, da Lei nº 11.101/2005 - 28/10/2020</t>
        </is>
      </c>
    </row>
    <row r="541">
      <c r="A541" t="inlineStr">
        <is>
          <t>5a6a0fb33b67</t>
        </is>
      </c>
      <c r="B541" t="inlineStr">
        <is>
          <t>0033736-15.2023.8.16.0185</t>
        </is>
      </c>
      <c r="C541" t="inlineStr">
        <is>
          <t>AJ_LIST</t>
        </is>
      </c>
      <c r="D541" t="inlineStr">
        <is>
          <t>OK_NO_TOTALS</t>
        </is>
      </c>
      <c r="E541" t="n">
        <v>42</v>
      </c>
      <c r="F541" t="inlineStr">
        <is>
          <t>TABLE</t>
        </is>
      </c>
      <c r="G541" t="inlineStr">
        <is>
          <t>TABLE_BANDS</t>
        </is>
      </c>
      <c r="H541" t="inlineStr"/>
      <c r="I541" t="inlineStr">
        <is>
          <t>2025-04-08</t>
        </is>
      </c>
      <c r="J541" t="inlineStr">
        <is>
          <t>EQUIP SEG INTELIGÊNCIA EM SEGURANÇA LTDA – FALÊNCIA – Brazilio Bacellar Shirai Advogados</t>
        </is>
      </c>
      <c r="K541" t="inlineStr">
        <is>
          <t>bbsadvogados.com.br</t>
        </is>
      </c>
      <c r="L541" s="19" t="inlineStr">
        <is>
          <t>https://bbsadvogados.com.br/wp-content/uploads/2025/09/EDITAL-DE-PUBLICACAO-DA-RELACAO-DE-CREDORES-§-2.o-DO-ART.-7.o-DA-LEI-n.o-11.101-equipseg.pdf</t>
        </is>
      </c>
    </row>
    <row r="542">
      <c r="A542" t="inlineStr">
        <is>
          <t>7f0a7c7637a1</t>
        </is>
      </c>
      <c r="B542" t="inlineStr">
        <is>
          <t>1520723-97.2019.8.26.0228</t>
        </is>
      </c>
      <c r="C542" t="inlineStr">
        <is>
          <t>AJ_LIST</t>
        </is>
      </c>
      <c r="D542" t="inlineStr">
        <is>
          <t>OK_NO_TOTALS</t>
        </is>
      </c>
      <c r="E542" t="n">
        <v>5</v>
      </c>
      <c r="F542" t="inlineStr">
        <is>
          <t>TABLE</t>
        </is>
      </c>
      <c r="G542" t="inlineStr">
        <is>
          <t>TABLE_BANDS</t>
        </is>
      </c>
      <c r="H542" t="inlineStr"/>
      <c r="I542" t="inlineStr">
        <is>
          <t>2016-07-01</t>
        </is>
      </c>
      <c r="J542" t="inlineStr">
        <is>
          <t>Translocomotiva Transportes Rodoviários e Distribuição de Cargas Ltda</t>
        </is>
      </c>
      <c r="K542" t="inlineStr">
        <is>
          <t>ativosajce.com.br</t>
        </is>
      </c>
      <c r="L542" s="19" t="inlineStr">
        <is>
          <t>https://ativosajce.com.br/admin/download.php?file=files/processo_documento/processo_documento18382011062025_1_.pdf&amp;nome=Edital de Credores - Art. 52, § 1º, lei 11.101/2005 - 27/08/2020</t>
        </is>
      </c>
    </row>
    <row r="543">
      <c r="A543" t="inlineStr">
        <is>
          <t>45127365f14f</t>
        </is>
      </c>
      <c r="B543" t="inlineStr">
        <is>
          <t>1087395-33.2025.8.26.0100</t>
        </is>
      </c>
      <c r="C543" t="inlineStr">
        <is>
          <t>AJ_LIST</t>
        </is>
      </c>
      <c r="D543" t="inlineStr">
        <is>
          <t>OK_NO_TOTALS</t>
        </is>
      </c>
      <c r="E543" t="n">
        <v>14</v>
      </c>
      <c r="F543" t="inlineStr">
        <is>
          <t>TABLE</t>
        </is>
      </c>
      <c r="G543" t="inlineStr">
        <is>
          <t>TABLE_BANDS</t>
        </is>
      </c>
      <c r="H543" t="inlineStr"/>
      <c r="I543" t="inlineStr">
        <is>
          <t>2025-09-26</t>
        </is>
      </c>
      <c r="J543" t="inlineStr">
        <is>
          <t>LIONS INTERCÂMBIO LTDA – Falência – Brazilio Bacellar Shirai Advogados</t>
        </is>
      </c>
      <c r="K543" t="inlineStr">
        <is>
          <t>bbsadvogados.com.br</t>
        </is>
      </c>
      <c r="L543" s="19" t="inlineStr">
        <is>
          <t>https://bbsadvogados.com.br/wp-content/uploads/2026/03/Edital-contendo-a-relacao-de-credores-apresentada-pelo-Falido-§1o-do-art.-99-da-LRF.pdf</t>
        </is>
      </c>
    </row>
    <row r="544">
      <c r="A544" t="inlineStr">
        <is>
          <t>f41f56937a1d</t>
        </is>
      </c>
      <c r="B544" t="inlineStr">
        <is>
          <t>1000117-72.2020.8.26.0260</t>
        </is>
      </c>
      <c r="C544" t="inlineStr">
        <is>
          <t>AJ_LIST</t>
        </is>
      </c>
      <c r="D544" t="inlineStr">
        <is>
          <t>OK_NO_TOTALS</t>
        </is>
      </c>
      <c r="E544" t="n">
        <v>4</v>
      </c>
      <c r="F544" t="inlineStr">
        <is>
          <t>TABLE</t>
        </is>
      </c>
      <c r="G544" t="inlineStr">
        <is>
          <t>TABLE_RULED</t>
        </is>
      </c>
      <c r="H544" t="inlineStr"/>
      <c r="I544" t="inlineStr">
        <is>
          <t>2020-07-19</t>
        </is>
      </c>
      <c r="J544" t="inlineStr">
        <is>
          <t>Ativos</t>
        </is>
      </c>
      <c r="K544" t="inlineStr">
        <is>
          <t>ativosajce.com.br</t>
        </is>
      </c>
      <c r="L544" s="19" t="inlineStr">
        <is>
          <t>https://ativosajce.com.br/admin/download.php?file=files/processo_documento/processo_documento18430011062025_1_.pdf&amp;nome=Relação de Credores - Art. 52º § 1º, da Lei nº 11.101/2005 - 13/08/2020</t>
        </is>
      </c>
    </row>
    <row r="545">
      <c r="A545" t="inlineStr">
        <is>
          <t>32987552198c</t>
        </is>
      </c>
      <c r="B545" t="inlineStr">
        <is>
          <t>0003232-89.2024.8.16.0185</t>
        </is>
      </c>
      <c r="C545" t="inlineStr">
        <is>
          <t>AJ_LIST</t>
        </is>
      </c>
      <c r="D545" t="inlineStr">
        <is>
          <t>OK_NO_TOTALS</t>
        </is>
      </c>
      <c r="E545" t="n">
        <v>2</v>
      </c>
      <c r="F545" t="inlineStr">
        <is>
          <t>TABLE</t>
        </is>
      </c>
      <c r="G545" t="inlineStr">
        <is>
          <t>TABLE_BANDS</t>
        </is>
      </c>
      <c r="H545" t="inlineStr"/>
      <c r="I545" t="inlineStr">
        <is>
          <t>2025-02-14</t>
        </is>
      </c>
      <c r="J545" t="inlineStr">
        <is>
          <t>VISÃO ASSESSORIA CONTÁBIL SC LTDA – Falência – Brazilio Bacellar Shirai Advogados</t>
        </is>
      </c>
      <c r="K545" t="inlineStr">
        <is>
          <t>bbsadvogados.com.br</t>
        </is>
      </c>
      <c r="L545" s="19" t="inlineStr">
        <is>
          <t>https://bbsadvogados.com.br/wp-content/uploads/2025/09/Edital-Relacao-de-Credores-da-Administradora-Judicial-art.-7o2o-da-LRF.-Visao-14-02-2025.pdf</t>
        </is>
      </c>
    </row>
    <row r="546">
      <c r="A546" t="inlineStr">
        <is>
          <t>d3cfb32b8870</t>
        </is>
      </c>
      <c r="B546" t="inlineStr">
        <is>
          <t>5014445-78.2023.8.24.0036</t>
        </is>
      </c>
      <c r="C546" t="inlineStr">
        <is>
          <t>AJ_LIST</t>
        </is>
      </c>
      <c r="D546" t="inlineStr">
        <is>
          <t>OK_NO_TOTALS</t>
        </is>
      </c>
      <c r="E546" t="n">
        <v>17</v>
      </c>
      <c r="F546" t="inlineStr">
        <is>
          <t>TABLE</t>
        </is>
      </c>
      <c r="G546" t="inlineStr">
        <is>
          <t>TABLE_BANDS</t>
        </is>
      </c>
      <c r="H546" t="inlineStr"/>
      <c r="I546" t="inlineStr">
        <is>
          <t>2026-04-06</t>
        </is>
      </c>
      <c r="J546" t="inlineStr">
        <is>
          <t>e Extrajudicia</t>
        </is>
      </c>
      <c r="K546" t="inlineStr">
        <is>
          <t>bbsadvogados.com.br</t>
        </is>
      </c>
      <c r="L546" s="19" t="inlineStr">
        <is>
          <t>https://bbsadvogados.com.br/wp-content/uploads/2026/04/Sentenca-de-decretacao-de-Falencia.pdf</t>
        </is>
      </c>
    </row>
    <row r="547">
      <c r="A547" t="inlineStr">
        <is>
          <t>deee1eeb23cc</t>
        </is>
      </c>
      <c r="B547" t="inlineStr">
        <is>
          <t>1059824-39.2015.8.26.0100</t>
        </is>
      </c>
      <c r="C547" t="inlineStr">
        <is>
          <t>AJ_LIST</t>
        </is>
      </c>
      <c r="D547" t="inlineStr">
        <is>
          <t>OK_NO_TOTALS</t>
        </is>
      </c>
      <c r="E547" t="n">
        <v>2</v>
      </c>
      <c r="F547" t="inlineStr">
        <is>
          <t>PROSE</t>
        </is>
      </c>
      <c r="G547" t="inlineStr">
        <is>
          <t>PROSE</t>
        </is>
      </c>
      <c r="H547" t="inlineStr"/>
      <c r="J547" t="inlineStr">
        <is>
          <t>FAKIANI-ESTEFAM INCORPORADORA S/A</t>
        </is>
      </c>
      <c r="K547" t="inlineStr">
        <is>
          <t>ajruiz.com.br</t>
        </is>
      </c>
      <c r="L547" s="19" t="inlineStr">
        <is>
          <t>https://ajruiz.com.br/sites/default/files/public/arquivos-processos/2023-11/4_relacao_de_credores_aj_art._7o_parag_2o_da_lre.pdf</t>
        </is>
      </c>
    </row>
    <row r="548">
      <c r="A548" t="inlineStr">
        <is>
          <t>761354f31830</t>
        </is>
      </c>
      <c r="B548" t="inlineStr">
        <is>
          <t>1059817-42.2018.8.26.0100</t>
        </is>
      </c>
      <c r="C548" t="inlineStr">
        <is>
          <t>AJ_LIST</t>
        </is>
      </c>
      <c r="D548" t="inlineStr">
        <is>
          <t>OK_NO_TOTALS</t>
        </is>
      </c>
      <c r="E548" t="n">
        <v>2</v>
      </c>
      <c r="F548" t="inlineStr">
        <is>
          <t>PROSE</t>
        </is>
      </c>
      <c r="G548" t="inlineStr">
        <is>
          <t>PROSE</t>
        </is>
      </c>
      <c r="H548" t="inlineStr"/>
      <c r="J548" t="inlineStr">
        <is>
          <t>FELLC MÁQUINAS E EQUIPAMENTOS LTDA</t>
        </is>
      </c>
      <c r="K548" t="inlineStr">
        <is>
          <t>ajruiz.com.br</t>
        </is>
      </c>
      <c r="L548" s="19" t="inlineStr">
        <is>
          <t>https://ajruiz.com.br/sites/default/files/public/arquivos-processos/2023-11/4_edital_de_convocacao_de_credores_art._52_parag_1o_da_lre.pdf</t>
        </is>
      </c>
    </row>
    <row r="549">
      <c r="A549" t="inlineStr">
        <is>
          <t>bf86c6864bc9</t>
        </is>
      </c>
      <c r="C549" t="inlineStr">
        <is>
          <t>AJ_LIST</t>
        </is>
      </c>
      <c r="D549" t="inlineStr">
        <is>
          <t>OK_NO_TOTALS</t>
        </is>
      </c>
      <c r="E549" t="n">
        <v>3</v>
      </c>
      <c r="F549" t="inlineStr">
        <is>
          <t>TABLE</t>
        </is>
      </c>
      <c r="G549" t="inlineStr">
        <is>
          <t>TABLE_RULED</t>
        </is>
      </c>
      <c r="H549" t="inlineStr"/>
      <c r="J549" t="inlineStr">
        <is>
          <t>Base | AJ RUIZ - Administração Judicial</t>
        </is>
      </c>
      <c r="K549" t="inlineStr">
        <is>
          <t>ajruiz.com.br</t>
        </is>
      </c>
      <c r="L549" s="19" t="inlineStr">
        <is>
          <t>https://ajruiz.com.br/sites/default/files/public/arquivos-processos/2025-09/relacao_de_credores_recuperanda_art._52_parag._1o_ii_da_lre.pdf</t>
        </is>
      </c>
    </row>
    <row r="550">
      <c r="A550" t="inlineStr">
        <is>
          <t>5e952e90f1af</t>
        </is>
      </c>
      <c r="B550" t="inlineStr">
        <is>
          <t>0001776-49.2023.8.17.2760</t>
        </is>
      </c>
      <c r="C550" t="inlineStr">
        <is>
          <t>AJ_LIST</t>
        </is>
      </c>
      <c r="D550" t="inlineStr">
        <is>
          <t>OK_NO_TOTALS</t>
        </is>
      </c>
      <c r="E550" t="n">
        <v>67</v>
      </c>
      <c r="F550" t="inlineStr">
        <is>
          <t>TABLE</t>
        </is>
      </c>
      <c r="G550" t="inlineStr">
        <is>
          <t>TABLE_RULED</t>
        </is>
      </c>
      <c r="H550" t="inlineStr"/>
      <c r="I550" t="inlineStr">
        <is>
          <t>2024-08-07</t>
        </is>
      </c>
      <c r="J550" t="inlineStr">
        <is>
          <t>GRUPO SUPERMERCADO PATRÍCIA</t>
        </is>
      </c>
      <c r="K550" t="inlineStr">
        <is>
          <t>recuperasolucoes.com</t>
        </is>
      </c>
      <c r="L550" s="19" t="inlineStr">
        <is>
          <t>https://recuperasolucoes.com/wp-content/plugins/download-attachments/includes/download.php?id=1352</t>
        </is>
      </c>
    </row>
    <row r="551">
      <c r="A551" t="inlineStr">
        <is>
          <t>9655890133e8</t>
        </is>
      </c>
      <c r="B551" t="inlineStr">
        <is>
          <t>0827308-77.1997.8.26.0100</t>
        </is>
      </c>
      <c r="C551" t="inlineStr">
        <is>
          <t>AJ_LIST</t>
        </is>
      </c>
      <c r="D551" t="inlineStr">
        <is>
          <t>OK_NO_TOTALS</t>
        </is>
      </c>
      <c r="E551" t="n">
        <v>2</v>
      </c>
      <c r="F551" t="inlineStr">
        <is>
          <t>TABLE</t>
        </is>
      </c>
      <c r="G551" t="inlineStr">
        <is>
          <t>TABLE_BANDS</t>
        </is>
      </c>
      <c r="H551" t="inlineStr"/>
      <c r="I551" t="inlineStr">
        <is>
          <t>2023-04-26</t>
        </is>
      </c>
      <c r="J551" t="inlineStr">
        <is>
          <t>Eataly Brasil Comércio e Distribuição de Alimentos Ltda</t>
        </is>
      </c>
      <c r="K551" t="inlineStr">
        <is>
          <t>ativosajce.com.br</t>
        </is>
      </c>
      <c r="L551" s="19" t="inlineStr">
        <is>
          <t>https://ativosajce.com.br/admin/download.php?file=files/processo_documento/processo_documento14092531012025_1_.pdf&amp;nome=Edital de Credores - Art. 52, §1º, da Lei 11.101/2005</t>
        </is>
      </c>
    </row>
    <row r="552">
      <c r="A552" t="inlineStr">
        <is>
          <t>572e76f00aa7</t>
        </is>
      </c>
      <c r="B552" t="inlineStr">
        <is>
          <t>0652260-87.2018.8.04.0001</t>
        </is>
      </c>
      <c r="C552" t="inlineStr">
        <is>
          <t>AJ_LIST</t>
        </is>
      </c>
      <c r="D552" t="inlineStr">
        <is>
          <t>OK_NO_TOTALS</t>
        </is>
      </c>
      <c r="E552" t="n">
        <v>7</v>
      </c>
      <c r="F552" t="inlineStr">
        <is>
          <t>TABLE</t>
        </is>
      </c>
      <c r="G552" t="inlineStr">
        <is>
          <t>TABLE_BANDS</t>
        </is>
      </c>
      <c r="H552" t="inlineStr"/>
      <c r="J552" t="inlineStr">
        <is>
          <t>empresa</t>
        </is>
      </c>
      <c r="K552" t="inlineStr">
        <is>
          <t>ajbrajalveiga.com.br</t>
        </is>
      </c>
      <c r="L552" s="19" t="inlineStr">
        <is>
          <t>https://ajbrajalveiga.com.br/processos/download/grupo-galo/4%20-%20Edital.pdf</t>
        </is>
      </c>
    </row>
    <row r="553">
      <c r="A553" t="inlineStr">
        <is>
          <t>a0ae32a59c29</t>
        </is>
      </c>
      <c r="B553" t="inlineStr">
        <is>
          <t>8005129-09.2023.8.05.0039</t>
        </is>
      </c>
      <c r="C553" t="inlineStr">
        <is>
          <t>AJ_LIST</t>
        </is>
      </c>
      <c r="D553" t="inlineStr">
        <is>
          <t>OK_NO_TOTALS</t>
        </is>
      </c>
      <c r="E553" t="n">
        <v>23</v>
      </c>
      <c r="F553" t="inlineStr">
        <is>
          <t>TABLE</t>
        </is>
      </c>
      <c r="G553" t="inlineStr">
        <is>
          <t>TABLE_RULED</t>
        </is>
      </c>
      <c r="H553" t="inlineStr"/>
      <c r="I553" t="inlineStr">
        <is>
          <t>2023-09-18</t>
        </is>
      </c>
      <c r="J553" t="inlineStr">
        <is>
          <t>e na falência</t>
        </is>
      </c>
      <c r="K553" t="inlineStr">
        <is>
          <t>assistjud.com.br</t>
        </is>
      </c>
      <c r="L553" s="19" t="inlineStr">
        <is>
          <t>https://assistjud.com.br/wp-content/uploads/elementor/forms/65098c80a5824.pdf</t>
        </is>
      </c>
    </row>
    <row r="554">
      <c r="A554" t="inlineStr">
        <is>
          <t>d7b55bbdccea</t>
        </is>
      </c>
      <c r="B554" t="inlineStr">
        <is>
          <t>0000407-22.2008.8.02.0025</t>
        </is>
      </c>
      <c r="C554" t="inlineStr">
        <is>
          <t>AJ_LIST</t>
        </is>
      </c>
      <c r="D554" t="inlineStr">
        <is>
          <t>OK_NO_TOTALS</t>
        </is>
      </c>
      <c r="E554" t="n">
        <v>9</v>
      </c>
      <c r="F554" t="inlineStr">
        <is>
          <t>PROSE</t>
        </is>
      </c>
      <c r="G554" t="inlineStr">
        <is>
          <t>PROSE</t>
        </is>
      </c>
      <c r="H554" t="inlineStr"/>
      <c r="I554" t="inlineStr">
        <is>
          <t>2019-02-15</t>
        </is>
      </c>
      <c r="J554" t="inlineStr">
        <is>
          <t>ALGODOEIRA SERTANEJA LTDA</t>
        </is>
      </c>
      <c r="K554" t="inlineStr">
        <is>
          <t>recuperacaojudicial.squarespace.com</t>
        </is>
      </c>
      <c r="L554" s="19" t="inlineStr">
        <is>
          <t>https://recuperacaojudicial.squarespace.com/s/FL-Algodoeira-Edital-1-relaco-de-credores-da-Falencia-j7wf.pdf</t>
        </is>
      </c>
    </row>
    <row r="555">
      <c r="A555" t="inlineStr">
        <is>
          <t>d4e11aa2b59d</t>
        </is>
      </c>
      <c r="B555" t="inlineStr">
        <is>
          <t>0030621-63.2011.8.02.0001</t>
        </is>
      </c>
      <c r="C555" t="inlineStr">
        <is>
          <t>AJ_LIST</t>
        </is>
      </c>
      <c r="D555" t="inlineStr">
        <is>
          <t>OK_NO_TOTALS</t>
        </is>
      </c>
      <c r="E555" t="n">
        <v>3</v>
      </c>
      <c r="F555" t="inlineStr">
        <is>
          <t>PROSE</t>
        </is>
      </c>
      <c r="G555" t="inlineStr">
        <is>
          <t>PROSE</t>
        </is>
      </c>
      <c r="H555" t="inlineStr"/>
      <c r="I555" t="inlineStr">
        <is>
          <t>2018-05-10</t>
        </is>
      </c>
      <c r="J555" t="inlineStr">
        <is>
          <t>não fora aprovado pelos credores Banco do Brasil, Itaú Unibanco e Ingram Micro Brasil Ltda</t>
        </is>
      </c>
      <c r="K555" t="inlineStr">
        <is>
          <t>recuperacaojudicial.squarespace.com</t>
        </is>
      </c>
      <c r="L555" s="19" t="inlineStr">
        <is>
          <t>https://recuperacaojudicial.squarespace.com/s/FL-Frontiers-Publicacao-no-DJe-do-Edital-com-a-1-lista.pdf</t>
        </is>
      </c>
    </row>
    <row r="556">
      <c r="A556" t="inlineStr">
        <is>
          <t>75d9d60e3702</t>
        </is>
      </c>
      <c r="B556" t="inlineStr">
        <is>
          <t>0260100-52.2024.8.06.0001</t>
        </is>
      </c>
      <c r="C556" t="inlineStr">
        <is>
          <t>AJ_LIST</t>
        </is>
      </c>
      <c r="D556" t="inlineStr">
        <is>
          <t>OK_NO_TOTALS</t>
        </is>
      </c>
      <c r="E556" t="n">
        <v>9</v>
      </c>
      <c r="F556" t="inlineStr">
        <is>
          <t>TABLE</t>
        </is>
      </c>
      <c r="G556" t="inlineStr">
        <is>
          <t>TABLE_BANDS</t>
        </is>
      </c>
      <c r="H556" t="inlineStr"/>
      <c r="K556" t="inlineStr">
        <is>
          <t>s.cholet.com.br</t>
        </is>
      </c>
      <c r="L556" s="19" t="inlineStr">
        <is>
          <t>https://s.cholet.com.br/gallery/pagina-recuperacao-judicial/30-peticao-adm.jud.sobres-depascho.1351.pdf</t>
        </is>
      </c>
    </row>
    <row r="557">
      <c r="A557" t="inlineStr">
        <is>
          <t>a462ed451454</t>
        </is>
      </c>
      <c r="B557" t="inlineStr">
        <is>
          <t>0729900-93.2025.8.07.0016</t>
        </is>
      </c>
      <c r="C557" t="inlineStr">
        <is>
          <t>AJ_LIST</t>
        </is>
      </c>
      <c r="D557" t="inlineStr">
        <is>
          <t>OK_NO_TOTALS</t>
        </is>
      </c>
      <c r="E557" t="n">
        <v>16</v>
      </c>
      <c r="F557" t="inlineStr">
        <is>
          <t>TABLE</t>
        </is>
      </c>
      <c r="G557" t="inlineStr">
        <is>
          <t>TABLE_BANDS</t>
        </is>
      </c>
      <c r="H557" t="inlineStr"/>
      <c r="I557" t="inlineStr">
        <is>
          <t>2025-08-05</t>
        </is>
      </c>
      <c r="J557" t="inlineStr">
        <is>
          <t>deverá requerer ao juízo sua falência</t>
        </is>
      </c>
      <c r="K557" t="inlineStr">
        <is>
          <t>tjdft.jus.br</t>
        </is>
      </c>
      <c r="L557" s="19" t="inlineStr">
        <is>
          <t>https://www.tjdft.jus.br/institucional/administracao-superior/corregedoria/comunicados-falencias/decretacao-de-falencia/sentenca-com-forca-de-oficio-0729900-93-2025-8-07-0016.pdf/@@download/file/Senten%C3%A7a%20com%20for%C3%A7a%20de%20Of%C3%ADcio%200729900-93.2025.8.07.0016.pdf</t>
        </is>
      </c>
    </row>
    <row r="558">
      <c r="A558" t="inlineStr">
        <is>
          <t>dd3e2cbea69b</t>
        </is>
      </c>
      <c r="B558" t="inlineStr">
        <is>
          <t>0803277-80.2020.8.12.0001</t>
        </is>
      </c>
      <c r="C558" t="inlineStr">
        <is>
          <t>AJ_LIST</t>
        </is>
      </c>
      <c r="D558" t="inlineStr">
        <is>
          <t>OK_NO_TOTALS</t>
        </is>
      </c>
      <c r="E558" t="n">
        <v>2</v>
      </c>
      <c r="F558" t="inlineStr">
        <is>
          <t>PROSE</t>
        </is>
      </c>
      <c r="G558" t="inlineStr">
        <is>
          <t>PROSE</t>
        </is>
      </c>
      <c r="H558" t="inlineStr"/>
      <c r="K558" t="inlineStr">
        <is>
          <t>vcpericia.com.br</t>
        </is>
      </c>
      <c r="L558" s="19" t="inlineStr">
        <is>
          <t>https://www.vcpericia.com.br/wp-content/uploads/2022/09/Edital-de-aviso-aos-credores-lista-do-AJ-Negocial.pdf</t>
        </is>
      </c>
    </row>
    <row r="559">
      <c r="A559" t="inlineStr">
        <is>
          <t>2ccae658fba8</t>
        </is>
      </c>
      <c r="B559" t="inlineStr">
        <is>
          <t>0829810-08.2022.8.12.0001</t>
        </is>
      </c>
      <c r="C559" t="inlineStr">
        <is>
          <t>AJ_LIST</t>
        </is>
      </c>
      <c r="D559" t="inlineStr">
        <is>
          <t>OK_NO_TOTALS</t>
        </is>
      </c>
      <c r="E559" t="n">
        <v>6</v>
      </c>
      <c r="F559" t="inlineStr">
        <is>
          <t>PROSE</t>
        </is>
      </c>
      <c r="G559" t="inlineStr">
        <is>
          <t>PROSE</t>
        </is>
      </c>
      <c r="H559" t="inlineStr"/>
      <c r="I559" t="inlineStr">
        <is>
          <t>2022-12-12</t>
        </is>
      </c>
      <c r="J559" t="inlineStr">
        <is>
          <t>PELA RECUPERANDA. EXTRAÍDO DOS AUTOS DA AÇÃO DE RECUPERAÇÃO JUDICIA</t>
        </is>
      </c>
      <c r="K559" t="inlineStr">
        <is>
          <t>vcpericia.com.br</t>
        </is>
      </c>
      <c r="L559" s="19" t="inlineStr">
        <is>
          <t>https://www.vcpericia.com.br/wp-content/uploads/2023/02/Edital-de-aviso-aos-credores-sobre-Plano-e-Lista-do-AJ.pdf</t>
        </is>
      </c>
    </row>
    <row r="560">
      <c r="A560" t="inlineStr">
        <is>
          <t>5acfb9b4d3e5</t>
        </is>
      </c>
      <c r="B560" t="inlineStr">
        <is>
          <t>0813265-83.2024.8.12.0002</t>
        </is>
      </c>
      <c r="C560" t="inlineStr">
        <is>
          <t>AJ_LIST</t>
        </is>
      </c>
      <c r="D560" t="inlineStr">
        <is>
          <t>OK_NO_TOTALS</t>
        </is>
      </c>
      <c r="E560" t="n">
        <v>6</v>
      </c>
      <c r="F560" t="inlineStr">
        <is>
          <t>PROSE</t>
        </is>
      </c>
      <c r="G560" t="inlineStr">
        <is>
          <t>PROSE</t>
        </is>
      </c>
      <c r="H560" t="inlineStr"/>
      <c r="J560" t="inlineStr">
        <is>
          <t>por EDUARDO ARTEIRO MARCONDES, CPF n. 807.390.591-49, EAM AGRICULTURA E PECUÁRIA LTDA</t>
        </is>
      </c>
      <c r="K560" t="inlineStr">
        <is>
          <t>vcpericia.com.br</t>
        </is>
      </c>
      <c r="L560" s="19" t="inlineStr">
        <is>
          <t>https://www.vcpericia.com.br/wp-content/uploads/2025/02/Edital-do-art.-52-%C2%A7-1%C2%B0-LRF.pdf</t>
        </is>
      </c>
    </row>
    <row r="561">
      <c r="A561" t="inlineStr">
        <is>
          <t>d4cbda94434e</t>
        </is>
      </c>
      <c r="B561" t="inlineStr">
        <is>
          <t>0002316-40.2012.8.17.0220</t>
        </is>
      </c>
      <c r="C561" t="inlineStr">
        <is>
          <t>AJ_LIST</t>
        </is>
      </c>
      <c r="D561" t="inlineStr">
        <is>
          <t>OK_NO_TOTALS</t>
        </is>
      </c>
      <c r="E561" t="n">
        <v>26</v>
      </c>
      <c r="F561" t="inlineStr">
        <is>
          <t>TABLE</t>
        </is>
      </c>
      <c r="G561" t="inlineStr">
        <is>
          <t>TABLE_RULED</t>
        </is>
      </c>
      <c r="H561" t="inlineStr"/>
      <c r="I561" t="inlineStr">
        <is>
          <t>2024-07-12</t>
        </is>
      </c>
      <c r="J561" t="inlineStr">
        <is>
          <t>E FALENCIA</t>
        </is>
      </c>
      <c r="K561" t="inlineStr">
        <is>
          <t>diligence.adm.br</t>
        </is>
      </c>
      <c r="L561" s="19" t="inlineStr">
        <is>
          <t>https://diligence.adm.br/wp-content/plugins/download-attachments/includes/download.php?id=4854</t>
        </is>
      </c>
    </row>
    <row r="562">
      <c r="A562" t="inlineStr">
        <is>
          <t>8644b43268a2</t>
        </is>
      </c>
      <c r="B562" t="inlineStr">
        <is>
          <t>0108923-15.2025.8.17.2001</t>
        </is>
      </c>
      <c r="C562" t="inlineStr">
        <is>
          <t>AJ_LIST</t>
        </is>
      </c>
      <c r="D562" t="inlineStr">
        <is>
          <t>OK_NO_TOTALS</t>
        </is>
      </c>
      <c r="E562" t="n">
        <v>39</v>
      </c>
      <c r="F562" t="inlineStr">
        <is>
          <t>PROSE</t>
        </is>
      </c>
      <c r="G562" t="inlineStr">
        <is>
          <t>PROSE</t>
        </is>
      </c>
      <c r="H562" t="inlineStr"/>
      <c r="I562" t="inlineStr">
        <is>
          <t>2026-05-12</t>
        </is>
      </c>
      <c r="J562" t="inlineStr">
        <is>
          <t>E FALENCIA</t>
        </is>
      </c>
      <c r="K562" t="inlineStr">
        <is>
          <t>diligence.adm.br</t>
        </is>
      </c>
      <c r="L562" s="19" t="inlineStr">
        <is>
          <t>https://diligence.adm.br/wp-content/plugins/download-attachments/includes/download.php?id=6231</t>
        </is>
      </c>
    </row>
    <row r="563">
      <c r="A563" t="inlineStr">
        <is>
          <t>5af18e3cae94</t>
        </is>
      </c>
      <c r="B563" t="inlineStr">
        <is>
          <t>5087077-02.2020.8.21.0001</t>
        </is>
      </c>
      <c r="C563" t="inlineStr">
        <is>
          <t>AJ_LIST</t>
        </is>
      </c>
      <c r="D563" t="inlineStr">
        <is>
          <t>OK_NO_TOTALS</t>
        </is>
      </c>
      <c r="E563" t="n">
        <v>2</v>
      </c>
      <c r="F563" t="inlineStr">
        <is>
          <t>PROSE</t>
        </is>
      </c>
      <c r="G563" t="inlineStr">
        <is>
          <t>PROSE</t>
        </is>
      </c>
      <c r="H563" t="inlineStr"/>
      <c r="I563" t="inlineStr">
        <is>
          <t>2023-06-26</t>
        </is>
      </c>
      <c r="J563" t="inlineStr">
        <is>
          <t>Catalise Administração Judicial</t>
        </is>
      </c>
      <c r="K563" t="inlineStr">
        <is>
          <t>cataliseaj.com.br</t>
        </is>
      </c>
      <c r="L563" s="19" t="inlineStr">
        <is>
          <t>https://cataliseaj.com.br/sgc/download.php?file=files/processo_documento/processo_documento17372810062024_1_.pdf&amp;nome=14. EDITAL DE DADOS BANCÁRIOS - CREDORES TRABALHISTAS</t>
        </is>
      </c>
    </row>
    <row r="564">
      <c r="A564" t="inlineStr">
        <is>
          <t>fb77c592a0c5</t>
        </is>
      </c>
      <c r="B564" t="inlineStr">
        <is>
          <t>0012922-23.2003.8.17.0001</t>
        </is>
      </c>
      <c r="C564" t="inlineStr">
        <is>
          <t>AJ_LIST</t>
        </is>
      </c>
      <c r="D564" t="inlineStr">
        <is>
          <t>OK_NO_TOTALS</t>
        </is>
      </c>
      <c r="E564" t="n">
        <v>4</v>
      </c>
      <c r="F564" t="inlineStr">
        <is>
          <t>TABLE</t>
        </is>
      </c>
      <c r="G564" t="inlineStr">
        <is>
          <t>TABLE_BANDS</t>
        </is>
      </c>
      <c r="H564" t="inlineStr"/>
      <c r="I564" t="inlineStr">
        <is>
          <t>2024-07-12</t>
        </is>
      </c>
      <c r="J564" t="inlineStr">
        <is>
          <t>E FALENCIA</t>
        </is>
      </c>
      <c r="K564" t="inlineStr">
        <is>
          <t>diligence.adm.br</t>
        </is>
      </c>
      <c r="L564" s="19" t="inlineStr">
        <is>
          <t>https://diligence.adm.br/wp-content/plugins/download-attachments/includes/download.php?id=4926</t>
        </is>
      </c>
    </row>
    <row r="565">
      <c r="A565" t="inlineStr">
        <is>
          <t>10352e4715a5</t>
        </is>
      </c>
      <c r="B565" t="inlineStr">
        <is>
          <t>0012922-23.2003.8.17.0001</t>
        </is>
      </c>
      <c r="C565" t="inlineStr">
        <is>
          <t>AJ_LIST</t>
        </is>
      </c>
      <c r="D565" t="inlineStr">
        <is>
          <t>OK_NO_TOTALS</t>
        </is>
      </c>
      <c r="E565" t="n">
        <v>2</v>
      </c>
      <c r="F565" t="inlineStr">
        <is>
          <t>TABLE</t>
        </is>
      </c>
      <c r="G565" t="inlineStr">
        <is>
          <t>TABLE_BANDS</t>
        </is>
      </c>
      <c r="H565" t="inlineStr"/>
      <c r="I565" t="inlineStr">
        <is>
          <t>2024-07-12</t>
        </is>
      </c>
      <c r="J565" t="inlineStr">
        <is>
          <t>E FALENCIA</t>
        </is>
      </c>
      <c r="K565" t="inlineStr">
        <is>
          <t>diligence.adm.br</t>
        </is>
      </c>
      <c r="L565" s="19" t="inlineStr">
        <is>
          <t>https://diligence.adm.br/wp-content/plugins/download-attachments/includes/download.php?id=4927</t>
        </is>
      </c>
    </row>
    <row r="566">
      <c r="A566" t="inlineStr">
        <is>
          <t>75bc7d81af93</t>
        </is>
      </c>
      <c r="B566" t="inlineStr">
        <is>
          <t>0000206-72.2017.8.17.2490</t>
        </is>
      </c>
      <c r="C566" t="inlineStr">
        <is>
          <t>AJ_LIST</t>
        </is>
      </c>
      <c r="D566" t="inlineStr">
        <is>
          <t>OK_NO_TOTALS</t>
        </is>
      </c>
      <c r="E566" t="n">
        <v>3</v>
      </c>
      <c r="F566" t="inlineStr">
        <is>
          <t>PROSE</t>
        </is>
      </c>
      <c r="G566" t="inlineStr">
        <is>
          <t>PROSE</t>
        </is>
      </c>
      <c r="H566" t="inlineStr"/>
      <c r="I566" t="inlineStr">
        <is>
          <t>2024-04-22</t>
        </is>
      </c>
      <c r="J566" t="inlineStr">
        <is>
          <t>E FALENCIA</t>
        </is>
      </c>
      <c r="K566" t="inlineStr">
        <is>
          <t>diligence.adm.br</t>
        </is>
      </c>
      <c r="L566" s="19" t="inlineStr">
        <is>
          <t>https://diligence.adm.br/wp-content/plugins/download-attachments/includes/download.php?id=4123</t>
        </is>
      </c>
    </row>
    <row r="567">
      <c r="A567" t="inlineStr">
        <is>
          <t>28c02ba2f34e</t>
        </is>
      </c>
      <c r="B567" t="inlineStr">
        <is>
          <t>0041329-20.2011.8.21.0010</t>
        </is>
      </c>
      <c r="C567" t="inlineStr">
        <is>
          <t>AJ_LIST</t>
        </is>
      </c>
      <c r="D567" t="inlineStr">
        <is>
          <t>OK_NO_TOTALS</t>
        </is>
      </c>
      <c r="E567" t="n">
        <v>2</v>
      </c>
      <c r="F567" t="inlineStr">
        <is>
          <t>TABLE</t>
        </is>
      </c>
      <c r="G567" t="inlineStr">
        <is>
          <t>TABLE_BANDS</t>
        </is>
      </c>
      <c r="H567" t="inlineStr"/>
      <c r="J567" t="inlineStr">
        <is>
          <t>SCZ Scalzilli Administração Judicial</t>
        </is>
      </c>
      <c r="K567" t="inlineStr">
        <is>
          <t>scalzilliaj.com.br</t>
        </is>
      </c>
      <c r="L567" s="19" t="inlineStr">
        <is>
          <t>https://scalzilliaj.com.br/sgc/download.php?file=files/processo_documento/processo_documento11121007012022_1_.pdf&amp;nome=07 - Edital do art. 7º, §2º da Lei 11.101/2005 (segunda lista de credores)</t>
        </is>
      </c>
    </row>
    <row r="568">
      <c r="A568" t="inlineStr">
        <is>
          <t>503f5fbf4a86</t>
        </is>
      </c>
      <c r="B568" t="inlineStr">
        <is>
          <t>0000880-57.2020.8.17.2001</t>
        </is>
      </c>
      <c r="C568" t="inlineStr">
        <is>
          <t>AJ_LIST</t>
        </is>
      </c>
      <c r="D568" t="inlineStr">
        <is>
          <t>OK_NO_TOTALS</t>
        </is>
      </c>
      <c r="E568" t="n">
        <v>1</v>
      </c>
      <c r="F568" t="inlineStr">
        <is>
          <t>TABLE</t>
        </is>
      </c>
      <c r="G568" t="inlineStr">
        <is>
          <t>TABLE_BANDS</t>
        </is>
      </c>
      <c r="H568" t="inlineStr"/>
      <c r="J568" t="inlineStr">
        <is>
          <t>CONSTRUTORA ANDRADE GUEDES LDTA – Diligence Administração em Recuperação Judicial e Falência</t>
        </is>
      </c>
      <c r="K568" t="inlineStr">
        <is>
          <t>diligence.adm.br</t>
        </is>
      </c>
      <c r="L568" s="19" t="inlineStr">
        <is>
          <t>https://diligence.adm.br/wp-content/uploads/2024/06/Credores-Classe-IV.pdf</t>
        </is>
      </c>
    </row>
    <row r="569">
      <c r="A569" t="inlineStr">
        <is>
          <t>c2d7e98d7d80</t>
        </is>
      </c>
      <c r="B569" t="inlineStr">
        <is>
          <t>5240968-38.2023.8.21.0001</t>
        </is>
      </c>
      <c r="C569" t="inlineStr">
        <is>
          <t>AJ_LIST</t>
        </is>
      </c>
      <c r="D569" t="inlineStr">
        <is>
          <t>OK_NO_TOTALS</t>
        </is>
      </c>
      <c r="E569" t="n">
        <v>2</v>
      </c>
      <c r="F569" t="inlineStr">
        <is>
          <t>TABLE</t>
        </is>
      </c>
      <c r="G569" t="inlineStr">
        <is>
          <t>TABLE_BANDS</t>
        </is>
      </c>
      <c r="H569" t="inlineStr"/>
      <c r="I569" t="inlineStr">
        <is>
          <t>2025-10-24</t>
        </is>
      </c>
      <c r="J569" t="inlineStr">
        <is>
          <t>empresa</t>
        </is>
      </c>
      <c r="K569" t="inlineStr">
        <is>
          <t>cataliseaj.com.br</t>
        </is>
      </c>
      <c r="L569" s="19" t="inlineStr">
        <is>
          <t>https://cataliseaj.com.br/sgc/download.php?file=files/processo_documento/processo_documento14352224102025_1_.pdf&amp;nome=14. EDITAL DE INTIMAÇÃO DOS CREDORES - ART. 66 §1º.</t>
        </is>
      </c>
    </row>
    <row r="570">
      <c r="A570" t="inlineStr">
        <is>
          <t>7bbd6274b148</t>
        </is>
      </c>
      <c r="B570" t="inlineStr">
        <is>
          <t>0000880-57.2020.8.17.2001</t>
        </is>
      </c>
      <c r="C570" t="inlineStr">
        <is>
          <t>AJ_LIST</t>
        </is>
      </c>
      <c r="D570" t="inlineStr">
        <is>
          <t>OK_NO_TOTALS</t>
        </is>
      </c>
      <c r="E570" t="n">
        <v>12</v>
      </c>
      <c r="F570" t="inlineStr">
        <is>
          <t>TABLE</t>
        </is>
      </c>
      <c r="G570" t="inlineStr">
        <is>
          <t>TABLE_RULED</t>
        </is>
      </c>
      <c r="H570" t="inlineStr"/>
      <c r="I570" t="inlineStr">
        <is>
          <t>2024-06-25</t>
        </is>
      </c>
      <c r="J570" t="inlineStr">
        <is>
          <t>e Falência</t>
        </is>
      </c>
      <c r="K570" t="inlineStr">
        <is>
          <t>diligence.adm.br</t>
        </is>
      </c>
      <c r="L570" s="19" t="inlineStr">
        <is>
          <t>https://diligence.adm.br/wp-content/plugins/download-attachments/includes/download.php?id=4598</t>
        </is>
      </c>
    </row>
    <row r="571">
      <c r="A571" t="inlineStr">
        <is>
          <t>62631ed3cb72</t>
        </is>
      </c>
      <c r="B571" t="inlineStr">
        <is>
          <t>5012306-16.2022.8.21.0023</t>
        </is>
      </c>
      <c r="C571" t="inlineStr">
        <is>
          <t>AJ_LIST</t>
        </is>
      </c>
      <c r="D571" t="inlineStr">
        <is>
          <t>OK_NO_TOTALS</t>
        </is>
      </c>
      <c r="E571" t="n">
        <v>31</v>
      </c>
      <c r="F571" t="inlineStr">
        <is>
          <t>PROSE</t>
        </is>
      </c>
      <c r="G571" t="inlineStr">
        <is>
          <t>PROSE</t>
        </is>
      </c>
      <c r="H571" t="inlineStr"/>
      <c r="J571" t="inlineStr">
        <is>
          <t>SCZ Scalzilli Administração Judicial</t>
        </is>
      </c>
      <c r="K571" t="inlineStr">
        <is>
          <t>scalzilliaj.com.br</t>
        </is>
      </c>
      <c r="L571" s="19" t="inlineStr">
        <is>
          <t>https://scalzilliaj.com.br/sgc/download.php?file=files/processo_documento/processo_documento15084716032023_1_.pdf&amp;nome=13 - Lista de credores apresentada pela administração judicial</t>
        </is>
      </c>
    </row>
    <row r="572">
      <c r="A572" t="inlineStr">
        <is>
          <t>ebfb999b457c</t>
        </is>
      </c>
      <c r="B572" t="inlineStr">
        <is>
          <t>5012306-16.2022.8.21.0023</t>
        </is>
      </c>
      <c r="C572" t="inlineStr">
        <is>
          <t>AJ_LIST</t>
        </is>
      </c>
      <c r="D572" t="inlineStr">
        <is>
          <t>OK_NO_TOTALS</t>
        </is>
      </c>
      <c r="E572" t="n">
        <v>34</v>
      </c>
      <c r="F572" t="inlineStr">
        <is>
          <t>PROSE</t>
        </is>
      </c>
      <c r="G572" t="inlineStr">
        <is>
          <t>PROSE</t>
        </is>
      </c>
      <c r="H572" t="inlineStr"/>
      <c r="I572" t="inlineStr">
        <is>
          <t>2023-03-21</t>
        </is>
      </c>
      <c r="J572" t="inlineStr">
        <is>
          <t>SCZ Scalzilli Administração Judicial</t>
        </is>
      </c>
      <c r="K572" t="inlineStr">
        <is>
          <t>scalzilliaj.com.br</t>
        </is>
      </c>
      <c r="L572" s="19" t="inlineStr">
        <is>
          <t>https://scalzilliaj.com.br/sgc/download.php?file=files/processo_documento/processo_documento09120721032023_1_.pdf&amp;nome=15 - Edital do art. 7º, §2º e 53 da Lei 11.101/2005 (segunda lista de credores e recebimento do plano))</t>
        </is>
      </c>
    </row>
    <row r="573">
      <c r="A573" t="inlineStr">
        <is>
          <t>44ecd0afa707</t>
        </is>
      </c>
      <c r="B573" t="inlineStr">
        <is>
          <t>0000880-57.2020.8.17.2001</t>
        </is>
      </c>
      <c r="C573" t="inlineStr">
        <is>
          <t>AJ_LIST</t>
        </is>
      </c>
      <c r="D573" t="inlineStr">
        <is>
          <t>OK_NO_TOTALS</t>
        </is>
      </c>
      <c r="E573" t="n">
        <v>13</v>
      </c>
      <c r="F573" t="inlineStr">
        <is>
          <t>TABLE</t>
        </is>
      </c>
      <c r="G573" t="inlineStr">
        <is>
          <t>TABLE_RULED</t>
        </is>
      </c>
      <c r="H573" t="inlineStr"/>
      <c r="I573" t="inlineStr">
        <is>
          <t>2024-06-25</t>
        </is>
      </c>
      <c r="J573" t="inlineStr">
        <is>
          <t>e Falência</t>
        </is>
      </c>
      <c r="K573" t="inlineStr">
        <is>
          <t>diligence.adm.br</t>
        </is>
      </c>
      <c r="L573" s="19" t="inlineStr">
        <is>
          <t>https://diligence.adm.br/wp-content/plugins/download-attachments/includes/download.php?id=4599</t>
        </is>
      </c>
    </row>
    <row r="574">
      <c r="A574" t="inlineStr">
        <is>
          <t>f29a8b208f29</t>
        </is>
      </c>
      <c r="B574" t="inlineStr">
        <is>
          <t>5009901-48.2024.8.21.0019</t>
        </is>
      </c>
      <c r="C574" t="inlineStr">
        <is>
          <t>AJ_LIST</t>
        </is>
      </c>
      <c r="D574" t="inlineStr">
        <is>
          <t>OK_NO_TOTALS</t>
        </is>
      </c>
      <c r="E574" t="n">
        <v>5</v>
      </c>
      <c r="F574" t="inlineStr">
        <is>
          <t>PROSE</t>
        </is>
      </c>
      <c r="G574" t="inlineStr">
        <is>
          <t>PROSE</t>
        </is>
      </c>
      <c r="H574" t="inlineStr"/>
      <c r="I574" t="inlineStr">
        <is>
          <t>2024-11-22</t>
        </is>
      </c>
      <c r="J574" t="inlineStr">
        <is>
          <t>SCZ Scalzilli Administração Judicial</t>
        </is>
      </c>
      <c r="K574" t="inlineStr">
        <is>
          <t>scalzilliaj.com.br</t>
        </is>
      </c>
      <c r="L574" s="19" t="inlineStr">
        <is>
          <t>https://scalzilliaj.com.br/sgc/download.php?file=files/processo_documento/processo_documento17263022112024_1_.pdf&amp;nome=11 - Edital do art. 7º,  §2º da Lei 11.101/2005 (Relação de Credores da Administração Judicial)</t>
        </is>
      </c>
    </row>
    <row r="575">
      <c r="A575" t="inlineStr">
        <is>
          <t>3727d738e67c</t>
        </is>
      </c>
      <c r="B575" t="inlineStr">
        <is>
          <t>0000880-57.2020.8.17.2001</t>
        </is>
      </c>
      <c r="C575" t="inlineStr">
        <is>
          <t>AJ_LIST</t>
        </is>
      </c>
      <c r="D575" t="inlineStr">
        <is>
          <t>OK_NO_TOTALS</t>
        </is>
      </c>
      <c r="E575" t="n">
        <v>6</v>
      </c>
      <c r="F575" t="inlineStr">
        <is>
          <t>PROSE</t>
        </is>
      </c>
      <c r="G575" t="inlineStr">
        <is>
          <t>PROSE</t>
        </is>
      </c>
      <c r="H575" t="inlineStr"/>
      <c r="I575" t="inlineStr">
        <is>
          <t>2024-06-25</t>
        </is>
      </c>
      <c r="J575" t="inlineStr">
        <is>
          <t>e Falência</t>
        </is>
      </c>
      <c r="K575" t="inlineStr">
        <is>
          <t>diligence.adm.br</t>
        </is>
      </c>
      <c r="L575" s="19" t="inlineStr">
        <is>
          <t>https://diligence.adm.br/wp-content/plugins/download-attachments/includes/download.php?id=4601</t>
        </is>
      </c>
    </row>
    <row r="576">
      <c r="A576" t="inlineStr">
        <is>
          <t>c562f58f90c9</t>
        </is>
      </c>
      <c r="B576" t="inlineStr">
        <is>
          <t>0042540-21.2012.8.21.0022</t>
        </is>
      </c>
      <c r="C576" t="inlineStr">
        <is>
          <t>AJ_LIST</t>
        </is>
      </c>
      <c r="D576" t="inlineStr">
        <is>
          <t>OK_NO_TOTALS</t>
        </is>
      </c>
      <c r="E576" t="n">
        <v>2</v>
      </c>
      <c r="F576" t="inlineStr">
        <is>
          <t>PROSE</t>
        </is>
      </c>
      <c r="G576" t="inlineStr">
        <is>
          <t>PROSE</t>
        </is>
      </c>
      <c r="H576" t="inlineStr"/>
      <c r="I576" t="inlineStr">
        <is>
          <t>2018-04-26</t>
        </is>
      </c>
      <c r="J576" t="inlineStr">
        <is>
          <t>SCZ Scalzilli Administração Judicial</t>
        </is>
      </c>
      <c r="K576" t="inlineStr">
        <is>
          <t>scalzilliaj.com.br</t>
        </is>
      </c>
      <c r="L576" s="19" t="inlineStr">
        <is>
          <t>https://scalzilliaj.com.br/sgc/download.php?file=files/processo_documento/processo_documento11504207012022_1_.pdf&amp;nome=07 - Edital do art. 7º, §2º (segunda lista de credores) e do art. 53 da Lei 11.101/2005 (recebimento do plano)</t>
        </is>
      </c>
    </row>
    <row r="577">
      <c r="A577" t="inlineStr">
        <is>
          <t>ff0f17555747</t>
        </is>
      </c>
      <c r="B577" t="inlineStr">
        <is>
          <t>5036084-50.2024.8.21.0021</t>
        </is>
      </c>
      <c r="C577" t="inlineStr">
        <is>
          <t>AJ_LIST</t>
        </is>
      </c>
      <c r="D577" t="inlineStr">
        <is>
          <t>OK_NO_TOTALS</t>
        </is>
      </c>
      <c r="E577" t="n">
        <v>9</v>
      </c>
      <c r="F577" t="inlineStr">
        <is>
          <t>TABLE</t>
        </is>
      </c>
      <c r="G577" t="inlineStr">
        <is>
          <t>TABLE_BANDS</t>
        </is>
      </c>
      <c r="H577" t="inlineStr"/>
      <c r="I577" t="inlineStr">
        <is>
          <t>2026-07-01</t>
        </is>
      </c>
      <c r="J577" t="inlineStr">
        <is>
          <t>SENTENÇA VISTOS. Trata-se de Recuperação Judicia</t>
        </is>
      </c>
      <c r="K577" t="inlineStr">
        <is>
          <t>cataliseaj.com.br</t>
        </is>
      </c>
      <c r="L577" s="19" t="inlineStr">
        <is>
          <t>https://cataliseaj.com.br/sgc/download.php?file=files/processo_documento/processo_documento16363801072026_1_.pdf&amp;nome=14. SENTENÇA FALÊNCIA</t>
        </is>
      </c>
    </row>
    <row r="578">
      <c r="A578" t="inlineStr">
        <is>
          <t>70eb7014739f</t>
        </is>
      </c>
      <c r="B578" t="inlineStr">
        <is>
          <t>0028131-73.2024.8.16.0017</t>
        </is>
      </c>
      <c r="C578" t="inlineStr">
        <is>
          <t>AJ_LIST</t>
        </is>
      </c>
      <c r="D578" t="inlineStr">
        <is>
          <t>OK_NO_TOTALS</t>
        </is>
      </c>
      <c r="E578" t="n">
        <v>2</v>
      </c>
      <c r="F578" t="inlineStr">
        <is>
          <t>PROSE</t>
        </is>
      </c>
      <c r="G578" t="inlineStr">
        <is>
          <t>PROSE</t>
        </is>
      </c>
      <c r="H578" t="inlineStr"/>
      <c r="I578" t="inlineStr">
        <is>
          <t>2025-02-19</t>
        </is>
      </c>
      <c r="J578" t="inlineStr">
        <is>
          <t>SCZ Scalzilli Administração Judicial</t>
        </is>
      </c>
      <c r="K578" t="inlineStr">
        <is>
          <t>scalzilliaj.com.br</t>
        </is>
      </c>
      <c r="L578" s="19" t="inlineStr">
        <is>
          <t>https://scalzilliaj.com.br/sgc/download.php?file=files/processo_documento/processo_documento15542620022025_1_.pdf&amp;nome=11 - Relação de credores - art. 7º, §2º, da LREF</t>
        </is>
      </c>
    </row>
    <row r="579">
      <c r="A579" t="inlineStr">
        <is>
          <t>53e0bc93ee2b</t>
        </is>
      </c>
      <c r="B579" t="inlineStr">
        <is>
          <t>5003861-41.2023.8.21.0001</t>
        </is>
      </c>
      <c r="C579" t="inlineStr">
        <is>
          <t>AJ_LIST</t>
        </is>
      </c>
      <c r="D579" t="inlineStr">
        <is>
          <t>OK_NO_TOTALS</t>
        </is>
      </c>
      <c r="E579" t="n">
        <v>4</v>
      </c>
      <c r="F579" t="inlineStr">
        <is>
          <t>TABLE</t>
        </is>
      </c>
      <c r="G579" t="inlineStr">
        <is>
          <t>TABLE_BANDS</t>
        </is>
      </c>
      <c r="H579" t="inlineStr"/>
      <c r="I579" t="inlineStr">
        <is>
          <t>2024-12-13</t>
        </is>
      </c>
      <c r="J579" t="inlineStr">
        <is>
          <t>Catalise Administração Judicial</t>
        </is>
      </c>
      <c r="K579" t="inlineStr">
        <is>
          <t>cataliseaj.com.br</t>
        </is>
      </c>
      <c r="L579" s="19" t="inlineStr">
        <is>
          <t>https://cataliseaj.com.br/sgc/download.php?file=files/processo_documento/processo_documento14454313122024_1_.pdf&amp;nome=2. SENTENÇA - DECRETAÇÃO DA FALÊNCIA</t>
        </is>
      </c>
    </row>
    <row r="580">
      <c r="A580" t="inlineStr">
        <is>
          <t>bf3c4e448c3e</t>
        </is>
      </c>
      <c r="B580" t="inlineStr">
        <is>
          <t>0032731-52.2010.8.17.0001</t>
        </is>
      </c>
      <c r="C580" t="inlineStr">
        <is>
          <t>AJ_LIST</t>
        </is>
      </c>
      <c r="D580" t="inlineStr">
        <is>
          <t>OK_NO_TOTALS</t>
        </is>
      </c>
      <c r="E580" t="n">
        <v>8</v>
      </c>
      <c r="F580" t="inlineStr">
        <is>
          <t>TABLE</t>
        </is>
      </c>
      <c r="G580" t="inlineStr">
        <is>
          <t>TABLE_RULED</t>
        </is>
      </c>
      <c r="H580" t="inlineStr"/>
      <c r="I580" t="inlineStr">
        <is>
          <t>2024-06-11</t>
        </is>
      </c>
      <c r="J580" t="inlineStr">
        <is>
          <t>E FALENCIA</t>
        </is>
      </c>
      <c r="K580" t="inlineStr">
        <is>
          <t>diligence.adm.br</t>
        </is>
      </c>
      <c r="L580" s="19" t="inlineStr">
        <is>
          <t>https://diligence.adm.br/wp-content/plugins/download-attachments/includes/download.php?id=4579</t>
        </is>
      </c>
    </row>
    <row r="581">
      <c r="A581" t="inlineStr">
        <is>
          <t>b16f689cea20</t>
        </is>
      </c>
      <c r="B581" t="inlineStr">
        <is>
          <t>0034714-90.2016.8.17.2001</t>
        </is>
      </c>
      <c r="C581" t="inlineStr">
        <is>
          <t>AJ_LIST</t>
        </is>
      </c>
      <c r="D581" t="inlineStr">
        <is>
          <t>OK_NO_TOTALS</t>
        </is>
      </c>
      <c r="E581" t="n">
        <v>3</v>
      </c>
      <c r="F581" t="inlineStr">
        <is>
          <t>TABLE</t>
        </is>
      </c>
      <c r="G581" t="inlineStr">
        <is>
          <t>TABLE_BANDS</t>
        </is>
      </c>
      <c r="H581" t="inlineStr"/>
      <c r="I581" t="inlineStr">
        <is>
          <t>2021-09-20</t>
        </is>
      </c>
      <c r="J581" t="inlineStr">
        <is>
          <t>AMERICA COMBUSTIVEIS LTDA – LRF Líderes em Recuperação Judicial e Falência</t>
        </is>
      </c>
      <c r="K581" t="inlineStr">
        <is>
          <t>lrflideres.com.br</t>
        </is>
      </c>
      <c r="L581" s="19" t="inlineStr">
        <is>
          <t>https://lrflideres.com.br/wp-content/plugins/download-attachments/includes/download.php?id=3557</t>
        </is>
      </c>
    </row>
    <row r="582">
      <c r="A582" t="inlineStr">
        <is>
          <t>8d882092195a</t>
        </is>
      </c>
      <c r="B582" t="inlineStr">
        <is>
          <t>0700256-03.2019.8.02.0066</t>
        </is>
      </c>
      <c r="C582" t="inlineStr">
        <is>
          <t>AJ_LIST</t>
        </is>
      </c>
      <c r="D582" t="inlineStr">
        <is>
          <t>OK_NO_TOTALS</t>
        </is>
      </c>
      <c r="E582" t="n">
        <v>13</v>
      </c>
      <c r="F582" t="inlineStr">
        <is>
          <t>TABLE</t>
        </is>
      </c>
      <c r="G582" t="inlineStr">
        <is>
          <t>TABLE_BANDS</t>
        </is>
      </c>
      <c r="H582" t="inlineStr"/>
      <c r="J582" t="inlineStr">
        <is>
          <t>Grupo Arnon de Mello — Lindoso e Araujo</t>
        </is>
      </c>
      <c r="K582" t="inlineStr">
        <is>
          <t>recuperacaojudicial.squarespace.com</t>
        </is>
      </c>
      <c r="L582" s="19" t="inlineStr">
        <is>
          <t>https://recuperacaojudicial.squarespace.com/s/Edital2alista.pdf</t>
        </is>
      </c>
    </row>
    <row r="583">
      <c r="A583" t="inlineStr">
        <is>
          <t>60fd9c017d90</t>
        </is>
      </c>
      <c r="B583" t="inlineStr">
        <is>
          <t>0700256-03.2019.8.02.0066</t>
        </is>
      </c>
      <c r="C583" t="inlineStr">
        <is>
          <t>AJ_LIST</t>
        </is>
      </c>
      <c r="D583" t="inlineStr">
        <is>
          <t>OK_NO_TOTALS</t>
        </is>
      </c>
      <c r="E583" t="n">
        <v>12</v>
      </c>
      <c r="F583" t="inlineStr">
        <is>
          <t>TABLE</t>
        </is>
      </c>
      <c r="G583" t="inlineStr">
        <is>
          <t>TABLE_RULED</t>
        </is>
      </c>
      <c r="H583" t="inlineStr"/>
      <c r="J583" t="inlineStr">
        <is>
          <t>Grupo Arnon de Mello — Lindoso e Araujo</t>
        </is>
      </c>
      <c r="K583" t="inlineStr">
        <is>
          <t>recuperacaojudicial.squarespace.com</t>
        </is>
      </c>
      <c r="L583" s="19" t="inlineStr">
        <is>
          <t>https://recuperacaojudicial.squarespace.com/s/RJ-Grupo-Arnon-de-Melo-Lista-de-Credores-Consolidada-abril-2022.pdf</t>
        </is>
      </c>
    </row>
    <row r="584">
      <c r="A584" t="inlineStr">
        <is>
          <t>f349ab01ffea</t>
        </is>
      </c>
      <c r="B584" t="inlineStr">
        <is>
          <t>0009914-62.2008.8.17.0001</t>
        </is>
      </c>
      <c r="C584" t="inlineStr">
        <is>
          <t>AJ_LIST</t>
        </is>
      </c>
      <c r="D584" t="inlineStr">
        <is>
          <t>OK_NO_TOTALS</t>
        </is>
      </c>
      <c r="E584" t="n">
        <v>3</v>
      </c>
      <c r="F584" t="inlineStr">
        <is>
          <t>PROSE</t>
        </is>
      </c>
      <c r="G584" t="inlineStr">
        <is>
          <t>PROSE</t>
        </is>
      </c>
      <c r="H584" t="inlineStr"/>
      <c r="I584" t="inlineStr">
        <is>
          <t>2024-07-12</t>
        </is>
      </c>
      <c r="J584" t="inlineStr">
        <is>
          <t>E FALENCIA</t>
        </is>
      </c>
      <c r="K584" t="inlineStr">
        <is>
          <t>diligence.adm.br</t>
        </is>
      </c>
      <c r="L584" s="19" t="inlineStr">
        <is>
          <t>https://diligence.adm.br/wp-content/plugins/download-attachments/includes/download.php?id=4914</t>
        </is>
      </c>
    </row>
    <row r="585">
      <c r="A585" t="inlineStr">
        <is>
          <t>1bd0c2305eaf</t>
        </is>
      </c>
      <c r="B585" t="inlineStr">
        <is>
          <t>0001021-69.2017.8.21.0126</t>
        </is>
      </c>
      <c r="C585" t="inlineStr">
        <is>
          <t>AJ_LIST</t>
        </is>
      </c>
      <c r="D585" t="inlineStr">
        <is>
          <t>OK_NO_TOTALS</t>
        </is>
      </c>
      <c r="E585" t="n">
        <v>1</v>
      </c>
      <c r="F585" t="inlineStr">
        <is>
          <t>TABLE</t>
        </is>
      </c>
      <c r="G585" t="inlineStr">
        <is>
          <t>TABLE_BANDS</t>
        </is>
      </c>
      <c r="H585" t="inlineStr"/>
      <c r="I585" t="inlineStr">
        <is>
          <t>2017-10-19</t>
        </is>
      </c>
      <c r="J585" t="inlineStr">
        <is>
          <t>SCZ Scalzilli Administração Judicial</t>
        </is>
      </c>
      <c r="K585" t="inlineStr">
        <is>
          <t>scalzilliaj.com.br</t>
        </is>
      </c>
      <c r="L585" s="19" t="inlineStr">
        <is>
          <t>https://scalzilliaj.com.br/sgc/download.php?file=files/processo_documento/processo_documento14231707012022_1_.pdf&amp;nome=07 - Edital do art. 7º, §2º da Lei 11.101/2005 (segunda lista de credores)</t>
        </is>
      </c>
    </row>
    <row r="586">
      <c r="A586" t="inlineStr">
        <is>
          <t>424b54fee6a1</t>
        </is>
      </c>
      <c r="B586" t="inlineStr">
        <is>
          <t>0026395-77.2025.8.16.0019</t>
        </is>
      </c>
      <c r="C586" t="inlineStr">
        <is>
          <t>AJ_LIST</t>
        </is>
      </c>
      <c r="D586" t="inlineStr">
        <is>
          <t>OK_NO_TOTALS</t>
        </is>
      </c>
      <c r="E586" t="n">
        <v>36</v>
      </c>
      <c r="F586" t="inlineStr">
        <is>
          <t>PROSE</t>
        </is>
      </c>
      <c r="G586" t="inlineStr">
        <is>
          <t>PROSE</t>
        </is>
      </c>
      <c r="H586" t="inlineStr"/>
      <c r="I586" t="inlineStr">
        <is>
          <t>2025-08-01</t>
        </is>
      </c>
      <c r="J586" t="inlineStr">
        <is>
          <t>GRUPO FOREST – Sgrott Administradora Judicial e Consultoria Empresarial</t>
        </is>
      </c>
      <c r="K586" t="inlineStr">
        <is>
          <t>administradorajudicialgs.com.br</t>
        </is>
      </c>
      <c r="L586" s="19" t="inlineStr">
        <is>
          <t>https://administradorajudicialgs.com.br/wp-content/uploads/2025/09/relacao-de-credores-forest-sa.pdf</t>
        </is>
      </c>
    </row>
    <row r="587">
      <c r="A587" t="inlineStr">
        <is>
          <t>ee756445aa1e</t>
        </is>
      </c>
      <c r="B587" t="inlineStr">
        <is>
          <t>5008261-83.2019.8.21.0019</t>
        </is>
      </c>
      <c r="C587" t="inlineStr">
        <is>
          <t>AJ_LIST</t>
        </is>
      </c>
      <c r="D587" t="inlineStr">
        <is>
          <t>OK_NO_TOTALS</t>
        </is>
      </c>
      <c r="E587" t="n">
        <v>15</v>
      </c>
      <c r="F587" t="inlineStr">
        <is>
          <t>PROSE</t>
        </is>
      </c>
      <c r="G587" t="inlineStr">
        <is>
          <t>PROSE</t>
        </is>
      </c>
      <c r="H587" t="inlineStr"/>
      <c r="I587" t="inlineStr">
        <is>
          <t>2020-05-21</t>
        </is>
      </c>
      <c r="J587" t="inlineStr">
        <is>
          <t>SCZ Scalzilli Administração Judicial</t>
        </is>
      </c>
      <c r="K587" t="inlineStr">
        <is>
          <t>scalzilliaj.com.br</t>
        </is>
      </c>
      <c r="L587" s="19" t="inlineStr">
        <is>
          <t>https://scalzilliaj.com.br/sgc/download.php?file=files/processo_documento/processo_documento15475207012022_1_.pdf&amp;nome=08 - Edital do art. 7º, §2º da Lei 11.101/2005 (segunda lista de credores)</t>
        </is>
      </c>
    </row>
    <row r="588">
      <c r="A588" t="inlineStr">
        <is>
          <t>d7c426fbd475</t>
        </is>
      </c>
      <c r="B588" t="inlineStr">
        <is>
          <t>0700707-87.2025.8.02.0043</t>
        </is>
      </c>
      <c r="C588" t="inlineStr">
        <is>
          <t>AJ_LIST</t>
        </is>
      </c>
      <c r="D588" t="inlineStr">
        <is>
          <t>OK_NO_TOTALS</t>
        </is>
      </c>
      <c r="E588" t="n">
        <v>2</v>
      </c>
      <c r="F588" t="inlineStr">
        <is>
          <t>PROSE</t>
        </is>
      </c>
      <c r="G588" t="inlineStr">
        <is>
          <t>PROSE</t>
        </is>
      </c>
      <c r="H588" t="inlineStr"/>
      <c r="J588" t="inlineStr">
        <is>
          <t>GRUPO PISEBEM — Lindoso e Araujo</t>
        </is>
      </c>
      <c r="K588" t="inlineStr">
        <is>
          <t>recuperacaojudicial.squarespace.com</t>
        </is>
      </c>
      <c r="L588" s="19" t="inlineStr">
        <is>
          <t>https://recuperacaojudicial.squarespace.com/s/EDITAL-COM-A-2-LISTA-DE-CREDORES-E-INFORMANDO-A-APRESENTACO-DO-PRJ_1532.pdf</t>
        </is>
      </c>
    </row>
    <row r="589">
      <c r="A589" t="inlineStr">
        <is>
          <t>60705d8ef348</t>
        </is>
      </c>
      <c r="B589" t="inlineStr">
        <is>
          <t>0013786-82.2015.8.21.0016</t>
        </is>
      </c>
      <c r="C589" t="inlineStr">
        <is>
          <t>AJ_LIST</t>
        </is>
      </c>
      <c r="D589" t="inlineStr">
        <is>
          <t>OK_NO_TOTALS</t>
        </is>
      </c>
      <c r="E589" t="n">
        <v>2</v>
      </c>
      <c r="F589" t="inlineStr">
        <is>
          <t>TABLE</t>
        </is>
      </c>
      <c r="G589" t="inlineStr">
        <is>
          <t>TABLE_BANDS</t>
        </is>
      </c>
      <c r="H589" t="inlineStr"/>
      <c r="I589" t="inlineStr">
        <is>
          <t>2017-07-25</t>
        </is>
      </c>
      <c r="J589" t="inlineStr">
        <is>
          <t>PELA EMPRESA</t>
        </is>
      </c>
      <c r="K589" t="inlineStr">
        <is>
          <t>scalzilliaj.com.br</t>
        </is>
      </c>
      <c r="L589" s="19" t="inlineStr">
        <is>
          <t>https://scalzilliaj.com.br/sgc/download.php?file=files/processo_documento/processo_documento09425010012022_1_.pdf&amp;nome=07 - Edital do art. 7º, §2º (segunda lista de credores) e do art. 53 da Lei 11.101/2005 (recebimento do plano)</t>
        </is>
      </c>
    </row>
    <row r="590">
      <c r="A590" t="inlineStr">
        <is>
          <t>7bf2ee83d913</t>
        </is>
      </c>
      <c r="B590" t="inlineStr">
        <is>
          <t>0054275-84.2008.8.02.0001</t>
        </is>
      </c>
      <c r="C590" t="inlineStr">
        <is>
          <t>AJ_LIST</t>
        </is>
      </c>
      <c r="D590" t="inlineStr">
        <is>
          <t>OK_NO_TOTALS</t>
        </is>
      </c>
      <c r="E590" t="n">
        <v>6</v>
      </c>
      <c r="F590" t="inlineStr">
        <is>
          <t>TABLE</t>
        </is>
      </c>
      <c r="G590" t="inlineStr">
        <is>
          <t>TABLE_BANDS</t>
        </is>
      </c>
      <c r="H590" t="inlineStr"/>
      <c r="J590" t="inlineStr">
        <is>
          <t>MONTEC MONTAGEM TÉCNICA LTDA</t>
        </is>
      </c>
      <c r="K590" t="inlineStr">
        <is>
          <t>recuperacaojudicial.squarespace.com</t>
        </is>
      </c>
      <c r="L590" s="19" t="inlineStr">
        <is>
          <t>https://recuperacaojudicial.squarespace.com/s/RJ-Montec-Edital-2-Lista-DJe.pdf</t>
        </is>
      </c>
    </row>
    <row r="591">
      <c r="A591" t="inlineStr">
        <is>
          <t>caa0bc621248</t>
        </is>
      </c>
      <c r="B591" t="inlineStr">
        <is>
          <t>0006775-56.2016.8.17.2480</t>
        </is>
      </c>
      <c r="C591" t="inlineStr">
        <is>
          <t>AJ_LIST</t>
        </is>
      </c>
      <c r="D591" t="inlineStr">
        <is>
          <t>OK_NO_TOTALS</t>
        </is>
      </c>
      <c r="E591" t="n">
        <v>7</v>
      </c>
      <c r="F591" t="inlineStr">
        <is>
          <t>PROSE</t>
        </is>
      </c>
      <c r="G591" t="inlineStr">
        <is>
          <t>PROSE</t>
        </is>
      </c>
      <c r="H591" t="inlineStr"/>
      <c r="I591" t="inlineStr">
        <is>
          <t>2017-01-11</t>
        </is>
      </c>
      <c r="J591" t="inlineStr">
        <is>
          <t>E FALENCIA</t>
        </is>
      </c>
      <c r="K591" t="inlineStr">
        <is>
          <t>lrflideres.com.br</t>
        </is>
      </c>
      <c r="L591" s="19" t="inlineStr">
        <is>
          <t>https://lrflideres.com.br/wp-content/plugins/download-attachments/includes/download.php?id=3615</t>
        </is>
      </c>
    </row>
    <row r="592">
      <c r="A592" t="inlineStr">
        <is>
          <t>c28516424f86</t>
        </is>
      </c>
      <c r="B592" t="inlineStr">
        <is>
          <t>0024789-58.2015.8.21.0008</t>
        </is>
      </c>
      <c r="C592" t="inlineStr">
        <is>
          <t>AJ_LIST</t>
        </is>
      </c>
      <c r="D592" t="inlineStr">
        <is>
          <t>OK_NO_TOTALS</t>
        </is>
      </c>
      <c r="E592" t="n">
        <v>2</v>
      </c>
      <c r="F592" t="inlineStr">
        <is>
          <t>TABLE</t>
        </is>
      </c>
      <c r="G592" t="inlineStr">
        <is>
          <t>TABLE_BANDS</t>
        </is>
      </c>
      <c r="H592" t="inlineStr"/>
      <c r="I592" t="inlineStr">
        <is>
          <t>2017-06-07</t>
        </is>
      </c>
      <c r="J592" t="inlineStr">
        <is>
          <t>SCZ Scalzilli Administração Judicial</t>
        </is>
      </c>
      <c r="K592" t="inlineStr">
        <is>
          <t>scalzilliaj.com.br</t>
        </is>
      </c>
      <c r="L592" s="19" t="inlineStr">
        <is>
          <t>https://scalzilliaj.com.br/sgc/download.php?file=files/processo_documento/processo_documento16263107012022_1_.pdf&amp;nome=10 - Edital do art. 7º, §2º da Lei 11.101/2005 (segunda lista de credores)</t>
        </is>
      </c>
    </row>
    <row r="593">
      <c r="A593" t="inlineStr">
        <is>
          <t>f383c915c3c4</t>
        </is>
      </c>
      <c r="B593" t="inlineStr">
        <is>
          <t>0001234-83.2012.8.21.0083</t>
        </is>
      </c>
      <c r="C593" t="inlineStr">
        <is>
          <t>AJ_LIST</t>
        </is>
      </c>
      <c r="D593" t="inlineStr">
        <is>
          <t>OK_NO_TOTALS</t>
        </is>
      </c>
      <c r="E593" t="n">
        <v>2</v>
      </c>
      <c r="F593" t="inlineStr">
        <is>
          <t>PROSE</t>
        </is>
      </c>
      <c r="G593" t="inlineStr">
        <is>
          <t>PROSE</t>
        </is>
      </c>
      <c r="H593" t="inlineStr"/>
      <c r="I593" t="inlineStr">
        <is>
          <t>2017-10-25</t>
        </is>
      </c>
      <c r="J593" t="inlineStr">
        <is>
          <t>ESTIVER EM CIA</t>
        </is>
      </c>
      <c r="K593" t="inlineStr">
        <is>
          <t>scalzilliaj.com.br</t>
        </is>
      </c>
      <c r="L593" s="19" t="inlineStr">
        <is>
          <t>https://scalzilliaj.com.br/sgc/download.php?file=files/processo_documento/processo_documento12004810012022_1_.pdf&amp;nome=08 - Edital do art. 7º, §2º da Lei 11.101/2005 (segunda lista de credores)</t>
        </is>
      </c>
    </row>
    <row r="594">
      <c r="A594" t="inlineStr">
        <is>
          <t>d3ac54ff51af</t>
        </is>
      </c>
      <c r="B594" t="inlineStr">
        <is>
          <t>0009339-09.2024.8.17.2001</t>
        </is>
      </c>
      <c r="C594" t="inlineStr">
        <is>
          <t>AJ_LIST</t>
        </is>
      </c>
      <c r="D594" t="inlineStr">
        <is>
          <t>OK_NO_TOTALS</t>
        </is>
      </c>
      <c r="E594" t="n">
        <v>51</v>
      </c>
      <c r="F594" t="inlineStr">
        <is>
          <t>TABLE</t>
        </is>
      </c>
      <c r="G594" t="inlineStr">
        <is>
          <t>TABLE_RULED</t>
        </is>
      </c>
      <c r="H594" t="inlineStr"/>
      <c r="I594" t="inlineStr">
        <is>
          <t>2024-04-29</t>
        </is>
      </c>
      <c r="J594" t="inlineStr">
        <is>
          <t>em epígrafe, requerida por HOSPITAL DE ASSISTENCIA</t>
        </is>
      </c>
      <c r="K594" t="inlineStr">
        <is>
          <t>lrflideres.com.br</t>
        </is>
      </c>
      <c r="L594" s="19" t="inlineStr">
        <is>
          <t>https://lrflideres.com.br/wp-content/plugins/download-attachments/includes/download.php?id=5834</t>
        </is>
      </c>
    </row>
    <row r="595">
      <c r="A595" t="inlineStr">
        <is>
          <t>84c586360a66</t>
        </is>
      </c>
      <c r="B595" t="inlineStr">
        <is>
          <t>5014104-85.2021.8.21.0010</t>
        </is>
      </c>
      <c r="C595" t="inlineStr">
        <is>
          <t>AJ_LIST</t>
        </is>
      </c>
      <c r="D595" t="inlineStr">
        <is>
          <t>OK_NO_TOTALS</t>
        </is>
      </c>
      <c r="E595" t="n">
        <v>17</v>
      </c>
      <c r="F595" t="inlineStr">
        <is>
          <t>PROSE</t>
        </is>
      </c>
      <c r="G595" t="inlineStr">
        <is>
          <t>PROSE</t>
        </is>
      </c>
      <c r="H595" t="inlineStr"/>
      <c r="I595" t="inlineStr">
        <is>
          <t>2022-11-01</t>
        </is>
      </c>
      <c r="J595" t="inlineStr">
        <is>
          <t>SCZ Scalzilli Administração Judicial</t>
        </is>
      </c>
      <c r="K595" t="inlineStr">
        <is>
          <t>scalzilliaj.com.br</t>
        </is>
      </c>
      <c r="L595" s="19" t="inlineStr">
        <is>
          <t>https://scalzilliaj.com.br/sgc/download.php?file=files/processo_documento/processo_documento15513401112022_1_.pdf&amp;nome=15 - Edital do art. 7º, §2º (segunda lista de credores) e do art. 53 da Lei 11.101/2005 (recebimento do plano)</t>
        </is>
      </c>
    </row>
    <row r="596">
      <c r="A596" t="inlineStr">
        <is>
          <t>ab85061f68d6</t>
        </is>
      </c>
      <c r="B596" t="inlineStr">
        <is>
          <t>0321200-64.2016.8.24.0008</t>
        </is>
      </c>
      <c r="C596" t="inlineStr">
        <is>
          <t>AJ_LIST</t>
        </is>
      </c>
      <c r="D596" t="inlineStr">
        <is>
          <t>OK_NO_TOTALS</t>
        </is>
      </c>
      <c r="E596" t="n">
        <v>5</v>
      </c>
      <c r="F596" t="inlineStr">
        <is>
          <t>TABLE</t>
        </is>
      </c>
      <c r="G596" t="inlineStr">
        <is>
          <t>TABLE_RULED</t>
        </is>
      </c>
      <c r="H596" t="inlineStr"/>
      <c r="I596" t="inlineStr">
        <is>
          <t>2014-04-24</t>
        </is>
      </c>
      <c r="J596" t="inlineStr">
        <is>
          <t>BLUFIX INDÚSTRIA E COMÉRCIO LTDA – Sgrott Administradora Judicial e Consultoria Empresarial</t>
        </is>
      </c>
      <c r="K596" t="inlineStr">
        <is>
          <t>administradorajudicialgs.com.br</t>
        </is>
      </c>
      <c r="L596" s="19" t="inlineStr">
        <is>
          <t>https://administradorajudicialgs.com.br/wp-content/uploads/2023/08/edital-relacao-de-credores.pdf</t>
        </is>
      </c>
    </row>
    <row r="597">
      <c r="A597" t="inlineStr">
        <is>
          <t>e4e0c8f6e1bb</t>
        </is>
      </c>
      <c r="B597" t="inlineStr">
        <is>
          <t>0301188-65.2018.8.24.0135</t>
        </is>
      </c>
      <c r="C597" t="inlineStr">
        <is>
          <t>AJ_LIST</t>
        </is>
      </c>
      <c r="D597" t="inlineStr">
        <is>
          <t>OK_NO_TOTALS</t>
        </is>
      </c>
      <c r="E597" t="n">
        <v>10</v>
      </c>
      <c r="F597" t="inlineStr">
        <is>
          <t>TABLE</t>
        </is>
      </c>
      <c r="G597" t="inlineStr">
        <is>
          <t>TABLE_BANDS</t>
        </is>
      </c>
      <c r="H597" t="inlineStr"/>
      <c r="I597" t="inlineStr">
        <is>
          <t>2018-05-03</t>
        </is>
      </c>
      <c r="J597" t="inlineStr">
        <is>
          <t>e processa</t>
        </is>
      </c>
      <c r="K597" t="inlineStr">
        <is>
          <t>administradorajudicialgs.com.br</t>
        </is>
      </c>
      <c r="L597" s="19" t="inlineStr">
        <is>
          <t>https://administradorajudicialgs.com.br/wp-content/uploads/2023/08/doc-02-edital-de-publicacao-credores.pdf</t>
        </is>
      </c>
    </row>
    <row r="598">
      <c r="A598" t="inlineStr">
        <is>
          <t>2e4641168857</t>
        </is>
      </c>
      <c r="B598" t="inlineStr">
        <is>
          <t>5009529-81.2025.8.24.0019</t>
        </is>
      </c>
      <c r="C598" t="inlineStr">
        <is>
          <t>AJ_LIST</t>
        </is>
      </c>
      <c r="D598" t="inlineStr">
        <is>
          <t>OK_NO_TOTALS</t>
        </is>
      </c>
      <c r="E598" t="n">
        <v>2</v>
      </c>
      <c r="F598" t="inlineStr">
        <is>
          <t>TABLE</t>
        </is>
      </c>
      <c r="G598" t="inlineStr">
        <is>
          <t>TABLE_RULED</t>
        </is>
      </c>
      <c r="H598" t="inlineStr"/>
      <c r="J598" t="inlineStr">
        <is>
          <t>SCZ Scalzilli Administração Judicial</t>
        </is>
      </c>
      <c r="K598" t="inlineStr">
        <is>
          <t>scalzilliaj.com.br</t>
        </is>
      </c>
      <c r="L598" s="19" t="inlineStr">
        <is>
          <t>https://scalzilliaj.com.br/sgc/download.php?file=files/processo_documento/processo_documento15180810062026_1_.pdf&amp;nome=10 - Relação de credores do art. 7º, §2º, da Lei 11.101/2005</t>
        </is>
      </c>
    </row>
    <row r="599">
      <c r="A599" t="inlineStr">
        <is>
          <t>e8ae24c457ea</t>
        </is>
      </c>
      <c r="B599" t="inlineStr">
        <is>
          <t>5041328-27.2023.8.21.0010</t>
        </is>
      </c>
      <c r="C599" t="inlineStr">
        <is>
          <t>AJ_LIST</t>
        </is>
      </c>
      <c r="D599" t="inlineStr">
        <is>
          <t>OK_NO_TOTALS</t>
        </is>
      </c>
      <c r="E599" t="n">
        <v>2</v>
      </c>
      <c r="F599" t="inlineStr">
        <is>
          <t>TABLE</t>
        </is>
      </c>
      <c r="G599" t="inlineStr">
        <is>
          <t>TABLE_BANDS</t>
        </is>
      </c>
      <c r="H599" t="inlineStr"/>
      <c r="I599" t="inlineStr">
        <is>
          <t>2023-12-18</t>
        </is>
      </c>
      <c r="J599" t="inlineStr">
        <is>
          <t>SCZ Scalzilli Administração Judicial</t>
        </is>
      </c>
      <c r="K599" t="inlineStr">
        <is>
          <t>scalzilliaj.com.br</t>
        </is>
      </c>
      <c r="L599" s="19" t="inlineStr">
        <is>
          <t>https://scalzilliaj.com.br/sgc/download.php?file=files/processo_documento/processo_documento18412415122023_1_.pdf&amp;nome=07 - Edital do art. 7º, §2º e 55 da Lei 11.101/2005 (segunda lista de credores e recebimento do plano)</t>
        </is>
      </c>
    </row>
    <row r="600">
      <c r="A600" t="inlineStr">
        <is>
          <t>64ac7624f5f9</t>
        </is>
      </c>
      <c r="B600" t="inlineStr">
        <is>
          <t>0004838-75.2012.8.17.0370</t>
        </is>
      </c>
      <c r="C600" t="inlineStr">
        <is>
          <t>AJ_LIST</t>
        </is>
      </c>
      <c r="D600" t="inlineStr">
        <is>
          <t>OK_NO_TOTALS</t>
        </is>
      </c>
      <c r="E600" t="n">
        <v>2</v>
      </c>
      <c r="F600" t="inlineStr">
        <is>
          <t>PROSE</t>
        </is>
      </c>
      <c r="G600" t="inlineStr">
        <is>
          <t>PROSE</t>
        </is>
      </c>
      <c r="H600" t="inlineStr"/>
      <c r="J600" t="inlineStr">
        <is>
          <t>CERÂMICA PORTO RICO LTDA</t>
        </is>
      </c>
      <c r="K600" t="inlineStr">
        <is>
          <t>recuperacaojudicial.squarespace.com</t>
        </is>
      </c>
      <c r="L600" s="19" t="inlineStr">
        <is>
          <t>https://recuperacaojudicial.squarespace.com/s/Edital2ListaeApresentacoPRJnoDO22112012.pdf</t>
        </is>
      </c>
    </row>
    <row r="601">
      <c r="A601" t="inlineStr">
        <is>
          <t>95ef34f1e37e</t>
        </is>
      </c>
      <c r="B601" t="inlineStr">
        <is>
          <t>0065015-78.2020.8.17.2001</t>
        </is>
      </c>
      <c r="C601" t="inlineStr">
        <is>
          <t>AJ_LIST</t>
        </is>
      </c>
      <c r="D601" t="inlineStr">
        <is>
          <t>OK_NO_TOTALS</t>
        </is>
      </c>
      <c r="E601" t="n">
        <v>3</v>
      </c>
      <c r="F601" t="inlineStr">
        <is>
          <t>PROSE</t>
        </is>
      </c>
      <c r="G601" t="inlineStr">
        <is>
          <t>PROSE</t>
        </is>
      </c>
      <c r="H601" t="inlineStr"/>
      <c r="I601" t="inlineStr">
        <is>
          <t>2006-06-13</t>
        </is>
      </c>
      <c r="J601" t="inlineStr">
        <is>
          <t>apresentado por COMERCIA</t>
        </is>
      </c>
      <c r="K601" t="inlineStr">
        <is>
          <t>recuperacaojudicial.squarespace.com</t>
        </is>
      </c>
      <c r="L601" s="19" t="inlineStr">
        <is>
          <t>https://recuperacaojudicial.squarespace.com/s/RJ-CMC-Edital-da-1-Lista-de-Credores-julho-2021.pdf</t>
        </is>
      </c>
    </row>
    <row r="602">
      <c r="A602" t="inlineStr">
        <is>
          <t>05170e9cb468</t>
        </is>
      </c>
      <c r="B602" t="inlineStr">
        <is>
          <t>0600328-51.2014.8.24.0031</t>
        </is>
      </c>
      <c r="C602" t="inlineStr">
        <is>
          <t>DEBTOR_LIST</t>
        </is>
      </c>
      <c r="D602" t="inlineStr">
        <is>
          <t>OK_NO_TOTALS</t>
        </is>
      </c>
      <c r="E602" t="n">
        <v>4</v>
      </c>
      <c r="F602" t="inlineStr">
        <is>
          <t>PROSE</t>
        </is>
      </c>
      <c r="G602" t="inlineStr">
        <is>
          <t>PROSE</t>
        </is>
      </c>
      <c r="H602" t="inlineStr"/>
      <c r="I602" t="inlineStr">
        <is>
          <t>2016-02-01</t>
        </is>
      </c>
      <c r="J602" t="inlineStr">
        <is>
          <t>e da possibilidade concreta de seja ordenada por Vossa</t>
        </is>
      </c>
      <c r="K602" t="inlineStr">
        <is>
          <t>administradorajudicialgs.com.br</t>
        </is>
      </c>
      <c r="L602" s="19" t="inlineStr">
        <is>
          <t>https://administradorajudicialgs.com.br/wp-content/uploads/2023/08/doc-05-publicacao-relacao-credores-22-04-16.pdf</t>
        </is>
      </c>
    </row>
    <row r="603">
      <c r="A603" t="inlineStr">
        <is>
          <t>514a4c8b84cc</t>
        </is>
      </c>
      <c r="B603" t="inlineStr">
        <is>
          <t>0300471-34.2014.8.24.0025</t>
        </is>
      </c>
      <c r="C603" t="inlineStr">
        <is>
          <t>DEBTOR_LIST</t>
        </is>
      </c>
      <c r="D603" t="inlineStr">
        <is>
          <t>OK_NO_TOTALS</t>
        </is>
      </c>
      <c r="E603" t="n">
        <v>3</v>
      </c>
      <c r="F603" t="inlineStr">
        <is>
          <t>TABLE</t>
        </is>
      </c>
      <c r="G603" t="inlineStr">
        <is>
          <t>TABLE_BANDS</t>
        </is>
      </c>
      <c r="H603" t="inlineStr"/>
      <c r="J603" t="inlineStr">
        <is>
          <t>requerida por Confecções Andrimalhas Ltda</t>
        </is>
      </c>
      <c r="K603" t="inlineStr">
        <is>
          <t>administradorajudicialgs.com.br</t>
        </is>
      </c>
      <c r="L603" s="19" t="inlineStr">
        <is>
          <t>https://administradorajudicialgs.com.br/wp-content/uploads/2023/08/doc-04-publicacao-da-decisao-e-da-relacao-de-credores-11-12-15.pdf</t>
        </is>
      </c>
    </row>
    <row r="604">
      <c r="A604" t="inlineStr">
        <is>
          <t>7dd3b1fd7765</t>
        </is>
      </c>
      <c r="B604" t="inlineStr">
        <is>
          <t>0807101-83.2016.8.12.0002</t>
        </is>
      </c>
      <c r="C604" t="inlineStr">
        <is>
          <t>DEBTOR_LIST</t>
        </is>
      </c>
      <c r="D604" t="inlineStr">
        <is>
          <t>OK_NO_TOTALS</t>
        </is>
      </c>
      <c r="E604" t="n">
        <v>3</v>
      </c>
      <c r="F604" t="inlineStr">
        <is>
          <t>TABLE</t>
        </is>
      </c>
      <c r="G604" t="inlineStr">
        <is>
          <t>TABLE_BANDS</t>
        </is>
      </c>
      <c r="H604" t="inlineStr"/>
      <c r="I604" t="inlineStr">
        <is>
          <t>2021-10-07</t>
        </is>
      </c>
      <c r="J604" t="inlineStr">
        <is>
          <t>GRUPO SÃO FERNANDO - Vinícius Coutinho Consultoria e Perícia</t>
        </is>
      </c>
      <c r="K604" t="inlineStr">
        <is>
          <t>vcpericia.com.br</t>
        </is>
      </c>
      <c r="L604" s="19" t="inlineStr">
        <is>
          <t>https://www.vcpericia.com.br/wp-content/uploads/2024/07/DJ_2022.01.10_Edital-venda-Grupo-Sao-Fernando.pdf</t>
        </is>
      </c>
    </row>
    <row r="605">
      <c r="A605" t="inlineStr">
        <is>
          <t>4031ec133da0</t>
        </is>
      </c>
      <c r="B605" t="inlineStr">
        <is>
          <t>0000357-47.2014.8.24.0033</t>
        </is>
      </c>
      <c r="C605" t="inlineStr">
        <is>
          <t>DEBTOR_LIST</t>
        </is>
      </c>
      <c r="D605" t="inlineStr">
        <is>
          <t>OK_NO_TOTALS</t>
        </is>
      </c>
      <c r="E605" t="n">
        <v>5</v>
      </c>
      <c r="F605" t="inlineStr">
        <is>
          <t>PROSE</t>
        </is>
      </c>
      <c r="G605" t="inlineStr">
        <is>
          <t>PROSE</t>
        </is>
      </c>
      <c r="H605" t="inlineStr"/>
      <c r="I605" t="inlineStr">
        <is>
          <t>2014-02-27</t>
        </is>
      </c>
      <c r="J605" t="inlineStr">
        <is>
          <t>- COM PRAZO DE 15 DIAS para apresentar ao administrador judicia</t>
        </is>
      </c>
      <c r="K605" t="inlineStr">
        <is>
          <t>administradorajudicialgs.com.br</t>
        </is>
      </c>
      <c r="L605" s="19" t="inlineStr">
        <is>
          <t>https://administradorajudicialgs.com.br/wp-content/uploads/2023/07/doc-08-publicacao-do-recebimento-do-plano-e-da-relacao-de-credores-do-administrador-23-06-14.pdf</t>
        </is>
      </c>
    </row>
    <row r="606">
      <c r="A606" t="inlineStr">
        <is>
          <t>cdf27c40296f</t>
        </is>
      </c>
      <c r="B606" t="inlineStr">
        <is>
          <t>5100227-29.2022.8.24.0023</t>
        </is>
      </c>
      <c r="C606" t="inlineStr">
        <is>
          <t>DEBTOR_LIST</t>
        </is>
      </c>
      <c r="D606" t="inlineStr">
        <is>
          <t>OK_NO_TOTALS</t>
        </is>
      </c>
      <c r="E606" t="n">
        <v>5</v>
      </c>
      <c r="F606" t="inlineStr">
        <is>
          <t>TABLE</t>
        </is>
      </c>
      <c r="G606" t="inlineStr">
        <is>
          <t>TABLE_BANDS</t>
        </is>
      </c>
      <c r="H606" t="inlineStr"/>
      <c r="I606" t="inlineStr">
        <is>
          <t>2025-02-28</t>
        </is>
      </c>
      <c r="J606" t="inlineStr">
        <is>
          <t>EM FALÊNCIA</t>
        </is>
      </c>
      <c r="K606" t="inlineStr">
        <is>
          <t>administradorajudicialgs.com.br</t>
        </is>
      </c>
      <c r="L606" s="19" t="inlineStr">
        <is>
          <t>https://administradorajudicialgs.com.br/wp-content/uploads/2024/10/edital-falencia-e-relacao-de-credores.pdf</t>
        </is>
      </c>
    </row>
    <row r="607">
      <c r="A607" t="inlineStr">
        <is>
          <t>9054c39b449a</t>
        </is>
      </c>
      <c r="B607" t="inlineStr">
        <is>
          <t>0214287-36.2023.8.06.0001</t>
        </is>
      </c>
      <c r="C607" t="inlineStr">
        <is>
          <t>DEBTOR_LIST</t>
        </is>
      </c>
      <c r="D607" t="inlineStr">
        <is>
          <t>OK_NO_TOTALS</t>
        </is>
      </c>
      <c r="E607" t="n">
        <v>79</v>
      </c>
      <c r="F607" t="inlineStr">
        <is>
          <t>PROSE</t>
        </is>
      </c>
      <c r="G607" t="inlineStr">
        <is>
          <t>PROSE</t>
        </is>
      </c>
      <c r="H607" t="inlineStr"/>
      <c r="I607" t="inlineStr">
        <is>
          <t>2023-03-10</t>
        </is>
      </c>
      <c r="J607" t="inlineStr">
        <is>
          <t>Assunto Concurso de Credores Requerente Pminas Brasil Construção Civil e Serviços Ltda</t>
        </is>
      </c>
      <c r="K607" t="inlineStr">
        <is>
          <t>bugarimecoelho.com.br</t>
        </is>
      </c>
      <c r="L607" s="19" t="inlineStr">
        <is>
          <t>https://bugarimecoelho.com.br/ws/media-library/6bcbc667cb054f0197873f522bb076de/02---edital-do-processamento.pdf</t>
        </is>
      </c>
    </row>
    <row r="608">
      <c r="A608" t="inlineStr">
        <is>
          <t>e8716be9e9fb</t>
        </is>
      </c>
      <c r="B608" t="inlineStr">
        <is>
          <t>0270804-61.2023.8.06.0001</t>
        </is>
      </c>
      <c r="C608" t="inlineStr">
        <is>
          <t>DEBTOR_LIST</t>
        </is>
      </c>
      <c r="D608" t="inlineStr">
        <is>
          <t>OK_NO_TOTALS</t>
        </is>
      </c>
      <c r="E608" t="n">
        <v>10</v>
      </c>
      <c r="F608" t="inlineStr">
        <is>
          <t>TABLE</t>
        </is>
      </c>
      <c r="G608" t="inlineStr">
        <is>
          <t>TABLE_BANDS</t>
        </is>
      </c>
      <c r="H608" t="inlineStr"/>
      <c r="J608" t="inlineStr">
        <is>
          <t>proposto por RITA FARIAS MARTINS &amp; CIA</t>
        </is>
      </c>
      <c r="K608" t="inlineStr">
        <is>
          <t>bugarimecoelho.com.br</t>
        </is>
      </c>
      <c r="L608" s="19" t="inlineStr">
        <is>
          <t>https://bugarimecoelho.com.br/ws/media-library/2b30262273a9470bbddc334b564f1a0e/1.-processamento-da-recuperacao.pdf</t>
        </is>
      </c>
    </row>
    <row r="609">
      <c r="A609" t="inlineStr">
        <is>
          <t>f3cc2594600b</t>
        </is>
      </c>
      <c r="B609" t="inlineStr">
        <is>
          <t>0001943-40.2024.8.16.0115</t>
        </is>
      </c>
      <c r="C609" t="inlineStr">
        <is>
          <t>DEBTOR_LIST</t>
        </is>
      </c>
      <c r="D609" t="inlineStr">
        <is>
          <t>OK_NO_TOTALS</t>
        </is>
      </c>
      <c r="E609" t="n">
        <v>2</v>
      </c>
      <c r="F609" t="inlineStr">
        <is>
          <t>PROSE</t>
        </is>
      </c>
      <c r="G609" t="inlineStr">
        <is>
          <t>PROSE</t>
        </is>
      </c>
      <c r="H609" t="inlineStr"/>
      <c r="I609" t="inlineStr">
        <is>
          <t>2024-06-17</t>
        </is>
      </c>
      <c r="J609" t="inlineStr">
        <is>
          <t>no prazo de 776, sa</t>
        </is>
      </c>
      <c r="K609" t="inlineStr">
        <is>
          <t>marquesadmjudicial.com.br</t>
        </is>
      </c>
      <c r="L609" s="19" t="inlineStr">
        <is>
          <t>https://marquesadmjudicial.com.br/sgc/download.php?file=files/processo_documento/processo_documento16040221112024_1_.pdf&amp;nome=1º Edital - Art.52, § 1º - Intimação de Credores e Terceiros - Deferimento de Processamento</t>
        </is>
      </c>
    </row>
    <row r="610">
      <c r="A610" t="inlineStr">
        <is>
          <t>8968c57cedaa</t>
        </is>
      </c>
      <c r="B610" t="inlineStr">
        <is>
          <t>0000410-68.2021.8.16.0174</t>
        </is>
      </c>
      <c r="C610" t="inlineStr">
        <is>
          <t>DEBTOR_LIST</t>
        </is>
      </c>
      <c r="D610" t="inlineStr">
        <is>
          <t>OK_NO_TOTALS</t>
        </is>
      </c>
      <c r="E610" t="n">
        <v>1</v>
      </c>
      <c r="F610" t="inlineStr">
        <is>
          <t>PROSE</t>
        </is>
      </c>
      <c r="G610" t="inlineStr">
        <is>
          <t>PROSE</t>
        </is>
      </c>
      <c r="H610" t="inlineStr"/>
      <c r="I610" t="inlineStr">
        <is>
          <t>2021-09-10</t>
        </is>
      </c>
      <c r="J610" t="inlineStr">
        <is>
          <t>- FORMAPLAN FORMASPLANEJADAS INDÚSTRIA E COMÉRCIO LTDA</t>
        </is>
      </c>
      <c r="K610" t="inlineStr">
        <is>
          <t>marquesadmjudicial.com.br</t>
        </is>
      </c>
      <c r="L610" s="19" t="inlineStr">
        <is>
          <t>https://marquesadmjudicial.com.br/sgc/download.php?file=files/processo_documento/processo_documento16353121112024_1_.pdf&amp;nome=1º Edital - Art.52, § 1º - Intimação de Credores e Terceiros - Deferimento de Processamento - Retificação</t>
        </is>
      </c>
    </row>
    <row r="611">
      <c r="A611" t="inlineStr">
        <is>
          <t>b6332d5cbdbf</t>
        </is>
      </c>
      <c r="B611" t="inlineStr">
        <is>
          <t>0000410-68.2021.8.16.0174</t>
        </is>
      </c>
      <c r="C611" t="inlineStr">
        <is>
          <t>DEBTOR_LIST</t>
        </is>
      </c>
      <c r="D611" t="inlineStr">
        <is>
          <t>OK_NO_TOTALS</t>
        </is>
      </c>
      <c r="E611" t="n">
        <v>3</v>
      </c>
      <c r="F611" t="inlineStr">
        <is>
          <t>PROSE</t>
        </is>
      </c>
      <c r="G611" t="inlineStr">
        <is>
          <t>PROSE</t>
        </is>
      </c>
      <c r="H611" t="inlineStr"/>
      <c r="I611" t="inlineStr">
        <is>
          <t>2021-01-22</t>
        </is>
      </c>
      <c r="J611" t="inlineStr">
        <is>
          <t>- FORMAPLAN FORMAS PLANEJADAS INDÚSTRIA Administrador Judicia</t>
        </is>
      </c>
      <c r="K611" t="inlineStr">
        <is>
          <t>marquesadmjudicial.com.br</t>
        </is>
      </c>
      <c r="L611" s="19" t="inlineStr">
        <is>
          <t>https://marquesadmjudicial.com.br/sgc/download.php?file=files/processo_documento/processo_documento16335821112024_1_.pdf&amp;nome=2º Edital - Art.52, § 1º - Intimação de Credores e Terceiros - Deferimento de Processamento</t>
        </is>
      </c>
    </row>
    <row r="612">
      <c r="A612" t="inlineStr">
        <is>
          <t>b3e3d2a5a80c</t>
        </is>
      </c>
      <c r="B612" t="inlineStr">
        <is>
          <t>0016474-19.2022.8.03.0001</t>
        </is>
      </c>
      <c r="C612" t="inlineStr">
        <is>
          <t>DEBTOR_LIST</t>
        </is>
      </c>
      <c r="D612" t="inlineStr">
        <is>
          <t>OK_NO_TOTALS</t>
        </is>
      </c>
      <c r="E612" t="n">
        <v>8</v>
      </c>
      <c r="F612" t="inlineStr">
        <is>
          <t>TABLE</t>
        </is>
      </c>
      <c r="G612" t="inlineStr">
        <is>
          <t>TABLE_BANDS</t>
        </is>
      </c>
      <c r="H612" t="inlineStr"/>
      <c r="I612" t="inlineStr">
        <is>
          <t>2024-06-27</t>
        </is>
      </c>
      <c r="J612" t="inlineStr">
        <is>
          <t>PARANAPANEMA DISTRIBUIDORA DE COMBUSTÍVEIS LTDA</t>
        </is>
      </c>
      <c r="K612" t="inlineStr">
        <is>
          <t>realbrasil.com.br</t>
        </is>
      </c>
      <c r="L612" s="19" t="inlineStr">
        <is>
          <t>https://realbrasil.com.br/wp-content/uploads/2024/07/7.EDITAL-LISTA-DE-CREDORES-RECUPERANDA_03.07.2024.pdf</t>
        </is>
      </c>
    </row>
    <row r="613">
      <c r="A613" t="inlineStr">
        <is>
          <t>bf96785f7a4e</t>
        </is>
      </c>
      <c r="B613" t="inlineStr">
        <is>
          <t>0041309-42.2014.8.08.0024</t>
        </is>
      </c>
      <c r="C613" t="inlineStr">
        <is>
          <t>DEBTOR_LIST</t>
        </is>
      </c>
      <c r="D613" t="inlineStr">
        <is>
          <t>OK_NO_TOTALS</t>
        </is>
      </c>
      <c r="E613" t="n">
        <v>9</v>
      </c>
      <c r="F613" t="inlineStr">
        <is>
          <t>TABLE</t>
        </is>
      </c>
      <c r="G613" t="inlineStr">
        <is>
          <t>TABLE_RULED</t>
        </is>
      </c>
      <c r="H613" t="inlineStr"/>
      <c r="I613" t="inlineStr">
        <is>
          <t>2024-12-02</t>
        </is>
      </c>
      <c r="J613" t="inlineStr">
        <is>
          <t>E FALÊNCIA</t>
        </is>
      </c>
      <c r="K613" t="inlineStr">
        <is>
          <t>ricardobiancardi.com.br</t>
        </is>
      </c>
      <c r="L613" s="19" t="inlineStr">
        <is>
          <t>https://ricardobiancardi.com.br/wp-content/uploads/2024/12/Edital-1-relacao-de-credores-pub.-02.12.24-.pdf</t>
        </is>
      </c>
    </row>
    <row r="614">
      <c r="A614" t="inlineStr">
        <is>
          <t>260b44553e93</t>
        </is>
      </c>
      <c r="B614" t="inlineStr">
        <is>
          <t>0800811-68.2020.8.12.0016</t>
        </is>
      </c>
      <c r="C614" t="inlineStr">
        <is>
          <t>DEBTOR_LIST</t>
        </is>
      </c>
      <c r="D614" t="inlineStr">
        <is>
          <t>OK_NO_TOTALS</t>
        </is>
      </c>
      <c r="E614" t="n">
        <v>6</v>
      </c>
      <c r="F614" t="inlineStr">
        <is>
          <t>TABLE</t>
        </is>
      </c>
      <c r="G614" t="inlineStr">
        <is>
          <t>TABLE_BANDS</t>
        </is>
      </c>
      <c r="H614" t="inlineStr"/>
      <c r="J614" t="inlineStr">
        <is>
          <t>Crédito de Nayr Confecções Ltda</t>
        </is>
      </c>
      <c r="K614" t="inlineStr">
        <is>
          <t>realbrasil.com.br</t>
        </is>
      </c>
      <c r="L614" s="19" t="inlineStr">
        <is>
          <t>https://realbrasil.com.br/wp-content/uploads/2020/10/5.EDITAL-PUBLICADO-LISTA-DE-CREDORES-RECUPERANDA.pdf</t>
        </is>
      </c>
    </row>
    <row r="615">
      <c r="A615" t="inlineStr">
        <is>
          <t>9eb5be419208</t>
        </is>
      </c>
      <c r="B615" t="inlineStr">
        <is>
          <t>5164979-18.2026.8.09.0110</t>
        </is>
      </c>
      <c r="C615" t="inlineStr">
        <is>
          <t>DEBTOR_LIST</t>
        </is>
      </c>
      <c r="D615" t="inlineStr">
        <is>
          <t>OK_NO_TOTALS</t>
        </is>
      </c>
      <c r="E615" t="n">
        <v>6</v>
      </c>
      <c r="F615" t="inlineStr">
        <is>
          <t>TABLE</t>
        </is>
      </c>
      <c r="G615" t="inlineStr">
        <is>
          <t>TABLE_BANDS</t>
        </is>
      </c>
      <c r="H615" t="inlineStr"/>
      <c r="I615" t="inlineStr">
        <is>
          <t>2026-07-01</t>
        </is>
      </c>
      <c r="J615" t="inlineStr">
        <is>
          <t>e informem eventuais créditos perante as devedoras, para divulgação aos demais interessa</t>
        </is>
      </c>
      <c r="K615" t="inlineStr">
        <is>
          <t>stenius.com.br</t>
        </is>
      </c>
      <c r="L615" s="19" t="inlineStr">
        <is>
          <t>https://stenius.com.br/wp-content/uploads/2026/07/EDITAL-1-RELACAO-DE-CREDORES-GRUPO-GE.pdf</t>
        </is>
      </c>
    </row>
    <row r="616">
      <c r="A616" t="inlineStr">
        <is>
          <t>ecd985e12de1</t>
        </is>
      </c>
      <c r="B616" t="inlineStr">
        <is>
          <t>0815679-24.2018.8.10.0001</t>
        </is>
      </c>
      <c r="C616" t="inlineStr">
        <is>
          <t>DEBTOR_LIST</t>
        </is>
      </c>
      <c r="D616" t="inlineStr">
        <is>
          <t>OK_NO_TOTALS</t>
        </is>
      </c>
      <c r="E616" t="n">
        <v>2</v>
      </c>
      <c r="F616" t="inlineStr">
        <is>
          <t>PROSE</t>
        </is>
      </c>
      <c r="G616" t="inlineStr">
        <is>
          <t>PROSE</t>
        </is>
      </c>
      <c r="H616" t="inlineStr"/>
      <c r="I616" t="inlineStr">
        <is>
          <t>2018-07-17</t>
        </is>
      </c>
      <c r="J616" t="inlineStr">
        <is>
          <t>empresa</t>
        </is>
      </c>
      <c r="K616" t="inlineStr">
        <is>
          <t>realbrasil.com.br</t>
        </is>
      </c>
      <c r="L616" s="19" t="inlineStr">
        <is>
          <t>https://realbrasil.com.br/wp-content/uploads/2018/07/EDITAL-LISTA-DA-RECUPERANDA_18.07.2018.pdf</t>
        </is>
      </c>
    </row>
    <row r="617">
      <c r="A617" t="inlineStr">
        <is>
          <t>8e8832093a15</t>
        </is>
      </c>
      <c r="B617" t="inlineStr">
        <is>
          <t>5341375-33.2026.8.09.0049</t>
        </is>
      </c>
      <c r="C617" t="inlineStr">
        <is>
          <t>DEBTOR_LIST</t>
        </is>
      </c>
      <c r="D617" t="inlineStr">
        <is>
          <t>OK_NO_TOTALS</t>
        </is>
      </c>
      <c r="E617" t="n">
        <v>20</v>
      </c>
      <c r="F617" t="inlineStr">
        <is>
          <t>TABLE</t>
        </is>
      </c>
      <c r="G617" t="inlineStr">
        <is>
          <t>TABLE_BANDS</t>
        </is>
      </c>
      <c r="H617" t="inlineStr"/>
      <c r="I617" t="inlineStr">
        <is>
          <t>2026-06-22</t>
        </is>
      </c>
      <c r="J617" t="inlineStr">
        <is>
          <t>Grupo 3E, em consolidação substancia</t>
        </is>
      </c>
      <c r="K617" t="inlineStr">
        <is>
          <t>stenius.com.br</t>
        </is>
      </c>
      <c r="L617" s="19" t="inlineStr">
        <is>
          <t>https://stenius.com.br/wp-content/uploads/2026/06/EDITAL-GRUPO-3E.pdf</t>
        </is>
      </c>
    </row>
    <row r="618">
      <c r="A618" t="inlineStr">
        <is>
          <t>da5bbde9a5e3</t>
        </is>
      </c>
      <c r="B618" t="inlineStr">
        <is>
          <t>6032681-62.2025.8.09.0051</t>
        </is>
      </c>
      <c r="C618" t="inlineStr">
        <is>
          <t>DEBTOR_LIST</t>
        </is>
      </c>
      <c r="D618" t="inlineStr">
        <is>
          <t>OK_NO_TOTALS</t>
        </is>
      </c>
      <c r="E618" t="n">
        <v>14</v>
      </c>
      <c r="F618" t="inlineStr">
        <is>
          <t>TABLE</t>
        </is>
      </c>
      <c r="G618" t="inlineStr">
        <is>
          <t>TABLE_BANDS</t>
        </is>
      </c>
      <c r="H618" t="inlineStr"/>
      <c r="I618" t="inlineStr">
        <is>
          <t>2026-02-27</t>
        </is>
      </c>
      <c r="J618" t="inlineStr">
        <is>
          <t>empresa</t>
        </is>
      </c>
      <c r="K618" t="inlineStr">
        <is>
          <t>stenius.com.br</t>
        </is>
      </c>
      <c r="L618" s="19" t="inlineStr">
        <is>
          <t>https://stenius.com.br/wp-content/uploads/2026/03/Publicacao-Edital-Margil.pdf</t>
        </is>
      </c>
    </row>
    <row r="619">
      <c r="A619" t="inlineStr">
        <is>
          <t>0fd1c6d21ca8</t>
        </is>
      </c>
      <c r="B619" t="inlineStr">
        <is>
          <t>5824011-75.2025.8.09.0097</t>
        </is>
      </c>
      <c r="C619" t="inlineStr">
        <is>
          <t>DEBTOR_LIST</t>
        </is>
      </c>
      <c r="D619" t="inlineStr">
        <is>
          <t>OK_NO_TOTALS</t>
        </is>
      </c>
      <c r="E619" t="n">
        <v>2</v>
      </c>
      <c r="F619" t="inlineStr">
        <is>
          <t>PROSE</t>
        </is>
      </c>
      <c r="G619" t="inlineStr">
        <is>
          <t>PROSE</t>
        </is>
      </c>
      <c r="H619" t="inlineStr"/>
      <c r="I619" t="inlineStr">
        <is>
          <t>2026-01-20</t>
        </is>
      </c>
      <c r="J619" t="inlineStr">
        <is>
          <t>em 60 dias, sob pena de falência</t>
        </is>
      </c>
      <c r="K619" t="inlineStr">
        <is>
          <t>stenius.com.br</t>
        </is>
      </c>
      <c r="L619" s="19" t="inlineStr">
        <is>
          <t>https://stenius.com.br/wp-content/uploads/2026/06/1o-EDITAL-A-S-DIAS-NETO-PRODUTOR-RURAL-1.pdf</t>
        </is>
      </c>
    </row>
    <row r="620">
      <c r="A620" t="inlineStr">
        <is>
          <t>1df74f001083</t>
        </is>
      </c>
      <c r="B620" t="inlineStr">
        <is>
          <t>5660592-49.2025.8.09.0105</t>
        </is>
      </c>
      <c r="C620" t="inlineStr">
        <is>
          <t>DEBTOR_LIST</t>
        </is>
      </c>
      <c r="D620" t="inlineStr">
        <is>
          <t>OK_NO_TOTALS</t>
        </is>
      </c>
      <c r="E620" t="n">
        <v>14</v>
      </c>
      <c r="F620" t="inlineStr">
        <is>
          <t>PROSE</t>
        </is>
      </c>
      <c r="G620" t="inlineStr">
        <is>
          <t>PROSE</t>
        </is>
      </c>
      <c r="H620" t="inlineStr"/>
      <c r="I620" t="inlineStr">
        <is>
          <t>2026-03-23</t>
        </is>
      </c>
      <c r="J620" t="inlineStr">
        <is>
          <t>RJ DINKOSKI - Stenius</t>
        </is>
      </c>
      <c r="K620" t="inlineStr">
        <is>
          <t>stenius.com.br</t>
        </is>
      </c>
      <c r="L620" s="19" t="inlineStr">
        <is>
          <t>https://stenius.com.br/wp-content/uploads/2026/04/11-1o-Edital-mov.418.pdf</t>
        </is>
      </c>
    </row>
    <row r="621">
      <c r="A621" t="inlineStr">
        <is>
          <t>cdf3c4d14861</t>
        </is>
      </c>
      <c r="B621" t="inlineStr">
        <is>
          <t>0801893-91.2016.8.12.0011</t>
        </is>
      </c>
      <c r="C621" t="inlineStr">
        <is>
          <t>DEBTOR_LIST</t>
        </is>
      </c>
      <c r="D621" t="inlineStr">
        <is>
          <t>OK_NO_TOTALS</t>
        </is>
      </c>
      <c r="E621" t="n">
        <v>27</v>
      </c>
      <c r="F621" t="inlineStr">
        <is>
          <t>TABLE</t>
        </is>
      </c>
      <c r="G621" t="inlineStr">
        <is>
          <t>TABLE_RULED</t>
        </is>
      </c>
      <c r="H621" t="inlineStr"/>
      <c r="I621" t="inlineStr">
        <is>
          <t>2016-02-10</t>
        </is>
      </c>
      <c r="J621" t="inlineStr">
        <is>
          <t>Grupo Mastter - Real Brasil Consultoria</t>
        </is>
      </c>
      <c r="K621" t="inlineStr">
        <is>
          <t>realbrasil.com.br</t>
        </is>
      </c>
      <c r="L621" s="19" t="inlineStr">
        <is>
          <t>https://realbrasil.com.br/wp-content/uploads/2017/05/Relação-de-Credores_-Mastter-1.pdf</t>
        </is>
      </c>
    </row>
    <row r="622">
      <c r="A622" t="inlineStr">
        <is>
          <t>38d1b4d865c4</t>
        </is>
      </c>
      <c r="B622" t="inlineStr">
        <is>
          <t>0840917-59.2016.8.12.0001</t>
        </is>
      </c>
      <c r="C622" t="inlineStr">
        <is>
          <t>DEBTOR_LIST</t>
        </is>
      </c>
      <c r="D622" t="inlineStr">
        <is>
          <t>OK_NO_TOTALS</t>
        </is>
      </c>
      <c r="E622" t="n">
        <v>9</v>
      </c>
      <c r="F622" t="inlineStr">
        <is>
          <t>TABLE</t>
        </is>
      </c>
      <c r="G622" t="inlineStr">
        <is>
          <t>TABLE_RULED</t>
        </is>
      </c>
      <c r="H622" t="inlineStr"/>
      <c r="J622" t="inlineStr">
        <is>
          <t>Comafer Materiais para Construções Ltda - Real Brasil Consultoria</t>
        </is>
      </c>
      <c r="K622" t="inlineStr">
        <is>
          <t>realbrasil.com.br</t>
        </is>
      </c>
      <c r="L622" s="19" t="inlineStr">
        <is>
          <t>https://realbrasil.com.br/wp-content/uploads/2017/01/2-Lista-de-Credores-da-Recuperanda-Comafer.pdf</t>
        </is>
      </c>
    </row>
    <row r="623">
      <c r="A623" t="inlineStr">
        <is>
          <t>854f6156e83f</t>
        </is>
      </c>
      <c r="B623" t="inlineStr">
        <is>
          <t>0009800-26.2026.8.16.0194</t>
        </is>
      </c>
      <c r="C623" t="inlineStr">
        <is>
          <t>DEBTOR_LIST</t>
        </is>
      </c>
      <c r="D623" t="inlineStr">
        <is>
          <t>OK_NO_TOTALS</t>
        </is>
      </c>
      <c r="E623" t="n">
        <v>22</v>
      </c>
      <c r="F623" t="inlineStr">
        <is>
          <t>TABLE</t>
        </is>
      </c>
      <c r="G623" t="inlineStr">
        <is>
          <t>TABLE_BANDS</t>
        </is>
      </c>
      <c r="H623" t="inlineStr"/>
      <c r="I623" t="inlineStr">
        <is>
          <t>2026-06-02</t>
        </is>
      </c>
      <c r="J623" t="inlineStr">
        <is>
          <t>Electra Comercia</t>
        </is>
      </c>
      <c r="K623" t="inlineStr">
        <is>
          <t>credibilita.com.br</t>
        </is>
      </c>
      <c r="L623" s="19" t="inlineStr">
        <is>
          <t>https://credibilita.com.br/wp-content/uploads/2026/06/2026.06.02-Manifestacao-das-Recuperandas-emendando-a-peticao-inicial-e-apresentando-o-Quadro-Geral-de-Credores.pdf</t>
        </is>
      </c>
    </row>
    <row r="624">
      <c r="A624" t="inlineStr">
        <is>
          <t>a11b2b4f9ee5</t>
        </is>
      </c>
      <c r="B624" t="inlineStr">
        <is>
          <t>0022066-39.2018.8.19.0001</t>
        </is>
      </c>
      <c r="C624" t="inlineStr">
        <is>
          <t>DEBTOR_LIST</t>
        </is>
      </c>
      <c r="D624" t="inlineStr">
        <is>
          <t>OK_NO_TOTALS</t>
        </is>
      </c>
      <c r="E624" t="n">
        <v>2</v>
      </c>
      <c r="F624" t="inlineStr">
        <is>
          <t>PROSE</t>
        </is>
      </c>
      <c r="G624" t="inlineStr">
        <is>
          <t>PROSE</t>
        </is>
      </c>
      <c r="H624" t="inlineStr"/>
      <c r="J624" t="inlineStr">
        <is>
          <t>SOCIEDADE RECICLYN COMERCIO E INDÚSTRIA DE METAIS LTDA</t>
        </is>
      </c>
      <c r="K624" t="inlineStr">
        <is>
          <t>inova-aj.com.br</t>
        </is>
      </c>
      <c r="L624" s="19" t="inlineStr">
        <is>
          <t>https://inova-aj.com.br/wp-content/uploads/2018/02/Relação-de-Credores-RECICLYN-Art.-52-§1º-LRE.pdf</t>
        </is>
      </c>
    </row>
    <row r="625">
      <c r="A625" t="inlineStr">
        <is>
          <t>b978114208ea</t>
        </is>
      </c>
      <c r="B625" t="inlineStr">
        <is>
          <t>0001154-67.2026.8.16.0019</t>
        </is>
      </c>
      <c r="C625" t="inlineStr">
        <is>
          <t>DEBTOR_LIST</t>
        </is>
      </c>
      <c r="D625" t="inlineStr">
        <is>
          <t>OK_NO_TOTALS</t>
        </is>
      </c>
      <c r="E625" t="n">
        <v>7</v>
      </c>
      <c r="F625" t="inlineStr">
        <is>
          <t>PROSE</t>
        </is>
      </c>
      <c r="G625" t="inlineStr">
        <is>
          <t>PROSE</t>
        </is>
      </c>
      <c r="H625" t="inlineStr"/>
      <c r="I625" t="inlineStr">
        <is>
          <t>2026-01-13</t>
        </is>
      </c>
      <c r="J625" t="inlineStr">
        <is>
          <t>e a terceiros interessa</t>
        </is>
      </c>
      <c r="K625" t="inlineStr">
        <is>
          <t>credibilita.com.br</t>
        </is>
      </c>
      <c r="L625" s="19" t="inlineStr">
        <is>
          <t>https://credibilita.com.br/wp-content/uploads/2026/03/Expedicao-Edital-Relacao-de-Credores-08.04.2026.pdf</t>
        </is>
      </c>
    </row>
    <row r="626">
      <c r="A626" t="inlineStr">
        <is>
          <t>e458c84e39cc</t>
        </is>
      </c>
      <c r="B626" t="inlineStr">
        <is>
          <t>1011783-19.2017.8.26.0602</t>
        </is>
      </c>
      <c r="C626" t="inlineStr">
        <is>
          <t>DEBTOR_LIST</t>
        </is>
      </c>
      <c r="D626" t="inlineStr">
        <is>
          <t>OK_NO_TOTALS</t>
        </is>
      </c>
      <c r="E626" t="n">
        <v>6</v>
      </c>
      <c r="F626" t="inlineStr">
        <is>
          <t>PROSE</t>
        </is>
      </c>
      <c r="G626" t="inlineStr">
        <is>
          <t>PROSE</t>
        </is>
      </c>
      <c r="H626" t="inlineStr"/>
      <c r="I626" t="inlineStr">
        <is>
          <t>2010-03-24</t>
        </is>
      </c>
      <c r="J626" t="inlineStr">
        <is>
          <t>- Administração judicia</t>
        </is>
      </c>
      <c r="K626" t="inlineStr">
        <is>
          <t>brasiltrustee.com.br</t>
        </is>
      </c>
      <c r="L626" s="19" t="inlineStr">
        <is>
          <t>https://violet-wolf-754008.hostingersite.com/wp-content/uploads/recuperacoes-judiciais/Ebramec/Embrac-1º-Edital-de-Credores.pdf</t>
        </is>
      </c>
    </row>
    <row r="627">
      <c r="A627" t="inlineStr">
        <is>
          <t>c70268a3d9bc</t>
        </is>
      </c>
      <c r="B627" t="inlineStr">
        <is>
          <t>1000021-46.2023.8.26.0359</t>
        </is>
      </c>
      <c r="C627" t="inlineStr">
        <is>
          <t>DEBTOR_LIST</t>
        </is>
      </c>
      <c r="D627" t="inlineStr">
        <is>
          <t>OK_NO_TOTALS</t>
        </is>
      </c>
      <c r="E627" t="n">
        <v>10</v>
      </c>
      <c r="F627" t="inlineStr">
        <is>
          <t>PROSE</t>
        </is>
      </c>
      <c r="G627" t="inlineStr">
        <is>
          <t>PROSE</t>
        </is>
      </c>
      <c r="H627" t="inlineStr"/>
      <c r="I627" t="inlineStr">
        <is>
          <t>2023-10-19</t>
        </is>
      </c>
      <c r="J627" t="inlineStr">
        <is>
          <t>CLÁUDIA CONFECÇÕES UNIFORMES PROFISSIONAIS LTDA</t>
        </is>
      </c>
      <c r="K627" t="inlineStr">
        <is>
          <t>brasiltrustee.com.br</t>
        </is>
      </c>
      <c r="L627" s="19" t="inlineStr">
        <is>
          <t>https://violet-wolf-754008.hostingersite.com/wp-content/uploads/2024/06/1o-Edital-de-Credores.pdf</t>
        </is>
      </c>
    </row>
    <row r="628">
      <c r="A628" t="inlineStr">
        <is>
          <t>3069b341e329</t>
        </is>
      </c>
      <c r="B628" t="inlineStr">
        <is>
          <t>1036296-61.2019.8.26.0576</t>
        </is>
      </c>
      <c r="C628" t="inlineStr">
        <is>
          <t>DEBTOR_LIST</t>
        </is>
      </c>
      <c r="D628" t="inlineStr">
        <is>
          <t>OK_NO_TOTALS</t>
        </is>
      </c>
      <c r="E628" t="n">
        <v>2</v>
      </c>
      <c r="F628" t="inlineStr">
        <is>
          <t>PROSE</t>
        </is>
      </c>
      <c r="G628" t="inlineStr">
        <is>
          <t>PROSE</t>
        </is>
      </c>
      <c r="H628" t="inlineStr"/>
      <c r="I628" t="inlineStr">
        <is>
          <t>2019-10-24</t>
        </is>
      </c>
      <c r="J628" t="inlineStr">
        <is>
          <t>FLEXMIX TECNOLOGIA DE CONCRETO EIRELI</t>
        </is>
      </c>
      <c r="K628" t="inlineStr">
        <is>
          <t>brasiltrustee.com.br</t>
        </is>
      </c>
      <c r="L628" s="19" t="inlineStr">
        <is>
          <t>https://violet-wolf-754008.hostingersite.com/wp-content/uploads/recuperacoes-judiciais/Flexmix/1036296-61.2019.8.26.0576-1º-edital.pdf</t>
        </is>
      </c>
    </row>
    <row r="629">
      <c r="A629" t="inlineStr">
        <is>
          <t>042bcc3c15f2</t>
        </is>
      </c>
      <c r="B629" t="inlineStr">
        <is>
          <t>1032741-02.2020.8.26.0576</t>
        </is>
      </c>
      <c r="C629" t="inlineStr">
        <is>
          <t>DEBTOR_LIST</t>
        </is>
      </c>
      <c r="D629" t="inlineStr">
        <is>
          <t>OK_NO_TOTALS</t>
        </is>
      </c>
      <c r="E629" t="n">
        <v>3</v>
      </c>
      <c r="F629" t="inlineStr">
        <is>
          <t>PROSE</t>
        </is>
      </c>
      <c r="G629" t="inlineStr">
        <is>
          <t>PROSE</t>
        </is>
      </c>
      <c r="H629" t="inlineStr"/>
      <c r="I629" t="inlineStr">
        <is>
          <t>2020-09-15</t>
        </is>
      </c>
      <c r="J629" t="inlineStr">
        <is>
          <t>Administração Judicia</t>
        </is>
      </c>
      <c r="K629" t="inlineStr">
        <is>
          <t>brasiltrustee.com.br</t>
        </is>
      </c>
      <c r="L629" s="19" t="inlineStr">
        <is>
          <t>https://violet-wolf-754008.hostingersite.com/wp-content/uploads/recuperacoes-judiciais/Grupo-Hoken/1o-Edital-de-Credores-Grupo-Hoken.pdf</t>
        </is>
      </c>
    </row>
    <row r="630">
      <c r="A630" t="inlineStr">
        <is>
          <t>c79bcb315e6d</t>
        </is>
      </c>
      <c r="B630" t="inlineStr">
        <is>
          <t>1029567-94.2016.8.26.0100</t>
        </is>
      </c>
      <c r="C630" t="inlineStr">
        <is>
          <t>DEBTOR_LIST</t>
        </is>
      </c>
      <c r="D630" t="inlineStr">
        <is>
          <t>OK_NO_TOTALS</t>
        </is>
      </c>
      <c r="E630" t="n">
        <v>2</v>
      </c>
      <c r="F630" t="inlineStr">
        <is>
          <t>PROSE</t>
        </is>
      </c>
      <c r="G630" t="inlineStr">
        <is>
          <t>PROSE</t>
        </is>
      </c>
      <c r="H630" t="inlineStr"/>
      <c r="I630" t="inlineStr">
        <is>
          <t>2010-01-26</t>
        </is>
      </c>
      <c r="J630" t="inlineStr">
        <is>
          <t>e Falência</t>
        </is>
      </c>
      <c r="K630" t="inlineStr">
        <is>
          <t>ajruiz.com.br</t>
        </is>
      </c>
      <c r="L630" s="19" t="inlineStr">
        <is>
          <t>https://ajruiz.com.br/sites/default/files/public/arquivos-processos/2023-11/4_edital_de_convocacao_de_credores_art._52_parag_1o_da_lei_11.101.2005_dje_11.07.2018.pdf</t>
        </is>
      </c>
    </row>
    <row r="631">
      <c r="A631" t="inlineStr">
        <is>
          <t>6dff863c25a0</t>
        </is>
      </c>
      <c r="B631" t="inlineStr">
        <is>
          <t>5028800-87.2023.8.24.0038</t>
        </is>
      </c>
      <c r="C631" t="inlineStr">
        <is>
          <t>DEBTOR_LIST</t>
        </is>
      </c>
      <c r="D631" t="inlineStr">
        <is>
          <t>OK_NO_TOTALS</t>
        </is>
      </c>
      <c r="E631" t="n">
        <v>2</v>
      </c>
      <c r="F631" t="inlineStr">
        <is>
          <t>PROSE</t>
        </is>
      </c>
      <c r="G631" t="inlineStr">
        <is>
          <t>PROSE</t>
        </is>
      </c>
      <c r="H631" t="inlineStr"/>
      <c r="I631" t="inlineStr">
        <is>
          <t>2024-11-21</t>
        </is>
      </c>
      <c r="J631" t="inlineStr">
        <is>
          <t>e Extrajudicia</t>
        </is>
      </c>
      <c r="K631" t="inlineStr">
        <is>
          <t>bbsadvogados.com.br</t>
        </is>
      </c>
      <c r="L631" s="19" t="inlineStr">
        <is>
          <t>https://bbsadvogados.com.br/wp-content/uploads/2024/11/Delicatesse-Relacao-de-credores-da-recuperanda-Delicatesse-e-Mr.-Struderia.pdf</t>
        </is>
      </c>
    </row>
    <row r="632">
      <c r="A632" t="inlineStr">
        <is>
          <t>30f82df3abf4</t>
        </is>
      </c>
      <c r="B632" t="inlineStr">
        <is>
          <t>0019289-97.2025.8.06.0001</t>
        </is>
      </c>
      <c r="C632" t="inlineStr">
        <is>
          <t>DEBTOR_LIST</t>
        </is>
      </c>
      <c r="D632" t="inlineStr">
        <is>
          <t>OK_NO_TOTALS</t>
        </is>
      </c>
      <c r="E632" t="n">
        <v>8</v>
      </c>
      <c r="F632" t="inlineStr">
        <is>
          <t>TABLE</t>
        </is>
      </c>
      <c r="G632" t="inlineStr">
        <is>
          <t>TABLE_BANDS</t>
        </is>
      </c>
      <c r="H632" t="inlineStr"/>
      <c r="J632" t="inlineStr">
        <is>
          <t>SIGNUS CONSTRUÇÕES E ASSESSORIA TÉCNICA LTDA</t>
        </is>
      </c>
      <c r="K632" t="inlineStr">
        <is>
          <t>lrflideres.com.br</t>
        </is>
      </c>
      <c r="L632" s="19" t="inlineStr">
        <is>
          <t>https://lrflideres.com.br/wp-content/plugins/download-attachments/includes/download.php?id=6471</t>
        </is>
      </c>
    </row>
    <row r="633">
      <c r="A633" t="inlineStr">
        <is>
          <t>a12d198cfa3d</t>
        </is>
      </c>
      <c r="B633" t="inlineStr">
        <is>
          <t>0037082-72.2016.8.17.2001</t>
        </is>
      </c>
      <c r="C633" t="inlineStr">
        <is>
          <t>DEBTOR_LIST</t>
        </is>
      </c>
      <c r="D633" t="inlineStr">
        <is>
          <t>OK_NO_TOTALS</t>
        </is>
      </c>
      <c r="E633" t="n">
        <v>6</v>
      </c>
      <c r="F633" t="inlineStr">
        <is>
          <t>TABLE</t>
        </is>
      </c>
      <c r="G633" t="inlineStr">
        <is>
          <t>TABLE_BANDS</t>
        </is>
      </c>
      <c r="H633" t="inlineStr"/>
      <c r="I633" t="inlineStr">
        <is>
          <t>2021-09-23</t>
        </is>
      </c>
      <c r="J633" t="inlineStr">
        <is>
          <t>SERVOP COMÉRCIO LTDA</t>
        </is>
      </c>
      <c r="K633" t="inlineStr">
        <is>
          <t>lrflideres.com.br</t>
        </is>
      </c>
      <c r="L633" s="19" t="inlineStr">
        <is>
          <t>https://lrflideres.com.br/wp-content/uploads/2021/09/2.1-PUBLICAC%CC%A7A%CC%83O-DO-DEFERIMENTO-5.pdf</t>
        </is>
      </c>
    </row>
    <row r="634">
      <c r="A634" t="inlineStr">
        <is>
          <t>85a47dd934b1</t>
        </is>
      </c>
      <c r="B634" t="inlineStr">
        <is>
          <t>0000869-62.2019.8.17.2001</t>
        </is>
      </c>
      <c r="C634" t="inlineStr">
        <is>
          <t>DEBTOR_LIST</t>
        </is>
      </c>
      <c r="D634" t="inlineStr">
        <is>
          <t>OK_NO_TOTALS</t>
        </is>
      </c>
      <c r="E634" t="n">
        <v>6</v>
      </c>
      <c r="F634" t="inlineStr">
        <is>
          <t>TABLE</t>
        </is>
      </c>
      <c r="G634" t="inlineStr">
        <is>
          <t>TABLE_BANDS</t>
        </is>
      </c>
      <c r="H634" t="inlineStr"/>
      <c r="I634" t="inlineStr">
        <is>
          <t>2021-09-24</t>
        </is>
      </c>
      <c r="J634" t="inlineStr">
        <is>
          <t>processo tombado sob o no 0000869-62.2019.8.17.2001, requerida pelas empresa</t>
        </is>
      </c>
      <c r="K634" t="inlineStr">
        <is>
          <t>lrflideres.com.br</t>
        </is>
      </c>
      <c r="L634" s="19" t="inlineStr">
        <is>
          <t>https://lrflideres.com.br/wp-content/uploads/2022/03/3.-EDITAL-1a-LISTA-DE-CREDORES.pdf</t>
        </is>
      </c>
    </row>
    <row r="635">
      <c r="A635" t="inlineStr">
        <is>
          <t>5586da5070a3</t>
        </is>
      </c>
      <c r="B635" t="inlineStr">
        <is>
          <t>0212099-02.2025.8.06.0001</t>
        </is>
      </c>
      <c r="C635" t="inlineStr">
        <is>
          <t>DEBTOR_LIST</t>
        </is>
      </c>
      <c r="D635" t="inlineStr">
        <is>
          <t>OK_NO_TOTALS</t>
        </is>
      </c>
      <c r="E635" t="n">
        <v>5</v>
      </c>
      <c r="F635" t="inlineStr">
        <is>
          <t>TABLE</t>
        </is>
      </c>
      <c r="G635" t="inlineStr">
        <is>
          <t>TABLE_BANDS</t>
        </is>
      </c>
      <c r="H635" t="inlineStr"/>
      <c r="I635" t="inlineStr">
        <is>
          <t>2025-06-25</t>
        </is>
      </c>
      <c r="J635" t="inlineStr">
        <is>
          <t>ARENA COMBUSTÍVEIS LTDA</t>
        </is>
      </c>
      <c r="K635" t="inlineStr">
        <is>
          <t>lrflideres.com.br</t>
        </is>
      </c>
      <c r="L635" s="19" t="inlineStr">
        <is>
          <t>https://lrflideres.com.br/wp-content/uploads/2025/08/2.-DEFERIMENTO-1.pdf</t>
        </is>
      </c>
    </row>
    <row r="636">
      <c r="A636" t="inlineStr">
        <is>
          <t>ec805e2d3694</t>
        </is>
      </c>
      <c r="B636" t="inlineStr">
        <is>
          <t>5671108-67.2023.8.09.0051</t>
        </is>
      </c>
      <c r="C636" t="inlineStr">
        <is>
          <t>DEBTOR_LIST</t>
        </is>
      </c>
      <c r="D636" t="inlineStr">
        <is>
          <t>OK_NO_TOTALS</t>
        </is>
      </c>
      <c r="E636" t="n">
        <v>12</v>
      </c>
      <c r="F636" t="inlineStr">
        <is>
          <t>TABLE</t>
        </is>
      </c>
      <c r="G636" t="inlineStr">
        <is>
          <t>TABLE_BANDS</t>
        </is>
      </c>
      <c r="H636" t="inlineStr"/>
      <c r="I636" t="inlineStr">
        <is>
          <t>2024-01-20</t>
        </is>
      </c>
      <c r="J636" t="inlineStr">
        <is>
          <t>apresentada por AXE CAPITAL LTDA</t>
        </is>
      </c>
      <c r="K636" t="inlineStr">
        <is>
          <t>stenius.com.br</t>
        </is>
      </c>
      <c r="L636" s="19" t="inlineStr">
        <is>
          <t>https://stenius.com.br/wp-content/uploads/2024/01/Decisao-deferimento-RJ-AXE-CAPITAL.pdf</t>
        </is>
      </c>
    </row>
    <row r="637">
      <c r="A637" t="inlineStr">
        <is>
          <t>30450092e43e</t>
        </is>
      </c>
      <c r="B637" t="inlineStr">
        <is>
          <t>5000908-96.2025.8.24.0536</t>
        </is>
      </c>
      <c r="C637" t="inlineStr">
        <is>
          <t>DEBTOR_LIST</t>
        </is>
      </c>
      <c r="D637" t="inlineStr">
        <is>
          <t>OK_NO_TOTALS</t>
        </is>
      </c>
      <c r="E637" t="n">
        <v>12</v>
      </c>
      <c r="F637" t="inlineStr">
        <is>
          <t>TABLE</t>
        </is>
      </c>
      <c r="G637" t="inlineStr">
        <is>
          <t>TABLE_BANDS</t>
        </is>
      </c>
      <c r="H637" t="inlineStr"/>
      <c r="I637" t="inlineStr">
        <is>
          <t>2026-03-18</t>
        </is>
      </c>
      <c r="J637" t="inlineStr">
        <is>
          <t>com pedido de tutela de urgência</t>
        </is>
      </c>
      <c r="K637" t="inlineStr">
        <is>
          <t>cb2d.com.br</t>
        </is>
      </c>
      <c r="L637" s="19" t="inlineStr">
        <is>
          <t>https://www.cb2d.com.br/portal/\_uploads/5ff0becc-e17b-4904-bcdd-bb9bdae748bd.pdf</t>
        </is>
      </c>
    </row>
    <row r="638">
      <c r="A638" t="inlineStr">
        <is>
          <t>857975b5f0c1</t>
        </is>
      </c>
      <c r="B638" t="inlineStr">
        <is>
          <t>0700087-51.2020.8.02.0043</t>
        </is>
      </c>
      <c r="C638" t="inlineStr">
        <is>
          <t>DEBTOR_LIST</t>
        </is>
      </c>
      <c r="D638" t="inlineStr">
        <is>
          <t>OK_NO_TOTALS</t>
        </is>
      </c>
      <c r="E638" t="n">
        <v>5</v>
      </c>
      <c r="F638" t="inlineStr">
        <is>
          <t>PROSE</t>
        </is>
      </c>
      <c r="G638" t="inlineStr">
        <is>
          <t>PROSE</t>
        </is>
      </c>
      <c r="H638" t="inlineStr"/>
      <c r="J638" t="inlineStr">
        <is>
          <t>empresa</t>
        </is>
      </c>
      <c r="K638" t="inlineStr">
        <is>
          <t>recuperacaojudicial.squarespace.com</t>
        </is>
      </c>
      <c r="L638" s="19" t="inlineStr">
        <is>
          <t>https://recuperacaojudicial.squarespace.com/s/RJ-Auto-Posto-Edital-1a-lista-de-credores.pdf</t>
        </is>
      </c>
    </row>
    <row r="639">
      <c r="A639" t="inlineStr">
        <is>
          <t>a0e12805e27a</t>
        </is>
      </c>
      <c r="B639" t="inlineStr">
        <is>
          <t>0000880-57.2020.8.17.2001</t>
        </is>
      </c>
      <c r="C639" t="inlineStr">
        <is>
          <t>DEBTOR_LIST</t>
        </is>
      </c>
      <c r="D639" t="inlineStr">
        <is>
          <t>OK_NO_TOTALS</t>
        </is>
      </c>
      <c r="E639" t="n">
        <v>6</v>
      </c>
      <c r="F639" t="inlineStr">
        <is>
          <t>PROSE</t>
        </is>
      </c>
      <c r="G639" t="inlineStr">
        <is>
          <t>PROSE</t>
        </is>
      </c>
      <c r="H639" t="inlineStr"/>
      <c r="I639" t="inlineStr">
        <is>
          <t>2024-06-25</t>
        </is>
      </c>
      <c r="J639" t="inlineStr">
        <is>
          <t>e Falência</t>
        </is>
      </c>
      <c r="K639" t="inlineStr">
        <is>
          <t>diligence.adm.br</t>
        </is>
      </c>
      <c r="L639" s="19" t="inlineStr">
        <is>
          <t>https://diligence.adm.br/wp-content/plugins/download-attachments/includes/download.php?id=4594</t>
        </is>
      </c>
    </row>
    <row r="640">
      <c r="A640" t="inlineStr">
        <is>
          <t>d1a51337e6e0</t>
        </is>
      </c>
      <c r="B640" t="inlineStr">
        <is>
          <t>5009671-74.2022.8.21.0019</t>
        </is>
      </c>
      <c r="C640" t="inlineStr">
        <is>
          <t>DEBTOR_LIST</t>
        </is>
      </c>
      <c r="D640" t="inlineStr">
        <is>
          <t>OK_NO_TOTALS</t>
        </is>
      </c>
      <c r="E640" t="n">
        <v>7</v>
      </c>
      <c r="F640" t="inlineStr">
        <is>
          <t>TABLE</t>
        </is>
      </c>
      <c r="G640" t="inlineStr">
        <is>
          <t>TABLE_BANDS</t>
        </is>
      </c>
      <c r="H640" t="inlineStr"/>
      <c r="J640" t="inlineStr">
        <is>
          <t>Catalise Administração Judicial</t>
        </is>
      </c>
      <c r="K640" t="inlineStr">
        <is>
          <t>cataliseaj.com.br</t>
        </is>
      </c>
      <c r="L640" s="19" t="inlineStr">
        <is>
          <t>https://cataliseaj.com.br/sgc/download.php?file=files/processo_documento/processo_documento14551004102024_1_.pdf&amp;nome=2. RELAÇÃO DE CREDORES - RECUPERANDAS</t>
        </is>
      </c>
    </row>
    <row r="641">
      <c r="A641" t="inlineStr">
        <is>
          <t>741aed48dd00</t>
        </is>
      </c>
      <c r="B641" t="inlineStr">
        <is>
          <t>5011460-87.2023.8.24.0020</t>
        </is>
      </c>
      <c r="C641" t="inlineStr">
        <is>
          <t>DEBTOR_LIST</t>
        </is>
      </c>
      <c r="D641" t="inlineStr">
        <is>
          <t>OK_NO_TOTALS</t>
        </is>
      </c>
      <c r="E641" t="n">
        <v>4</v>
      </c>
      <c r="F641" t="inlineStr">
        <is>
          <t>TABLE</t>
        </is>
      </c>
      <c r="G641" t="inlineStr">
        <is>
          <t>TABLE_RULED</t>
        </is>
      </c>
      <c r="H641" t="inlineStr"/>
      <c r="J641" t="inlineStr">
        <is>
          <t>TOP TEXTIL EMBALAGENS LTDA</t>
        </is>
      </c>
      <c r="K641" t="inlineStr">
        <is>
          <t>cataliseaj.com.br</t>
        </is>
      </c>
      <c r="L641" s="19" t="inlineStr">
        <is>
          <t>https://cataliseaj.com.br/sgc/download.php?file=files/processo_documento/processo_documento15092204102024_1_.pdf&amp;nome=02. RELAÇÃO DE CREDORES</t>
        </is>
      </c>
    </row>
    <row r="642">
      <c r="A642" t="inlineStr">
        <is>
          <t>e4806b7d3915</t>
        </is>
      </c>
      <c r="B642" t="inlineStr">
        <is>
          <t>0034714-90.2016.8.17.2001</t>
        </is>
      </c>
      <c r="C642" t="inlineStr">
        <is>
          <t>DEBTOR_LIST</t>
        </is>
      </c>
      <c r="D642" t="inlineStr">
        <is>
          <t>OK_NO_TOTALS</t>
        </is>
      </c>
      <c r="E642" t="n">
        <v>4</v>
      </c>
      <c r="F642" t="inlineStr">
        <is>
          <t>TABLE</t>
        </is>
      </c>
      <c r="G642" t="inlineStr">
        <is>
          <t>TABLE_BANDS</t>
        </is>
      </c>
      <c r="H642" t="inlineStr"/>
      <c r="I642" t="inlineStr">
        <is>
          <t>2021-09-20</t>
        </is>
      </c>
      <c r="J642" t="inlineStr">
        <is>
          <t>AMÉRICA COMBUSTÍVEIS LTDA</t>
        </is>
      </c>
      <c r="K642" t="inlineStr">
        <is>
          <t>lrflideres.com.br</t>
        </is>
      </c>
      <c r="L642" s="19" t="inlineStr">
        <is>
          <t>https://lrflideres.com.br/wp-content/plugins/download-attachments/includes/download.php?id=3555</t>
        </is>
      </c>
    </row>
    <row r="643">
      <c r="A643" t="inlineStr">
        <is>
          <t>b0a6e8c2de49</t>
        </is>
      </c>
      <c r="B643" t="inlineStr">
        <is>
          <t>0051989-19.2008.8.17.0001</t>
        </is>
      </c>
      <c r="C643" t="inlineStr">
        <is>
          <t>DEBTOR_LIST</t>
        </is>
      </c>
      <c r="D643" t="inlineStr">
        <is>
          <t>OK_NO_TOTALS</t>
        </is>
      </c>
      <c r="E643" t="n">
        <v>3</v>
      </c>
      <c r="F643" t="inlineStr">
        <is>
          <t>PROSE</t>
        </is>
      </c>
      <c r="G643" t="inlineStr">
        <is>
          <t>PROSE</t>
        </is>
      </c>
      <c r="H643" t="inlineStr"/>
      <c r="I643" t="inlineStr">
        <is>
          <t>2015-07-27</t>
        </is>
      </c>
      <c r="J643" t="inlineStr">
        <is>
          <t>GERALDO ARAÚJO TECIDOS LTDA</t>
        </is>
      </c>
      <c r="K643" t="inlineStr">
        <is>
          <t>diligence.adm.br</t>
        </is>
      </c>
      <c r="L643" s="19" t="inlineStr">
        <is>
          <t>https://diligence.adm.br/wp-content/plugins/download-attachments/includes/download.php?id=4712</t>
        </is>
      </c>
    </row>
    <row r="644">
      <c r="A644" t="inlineStr">
        <is>
          <t>51cf59f31690</t>
        </is>
      </c>
      <c r="B644" t="inlineStr">
        <is>
          <t>0700707-87.2025.8.02.0043</t>
        </is>
      </c>
      <c r="C644" t="inlineStr">
        <is>
          <t>DEBTOR_LIST</t>
        </is>
      </c>
      <c r="D644" t="inlineStr">
        <is>
          <t>OK_NO_TOTALS</t>
        </is>
      </c>
      <c r="E644" t="n">
        <v>5</v>
      </c>
      <c r="F644" t="inlineStr">
        <is>
          <t>TABLE</t>
        </is>
      </c>
      <c r="G644" t="inlineStr">
        <is>
          <t>TABLE_BANDS</t>
        </is>
      </c>
      <c r="H644" t="inlineStr"/>
      <c r="J644" t="inlineStr">
        <is>
          <t>EMPRESA</t>
        </is>
      </c>
      <c r="K644" t="inlineStr">
        <is>
          <t>recuperacaojudicial.squarespace.com</t>
        </is>
      </c>
      <c r="L644" s="19" t="inlineStr">
        <is>
          <t>https://recuperacaojudicial.squarespace.com/s/RJ-PISEBEM-EDITAL-COM-A-1-LISTA-DE-CREDORES-1.pdf</t>
        </is>
      </c>
    </row>
    <row r="645">
      <c r="A645" t="inlineStr">
        <is>
          <t>82b56511bc73</t>
        </is>
      </c>
      <c r="B645" t="inlineStr">
        <is>
          <t>0710397-29.2012.8.02.0001</t>
        </is>
      </c>
      <c r="C645" t="inlineStr">
        <is>
          <t>DEBTOR_LIST</t>
        </is>
      </c>
      <c r="D645" t="inlineStr">
        <is>
          <t>OK_NO_TOTALS</t>
        </is>
      </c>
      <c r="E645" t="n">
        <v>6</v>
      </c>
      <c r="F645" t="inlineStr">
        <is>
          <t>TABLE</t>
        </is>
      </c>
      <c r="G645" t="inlineStr">
        <is>
          <t>TABLE_BANDS</t>
        </is>
      </c>
      <c r="H645" t="inlineStr"/>
      <c r="J645" t="inlineStr">
        <is>
          <t>MONTEC MONTAGEM TÉCNICA LTDA</t>
        </is>
      </c>
      <c r="K645" t="inlineStr">
        <is>
          <t>recuperacaojudicial.squarespace.com</t>
        </is>
      </c>
      <c r="L645" s="19" t="inlineStr">
        <is>
          <t>https://recuperacaojudicial.squarespace.com/s/RJ-Montec-Edital-1-Lista-DJe.pdf</t>
        </is>
      </c>
    </row>
    <row r="646">
      <c r="A646" t="inlineStr">
        <is>
          <t>107716ec1ffd</t>
        </is>
      </c>
      <c r="B646" t="inlineStr">
        <is>
          <t>0160454-48.2022.8.17.2001</t>
        </is>
      </c>
      <c r="C646" t="inlineStr">
        <is>
          <t>DEBTOR_LIST</t>
        </is>
      </c>
      <c r="D646" t="inlineStr">
        <is>
          <t>OK_NO_TOTALS</t>
        </is>
      </c>
      <c r="E646" t="n">
        <v>8</v>
      </c>
      <c r="F646" t="inlineStr">
        <is>
          <t>PROSE</t>
        </is>
      </c>
      <c r="G646" t="inlineStr">
        <is>
          <t>PROSE</t>
        </is>
      </c>
      <c r="H646" t="inlineStr"/>
      <c r="I646" t="inlineStr">
        <is>
          <t>2023-07-03</t>
        </is>
      </c>
      <c r="J646" t="inlineStr">
        <is>
          <t>E FALENCIA</t>
        </is>
      </c>
      <c r="K646" t="inlineStr">
        <is>
          <t>diligence.adm.br</t>
        </is>
      </c>
      <c r="L646" s="19" t="inlineStr">
        <is>
          <t>https://diligence.adm.br/wp-content/plugins/download-attachments/includes/download.php?id=4086</t>
        </is>
      </c>
    </row>
    <row r="647">
      <c r="A647" t="inlineStr">
        <is>
          <t>8d7e3458eaeb</t>
        </is>
      </c>
      <c r="B647" t="inlineStr">
        <is>
          <t>5014445-78.2023.8.24.0036</t>
        </is>
      </c>
      <c r="C647" t="inlineStr">
        <is>
          <t>DEBTOR_LIST</t>
        </is>
      </c>
      <c r="D647" t="inlineStr">
        <is>
          <t>OK_NO_TOTALS</t>
        </is>
      </c>
      <c r="E647" t="n">
        <v>5</v>
      </c>
      <c r="F647" t="inlineStr">
        <is>
          <t>PROSE</t>
        </is>
      </c>
      <c r="G647" t="inlineStr">
        <is>
          <t>PROSE</t>
        </is>
      </c>
      <c r="H647" t="inlineStr"/>
      <c r="I647" t="inlineStr">
        <is>
          <t>2023-12-04</t>
        </is>
      </c>
      <c r="J647" t="inlineStr">
        <is>
          <t>requerida por OXA AUTOMACAO INDUSTRIAL LTDA</t>
        </is>
      </c>
      <c r="K647" t="inlineStr">
        <is>
          <t>administradorajudicialgs.com.br</t>
        </is>
      </c>
      <c r="L647" s="19" t="inlineStr">
        <is>
          <t>https://administradorajudicialgs.com.br/wp-content/uploads/2023/11/edital-relacao-de-credores-recuperanda.pdf</t>
        </is>
      </c>
    </row>
    <row r="648">
      <c r="A648" t="inlineStr">
        <is>
          <t>a1b215e69153</t>
        </is>
      </c>
      <c r="B648" t="inlineStr">
        <is>
          <t>0160454-48.2022.8.17.2001</t>
        </is>
      </c>
      <c r="C648" t="inlineStr">
        <is>
          <t>DEBTOR_LIST</t>
        </is>
      </c>
      <c r="D648" t="inlineStr">
        <is>
          <t>OK_NO_TOTALS</t>
        </is>
      </c>
      <c r="E648" t="n">
        <v>5</v>
      </c>
      <c r="F648" t="inlineStr">
        <is>
          <t>TABLE</t>
        </is>
      </c>
      <c r="G648" t="inlineStr">
        <is>
          <t>TABLE_BANDS</t>
        </is>
      </c>
      <c r="H648" t="inlineStr"/>
      <c r="I648" t="inlineStr">
        <is>
          <t>2024-04-18</t>
        </is>
      </c>
      <c r="J648" t="inlineStr">
        <is>
          <t>E FALENCIA</t>
        </is>
      </c>
      <c r="K648" t="inlineStr">
        <is>
          <t>diligence.adm.br</t>
        </is>
      </c>
      <c r="L648" s="19" t="inlineStr">
        <is>
          <t>https://diligence.adm.br/wp-content/plugins/download-attachments/includes/download.php?id=4091</t>
        </is>
      </c>
    </row>
    <row r="649">
      <c r="A649" t="inlineStr">
        <is>
          <t>ffb610dbd195</t>
        </is>
      </c>
      <c r="B649" t="inlineStr">
        <is>
          <t>5006131-09.2023.8.24.0113</t>
        </is>
      </c>
      <c r="C649" t="inlineStr">
        <is>
          <t>DEBTOR_LIST</t>
        </is>
      </c>
      <c r="D649" t="inlineStr">
        <is>
          <t>OK_NO_TOTALS</t>
        </is>
      </c>
      <c r="E649" t="n">
        <v>6</v>
      </c>
      <c r="F649" t="inlineStr">
        <is>
          <t>PROSE</t>
        </is>
      </c>
      <c r="G649" t="inlineStr">
        <is>
          <t>PROSE</t>
        </is>
      </c>
      <c r="H649" t="inlineStr"/>
      <c r="I649" t="inlineStr">
        <is>
          <t>2023-09-05</t>
        </is>
      </c>
      <c r="J649" t="inlineStr">
        <is>
          <t>requerida por MEGASA</t>
        </is>
      </c>
      <c r="K649" t="inlineStr">
        <is>
          <t>administradorajudicialgs.com.br</t>
        </is>
      </c>
      <c r="L649" s="19" t="inlineStr">
        <is>
          <t>https://administradorajudicialgs.com.br/wp-content/uploads/2023/08/edital-relacao-de-credores-megasan.pdf</t>
        </is>
      </c>
    </row>
    <row r="650">
      <c r="A650" t="inlineStr">
        <is>
          <t>b5830e9336ec</t>
        </is>
      </c>
      <c r="B650" t="inlineStr">
        <is>
          <t>0701384-72.2024.8.02.0037</t>
        </is>
      </c>
      <c r="C650" t="inlineStr">
        <is>
          <t>DEBTOR_LIST</t>
        </is>
      </c>
      <c r="D650" t="inlineStr">
        <is>
          <t>OK_NO_TOTALS</t>
        </is>
      </c>
      <c r="E650" t="n">
        <v>2</v>
      </c>
      <c r="F650" t="inlineStr">
        <is>
          <t>TABLE</t>
        </is>
      </c>
      <c r="G650" t="inlineStr">
        <is>
          <t>TABLE_BANDS</t>
        </is>
      </c>
      <c r="H650" t="inlineStr"/>
      <c r="J650" t="inlineStr">
        <is>
          <t>Trajano Transportes Ltda - Página — Lindoso e Araujo</t>
        </is>
      </c>
      <c r="K650" t="inlineStr">
        <is>
          <t>recuperacaojudicial.squarespace.com</t>
        </is>
      </c>
      <c r="L650" s="19" t="inlineStr">
        <is>
          <t>https://recuperacaojudicial.squarespace.com/s/Publicaco-do-Edital.pdf</t>
        </is>
      </c>
    </row>
    <row r="651">
      <c r="A651" t="inlineStr">
        <is>
          <t>3ba65197966f</t>
        </is>
      </c>
      <c r="B651" t="inlineStr">
        <is>
          <t>0029772-63.2026.8.17.2001</t>
        </is>
      </c>
      <c r="C651" t="inlineStr">
        <is>
          <t>DEBTOR_LIST</t>
        </is>
      </c>
      <c r="D651" t="inlineStr">
        <is>
          <t>OK_NO_TOTALS</t>
        </is>
      </c>
      <c r="E651" t="n">
        <v>25</v>
      </c>
      <c r="F651" t="inlineStr">
        <is>
          <t>TABLE</t>
        </is>
      </c>
      <c r="G651" t="inlineStr">
        <is>
          <t>TABLE_BANDS</t>
        </is>
      </c>
      <c r="H651" t="inlineStr"/>
      <c r="I651" t="inlineStr">
        <is>
          <t>2026-07-08</t>
        </is>
      </c>
      <c r="J651" t="inlineStr">
        <is>
          <t>e Falência</t>
        </is>
      </c>
      <c r="K651" t="inlineStr">
        <is>
          <t>recuperacaojudicial.squarespace.com</t>
        </is>
      </c>
      <c r="L651" s="19" t="inlineStr">
        <is>
          <t>https://recuperacaojudicial.squarespace.com/s/EDITAL-COM-A-1-LISTA-DE-CREDORES_3094.pdf</t>
        </is>
      </c>
    </row>
    <row r="652">
      <c r="A652" t="inlineStr">
        <is>
          <t>8b4f9213992f</t>
        </is>
      </c>
      <c r="B652" t="inlineStr">
        <is>
          <t>5014104-85.2021.8.21.0010</t>
        </is>
      </c>
      <c r="C652" t="inlineStr">
        <is>
          <t>DEBTOR_LIST</t>
        </is>
      </c>
      <c r="D652" t="inlineStr">
        <is>
          <t>OK_NO_TOTALS</t>
        </is>
      </c>
      <c r="E652" t="n">
        <v>18</v>
      </c>
      <c r="F652" t="inlineStr">
        <is>
          <t>PROSE</t>
        </is>
      </c>
      <c r="G652" t="inlineStr">
        <is>
          <t>PROSE</t>
        </is>
      </c>
      <c r="H652" t="inlineStr"/>
      <c r="J652" t="inlineStr">
        <is>
          <t>SCZ Scalzilli Administração Judicial</t>
        </is>
      </c>
      <c r="K652" t="inlineStr">
        <is>
          <t>scalzilliaj.com.br</t>
        </is>
      </c>
      <c r="L652" s="19" t="inlineStr">
        <is>
          <t>https://scalzilliaj.com.br/sgc/download.php?file=files/processo_documento/processo_documento15593902082022_1_.pdf&amp;nome=08 - Relação de credores apresentada pela recuperanda</t>
        </is>
      </c>
    </row>
    <row r="653">
      <c r="A653" t="inlineStr">
        <is>
          <t>04367a2a15c5</t>
        </is>
      </c>
      <c r="B653" t="inlineStr">
        <is>
          <t>0004686-90.2026.8.17.2001</t>
        </is>
      </c>
      <c r="C653" t="inlineStr">
        <is>
          <t>DEBTOR_LIST</t>
        </is>
      </c>
      <c r="D653" t="inlineStr">
        <is>
          <t>OK_NO_TOTALS</t>
        </is>
      </c>
      <c r="E653" t="n">
        <v>9</v>
      </c>
      <c r="F653" t="inlineStr">
        <is>
          <t>TABLE</t>
        </is>
      </c>
      <c r="G653" t="inlineStr">
        <is>
          <t>TABLE_RULED</t>
        </is>
      </c>
      <c r="H653" t="inlineStr"/>
      <c r="I653" t="inlineStr">
        <is>
          <t>2026-01-28</t>
        </is>
      </c>
      <c r="J653" t="inlineStr">
        <is>
          <t>E FALENCIA</t>
        </is>
      </c>
      <c r="K653" t="inlineStr">
        <is>
          <t>diligence.adm.br</t>
        </is>
      </c>
      <c r="L653" s="19" t="inlineStr">
        <is>
          <t>https://diligence.adm.br/wp-content/plugins/download-attachments/includes/download.php?id=5637</t>
        </is>
      </c>
    </row>
    <row r="654">
      <c r="A654" t="inlineStr">
        <is>
          <t>7868fd92fff7</t>
        </is>
      </c>
      <c r="B654" t="inlineStr">
        <is>
          <t>5009856-38.2024.8.21.0021</t>
        </is>
      </c>
      <c r="C654" t="inlineStr">
        <is>
          <t>HOMOLOG</t>
        </is>
      </c>
      <c r="D654" t="inlineStr">
        <is>
          <t>OK_NO_TOTALS</t>
        </is>
      </c>
      <c r="E654" t="n">
        <v>85</v>
      </c>
      <c r="F654" t="inlineStr">
        <is>
          <t>TABLE</t>
        </is>
      </c>
      <c r="G654" t="inlineStr">
        <is>
          <t>TABLE_RULED</t>
        </is>
      </c>
      <c r="H654" t="inlineStr"/>
      <c r="I654" t="inlineStr">
        <is>
          <t>2024-08-22</t>
        </is>
      </c>
      <c r="J654" t="inlineStr">
        <is>
          <t>ora apresentado, requer o Grupo Recuperando que Vossa</t>
        </is>
      </c>
      <c r="K654" t="inlineStr">
        <is>
          <t>scalzilliaj.com.br</t>
        </is>
      </c>
      <c r="L654" s="19" t="inlineStr">
        <is>
          <t>https://scalzilliaj.com.br/sgc/download.php?file=files/processo_documento/processo_documento11023922082024_1_.pdf&amp;nome=09 - Plano de recuperação judicial</t>
        </is>
      </c>
    </row>
    <row r="655">
      <c r="A655" t="inlineStr">
        <is>
          <t>295719aabe02</t>
        </is>
      </c>
      <c r="B655" t="inlineStr">
        <is>
          <t>1009827-02.2024.8.26.0576</t>
        </is>
      </c>
      <c r="C655" t="inlineStr">
        <is>
          <t>HOMOLOG</t>
        </is>
      </c>
      <c r="D655" t="inlineStr">
        <is>
          <t>OK_NO_TOTALS</t>
        </is>
      </c>
      <c r="E655" t="n">
        <v>20</v>
      </c>
      <c r="F655" t="inlineStr">
        <is>
          <t>TABLE</t>
        </is>
      </c>
      <c r="G655" t="inlineStr">
        <is>
          <t>TABLE_BANDS</t>
        </is>
      </c>
      <c r="H655" t="inlineStr"/>
      <c r="I655" t="inlineStr">
        <is>
          <t>2024-04-05</t>
        </is>
      </c>
      <c r="J655" t="inlineStr">
        <is>
          <t>formuladopelasempresa</t>
        </is>
      </c>
      <c r="K655" t="inlineStr">
        <is>
          <t>vtladm.com.br</t>
        </is>
      </c>
      <c r="L655" s="19" t="inlineStr">
        <is>
          <t>https://vtladm.com.br/wp-content/uploads/2024/04/15-Homologacao-Do-Plano-De-Recuperacao-Judicial-Frigorifico-Alfa-e-Ctx.pdf</t>
        </is>
      </c>
    </row>
    <row r="656">
      <c r="A656" t="inlineStr">
        <is>
          <t>d8a7993706ef</t>
        </is>
      </c>
      <c r="B656" t="inlineStr">
        <is>
          <t>5048671-58.2024.8.08.0024</t>
        </is>
      </c>
      <c r="C656" t="inlineStr">
        <is>
          <t>HOMOLOG</t>
        </is>
      </c>
      <c r="D656" t="inlineStr">
        <is>
          <t>OK_NO_TOTALS</t>
        </is>
      </c>
      <c r="E656" t="n">
        <v>19</v>
      </c>
      <c r="F656" t="inlineStr">
        <is>
          <t>TABLE</t>
        </is>
      </c>
      <c r="G656" t="inlineStr">
        <is>
          <t>TABLE_BANDS</t>
        </is>
      </c>
      <c r="H656" t="inlineStr"/>
      <c r="I656" t="inlineStr">
        <is>
          <t>2026-07-03</t>
        </is>
      </c>
      <c r="J656" t="inlineStr">
        <is>
          <t>e Falência</t>
        </is>
      </c>
      <c r="K656" t="inlineStr">
        <is>
          <t>ricardobiancardi.com.br</t>
        </is>
      </c>
      <c r="L656" s="19" t="inlineStr">
        <is>
          <t>https://ricardobiancardi.com.br/wp-content/uploads/2026/01/Edital-Intimacao-concessao-da-RJ-HSM-pub.-29.06.26-.pdf</t>
        </is>
      </c>
    </row>
    <row r="657">
      <c r="A657" t="inlineStr">
        <is>
          <t>54a768bef60f</t>
        </is>
      </c>
      <c r="B657" t="inlineStr">
        <is>
          <t>0002888-23.2018.8.19.0028</t>
        </is>
      </c>
      <c r="C657" t="inlineStr">
        <is>
          <t>HOMOLOG</t>
        </is>
      </c>
      <c r="D657" t="inlineStr">
        <is>
          <t>OK_NO_TOTALS</t>
        </is>
      </c>
      <c r="E657" t="n">
        <v>14</v>
      </c>
      <c r="F657" t="inlineStr">
        <is>
          <t>TABLE</t>
        </is>
      </c>
      <c r="G657" t="inlineStr">
        <is>
          <t>TABLE_RULED</t>
        </is>
      </c>
      <c r="H657" t="inlineStr"/>
      <c r="J657" t="inlineStr">
        <is>
          <t>Paragon Offshore - Real Brasil Consultoria</t>
        </is>
      </c>
      <c r="K657" t="inlineStr">
        <is>
          <t>realbrasil.com.br</t>
        </is>
      </c>
      <c r="L657" s="19" t="inlineStr">
        <is>
          <t>https://realbrasil.com.br/wp-content/uploads/2018/08/1.LISTA_DE_CREDORES_PARAGON_OFFSHORE_DO_BRASIL_LTDA.pdf</t>
        </is>
      </c>
    </row>
    <row r="658">
      <c r="A658" t="inlineStr">
        <is>
          <t>11c1d7398c6c</t>
        </is>
      </c>
      <c r="B658" t="inlineStr">
        <is>
          <t>5074883-62.2023.8.21.0001</t>
        </is>
      </c>
      <c r="C658" t="inlineStr">
        <is>
          <t>HOMOLOG</t>
        </is>
      </c>
      <c r="D658" t="inlineStr">
        <is>
          <t>OK_NO_TOTALS</t>
        </is>
      </c>
      <c r="E658" t="n">
        <v>10</v>
      </c>
      <c r="F658" t="inlineStr">
        <is>
          <t>TABLE</t>
        </is>
      </c>
      <c r="G658" t="inlineStr">
        <is>
          <t>TABLE_BANDS</t>
        </is>
      </c>
      <c r="H658" t="inlineStr"/>
      <c r="I658" t="inlineStr">
        <is>
          <t>2023-05-02</t>
        </is>
      </c>
      <c r="J658" t="inlineStr">
        <is>
          <t>SENTENÇA MAGAZINE SA</t>
        </is>
      </c>
      <c r="K658" t="inlineStr">
        <is>
          <t>rlg-aj.com.br</t>
        </is>
      </c>
      <c r="L658" s="19" t="inlineStr">
        <is>
          <t>https://rlg-aj.com.br/wp-content/uploads/2023/05/16.-Sentenca-homologatoria-do-Plano-de-Recuperacao-Judicial.pdf</t>
        </is>
      </c>
    </row>
    <row r="659">
      <c r="A659" t="inlineStr">
        <is>
          <t>d41b655328d4</t>
        </is>
      </c>
      <c r="B659" t="inlineStr">
        <is>
          <t>5055017-47.2025.8.24.0023</t>
        </is>
      </c>
      <c r="C659" t="inlineStr">
        <is>
          <t>HOMOLOG</t>
        </is>
      </c>
      <c r="D659" t="inlineStr">
        <is>
          <t>OK_NO_TOTALS</t>
        </is>
      </c>
      <c r="E659" t="n">
        <v>2</v>
      </c>
      <c r="F659" t="inlineStr">
        <is>
          <t>PROSE</t>
        </is>
      </c>
      <c r="G659" t="inlineStr">
        <is>
          <t>PROSE</t>
        </is>
      </c>
      <c r="H659" t="inlineStr"/>
      <c r="I659" t="inlineStr">
        <is>
          <t>2026-06-05</t>
        </is>
      </c>
      <c r="J659" t="inlineStr">
        <is>
          <t>Base | AJ RUIZ - Administração Judicial</t>
        </is>
      </c>
      <c r="K659" t="inlineStr">
        <is>
          <t>ajruiz.com.br</t>
        </is>
      </c>
      <c r="L659" s="19" t="inlineStr">
        <is>
          <t>https://ajruiz.com.br/sites/default/files/public/arquivos-processos/2026-06/edital_convocacao_de_credores_tecmesul.pdf</t>
        </is>
      </c>
    </row>
    <row r="660">
      <c r="A660" t="inlineStr">
        <is>
          <t>ea17ba43b261</t>
        </is>
      </c>
      <c r="B660" t="inlineStr">
        <is>
          <t>0005010-50.2013.8.24.0026</t>
        </is>
      </c>
      <c r="C660" t="inlineStr">
        <is>
          <t>OTHER</t>
        </is>
      </c>
      <c r="D660" t="inlineStr">
        <is>
          <t>OK_NO_TOTALS</t>
        </is>
      </c>
      <c r="E660" t="n">
        <v>20</v>
      </c>
      <c r="F660" t="inlineStr">
        <is>
          <t>TABLE</t>
        </is>
      </c>
      <c r="G660" t="inlineStr">
        <is>
          <t>TABLE_RULED</t>
        </is>
      </c>
      <c r="H660" t="inlineStr"/>
      <c r="I660" t="inlineStr">
        <is>
          <t>2025-03-25</t>
        </is>
      </c>
      <c r="J660" t="inlineStr">
        <is>
          <t>MANNES LTDA E BM EMPREENDIMENTOS E PARTICIPAÇÕES – Sgrott Administradora Judicial e Consultoria Empresarial</t>
        </is>
      </c>
      <c r="K660" t="inlineStr">
        <is>
          <t>administradorajudicialgs.com.br</t>
        </is>
      </c>
      <c r="L660" s="19" t="inlineStr">
        <is>
          <t>https://administradorajudicialgs.com.br/wp-content/uploads/2024/12/relacao-de-credores-da-falida.pdf</t>
        </is>
      </c>
    </row>
    <row r="661">
      <c r="A661" t="inlineStr">
        <is>
          <t>9b3333651bdb</t>
        </is>
      </c>
      <c r="B661" t="inlineStr">
        <is>
          <t>0214287-36.2023.8.06.0001</t>
        </is>
      </c>
      <c r="C661" t="inlineStr">
        <is>
          <t>PLAN</t>
        </is>
      </c>
      <c r="D661" t="inlineStr">
        <is>
          <t>OK_NO_TOTALS</t>
        </is>
      </c>
      <c r="E661" t="n">
        <v>18</v>
      </c>
      <c r="F661" t="inlineStr">
        <is>
          <t>TABLE</t>
        </is>
      </c>
      <c r="G661" t="inlineStr">
        <is>
          <t>TABLE_BANDS</t>
        </is>
      </c>
      <c r="H661" t="inlineStr"/>
      <c r="J661" t="inlineStr">
        <is>
          <t>Pminas Brasil Construção Civil e Serviços Ltda</t>
        </is>
      </c>
      <c r="K661" t="inlineStr">
        <is>
          <t>bugarimecoelho.com.br</t>
        </is>
      </c>
      <c r="L661" s="19" t="inlineStr">
        <is>
          <t>https://bugarimecoelho.com.br/ws/media-library/392cdc7b5c3a452b9252bb0e7627fa63/08---plano-de-recuperacao-judicial.pdf</t>
        </is>
      </c>
    </row>
    <row r="662">
      <c r="A662" t="inlineStr">
        <is>
          <t>7dbc762f31fb</t>
        </is>
      </c>
      <c r="B662" t="inlineStr">
        <is>
          <t>0270804-61.2023.8.06.0001</t>
        </is>
      </c>
      <c r="C662" t="inlineStr">
        <is>
          <t>PLAN</t>
        </is>
      </c>
      <c r="D662" t="inlineStr">
        <is>
          <t>OK_NO_TOTALS</t>
        </is>
      </c>
      <c r="E662" t="n">
        <v>28</v>
      </c>
      <c r="F662" t="inlineStr">
        <is>
          <t>TABLE</t>
        </is>
      </c>
      <c r="G662" t="inlineStr">
        <is>
          <t>TABLE_BANDS</t>
        </is>
      </c>
      <c r="H662" t="inlineStr"/>
      <c r="J662" t="inlineStr">
        <is>
          <t>x concurso de credores. Juntada do Plano de Recuperação Judicia</t>
        </is>
      </c>
      <c r="K662" t="inlineStr">
        <is>
          <t>bugarimecoelho.com.br</t>
        </is>
      </c>
      <c r="L662" s="19" t="inlineStr">
        <is>
          <t>https://bugarimecoelho.com.br/ws/media-library/9875146249984188852cdf88ef3deb6f/4-plano-de-recuperacao-2.pdf</t>
        </is>
      </c>
    </row>
    <row r="663">
      <c r="A663" t="inlineStr">
        <is>
          <t>5e92e3edcc85</t>
        </is>
      </c>
      <c r="B663" t="inlineStr">
        <is>
          <t>1003322-70.2024.8.26.0260</t>
        </is>
      </c>
      <c r="C663" t="inlineStr">
        <is>
          <t>PLAN</t>
        </is>
      </c>
      <c r="D663" t="inlineStr">
        <is>
          <t>OK_NO_TOTALS</t>
        </is>
      </c>
      <c r="E663" t="n">
        <v>123</v>
      </c>
      <c r="F663" t="inlineStr">
        <is>
          <t>PROSE</t>
        </is>
      </c>
      <c r="G663" t="inlineStr">
        <is>
          <t>PROSE</t>
        </is>
      </c>
      <c r="H663" t="inlineStr"/>
      <c r="J663" t="inlineStr">
        <is>
          <t>JOAQUIM JOSÉ XAVIER ISA</t>
        </is>
      </c>
      <c r="K663" t="inlineStr">
        <is>
          <t>vivanteaj.com.br</t>
        </is>
      </c>
      <c r="L663" s="19" t="inlineStr">
        <is>
          <t>https://vivanteaj.com.br/wp-content/uploads/2025/02/PRJ-AGRO-SAFRA.pdf</t>
        </is>
      </c>
    </row>
    <row r="664">
      <c r="A664" t="inlineStr">
        <is>
          <t>101325714c39</t>
        </is>
      </c>
      <c r="B664" t="inlineStr">
        <is>
          <t>0004984-95.2024.8.16.0153</t>
        </is>
      </c>
      <c r="C664" t="inlineStr">
        <is>
          <t>PLAN</t>
        </is>
      </c>
      <c r="D664" t="inlineStr">
        <is>
          <t>OK_NO_TOTALS</t>
        </is>
      </c>
      <c r="E664" t="n">
        <v>34</v>
      </c>
      <c r="F664" t="inlineStr">
        <is>
          <t>TABLE</t>
        </is>
      </c>
      <c r="G664" t="inlineStr">
        <is>
          <t>TABLE_BANDS</t>
        </is>
      </c>
      <c r="H664" t="inlineStr"/>
      <c r="J664" t="inlineStr">
        <is>
          <t>AGILE EQUIPAMENTOS ODONTOLÓGICOS LTDA</t>
        </is>
      </c>
      <c r="K664" t="inlineStr">
        <is>
          <t>vtladm.com.br</t>
        </is>
      </c>
      <c r="L664" s="19" t="inlineStr">
        <is>
          <t>https://vtladm.com.br/wp-content/uploads/2025/05/07_Plano_Recuperacao_Judicial_Agile_Equipamentos_Odontologicos.pdf</t>
        </is>
      </c>
    </row>
    <row r="665">
      <c r="A665" t="inlineStr">
        <is>
          <t>ada765f2346b</t>
        </is>
      </c>
      <c r="B665" t="inlineStr">
        <is>
          <t>5660592-49.2025.8.09.0105</t>
        </is>
      </c>
      <c r="C665" t="inlineStr">
        <is>
          <t>PLAN</t>
        </is>
      </c>
      <c r="D665" t="inlineStr">
        <is>
          <t>OK_NO_TOTALS</t>
        </is>
      </c>
      <c r="E665" t="n">
        <v>41</v>
      </c>
      <c r="F665" t="inlineStr">
        <is>
          <t>TABLE</t>
        </is>
      </c>
      <c r="G665" t="inlineStr">
        <is>
          <t>TABLE_BANDS</t>
        </is>
      </c>
      <c r="H665" t="inlineStr"/>
      <c r="I665" t="inlineStr">
        <is>
          <t>2026-04-08</t>
        </is>
      </c>
      <c r="J665" t="inlineStr">
        <is>
          <t>RJ DINKOSKI - Stenius</t>
        </is>
      </c>
      <c r="K665" t="inlineStr">
        <is>
          <t>stenius.com.br</t>
        </is>
      </c>
      <c r="L665" s="19" t="inlineStr">
        <is>
          <t>https://stenius.com.br/wp-content/uploads/2026/04/9-Plano-de-RJ-mov.275.pdf</t>
        </is>
      </c>
    </row>
    <row r="666">
      <c r="A666" t="inlineStr">
        <is>
          <t>fc27ba4a02fb</t>
        </is>
      </c>
      <c r="C666" t="inlineStr">
        <is>
          <t>PLAN</t>
        </is>
      </c>
      <c r="D666" t="inlineStr">
        <is>
          <t>OK_NO_TOTALS</t>
        </is>
      </c>
      <c r="E666" t="n">
        <v>4</v>
      </c>
      <c r="F666" t="inlineStr">
        <is>
          <t>PROSE</t>
        </is>
      </c>
      <c r="G666" t="inlineStr">
        <is>
          <t>PROSE</t>
        </is>
      </c>
      <c r="H666" t="inlineStr"/>
      <c r="J666" t="inlineStr">
        <is>
          <t>Amigão Materiais para Construção - Real Brasil Consultoria</t>
        </is>
      </c>
      <c r="K666" t="inlineStr">
        <is>
          <t>realbrasil.com.br</t>
        </is>
      </c>
      <c r="L666" s="19" t="inlineStr">
        <is>
          <t>https://realbrasil.com.br/wp-content/uploads/2017/06/EDITAL_19.06.2017_AJ.pdf</t>
        </is>
      </c>
    </row>
    <row r="667">
      <c r="A667" t="inlineStr">
        <is>
          <t>38dfb69ffc9a</t>
        </is>
      </c>
      <c r="B667" t="inlineStr">
        <is>
          <t>5001743-15.2025.8.08.0024</t>
        </is>
      </c>
      <c r="C667" t="inlineStr">
        <is>
          <t>PLAN</t>
        </is>
      </c>
      <c r="D667" t="inlineStr">
        <is>
          <t>OK_NO_TOTALS</t>
        </is>
      </c>
      <c r="E667" t="n">
        <v>29</v>
      </c>
      <c r="F667" t="inlineStr">
        <is>
          <t>TABLE</t>
        </is>
      </c>
      <c r="G667" t="inlineStr">
        <is>
          <t>TABLE_BANDS</t>
        </is>
      </c>
      <c r="H667" t="inlineStr"/>
      <c r="J667" t="inlineStr">
        <is>
          <t>APRESENTADO POR CONTEMPORANEA ENGENHARIA NO AMBITO DO PROCESSO DE RECUPERAÇAO JUDICIA</t>
        </is>
      </c>
      <c r="K667" t="inlineStr">
        <is>
          <t>rlg-aj.com.br</t>
        </is>
      </c>
      <c r="L667" s="19" t="inlineStr">
        <is>
          <t>https://rlg-aj.com.br/wp-content/uploads/2025/02/Plano-de-Recuperacao-Judicial-Contemporanea.pdf</t>
        </is>
      </c>
    </row>
    <row r="668">
      <c r="A668" t="inlineStr">
        <is>
          <t>ccd53c211859</t>
        </is>
      </c>
      <c r="B668" t="inlineStr">
        <is>
          <t>5008630-83.2025.8.24.0019</t>
        </is>
      </c>
      <c r="C668" t="inlineStr">
        <is>
          <t>PLAN</t>
        </is>
      </c>
      <c r="D668" t="inlineStr">
        <is>
          <t>OK_NO_TOTALS</t>
        </is>
      </c>
      <c r="E668" t="n">
        <v>35</v>
      </c>
      <c r="F668" t="inlineStr">
        <is>
          <t>TABLE</t>
        </is>
      </c>
      <c r="G668" t="inlineStr">
        <is>
          <t>TABLE_RULED</t>
        </is>
      </c>
      <c r="H668" t="inlineStr"/>
      <c r="I668" t="inlineStr">
        <is>
          <t>2026-05-19</t>
        </is>
      </c>
      <c r="J668" t="inlineStr">
        <is>
          <t>MADEIREIRA MADEFUS LTDA</t>
        </is>
      </c>
      <c r="K668" t="inlineStr">
        <is>
          <t>rlg-aj.com.br</t>
        </is>
      </c>
      <c r="L668" s="19" t="inlineStr">
        <is>
          <t>https://rlg-aj.com.br/wp-content/uploads/2026/02/20260519-Aditivo-ao-Plano-de-Recuperacao-Judicial-Madefus.pdf</t>
        </is>
      </c>
    </row>
    <row r="669">
      <c r="A669" t="inlineStr">
        <is>
          <t>fbb973d7050d</t>
        </is>
      </c>
      <c r="B669" t="inlineStr">
        <is>
          <t>5008550-51.2025.8.08.0024</t>
        </is>
      </c>
      <c r="C669" t="inlineStr">
        <is>
          <t>PLAN</t>
        </is>
      </c>
      <c r="D669" t="inlineStr">
        <is>
          <t>OK_NO_TOTALS</t>
        </is>
      </c>
      <c r="E669" t="n">
        <v>10</v>
      </c>
      <c r="F669" t="inlineStr">
        <is>
          <t>TABLE</t>
        </is>
      </c>
      <c r="G669" t="inlineStr">
        <is>
          <t>TABLE_BANDS</t>
        </is>
      </c>
      <c r="H669" t="inlineStr"/>
      <c r="J669" t="inlineStr">
        <is>
          <t>GRUPO MDG CREMASCO MEDICINA DIAGNÓSTICA LTDA</t>
        </is>
      </c>
      <c r="K669" t="inlineStr">
        <is>
          <t>rlg-aj.com.br</t>
        </is>
      </c>
      <c r="L669" s="19" t="inlineStr">
        <is>
          <t>https://rlg-aj.com.br/wp-content/uploads/2025/03/15.-Primeiro-Aditivo-ao-Plano-de-Recuperacao-Judicial.pdf</t>
        </is>
      </c>
    </row>
    <row r="670">
      <c r="A670" t="inlineStr">
        <is>
          <t>6567c21d456c</t>
        </is>
      </c>
      <c r="B670" t="inlineStr">
        <is>
          <t>5044580-07.2019.8.21.0001</t>
        </is>
      </c>
      <c r="C670" t="inlineStr">
        <is>
          <t>PLAN</t>
        </is>
      </c>
      <c r="D670" t="inlineStr">
        <is>
          <t>OK_NO_TOTALS</t>
        </is>
      </c>
      <c r="E670" t="n">
        <v>33</v>
      </c>
      <c r="F670" t="inlineStr">
        <is>
          <t>TABLE</t>
        </is>
      </c>
      <c r="G670" t="inlineStr">
        <is>
          <t>TABLE_BANDS</t>
        </is>
      </c>
      <c r="H670" t="inlineStr"/>
      <c r="J670" t="inlineStr">
        <is>
          <t>em epígrafe, vem, respeitosa</t>
        </is>
      </c>
      <c r="K670" t="inlineStr">
        <is>
          <t>cataliseaj.com.br</t>
        </is>
      </c>
      <c r="L670" s="19" t="inlineStr">
        <is>
          <t>https://cataliseaj.com.br/sgc/download.php?file=files/processo_documento/processo_documento15255603102024_1_.pdf&amp;nome=5. PLANO DE RECUPERAÇÃO JUDICIAL</t>
        </is>
      </c>
    </row>
    <row r="671">
      <c r="A671" t="inlineStr">
        <is>
          <t>3c1d33dcd232</t>
        </is>
      </c>
      <c r="B671" t="inlineStr">
        <is>
          <t>5044580-07.2019.8.21.0001</t>
        </is>
      </c>
      <c r="C671" t="inlineStr">
        <is>
          <t>PLAN</t>
        </is>
      </c>
      <c r="D671" t="inlineStr">
        <is>
          <t>OK_NO_TOTALS</t>
        </is>
      </c>
      <c r="E671" t="n">
        <v>45</v>
      </c>
      <c r="F671" t="inlineStr">
        <is>
          <t>TABLE</t>
        </is>
      </c>
      <c r="G671" t="inlineStr">
        <is>
          <t>TABLE_BANDS</t>
        </is>
      </c>
      <c r="H671" t="inlineStr"/>
      <c r="J671" t="inlineStr">
        <is>
          <t>VARA DE DIREITO EMPRESA</t>
        </is>
      </c>
      <c r="K671" t="inlineStr">
        <is>
          <t>cataliseaj.com.br</t>
        </is>
      </c>
      <c r="L671" s="19" t="inlineStr">
        <is>
          <t>https://cataliseaj.com.br/sgc/download.php?file=files/processo_documento/processo_documento15260703102024_1_.pdf&amp;nome=6. MODIFICATIVO DO PLANO DE RECUPERAÇÃO JUDICIAL</t>
        </is>
      </c>
    </row>
    <row r="672">
      <c r="A672" t="inlineStr">
        <is>
          <t>ec4b0ec67fe5</t>
        </is>
      </c>
      <c r="B672" t="inlineStr">
        <is>
          <t>5121114-73.2021.8.21.7000</t>
        </is>
      </c>
      <c r="C672" t="inlineStr">
        <is>
          <t>PLAN</t>
        </is>
      </c>
      <c r="D672" t="inlineStr">
        <is>
          <t>OK_NO_TOTALS</t>
        </is>
      </c>
      <c r="E672" t="n">
        <v>12</v>
      </c>
      <c r="F672" t="inlineStr">
        <is>
          <t>TABLE</t>
        </is>
      </c>
      <c r="G672" t="inlineStr">
        <is>
          <t>TABLE_BANDS</t>
        </is>
      </c>
      <c r="H672" t="inlineStr"/>
      <c r="I672" t="inlineStr">
        <is>
          <t>2021-08-13</t>
        </is>
      </c>
      <c r="J672" t="inlineStr">
        <is>
          <t>empresa</t>
        </is>
      </c>
      <c r="K672" t="inlineStr">
        <is>
          <t>cataliseaj.com.br</t>
        </is>
      </c>
      <c r="L672" s="19" t="inlineStr">
        <is>
          <t>https://cataliseaj.com.br/sgc/download.php?file=files/processo_documento/processo_documento15284003102024_1_.pdf&amp;nome=18. 3º MODIFICATIVO DO PLANO DE RECUPERAÇÃO JUDICIAL</t>
        </is>
      </c>
    </row>
    <row r="673">
      <c r="A673" t="inlineStr">
        <is>
          <t>d9ab6e12b832</t>
        </is>
      </c>
      <c r="B673" t="inlineStr">
        <is>
          <t>5121114-73.2021.8.21.7000</t>
        </is>
      </c>
      <c r="C673" t="inlineStr">
        <is>
          <t>PLAN</t>
        </is>
      </c>
      <c r="D673" t="inlineStr">
        <is>
          <t>OK_NO_TOTALS</t>
        </is>
      </c>
      <c r="E673" t="n">
        <v>14</v>
      </c>
      <c r="F673" t="inlineStr">
        <is>
          <t>TABLE</t>
        </is>
      </c>
      <c r="G673" t="inlineStr">
        <is>
          <t>TABLE_BANDS</t>
        </is>
      </c>
      <c r="H673" t="inlineStr"/>
      <c r="I673" t="inlineStr">
        <is>
          <t>2023-05-10</t>
        </is>
      </c>
      <c r="J673" t="inlineStr">
        <is>
          <t>empresa</t>
        </is>
      </c>
      <c r="K673" t="inlineStr">
        <is>
          <t>cataliseaj.com.br</t>
        </is>
      </c>
      <c r="L673" s="19" t="inlineStr">
        <is>
          <t>https://cataliseaj.com.br/sgc/download.php?file=files/processo_documento/processo_documento15291703102024_1_.pdf&amp;nome=21. 4º MODIFICATIVO AO PLANO DE RECUPERAÇÃO JUDICIAL</t>
        </is>
      </c>
    </row>
    <row r="674">
      <c r="A674" t="inlineStr">
        <is>
          <t>14a11615464d</t>
        </is>
      </c>
      <c r="B674" t="inlineStr">
        <is>
          <t>0301494-08.2016.8.24.0037</t>
        </is>
      </c>
      <c r="C674" t="inlineStr">
        <is>
          <t>PLAN</t>
        </is>
      </c>
      <c r="D674" t="inlineStr">
        <is>
          <t>OK_NO_TOTALS</t>
        </is>
      </c>
      <c r="E674" t="n">
        <v>24</v>
      </c>
      <c r="F674" t="inlineStr">
        <is>
          <t>TABLE</t>
        </is>
      </c>
      <c r="G674" t="inlineStr">
        <is>
          <t>TABLE_BANDS</t>
        </is>
      </c>
      <c r="H674" t="inlineStr"/>
      <c r="J674" t="inlineStr">
        <is>
          <t>LEAL ENGENHARIA QUÍMICA LTDA</t>
        </is>
      </c>
      <c r="K674" t="inlineStr">
        <is>
          <t>cataliseaj.com.br</t>
        </is>
      </c>
      <c r="L674" s="19" t="inlineStr">
        <is>
          <t>https://cataliseaj.com.br/sgc/download.php?file=files/processo_documento/processo_documento10282322042025_1_.pdf&amp;nome=13. SEGUNDO MODIFICATIVO PRJ</t>
        </is>
      </c>
    </row>
    <row r="675">
      <c r="A675" t="inlineStr">
        <is>
          <t>787c09c8ff84</t>
        </is>
      </c>
      <c r="B675" t="inlineStr">
        <is>
          <t>0720801-53.2008.8.21.0001</t>
        </is>
      </c>
      <c r="C675" t="inlineStr">
        <is>
          <t>QGC</t>
        </is>
      </c>
      <c r="D675" t="inlineStr">
        <is>
          <t>OK_NO_TOTALS</t>
        </is>
      </c>
      <c r="E675" t="n">
        <v>1</v>
      </c>
      <c r="F675" t="inlineStr">
        <is>
          <t>TABLE</t>
        </is>
      </c>
      <c r="G675" t="inlineStr">
        <is>
          <t>TABLE_BANDS</t>
        </is>
      </c>
      <c r="H675" t="inlineStr"/>
      <c r="J675" t="inlineStr">
        <is>
          <t>SCZ Scalzilli Administração Judicial</t>
        </is>
      </c>
      <c r="K675" t="inlineStr">
        <is>
          <t>scalzilliaj.com.br</t>
        </is>
      </c>
      <c r="L675" s="19" t="inlineStr">
        <is>
          <t>https://scalzilliaj.com.br/sgc/download.php?file=files/processo_documento/falencia_documento11171208072022_1_.pdf&amp;nome=10 - Edital do art. 18 da Lei 11.101/2005 (quadro geral de credores)</t>
        </is>
      </c>
    </row>
    <row r="676">
      <c r="A676" t="inlineStr">
        <is>
          <t>1cc45d7d75e9</t>
        </is>
      </c>
      <c r="B676" t="inlineStr">
        <is>
          <t>0000010-28.1988.8.24.0032</t>
        </is>
      </c>
      <c r="C676" t="inlineStr">
        <is>
          <t>QGC</t>
        </is>
      </c>
      <c r="D676" t="inlineStr">
        <is>
          <t>OK_NO_TOTALS</t>
        </is>
      </c>
      <c r="E676" t="n">
        <v>13</v>
      </c>
      <c r="F676" t="inlineStr">
        <is>
          <t>TABLE</t>
        </is>
      </c>
      <c r="G676" t="inlineStr">
        <is>
          <t>TABLE_RULED</t>
        </is>
      </c>
      <c r="H676" t="inlineStr"/>
      <c r="I676" t="inlineStr">
        <is>
          <t>2020-10-14</t>
        </is>
      </c>
      <c r="J676" t="inlineStr">
        <is>
          <t>SCZ Scalzilli Administração Judicial</t>
        </is>
      </c>
      <c r="K676" t="inlineStr">
        <is>
          <t>scalzilliaj.com.br</t>
        </is>
      </c>
      <c r="L676" s="19" t="inlineStr">
        <is>
          <t>https://scalzilliaj.com.br/sgc/download.php?file=files/processo_documento/processo_documento15570910062026_1_.pdf&amp;nome=04. Quadro Geral de Credores provisório (29.04.2026)</t>
        </is>
      </c>
    </row>
    <row r="677">
      <c r="A677" t="inlineStr">
        <is>
          <t>0e76d2c8292e</t>
        </is>
      </c>
      <c r="B677" t="inlineStr">
        <is>
          <t>0089327-55.2019.8.17.2001</t>
        </is>
      </c>
      <c r="C677" t="inlineStr">
        <is>
          <t>QGC</t>
        </is>
      </c>
      <c r="D677" t="inlineStr">
        <is>
          <t>OK_NO_TOTALS</t>
        </is>
      </c>
      <c r="E677" t="n">
        <v>5</v>
      </c>
      <c r="F677" t="inlineStr">
        <is>
          <t>TABLE</t>
        </is>
      </c>
      <c r="G677" t="inlineStr">
        <is>
          <t>TABLE_BANDS</t>
        </is>
      </c>
      <c r="H677" t="inlineStr"/>
      <c r="J677" t="inlineStr">
        <is>
          <t>GRUPO NACIONAL – Diligence Administração em Recuperação Judicial e Falência</t>
        </is>
      </c>
      <c r="K677" t="inlineStr">
        <is>
          <t>diligence.adm.br</t>
        </is>
      </c>
      <c r="L677" s="19" t="inlineStr">
        <is>
          <t>https://diligence.adm.br/wp-content/uploads/2024/05/Relacao-de-Credores-Classe-I-1.pdf</t>
        </is>
      </c>
    </row>
    <row r="678">
      <c r="A678" t="inlineStr">
        <is>
          <t>c18c13f512bb</t>
        </is>
      </c>
      <c r="B678" t="inlineStr">
        <is>
          <t>0089327-55.2019.8.17.2001</t>
        </is>
      </c>
      <c r="C678" t="inlineStr">
        <is>
          <t>QGC</t>
        </is>
      </c>
      <c r="D678" t="inlineStr">
        <is>
          <t>OK_NO_TOTALS</t>
        </is>
      </c>
      <c r="E678" t="n">
        <v>5</v>
      </c>
      <c r="F678" t="inlineStr">
        <is>
          <t>TABLE</t>
        </is>
      </c>
      <c r="G678" t="inlineStr">
        <is>
          <t>TABLE_RULED</t>
        </is>
      </c>
      <c r="H678" t="inlineStr"/>
      <c r="J678" t="inlineStr">
        <is>
          <t>GRUPO NACIONAL – Diligence Administração em Recuperação Judicial e Falência</t>
        </is>
      </c>
      <c r="K678" t="inlineStr">
        <is>
          <t>diligence.adm.br</t>
        </is>
      </c>
      <c r="L678" s="19" t="inlineStr">
        <is>
          <t>https://diligence.adm.br/wp-content/uploads/2024/05/Relacao-de-Credores-Classe-III-1.pdf</t>
        </is>
      </c>
    </row>
    <row r="679">
      <c r="A679" t="inlineStr">
        <is>
          <t>14021b3f119c</t>
        </is>
      </c>
      <c r="B679" t="inlineStr">
        <is>
          <t>0023643-13.2006.8.24.0008</t>
        </is>
      </c>
      <c r="C679" t="inlineStr">
        <is>
          <t>QGC</t>
        </is>
      </c>
      <c r="D679" t="inlineStr">
        <is>
          <t>OK_NO_TOTALS</t>
        </is>
      </c>
      <c r="E679" t="n">
        <v>8</v>
      </c>
      <c r="F679" t="inlineStr">
        <is>
          <t>TABLE</t>
        </is>
      </c>
      <c r="G679" t="inlineStr">
        <is>
          <t>TABLE_BANDS</t>
        </is>
      </c>
      <c r="H679" t="inlineStr"/>
      <c r="J679" t="inlineStr">
        <is>
          <t>- COM PRAZO DE 30 DIAS Recuperação Judicia</t>
        </is>
      </c>
      <c r="K679" t="inlineStr">
        <is>
          <t>administradorajudicialgs.com.br</t>
        </is>
      </c>
      <c r="L679" s="19" t="inlineStr">
        <is>
          <t>https://administradorajudicialgs.com.br/wp-content/uploads/2023/08/doc-05-edital-de-publicacao-relacao-de-credores-24-06-16.pdf</t>
        </is>
      </c>
    </row>
    <row r="680">
      <c r="A680" t="inlineStr">
        <is>
          <t>e00c60a5d7ec</t>
        </is>
      </c>
      <c r="B680" t="inlineStr">
        <is>
          <t>0089327-55.2019.8.17.2001</t>
        </is>
      </c>
      <c r="C680" t="inlineStr">
        <is>
          <t>QGC</t>
        </is>
      </c>
      <c r="D680" t="inlineStr">
        <is>
          <t>OK_NO_TOTALS</t>
        </is>
      </c>
      <c r="E680" t="n">
        <v>3</v>
      </c>
      <c r="F680" t="inlineStr">
        <is>
          <t>TABLE</t>
        </is>
      </c>
      <c r="G680" t="inlineStr">
        <is>
          <t>TABLE_RULED</t>
        </is>
      </c>
      <c r="H680" t="inlineStr"/>
      <c r="J680" t="inlineStr">
        <is>
          <t>GRUPO NACIONAL – Diligence Administração em Recuperação Judicial e Falência</t>
        </is>
      </c>
      <c r="K680" t="inlineStr">
        <is>
          <t>diligence.adm.br</t>
        </is>
      </c>
      <c r="L680" s="19" t="inlineStr">
        <is>
          <t>https://diligence.adm.br/wp-content/uploads/2024/05/Relacao-de-Credores-Classe-IV-1.pdf</t>
        </is>
      </c>
    </row>
    <row r="681">
      <c r="A681" t="inlineStr">
        <is>
          <t>595e69e0fcce</t>
        </is>
      </c>
      <c r="B681" t="inlineStr">
        <is>
          <t>0000377-15.2000.8.24.0070</t>
        </is>
      </c>
      <c r="C681" t="inlineStr">
        <is>
          <t>QGC</t>
        </is>
      </c>
      <c r="D681" t="inlineStr">
        <is>
          <t>OK_NO_TOTALS</t>
        </is>
      </c>
      <c r="E681" t="n">
        <v>3</v>
      </c>
      <c r="F681" t="inlineStr">
        <is>
          <t>TABLE</t>
        </is>
      </c>
      <c r="G681" t="inlineStr">
        <is>
          <t>TABLE_BANDS</t>
        </is>
      </c>
      <c r="H681" t="inlineStr"/>
      <c r="I681" t="inlineStr">
        <is>
          <t>2022-02-14</t>
        </is>
      </c>
      <c r="J681" t="inlineStr">
        <is>
          <t>FÁBRICA DE MÓVEIS SANTA IZABEL LTDA – Sgrott Administradora Judicial e Consultoria Empresarial</t>
        </is>
      </c>
      <c r="K681" t="inlineStr">
        <is>
          <t>administradorajudicialgs.com.br</t>
        </is>
      </c>
      <c r="L681" s="19" t="inlineStr">
        <is>
          <t>https://administradorajudicialgs.com.br/wp-content/uploads/2024/06/edital-relacao-de-credores.pdf</t>
        </is>
      </c>
    </row>
    <row r="682">
      <c r="A682" t="inlineStr">
        <is>
          <t>2ac823d92eb7</t>
        </is>
      </c>
      <c r="B682" t="inlineStr">
        <is>
          <t>0810226-31.2023.8.20.5001</t>
        </is>
      </c>
      <c r="C682" t="inlineStr">
        <is>
          <t>QGC</t>
        </is>
      </c>
      <c r="D682" t="inlineStr">
        <is>
          <t>OK_NO_TOTALS</t>
        </is>
      </c>
      <c r="E682" t="n">
        <v>6</v>
      </c>
      <c r="F682" t="inlineStr">
        <is>
          <t>TABLE</t>
        </is>
      </c>
      <c r="G682" t="inlineStr">
        <is>
          <t>TABLE_BANDS</t>
        </is>
      </c>
      <c r="H682" t="inlineStr"/>
      <c r="J682" t="inlineStr">
        <is>
          <t>GRUPO MADETEX - Vivante Gestão e Administração Judicial</t>
        </is>
      </c>
      <c r="K682" t="inlineStr">
        <is>
          <t>vivanteaj.com.br</t>
        </is>
      </c>
      <c r="L682" s="19" t="inlineStr">
        <is>
          <t>https://vivanteaj.com.br/wp-content/uploads/2023/06/2o-Aditivo-ao-Plano-de-Recuperacao-Judicial.pdf</t>
        </is>
      </c>
    </row>
    <row r="683">
      <c r="A683" t="inlineStr">
        <is>
          <t>f7130b327cf5</t>
        </is>
      </c>
      <c r="B683" t="inlineStr">
        <is>
          <t>0804994-81.2024.8.07.0016</t>
        </is>
      </c>
      <c r="C683" t="inlineStr">
        <is>
          <t>QGC</t>
        </is>
      </c>
      <c r="D683" t="inlineStr">
        <is>
          <t>OK_NO_TOTALS</t>
        </is>
      </c>
      <c r="E683" t="n">
        <v>11</v>
      </c>
      <c r="F683" t="inlineStr">
        <is>
          <t>TABLE</t>
        </is>
      </c>
      <c r="G683" t="inlineStr">
        <is>
          <t>TABLE_RULED</t>
        </is>
      </c>
      <c r="H683" t="inlineStr"/>
      <c r="I683" t="inlineStr">
        <is>
          <t>2024-11-18</t>
        </is>
      </c>
      <c r="J683" t="inlineStr">
        <is>
          <t>ELLITE CONSULTORIA E ASSESSORIA LTDA</t>
        </is>
      </c>
      <c r="K683" t="inlineStr">
        <is>
          <t>vtladm.com.br</t>
        </is>
      </c>
      <c r="L683" s="19" t="inlineStr">
        <is>
          <t>https://vtladm.com.br/wp-content/uploads/2026/01/14-Primeiro-Edital-de-Credores-Ellite-Consultoria-E-Assessoria-Ltda.pdf</t>
        </is>
      </c>
    </row>
    <row r="684">
      <c r="A684" t="inlineStr">
        <is>
          <t>8f0e23751194</t>
        </is>
      </c>
      <c r="B684" t="inlineStr">
        <is>
          <t>0029070-63.2018.8.16.0017</t>
        </is>
      </c>
      <c r="C684" t="inlineStr">
        <is>
          <t>QGC</t>
        </is>
      </c>
      <c r="D684" t="inlineStr">
        <is>
          <t>OK_NO_TOTALS</t>
        </is>
      </c>
      <c r="E684" t="n">
        <v>5</v>
      </c>
      <c r="F684" t="inlineStr">
        <is>
          <t>PROSE</t>
        </is>
      </c>
      <c r="G684" t="inlineStr">
        <is>
          <t>PROSE</t>
        </is>
      </c>
      <c r="H684" t="inlineStr"/>
      <c r="I684" t="inlineStr">
        <is>
          <t>2019-01-21</t>
        </is>
      </c>
      <c r="J684" t="inlineStr">
        <is>
          <t>AOCP ASSESSORIA EM ORGANIZAÇÃO DE CONCURSOS PÚBLICOS LTDA</t>
        </is>
      </c>
      <c r="K684" t="inlineStr">
        <is>
          <t>marquesadmjudicial.com.br</t>
        </is>
      </c>
      <c r="L684" s="19" t="inlineStr">
        <is>
          <t>https://marquesadmjudicial.com.br/sgc/download.php?file=files/processo_documento/processo_documento14374912112024_1_.pdf&amp;nome=Decisão-Homologação QGC e Encerramento da RJ</t>
        </is>
      </c>
    </row>
    <row r="685">
      <c r="A685" t="inlineStr">
        <is>
          <t>e326b614bb6a</t>
        </is>
      </c>
      <c r="B685" t="inlineStr">
        <is>
          <t>0029070-63.2018.8.16.0017</t>
        </is>
      </c>
      <c r="C685" t="inlineStr">
        <is>
          <t>QGC</t>
        </is>
      </c>
      <c r="D685" t="inlineStr">
        <is>
          <t>OK_NO_TOTALS</t>
        </is>
      </c>
      <c r="E685" t="n">
        <v>1</v>
      </c>
      <c r="F685" t="inlineStr">
        <is>
          <t>PROSE</t>
        </is>
      </c>
      <c r="G685" t="inlineStr">
        <is>
          <t>PROSE</t>
        </is>
      </c>
      <c r="H685" t="inlineStr"/>
      <c r="I685" t="inlineStr">
        <is>
          <t>2018-12-17</t>
        </is>
      </c>
      <c r="J685" t="inlineStr">
        <is>
          <t>Marques Administrações Judiciais</t>
        </is>
      </c>
      <c r="K685" t="inlineStr">
        <is>
          <t>marquesadmjudicial.com.br</t>
        </is>
      </c>
      <c r="L685" s="19" t="inlineStr">
        <is>
          <t>https://marquesadmjudicial.com.br/sgc/download.php?file=files/processo_documento/processo_documento14370712112024_1_.pdf&amp;nome=Edital Homologação QGC-Art. 18, parágrafo único, Lei 11.101_2005</t>
        </is>
      </c>
    </row>
    <row r="686">
      <c r="A686" t="inlineStr">
        <is>
          <t>5bdc973c1f3a</t>
        </is>
      </c>
      <c r="B686" t="inlineStr">
        <is>
          <t>1001190-70.2020.8.26.0069</t>
        </is>
      </c>
      <c r="C686" t="inlineStr">
        <is>
          <t>QGC</t>
        </is>
      </c>
      <c r="D686" t="inlineStr">
        <is>
          <t>OK_NO_TOTALS</t>
        </is>
      </c>
      <c r="E686" t="n">
        <v>1</v>
      </c>
      <c r="F686" t="inlineStr">
        <is>
          <t>TABLE</t>
        </is>
      </c>
      <c r="G686" t="inlineStr">
        <is>
          <t>TABLE_BANDS</t>
        </is>
      </c>
      <c r="H686" t="inlineStr"/>
      <c r="I686" t="inlineStr">
        <is>
          <t>2020-08-14</t>
        </is>
      </c>
      <c r="J686" t="inlineStr">
        <is>
          <t>- Concurso de Credores - Ademir Aparecido Ribeiro Doceria - Me</t>
        </is>
      </c>
      <c r="K686" t="inlineStr">
        <is>
          <t>marquesadmjudicial.com.br</t>
        </is>
      </c>
      <c r="L686" s="19" t="inlineStr">
        <is>
          <t>https://marquesadmjudicial.com.br/sgc/download.php?file=files/processo_documento/processo_documento14014312022025_1_.pdf&amp;nome=Edital - Homologação do Quadro Geral de Credores</t>
        </is>
      </c>
    </row>
    <row r="687">
      <c r="A687" t="inlineStr">
        <is>
          <t>047d9ccddeb6</t>
        </is>
      </c>
      <c r="B687" t="inlineStr">
        <is>
          <t>0740910-30.1997.8.26.0100</t>
        </is>
      </c>
      <c r="C687" t="inlineStr">
        <is>
          <t>QGC</t>
        </is>
      </c>
      <c r="D687" t="inlineStr">
        <is>
          <t>OK_NO_TOTALS</t>
        </is>
      </c>
      <c r="E687" t="n">
        <v>12</v>
      </c>
      <c r="F687" t="inlineStr">
        <is>
          <t>TABLE</t>
        </is>
      </c>
      <c r="G687" t="inlineStr">
        <is>
          <t>TABLE_RULED</t>
        </is>
      </c>
      <c r="H687" t="inlineStr"/>
      <c r="J687" t="inlineStr">
        <is>
          <t>Massa Falida de Francismar, Comércio, Importação e Exportação Ltda. e outros – VTL</t>
        </is>
      </c>
      <c r="K687" t="inlineStr">
        <is>
          <t>vtladm.com.br</t>
        </is>
      </c>
      <c r="L687" s="19" t="inlineStr">
        <is>
          <t>https://vtladm.com.br/wp-content/uploads/2024/07/03-–-Manifestacao-do-Sindico-–-Sintese-do-Processo-e-Quadro-Geral-de-Credores-–-Massa-Falida-de-Francismar-Comercio-Importacao-e-Exportacao-Ltda.-e-outros.pdf</t>
        </is>
      </c>
    </row>
    <row r="688">
      <c r="A688" t="inlineStr">
        <is>
          <t>d4746f2cf529</t>
        </is>
      </c>
      <c r="B688" t="inlineStr">
        <is>
          <t>0740910-30.1997.8.26.0100</t>
        </is>
      </c>
      <c r="C688" t="inlineStr">
        <is>
          <t>QGC</t>
        </is>
      </c>
      <c r="D688" t="inlineStr">
        <is>
          <t>OK_NO_TOTALS</t>
        </is>
      </c>
      <c r="E688" t="n">
        <v>11</v>
      </c>
      <c r="F688" t="inlineStr">
        <is>
          <t>TABLE</t>
        </is>
      </c>
      <c r="G688" t="inlineStr">
        <is>
          <t>TABLE_RULED</t>
        </is>
      </c>
      <c r="H688" t="inlineStr"/>
      <c r="J688" t="inlineStr">
        <is>
          <t>Massa Falida de Francismar, Comércio, Importação e Exportação Ltda. e outros – VTL</t>
        </is>
      </c>
      <c r="K688" t="inlineStr">
        <is>
          <t>vtladm.com.br</t>
        </is>
      </c>
      <c r="L688" s="19" t="inlineStr">
        <is>
          <t>https://vtladm.com.br/wp-content/uploads/2024/07/07-–-Manifestacao-do-Sindico-–-Quadro-Geral-de-Credores-e-Ativos-–-Massa-Falida-de-Francismar-Comercio-Importacao-e-Exportacao-Ltda.-e-outros.pdf</t>
        </is>
      </c>
    </row>
    <row r="689">
      <c r="A689" t="inlineStr">
        <is>
          <t>246b1b49f233</t>
        </is>
      </c>
      <c r="B689" t="inlineStr">
        <is>
          <t>0740910-30.1997.8.26.0100</t>
        </is>
      </c>
      <c r="C689" t="inlineStr">
        <is>
          <t>QGC</t>
        </is>
      </c>
      <c r="D689" t="inlineStr">
        <is>
          <t>OK_NO_TOTALS</t>
        </is>
      </c>
      <c r="E689" t="n">
        <v>5</v>
      </c>
      <c r="F689" t="inlineStr">
        <is>
          <t>TABLE</t>
        </is>
      </c>
      <c r="G689" t="inlineStr">
        <is>
          <t>TABLE_RULED</t>
        </is>
      </c>
      <c r="H689" t="inlineStr"/>
      <c r="I689" t="inlineStr">
        <is>
          <t>2025-11-07</t>
        </is>
      </c>
      <c r="J689" t="inlineStr">
        <is>
          <t>Massa Falida de Francismar, Comércio, Importação e Exportação Ltda. e outros – VTL</t>
        </is>
      </c>
      <c r="K689" t="inlineStr">
        <is>
          <t>vtladm.com.br</t>
        </is>
      </c>
      <c r="L689" s="19" t="inlineStr">
        <is>
          <t>https://vtladm.com.br/wp-content/uploads/2024/07/09-–-Edital-do-Quadro-Geral-de-Credores-–-Massa-Falida-de-Francismar-Comercio-Importacao-e-Exportacao-Ltda.-e-outros.pdf</t>
        </is>
      </c>
    </row>
    <row r="690">
      <c r="A690" t="inlineStr">
        <is>
          <t>9cfadfdd9311</t>
        </is>
      </c>
      <c r="B690" t="inlineStr">
        <is>
          <t>0704506-58.2023.8.07.0015</t>
        </is>
      </c>
      <c r="C690" t="inlineStr">
        <is>
          <t>QGC</t>
        </is>
      </c>
      <c r="D690" t="inlineStr">
        <is>
          <t>OK_NO_TOTALS</t>
        </is>
      </c>
      <c r="E690" t="n">
        <v>13</v>
      </c>
      <c r="F690" t="inlineStr">
        <is>
          <t>TABLE</t>
        </is>
      </c>
      <c r="G690" t="inlineStr">
        <is>
          <t>TABLE_RULED</t>
        </is>
      </c>
      <c r="H690" t="inlineStr"/>
      <c r="J690" t="inlineStr">
        <is>
          <t>Massa Falida de Xadi Serviços de Odontologia Ltda. – VTL</t>
        </is>
      </c>
      <c r="K690" t="inlineStr">
        <is>
          <t>vtladm.com.br</t>
        </is>
      </c>
      <c r="L690" s="19" t="inlineStr">
        <is>
          <t>https://vtladm.com.br/wp-content/uploads/2024/07/09-–-Arrecadacao-e-Quadro-Geral-de-Credores-–-Massa-Falida-de-Xadi-Servicos-de-Odontologia-Ltda-1.pdf</t>
        </is>
      </c>
    </row>
    <row r="691">
      <c r="A691" t="inlineStr">
        <is>
          <t>a36b026d6293</t>
        </is>
      </c>
      <c r="B691" t="inlineStr">
        <is>
          <t>0841699-85.2024.8.12.0001</t>
        </is>
      </c>
      <c r="C691" t="inlineStr">
        <is>
          <t>QGC</t>
        </is>
      </c>
      <c r="D691" t="inlineStr">
        <is>
          <t>OK_NO_TOTALS</t>
        </is>
      </c>
      <c r="E691" t="n">
        <v>1</v>
      </c>
      <c r="F691" t="inlineStr">
        <is>
          <t>TABLE</t>
        </is>
      </c>
      <c r="G691" t="inlineStr">
        <is>
          <t>TABLE_RULED</t>
        </is>
      </c>
      <c r="H691" t="inlineStr"/>
      <c r="J691" t="inlineStr">
        <is>
          <t>Santa Festa Conveniência - Santos Monteiro Comércio e Serviço - Santa Organização de Eventos - Real Brasil Consultoria</t>
        </is>
      </c>
      <c r="K691" t="inlineStr">
        <is>
          <t>realbrasil.com.br</t>
        </is>
      </c>
      <c r="L691" s="19" t="inlineStr">
        <is>
          <t>https://realbrasil.com.br/wp-content/uploads/2024/10/5.-LISTA-DE-CREDORES-RECUPERANDAS.pdf</t>
        </is>
      </c>
    </row>
    <row r="692">
      <c r="A692" t="inlineStr">
        <is>
          <t>aae340b28cfc</t>
        </is>
      </c>
      <c r="B692" t="inlineStr">
        <is>
          <t>0873220-82.2023.8.12.0001</t>
        </is>
      </c>
      <c r="C692" t="inlineStr">
        <is>
          <t>QGC</t>
        </is>
      </c>
      <c r="D692" t="inlineStr">
        <is>
          <t>OK_NO_TOTALS</t>
        </is>
      </c>
      <c r="E692" t="n">
        <v>46</v>
      </c>
      <c r="F692" t="inlineStr">
        <is>
          <t>TABLE</t>
        </is>
      </c>
      <c r="G692" t="inlineStr">
        <is>
          <t>TABLE_RULED</t>
        </is>
      </c>
      <c r="H692" t="inlineStr"/>
      <c r="J692" t="inlineStr">
        <is>
          <t>Empresa</t>
        </is>
      </c>
      <c r="K692" t="inlineStr">
        <is>
          <t>realbrasil.com.br</t>
        </is>
      </c>
      <c r="L692" s="19" t="inlineStr">
        <is>
          <t>https://realbrasil.com.br/wp-content/uploads/2024/05/11.-LISTA-DE-CREDORES-DO-AJ_QGC-.pdf</t>
        </is>
      </c>
    </row>
    <row r="693">
      <c r="A693" t="inlineStr">
        <is>
          <t>3fef1f8dc8bf</t>
        </is>
      </c>
      <c r="B693" t="inlineStr">
        <is>
          <t>5048671-58.2024.8.08.0024</t>
        </is>
      </c>
      <c r="C693" t="inlineStr">
        <is>
          <t>QGC</t>
        </is>
      </c>
      <c r="D693" t="inlineStr">
        <is>
          <t>OK_NO_TOTALS</t>
        </is>
      </c>
      <c r="E693" t="n">
        <v>24</v>
      </c>
      <c r="F693" t="inlineStr">
        <is>
          <t>TABLE</t>
        </is>
      </c>
      <c r="G693" t="inlineStr">
        <is>
          <t>TABLE_BANDS</t>
        </is>
      </c>
      <c r="H693" t="inlineStr"/>
      <c r="J693" t="inlineStr">
        <is>
          <t>E FALÊNCIA</t>
        </is>
      </c>
      <c r="K693" t="inlineStr">
        <is>
          <t>ricardobiancardi.com.br</t>
        </is>
      </c>
      <c r="L693" s="19" t="inlineStr">
        <is>
          <t>https://ricardobiancardi.com.br/wp-content/uploads/2025/04/Analise-PRJ.pdf</t>
        </is>
      </c>
    </row>
    <row r="694">
      <c r="A694" t="inlineStr">
        <is>
          <t>e0c76066c667</t>
        </is>
      </c>
      <c r="B694" t="inlineStr">
        <is>
          <t>8054910-22.2020.8.05.0001</t>
        </is>
      </c>
      <c r="C694" t="inlineStr">
        <is>
          <t>QGC</t>
        </is>
      </c>
      <c r="D694" t="inlineStr">
        <is>
          <t>OK_NO_TOTALS</t>
        </is>
      </c>
      <c r="E694" t="n">
        <v>14</v>
      </c>
      <c r="F694" t="inlineStr">
        <is>
          <t>PROSE</t>
        </is>
      </c>
      <c r="G694" t="inlineStr">
        <is>
          <t>PROSE</t>
        </is>
      </c>
      <c r="H694" t="inlineStr"/>
      <c r="I694" t="inlineStr">
        <is>
          <t>2025-07-16</t>
        </is>
      </c>
      <c r="J694" t="inlineStr">
        <is>
          <t>empresa</t>
        </is>
      </c>
      <c r="K694" t="inlineStr">
        <is>
          <t>realbrasil.com.br</t>
        </is>
      </c>
      <c r="L694" s="19" t="inlineStr">
        <is>
          <t>https://realbrasil.com.br/wp-content/uploads/2025/07/10.NOVO-QGC_RETIFICADO-DO-AJ.pdf</t>
        </is>
      </c>
    </row>
    <row r="695">
      <c r="A695" t="inlineStr">
        <is>
          <t>4fb4728807c7</t>
        </is>
      </c>
      <c r="B695" t="inlineStr">
        <is>
          <t>0034139-97.2015.8.10.0001</t>
        </is>
      </c>
      <c r="C695" t="inlineStr">
        <is>
          <t>QGC</t>
        </is>
      </c>
      <c r="D695" t="inlineStr">
        <is>
          <t>OK_NO_TOTALS</t>
        </is>
      </c>
      <c r="E695" t="n">
        <v>2</v>
      </c>
      <c r="F695" t="inlineStr">
        <is>
          <t>PROSE</t>
        </is>
      </c>
      <c r="G695" t="inlineStr">
        <is>
          <t>PROSE</t>
        </is>
      </c>
      <c r="H695" t="inlineStr"/>
      <c r="I695" t="inlineStr">
        <is>
          <t>2018-12-14</t>
        </is>
      </c>
      <c r="J695" t="inlineStr">
        <is>
          <t>EMPRESA</t>
        </is>
      </c>
      <c r="K695" t="inlineStr">
        <is>
          <t>realbrasil.com.br</t>
        </is>
      </c>
      <c r="L695" s="19" t="inlineStr">
        <is>
          <t>https://realbrasil.com.br/wp-content/uploads/2018/12/EDITAL-QGC-DO-AJ_17.12.2018.pdf</t>
        </is>
      </c>
    </row>
    <row r="696">
      <c r="A696" t="inlineStr">
        <is>
          <t>00172faf7136</t>
        </is>
      </c>
      <c r="B696" t="inlineStr">
        <is>
          <t>1001363-82.2017.8.26.0301</t>
        </is>
      </c>
      <c r="C696" t="inlineStr">
        <is>
          <t>QGC</t>
        </is>
      </c>
      <c r="D696" t="inlineStr">
        <is>
          <t>OK_NO_TOTALS</t>
        </is>
      </c>
      <c r="E696" t="n">
        <v>2</v>
      </c>
      <c r="F696" t="inlineStr">
        <is>
          <t>PROSE</t>
        </is>
      </c>
      <c r="G696" t="inlineStr">
        <is>
          <t>PROSE</t>
        </is>
      </c>
      <c r="H696" t="inlineStr"/>
      <c r="I696" t="inlineStr">
        <is>
          <t>2018-04-13</t>
        </is>
      </c>
      <c r="J696" t="inlineStr">
        <is>
          <t>Empresa</t>
        </is>
      </c>
      <c r="K696" t="inlineStr">
        <is>
          <t>realbrasil.com.br</t>
        </is>
      </c>
      <c r="L696" s="19" t="inlineStr">
        <is>
          <t>https://realbrasil.com.br/wp-content/uploads/2018/08/EDITAL-QGC_LISTA-DE-CREDORES-DO-AJ_AÇOCIC.pdf</t>
        </is>
      </c>
    </row>
    <row r="697">
      <c r="A697" t="inlineStr">
        <is>
          <t>7d5b50fa368e</t>
        </is>
      </c>
      <c r="C697" t="inlineStr">
        <is>
          <t>QGC</t>
        </is>
      </c>
      <c r="D697" t="inlineStr">
        <is>
          <t>OK_NO_TOTALS</t>
        </is>
      </c>
      <c r="E697" t="n">
        <v>2</v>
      </c>
      <c r="F697" t="inlineStr">
        <is>
          <t>PROSE</t>
        </is>
      </c>
      <c r="G697" t="inlineStr">
        <is>
          <t>PROSE</t>
        </is>
      </c>
      <c r="H697" t="inlineStr"/>
      <c r="J697" t="inlineStr">
        <is>
          <t>Auto Posto Imperatriz - Real Brasil Consultoria</t>
        </is>
      </c>
      <c r="K697" t="inlineStr">
        <is>
          <t>realbrasil.com.br</t>
        </is>
      </c>
      <c r="L697" s="19" t="inlineStr">
        <is>
          <t>https://realbrasil.com.br/wp-content/uploads/2017/07/QGC-Imperatriz.pdf</t>
        </is>
      </c>
    </row>
    <row r="698">
      <c r="A698" t="inlineStr">
        <is>
          <t>02fe32bc03b6</t>
        </is>
      </c>
      <c r="B698" t="inlineStr">
        <is>
          <t>0840917-59.2016.8.12.0001</t>
        </is>
      </c>
      <c r="C698" t="inlineStr">
        <is>
          <t>QGC</t>
        </is>
      </c>
      <c r="D698" t="inlineStr">
        <is>
          <t>OK_NO_TOTALS</t>
        </is>
      </c>
      <c r="E698" t="n">
        <v>2</v>
      </c>
      <c r="F698" t="inlineStr">
        <is>
          <t>TABLE</t>
        </is>
      </c>
      <c r="G698" t="inlineStr">
        <is>
          <t>TABLE_BANDS</t>
        </is>
      </c>
      <c r="H698" t="inlineStr"/>
      <c r="I698" t="inlineStr">
        <is>
          <t>2009-07-02</t>
        </is>
      </c>
      <c r="J698" t="inlineStr">
        <is>
          <t>Empresa</t>
        </is>
      </c>
      <c r="K698" t="inlineStr">
        <is>
          <t>realbrasil.com.br</t>
        </is>
      </c>
      <c r="L698" s="19" t="inlineStr">
        <is>
          <t>https://realbrasil.com.br/wp-content/uploads/2017/05/10-Edital_Lista-de-Credores-do-AJ-Comafer.pdf</t>
        </is>
      </c>
    </row>
    <row r="699">
      <c r="A699" t="inlineStr">
        <is>
          <t>7d6b4d4b1778</t>
        </is>
      </c>
      <c r="B699" t="inlineStr">
        <is>
          <t>1068760-43.2021.8.26.0100</t>
        </is>
      </c>
      <c r="C699" t="inlineStr">
        <is>
          <t>QGC</t>
        </is>
      </c>
      <c r="D699" t="inlineStr">
        <is>
          <t>OK_NO_TOTALS</t>
        </is>
      </c>
      <c r="E699" t="n">
        <v>3</v>
      </c>
      <c r="F699" t="inlineStr">
        <is>
          <t>TABLE</t>
        </is>
      </c>
      <c r="G699" t="inlineStr">
        <is>
          <t>TABLE_BANDS</t>
        </is>
      </c>
      <c r="H699" t="inlineStr"/>
      <c r="J699" t="inlineStr">
        <is>
          <t>ALCATEIA ENGENHARIA DE SISTEMAS LTDA</t>
        </is>
      </c>
      <c r="K699" t="inlineStr">
        <is>
          <t>brasiltrustee.com.br</t>
        </is>
      </c>
      <c r="L699" s="19" t="inlineStr">
        <is>
          <t>https://violet-wolf-754008.hostingersite.com/wp-content/uploads/recuperacoes-judiciais/Alcateia-Engenharia-de-Sistema-LTDA/Segundo-Edital-de-Credores.pdf</t>
        </is>
      </c>
    </row>
    <row r="700">
      <c r="A700" t="inlineStr">
        <is>
          <t>3318dcefec1f</t>
        </is>
      </c>
      <c r="B700" t="inlineStr">
        <is>
          <t>1068760-43.2021.8.26.0100</t>
        </is>
      </c>
      <c r="C700" t="inlineStr">
        <is>
          <t>QGC</t>
        </is>
      </c>
      <c r="D700" t="inlineStr">
        <is>
          <t>OK_NO_TOTALS</t>
        </is>
      </c>
      <c r="E700" t="n">
        <v>3</v>
      </c>
      <c r="F700" t="inlineStr">
        <is>
          <t>TABLE</t>
        </is>
      </c>
      <c r="G700" t="inlineStr">
        <is>
          <t>TABLE_BANDS</t>
        </is>
      </c>
      <c r="H700" t="inlineStr"/>
      <c r="I700" t="inlineStr">
        <is>
          <t>2021-02-11</t>
        </is>
      </c>
      <c r="J700" t="inlineStr">
        <is>
          <t>ALCATEIA ENGENHARIA DE SISTEMAS LTDA</t>
        </is>
      </c>
      <c r="K700" t="inlineStr">
        <is>
          <t>brasiltrustee.com.br</t>
        </is>
      </c>
      <c r="L700" s="19" t="inlineStr">
        <is>
          <t>https://violet-wolf-754008.hostingersite.com/wp-content/uploads/recuperacoes-judiciais/Alcateia-Engenharia-de-Sistema-LTDA/Segundo-Edital-de-Credores-Disponibilizado-em-DJE.pdf</t>
        </is>
      </c>
    </row>
    <row r="701">
      <c r="A701" t="inlineStr">
        <is>
          <t>8388165236d2</t>
        </is>
      </c>
      <c r="B701" t="inlineStr">
        <is>
          <t>5003049-91.2026.8.21.0001</t>
        </is>
      </c>
      <c r="C701" t="inlineStr">
        <is>
          <t>QGC</t>
        </is>
      </c>
      <c r="D701" t="inlineStr">
        <is>
          <t>OK_NO_TOTALS</t>
        </is>
      </c>
      <c r="E701" t="n">
        <v>11</v>
      </c>
      <c r="F701" t="inlineStr">
        <is>
          <t>TABLE</t>
        </is>
      </c>
      <c r="G701" t="inlineStr">
        <is>
          <t>TABLE_RULED</t>
        </is>
      </c>
      <c r="H701" t="inlineStr"/>
      <c r="I701" t="inlineStr">
        <is>
          <t>2023-03-17</t>
        </is>
      </c>
      <c r="J701" t="inlineStr">
        <is>
          <t>CM DISTRIBUIDORA DE CARNES LTDA. | Administração Judicial - Credibilità</t>
        </is>
      </c>
      <c r="K701" t="inlineStr">
        <is>
          <t>credibilita.com.br</t>
        </is>
      </c>
      <c r="L701" s="19" t="inlineStr">
        <is>
          <t>https://credibilita.com.br/wp-content/uploads/2026/03/08.01.2026-Quadro-Geral-de-Credores-apresentado-pela-Recuperanda-ev.-1-OUT6.pdf</t>
        </is>
      </c>
    </row>
    <row r="702">
      <c r="A702" t="inlineStr">
        <is>
          <t>a5f16ed5a9c4</t>
        </is>
      </c>
      <c r="B702" t="inlineStr">
        <is>
          <t>0154809-22.2012.8.26.0100</t>
        </is>
      </c>
      <c r="C702" t="inlineStr">
        <is>
          <t>QGC</t>
        </is>
      </c>
      <c r="D702" t="inlineStr">
        <is>
          <t>OK_NO_TOTALS</t>
        </is>
      </c>
      <c r="E702" t="n">
        <v>6</v>
      </c>
      <c r="F702" t="inlineStr">
        <is>
          <t>TABLE</t>
        </is>
      </c>
      <c r="G702" t="inlineStr">
        <is>
          <t>TABLE_BANDS</t>
        </is>
      </c>
      <c r="H702" t="inlineStr"/>
      <c r="I702" t="inlineStr">
        <is>
          <t>2017-07-17</t>
        </is>
      </c>
      <c r="J702" t="inlineStr">
        <is>
          <t>Becap Comércio de Autopeças Ltda</t>
        </is>
      </c>
      <c r="K702" t="inlineStr">
        <is>
          <t>brasiltrustee.com.br</t>
        </is>
      </c>
      <c r="L702" s="19" t="inlineStr">
        <is>
          <t>https://violet-wolf-754008.hostingersite.com/wp-content/uploads/recuperacoes-judiciais/becap/05-Certidão-de-Publicação-do-Primeiro-Edital.pdf</t>
        </is>
      </c>
    </row>
    <row r="703">
      <c r="A703" t="inlineStr">
        <is>
          <t>6456de6be750</t>
        </is>
      </c>
      <c r="B703" t="inlineStr">
        <is>
          <t>1039187-96.2017.8.26.0100</t>
        </is>
      </c>
      <c r="C703" t="inlineStr">
        <is>
          <t>QGC</t>
        </is>
      </c>
      <c r="D703" t="inlineStr">
        <is>
          <t>OK_NO_TOTALS</t>
        </is>
      </c>
      <c r="E703" t="n">
        <v>3</v>
      </c>
      <c r="F703" t="inlineStr">
        <is>
          <t>PROSE</t>
        </is>
      </c>
      <c r="G703" t="inlineStr">
        <is>
          <t>PROSE</t>
        </is>
      </c>
      <c r="H703" t="inlineStr"/>
      <c r="J703" t="inlineStr">
        <is>
          <t>Becap Comércio de Autopeças Ltda</t>
        </is>
      </c>
      <c r="K703" t="inlineStr">
        <is>
          <t>brasiltrustee.com.br</t>
        </is>
      </c>
      <c r="L703" s="19" t="inlineStr">
        <is>
          <t>https://violet-wolf-754008.hostingersite.com/wp-content/uploads/recuperacoes-judiciais/becap/CERTIDÃO-DE-PUBLICAÇÃO.pdf</t>
        </is>
      </c>
    </row>
    <row r="704">
      <c r="A704" t="inlineStr">
        <is>
          <t>4b487c5f5b4c</t>
        </is>
      </c>
      <c r="B704" t="inlineStr">
        <is>
          <t>5001743-15.2025.8.08.0024</t>
        </is>
      </c>
      <c r="C704" t="inlineStr">
        <is>
          <t>QGC</t>
        </is>
      </c>
      <c r="D704" t="inlineStr">
        <is>
          <t>OK_NO_TOTALS</t>
        </is>
      </c>
      <c r="E704" t="n">
        <v>17</v>
      </c>
      <c r="F704" t="inlineStr">
        <is>
          <t>TABLE</t>
        </is>
      </c>
      <c r="G704" t="inlineStr">
        <is>
          <t>TABLE_RULED</t>
        </is>
      </c>
      <c r="H704" t="inlineStr"/>
      <c r="I704" t="inlineStr">
        <is>
          <t>2025-01-20</t>
        </is>
      </c>
      <c r="J704" t="inlineStr">
        <is>
          <t>Contemporânea Construções e Projetos Ltda. - RLG-AJ</t>
        </is>
      </c>
      <c r="K704" t="inlineStr">
        <is>
          <t>rlg-aj.com.br</t>
        </is>
      </c>
      <c r="L704" s="19" t="inlineStr">
        <is>
          <t>https://rlg-aj.com.br/wp-content/uploads/2025/02/lista-de-credores-Contemporanea.pdf</t>
        </is>
      </c>
    </row>
    <row r="705">
      <c r="A705" t="inlineStr">
        <is>
          <t>6d84a54da281</t>
        </is>
      </c>
      <c r="B705" t="inlineStr">
        <is>
          <t>0035171-19.2017.8.26.0100</t>
        </is>
      </c>
      <c r="C705" t="inlineStr">
        <is>
          <t>QGC</t>
        </is>
      </c>
      <c r="D705" t="inlineStr">
        <is>
          <t>OK_NO_TOTALS</t>
        </is>
      </c>
      <c r="E705" t="n">
        <v>9</v>
      </c>
      <c r="F705" t="inlineStr">
        <is>
          <t>PROSE</t>
        </is>
      </c>
      <c r="G705" t="inlineStr">
        <is>
          <t>PROSE</t>
        </is>
      </c>
      <c r="H705" t="inlineStr"/>
      <c r="J705" t="inlineStr">
        <is>
          <t>EIT Engenharia S/A</t>
        </is>
      </c>
      <c r="K705" t="inlineStr">
        <is>
          <t>brasiltrustee.com.br</t>
        </is>
      </c>
      <c r="L705" s="19" t="inlineStr">
        <is>
          <t>https://violet-wolf-754008.hostingersite.com/wp-content/uploads/recuperacoes-judiciais/eit/2º-Edital-de-credores.pdf</t>
        </is>
      </c>
    </row>
    <row r="706">
      <c r="A706" t="inlineStr">
        <is>
          <t>506c627084b6</t>
        </is>
      </c>
      <c r="B706" t="inlineStr">
        <is>
          <t>1004204-09.2020.8.26.0604</t>
        </is>
      </c>
      <c r="C706" t="inlineStr">
        <is>
          <t>QGC</t>
        </is>
      </c>
      <c r="D706" t="inlineStr">
        <is>
          <t>OK_NO_TOTALS</t>
        </is>
      </c>
      <c r="E706" t="n">
        <v>7</v>
      </c>
      <c r="F706" t="inlineStr">
        <is>
          <t>PROSE</t>
        </is>
      </c>
      <c r="G706" t="inlineStr">
        <is>
          <t>PROSE</t>
        </is>
      </c>
      <c r="H706" t="inlineStr"/>
      <c r="I706" t="inlineStr">
        <is>
          <t>2021-03-12</t>
        </is>
      </c>
      <c r="J706" t="inlineStr">
        <is>
          <t>EMBRAC EMPRESA</t>
        </is>
      </c>
      <c r="K706" t="inlineStr">
        <is>
          <t>brasiltrustee.com.br</t>
        </is>
      </c>
      <c r="L706" s="19" t="inlineStr">
        <is>
          <t>https://violet-wolf-754008.hostingersite.com/wp-content/uploads/recuperacoes-judiciais/Ebramec/2o-Edital-de-Credores.pdf</t>
        </is>
      </c>
    </row>
    <row r="707">
      <c r="A707" t="inlineStr">
        <is>
          <t>858922d7bd59</t>
        </is>
      </c>
      <c r="B707" t="inlineStr">
        <is>
          <t>1035775-55.2020.8.26.0100</t>
        </is>
      </c>
      <c r="C707" t="inlineStr">
        <is>
          <t>QGC</t>
        </is>
      </c>
      <c r="D707" t="inlineStr">
        <is>
          <t>OK_NO_TOTALS</t>
        </is>
      </c>
      <c r="E707" t="n">
        <v>14</v>
      </c>
      <c r="F707" t="inlineStr">
        <is>
          <t>PROSE</t>
        </is>
      </c>
      <c r="G707" t="inlineStr">
        <is>
          <t>PROSE</t>
        </is>
      </c>
      <c r="H707" t="inlineStr"/>
      <c r="J707" t="inlineStr">
        <is>
          <t>- Administração Judicia</t>
        </is>
      </c>
      <c r="K707" t="inlineStr">
        <is>
          <t>brasiltrustee.com.br</t>
        </is>
      </c>
      <c r="L707" s="19" t="inlineStr">
        <is>
          <t>https://violet-wolf-754008.hostingersite.com/wp-content/uploads/recuperacoes-judiciais/Grupo-bem/2º-Edital-Grupo-Bem.pdf</t>
        </is>
      </c>
    </row>
    <row r="708">
      <c r="A708" t="inlineStr">
        <is>
          <t>814b9783cf48</t>
        </is>
      </c>
      <c r="B708" t="inlineStr">
        <is>
          <t>1054969-12.2018.8.26.0100</t>
        </is>
      </c>
      <c r="C708" t="inlineStr">
        <is>
          <t>QGC</t>
        </is>
      </c>
      <c r="D708" t="inlineStr">
        <is>
          <t>OK_NO_TOTALS</t>
        </is>
      </c>
      <c r="E708" t="n">
        <v>5</v>
      </c>
      <c r="F708" t="inlineStr">
        <is>
          <t>PROSE</t>
        </is>
      </c>
      <c r="G708" t="inlineStr">
        <is>
          <t>PROSE</t>
        </is>
      </c>
      <c r="H708" t="inlineStr"/>
      <c r="J708" t="inlineStr">
        <is>
          <t>EVER TON FPS IMPORTAÇÃO E EXPORTAÇÃO LTDA</t>
        </is>
      </c>
      <c r="K708" t="inlineStr">
        <is>
          <t>brasiltrustee.com.br</t>
        </is>
      </c>
      <c r="L708" s="19" t="inlineStr">
        <is>
          <t>https://violet-wolf-754008.hostingersite.com/wp-content/uploads/recuperacoes-judiciais/ever-ton/1º-edital.pdf</t>
        </is>
      </c>
    </row>
    <row r="709">
      <c r="A709" t="inlineStr">
        <is>
          <t>8f8da4cde6b7</t>
        </is>
      </c>
      <c r="B709" t="inlineStr">
        <is>
          <t>1032741-02.2020.8.26.0576</t>
        </is>
      </c>
      <c r="C709" t="inlineStr">
        <is>
          <t>QGC</t>
        </is>
      </c>
      <c r="D709" t="inlineStr">
        <is>
          <t>OK_NO_TOTALS</t>
        </is>
      </c>
      <c r="E709" t="n">
        <v>4</v>
      </c>
      <c r="F709" t="inlineStr">
        <is>
          <t>PROSE</t>
        </is>
      </c>
      <c r="G709" t="inlineStr">
        <is>
          <t>PROSE</t>
        </is>
      </c>
      <c r="H709" t="inlineStr"/>
      <c r="J709" t="inlineStr">
        <is>
          <t>HOKEN INTERNATIONAL COMPANY LTDA</t>
        </is>
      </c>
      <c r="K709" t="inlineStr">
        <is>
          <t>brasiltrustee.com.br</t>
        </is>
      </c>
      <c r="L709" s="19" t="inlineStr">
        <is>
          <t>https://violet-wolf-754008.hostingersite.com/wp-content/uploads/recuperacoes-judiciais/Grupo-Hoken/2o-Edital-Grupo-Hoken.pdf</t>
        </is>
      </c>
    </row>
    <row r="710">
      <c r="A710" t="inlineStr">
        <is>
          <t>e2a19126ce61</t>
        </is>
      </c>
      <c r="B710" t="inlineStr">
        <is>
          <t>0008458-20.2020.8.26.0482</t>
        </is>
      </c>
      <c r="C710" t="inlineStr">
        <is>
          <t>QGC</t>
        </is>
      </c>
      <c r="D710" t="inlineStr">
        <is>
          <t>OK_NO_TOTALS</t>
        </is>
      </c>
      <c r="E710" t="n">
        <v>3</v>
      </c>
      <c r="F710" t="inlineStr">
        <is>
          <t>PROSE</t>
        </is>
      </c>
      <c r="G710" t="inlineStr">
        <is>
          <t>PROSE</t>
        </is>
      </c>
      <c r="H710" t="inlineStr"/>
      <c r="I710" t="inlineStr">
        <is>
          <t>2015-08-10</t>
        </is>
      </c>
      <c r="J710" t="inlineStr">
        <is>
          <t>- Autofalência</t>
        </is>
      </c>
      <c r="K710" t="inlineStr">
        <is>
          <t>brasiltrustee.com.br</t>
        </is>
      </c>
      <c r="L710" s="19" t="inlineStr">
        <is>
          <t>https://violet-wolf-754008.hostingersite.com/wp-content/uploads/recuperacoes-judiciais/campo-belo/Primeiro-Edital-de-Credores-DJE.pdf</t>
        </is>
      </c>
    </row>
    <row r="711">
      <c r="A711" t="inlineStr">
        <is>
          <t>c00948af41d3</t>
        </is>
      </c>
      <c r="B711" t="inlineStr">
        <is>
          <t>1000506-49.2019.8.26.0565</t>
        </is>
      </c>
      <c r="C711" t="inlineStr">
        <is>
          <t>QGC</t>
        </is>
      </c>
      <c r="D711" t="inlineStr">
        <is>
          <t>OK_NO_TOTALS</t>
        </is>
      </c>
      <c r="E711" t="n">
        <v>1</v>
      </c>
      <c r="F711" t="inlineStr">
        <is>
          <t>TABLE</t>
        </is>
      </c>
      <c r="G711" t="inlineStr">
        <is>
          <t>TABLE_BANDS</t>
        </is>
      </c>
      <c r="H711" t="inlineStr"/>
      <c r="I711" t="inlineStr">
        <is>
          <t>2019-09-10</t>
        </is>
      </c>
      <c r="J711" t="inlineStr">
        <is>
          <t>- Concurso de Credores de PIRES DO RIO CIBRAÇO COMÉRCIO E INDÚSTRIA DE FERRO E AÇO LTDA</t>
        </is>
      </c>
      <c r="K711" t="inlineStr">
        <is>
          <t>brasiltrustee.com.br</t>
        </is>
      </c>
      <c r="L711" s="19" t="inlineStr">
        <is>
          <t>https://violet-wolf-754008.hostingersite.com/wp-content/uploads/recuperacoes-judiciais/Pires-do-rio/DJE-2º-Edital-Pires-do-Rio.pdf</t>
        </is>
      </c>
    </row>
    <row r="712">
      <c r="A712" t="inlineStr">
        <is>
          <t>8f9f4ea58e44</t>
        </is>
      </c>
      <c r="B712" t="inlineStr">
        <is>
          <t>1001790-97.2017.8.26.0101</t>
        </is>
      </c>
      <c r="C712" t="inlineStr">
        <is>
          <t>QGC</t>
        </is>
      </c>
      <c r="D712" t="inlineStr">
        <is>
          <t>OK_NO_TOTALS</t>
        </is>
      </c>
      <c r="E712" t="n">
        <v>13</v>
      </c>
      <c r="F712" t="inlineStr">
        <is>
          <t>PROSE</t>
        </is>
      </c>
      <c r="G712" t="inlineStr">
        <is>
          <t>PROSE</t>
        </is>
      </c>
      <c r="H712" t="inlineStr"/>
      <c r="I712" t="inlineStr">
        <is>
          <t>2018-04-09</t>
        </is>
      </c>
      <c r="J712" t="inlineStr">
        <is>
          <t>Recuperações Judiciais – Brasil Trustee</t>
        </is>
      </c>
      <c r="K712" t="inlineStr">
        <is>
          <t>brasiltrustee.com.br</t>
        </is>
      </c>
      <c r="L712" s="19" t="inlineStr">
        <is>
          <t>https://violet-wolf-754008.hostingersite.com/wp-content/uploads/recuperacoes-judiciais/wow/Publicação-2º-Edital-Wow.pdf</t>
        </is>
      </c>
    </row>
    <row r="713">
      <c r="A713" t="inlineStr">
        <is>
          <t>7db52d891149</t>
        </is>
      </c>
      <c r="B713" t="inlineStr">
        <is>
          <t>0017235-66.1986.8.19.0001</t>
        </is>
      </c>
      <c r="C713" t="inlineStr">
        <is>
          <t>QGC</t>
        </is>
      </c>
      <c r="D713" t="inlineStr">
        <is>
          <t>OK_NO_TOTALS</t>
        </is>
      </c>
      <c r="E713" t="n">
        <v>3</v>
      </c>
      <c r="F713" t="inlineStr">
        <is>
          <t>PROSE</t>
        </is>
      </c>
      <c r="G713" t="inlineStr">
        <is>
          <t>PROSE</t>
        </is>
      </c>
      <c r="H713" t="inlineStr"/>
      <c r="I713" t="inlineStr">
        <is>
          <t>2025-03-25</t>
        </is>
      </c>
      <c r="J713" t="inlineStr">
        <is>
          <t>EMAQ Engenharia e Máquinas S/A – 0017235-66.1986.8.19.0001 – INOVA</t>
        </is>
      </c>
      <c r="K713" t="inlineStr">
        <is>
          <t>inova-aj.com.br</t>
        </is>
      </c>
      <c r="L713" s="19" t="inlineStr">
        <is>
          <t>https://inova-aj.com.br/wp-content/uploads/2025/03/document.pdf</t>
        </is>
      </c>
    </row>
    <row r="714">
      <c r="A714" t="inlineStr">
        <is>
          <t>e00f0e5f4c2e</t>
        </is>
      </c>
      <c r="B714" t="inlineStr">
        <is>
          <t>0215119-83.1998.8.19.0001</t>
        </is>
      </c>
      <c r="C714" t="inlineStr">
        <is>
          <t>QGC</t>
        </is>
      </c>
      <c r="D714" t="inlineStr">
        <is>
          <t>OK_NO_TOTALS</t>
        </is>
      </c>
      <c r="E714" t="n">
        <v>1</v>
      </c>
      <c r="F714" t="inlineStr">
        <is>
          <t>TABLE</t>
        </is>
      </c>
      <c r="G714" t="inlineStr">
        <is>
          <t>TABLE_BANDS</t>
        </is>
      </c>
      <c r="H714" t="inlineStr"/>
      <c r="J714" t="inlineStr">
        <is>
          <t>VE Metal Comércio e Indústria de Aço e Metais Ltda. – 0215119-83.1998.8.19.0001 – INOVA</t>
        </is>
      </c>
      <c r="K714" t="inlineStr">
        <is>
          <t>inova-aj.com.br</t>
        </is>
      </c>
      <c r="L714" s="19" t="inlineStr">
        <is>
          <t>https://inova-aj.com.br/wp-content/uploads/2020/02/Quadro-Geral-de-Credores-2.pdf</t>
        </is>
      </c>
    </row>
    <row r="715">
      <c r="A715" t="inlineStr">
        <is>
          <t>755243cc0614</t>
        </is>
      </c>
      <c r="B715" t="inlineStr">
        <is>
          <t>1083995-84.2020.8.26.0100</t>
        </is>
      </c>
      <c r="C715" t="inlineStr">
        <is>
          <t>QGC</t>
        </is>
      </c>
      <c r="D715" t="inlineStr">
        <is>
          <t>OK_NO_TOTALS</t>
        </is>
      </c>
      <c r="E715" t="n">
        <v>1</v>
      </c>
      <c r="F715" t="inlineStr">
        <is>
          <t>TABLE</t>
        </is>
      </c>
      <c r="G715" t="inlineStr">
        <is>
          <t>TABLE_RULED</t>
        </is>
      </c>
      <c r="H715" t="inlineStr"/>
      <c r="I715" t="inlineStr">
        <is>
          <t>2020-05-26</t>
        </is>
      </c>
      <c r="J715" t="inlineStr">
        <is>
          <t>ALESSA</t>
        </is>
      </c>
      <c r="K715" t="inlineStr">
        <is>
          <t>gatekeeperaj.com.br</t>
        </is>
      </c>
      <c r="L715" s="19" t="inlineStr">
        <is>
          <t>https://gatekeeperaj.com.br/wp-content/uploads/2023/07/QGC-BRM-BUGGY.pdf</t>
        </is>
      </c>
    </row>
    <row r="716">
      <c r="A716" t="inlineStr">
        <is>
          <t>5dd1dd6c81e4</t>
        </is>
      </c>
      <c r="B716" t="inlineStr">
        <is>
          <t>0000335-78.2024.8.26.0260</t>
        </is>
      </c>
      <c r="C716" t="inlineStr">
        <is>
          <t>QGC</t>
        </is>
      </c>
      <c r="D716" t="inlineStr">
        <is>
          <t>OK_NO_TOTALS</t>
        </is>
      </c>
      <c r="E716" t="n">
        <v>6</v>
      </c>
      <c r="F716" t="inlineStr">
        <is>
          <t>TABLE</t>
        </is>
      </c>
      <c r="G716" t="inlineStr">
        <is>
          <t>TABLE_RULED</t>
        </is>
      </c>
      <c r="H716" t="inlineStr"/>
      <c r="J716" t="inlineStr">
        <is>
          <t>GateKeeper | Recuperação Judicial em São Paulo – Ética, técnica e profissionalismo na administração judicial de processos de recuperação e falência.</t>
        </is>
      </c>
      <c r="K716" t="inlineStr">
        <is>
          <t>gatekeeperaj.com.br</t>
        </is>
      </c>
      <c r="L716" s="19" t="inlineStr">
        <is>
          <t>https://gatekeeperaj.com.br/wp-content/uploads/2026/06/SEGUNDA-RELACAO-AIRSHIELD.pdf</t>
        </is>
      </c>
    </row>
    <row r="717">
      <c r="A717" t="inlineStr">
        <is>
          <t>0b51e1c12c63</t>
        </is>
      </c>
      <c r="B717" t="inlineStr">
        <is>
          <t>0000635-08.2003.8.08.0024</t>
        </is>
      </c>
      <c r="C717" t="inlineStr">
        <is>
          <t>QGC</t>
        </is>
      </c>
      <c r="D717" t="inlineStr">
        <is>
          <t>OK_NO_TOTALS</t>
        </is>
      </c>
      <c r="E717" t="n">
        <v>6</v>
      </c>
      <c r="F717" t="inlineStr">
        <is>
          <t>TABLE</t>
        </is>
      </c>
      <c r="G717" t="inlineStr">
        <is>
          <t>TABLE_BANDS</t>
        </is>
      </c>
      <c r="H717" t="inlineStr"/>
      <c r="I717" t="inlineStr">
        <is>
          <t>2002-02-19</t>
        </is>
      </c>
      <c r="J717" t="inlineStr">
        <is>
          <t>Refrigerantes Polo Sul - RLG-AJ</t>
        </is>
      </c>
      <c r="K717" t="inlineStr">
        <is>
          <t>rlg-aj.com.br</t>
        </is>
      </c>
      <c r="L717" s="19" t="inlineStr">
        <is>
          <t>https://rlg-aj.com.br/wp-content/uploads/2024/01/Quadro-Geral-de-Credores-Refrigerantes-Polo-Sul.pdf</t>
        </is>
      </c>
    </row>
    <row r="718">
      <c r="A718" t="inlineStr">
        <is>
          <t>55e4976b8f3c</t>
        </is>
      </c>
      <c r="B718" t="inlineStr">
        <is>
          <t>0054509-78.1997.8.19.0001</t>
        </is>
      </c>
      <c r="C718" t="inlineStr">
        <is>
          <t>QGC</t>
        </is>
      </c>
      <c r="D718" t="inlineStr">
        <is>
          <t>OK_NO_TOTALS</t>
        </is>
      </c>
      <c r="E718" t="n">
        <v>2</v>
      </c>
      <c r="F718" t="inlineStr">
        <is>
          <t>PROSE</t>
        </is>
      </c>
      <c r="G718" t="inlineStr">
        <is>
          <t>PROSE</t>
        </is>
      </c>
      <c r="H718" t="inlineStr"/>
      <c r="I718" t="inlineStr">
        <is>
          <t>2024-02-05</t>
        </is>
      </c>
      <c r="J718" t="inlineStr">
        <is>
          <t>Banco Atlantis – 0054509-78.1997.8.19.0001 – INOVA</t>
        </is>
      </c>
      <c r="K718" t="inlineStr">
        <is>
          <t>inova-aj.com.br</t>
        </is>
      </c>
      <c r="L718" s="19" t="inlineStr">
        <is>
          <t>https://inova-aj.com.br/wp-content/uploads/2024/04/Atlantis-Edital-2o-Rateio.pdf</t>
        </is>
      </c>
    </row>
    <row r="719">
      <c r="A719" t="inlineStr">
        <is>
          <t>cb001882ed4d</t>
        </is>
      </c>
      <c r="B719" t="inlineStr">
        <is>
          <t>0054509-78.1997.8.19.0001</t>
        </is>
      </c>
      <c r="C719" t="inlineStr">
        <is>
          <t>QGC</t>
        </is>
      </c>
      <c r="D719" t="inlineStr">
        <is>
          <t>OK_NO_TOTALS</t>
        </is>
      </c>
      <c r="E719" t="n">
        <v>2</v>
      </c>
      <c r="F719" t="inlineStr">
        <is>
          <t>PROSE</t>
        </is>
      </c>
      <c r="G719" t="inlineStr">
        <is>
          <t>PROSE</t>
        </is>
      </c>
      <c r="H719" t="inlineStr"/>
      <c r="I719" t="inlineStr">
        <is>
          <t>2024-02-05</t>
        </is>
      </c>
      <c r="J719" t="inlineStr">
        <is>
          <t>Banco Atlantis – 0054509-78.1997.8.19.0001 – INOVA</t>
        </is>
      </c>
      <c r="K719" t="inlineStr">
        <is>
          <t>inova-aj.com.br</t>
        </is>
      </c>
      <c r="L719" s="19" t="inlineStr">
        <is>
          <t>https://inova-aj.com.br/wp-content/uploads/2024/04/Atlantis-Edital-Informacoes-dos-Credores.pdf</t>
        </is>
      </c>
    </row>
    <row r="720">
      <c r="A720" t="inlineStr">
        <is>
          <t>dc67a648852f</t>
        </is>
      </c>
      <c r="B720" t="inlineStr">
        <is>
          <t>1005079-94.2024.8.26.0100</t>
        </is>
      </c>
      <c r="C720" t="inlineStr">
        <is>
          <t>QGC</t>
        </is>
      </c>
      <c r="D720" t="inlineStr">
        <is>
          <t>OK_NO_TOTALS</t>
        </is>
      </c>
      <c r="E720" t="n">
        <v>5</v>
      </c>
      <c r="F720" t="inlineStr">
        <is>
          <t>TABLE</t>
        </is>
      </c>
      <c r="G720" t="inlineStr">
        <is>
          <t>TABLE_BANDS</t>
        </is>
      </c>
      <c r="H720" t="inlineStr"/>
      <c r="I720" t="inlineStr">
        <is>
          <t>2025-07-25</t>
        </is>
      </c>
      <c r="J720" t="inlineStr">
        <is>
          <t>GateKeeper | Recuperação Judicial em São Paulo – Ética, técnica e profissionalismo na administração judicial de processos de recuperação e falência.</t>
        </is>
      </c>
      <c r="K720" t="inlineStr">
        <is>
          <t>gatekeeperaj.com.br</t>
        </is>
      </c>
      <c r="L720" s="19" t="inlineStr">
        <is>
          <t>https://gatekeeperaj.com.br/wp-content/uploads/2026/01/Segunda-Relacao.pdf</t>
        </is>
      </c>
    </row>
    <row r="721">
      <c r="A721" t="inlineStr">
        <is>
          <t>c1a07a98384b</t>
        </is>
      </c>
      <c r="B721" t="inlineStr">
        <is>
          <t>5004799-61.2024.8.24.0019</t>
        </is>
      </c>
      <c r="C721" t="inlineStr">
        <is>
          <t>QGC</t>
        </is>
      </c>
      <c r="D721" t="inlineStr">
        <is>
          <t>OK_NO_TOTALS</t>
        </is>
      </c>
      <c r="E721" t="n">
        <v>55</v>
      </c>
      <c r="F721" t="inlineStr">
        <is>
          <t>TABLE</t>
        </is>
      </c>
      <c r="G721" t="inlineStr">
        <is>
          <t>TABLE_RULED</t>
        </is>
      </c>
      <c r="H721" t="inlineStr"/>
      <c r="J721" t="inlineStr">
        <is>
          <t>Diomar Antonio de Souza e CIA Ltda. - RLG-AJ</t>
        </is>
      </c>
      <c r="K721" t="inlineStr">
        <is>
          <t>rlg-aj.com.br</t>
        </is>
      </c>
      <c r="L721" s="19" t="inlineStr">
        <is>
          <t>https://rlg-aj.com.br/wp-content/uploads/2024/05/8.-Primeiro-Modificativo-ao-Plano-de-Recuperacao-Judicial-Diomar.pdf</t>
        </is>
      </c>
    </row>
    <row r="722">
      <c r="A722" t="inlineStr">
        <is>
          <t>7bf593c466a7</t>
        </is>
      </c>
      <c r="B722" t="inlineStr">
        <is>
          <t>0000335-78.2024.8.26.0260</t>
        </is>
      </c>
      <c r="C722" t="inlineStr">
        <is>
          <t>QGC</t>
        </is>
      </c>
      <c r="D722" t="inlineStr">
        <is>
          <t>OK_NO_TOTALS</t>
        </is>
      </c>
      <c r="E722" t="n">
        <v>3</v>
      </c>
      <c r="F722" t="inlineStr">
        <is>
          <t>TABLE</t>
        </is>
      </c>
      <c r="G722" t="inlineStr">
        <is>
          <t>TABLE_RULED</t>
        </is>
      </c>
      <c r="H722" t="inlineStr"/>
      <c r="J722" t="inlineStr">
        <is>
          <t>GateKeeper | Recuperação Judicial em São Paulo – Ética, técnica e profissionalismo na administração judicial de processos de recuperação e falência.</t>
        </is>
      </c>
      <c r="K722" t="inlineStr">
        <is>
          <t>gatekeeperaj.com.br</t>
        </is>
      </c>
      <c r="L722" s="19" t="inlineStr">
        <is>
          <t>https://gatekeeperaj.com.br/wp-content/uploads/2026/06/RELACAO-CREDORES.pdf</t>
        </is>
      </c>
    </row>
    <row r="723">
      <c r="A723" t="inlineStr">
        <is>
          <t>bfb400a37f72</t>
        </is>
      </c>
      <c r="B723" t="inlineStr">
        <is>
          <t>0000335-78.2024.8.26.0260</t>
        </is>
      </c>
      <c r="C723" t="inlineStr">
        <is>
          <t>QGC</t>
        </is>
      </c>
      <c r="D723" t="inlineStr">
        <is>
          <t>OK_NO_TOTALS</t>
        </is>
      </c>
      <c r="E723" t="n">
        <v>7</v>
      </c>
      <c r="F723" t="inlineStr">
        <is>
          <t>TABLE</t>
        </is>
      </c>
      <c r="G723" t="inlineStr">
        <is>
          <t>TABLE_RULED</t>
        </is>
      </c>
      <c r="H723" t="inlineStr"/>
      <c r="J723" t="inlineStr">
        <is>
          <t>GateKeeper | Recuperação Judicial em São Paulo – Ética, técnica e profissionalismo na administração judicial de processos de recuperação e falência.</t>
        </is>
      </c>
      <c r="K723" t="inlineStr">
        <is>
          <t>gatekeeperaj.com.br</t>
        </is>
      </c>
      <c r="L723" s="19" t="inlineStr">
        <is>
          <t>https://gatekeeperaj.com.br/wp-content/uploads/2025/06/1114604-79.2022.8.26.0100-1.pdf</t>
        </is>
      </c>
    </row>
    <row r="724">
      <c r="A724" t="inlineStr">
        <is>
          <t>0a0fafe95af5</t>
        </is>
      </c>
      <c r="B724" t="inlineStr">
        <is>
          <t>0000335-78.2024.8.26.0260</t>
        </is>
      </c>
      <c r="C724" t="inlineStr">
        <is>
          <t>QGC</t>
        </is>
      </c>
      <c r="D724" t="inlineStr">
        <is>
          <t>OK_NO_TOTALS</t>
        </is>
      </c>
      <c r="E724" t="n">
        <v>6</v>
      </c>
      <c r="F724" t="inlineStr">
        <is>
          <t>TABLE</t>
        </is>
      </c>
      <c r="G724" t="inlineStr">
        <is>
          <t>TABLE_RULED</t>
        </is>
      </c>
      <c r="H724" t="inlineStr"/>
      <c r="J724" t="inlineStr">
        <is>
          <t>GateKeeper | Recuperação Judicial em São Paulo – Ética, técnica e profissionalismo na administração judicial de processos de recuperação e falência.</t>
        </is>
      </c>
      <c r="K724" t="inlineStr">
        <is>
          <t>gatekeeperaj.com.br</t>
        </is>
      </c>
      <c r="L724" s="19" t="inlineStr">
        <is>
          <t>https://gatekeeperaj.com.br/wp-content/uploads/2026/08/QGC-GEMEOS-25.08.2026.pdf</t>
        </is>
      </c>
    </row>
    <row r="725">
      <c r="A725" t="inlineStr">
        <is>
          <t>8380fdf6b9c4</t>
        </is>
      </c>
      <c r="B725" t="inlineStr">
        <is>
          <t>0000335-78.2024.8.26.0260</t>
        </is>
      </c>
      <c r="C725" t="inlineStr">
        <is>
          <t>QGC</t>
        </is>
      </c>
      <c r="D725" t="inlineStr">
        <is>
          <t>OK_NO_TOTALS</t>
        </is>
      </c>
      <c r="E725" t="n">
        <v>21</v>
      </c>
      <c r="F725" t="inlineStr">
        <is>
          <t>TABLE</t>
        </is>
      </c>
      <c r="G725" t="inlineStr">
        <is>
          <t>TABLE_RULED</t>
        </is>
      </c>
      <c r="H725" t="inlineStr"/>
      <c r="J725" t="inlineStr">
        <is>
          <t>GateKeeper | Recuperação Judicial em São Paulo – Ética, técnica e profissionalismo na administração judicial de processos de recuperação e falência.</t>
        </is>
      </c>
      <c r="K725" t="inlineStr">
        <is>
          <t>gatekeeperaj.com.br</t>
        </is>
      </c>
      <c r="L725" s="19" t="inlineStr">
        <is>
          <t>https://gatekeeperaj.com.br/wp-content/uploads/2025/10/Relacao-de-credores-GTP.pdf</t>
        </is>
      </c>
    </row>
    <row r="726">
      <c r="A726" t="inlineStr">
        <is>
          <t>91f3d8b80dba</t>
        </is>
      </c>
      <c r="B726" t="inlineStr">
        <is>
          <t>0000335-78.2024.8.26.0260</t>
        </is>
      </c>
      <c r="C726" t="inlineStr">
        <is>
          <t>QGC</t>
        </is>
      </c>
      <c r="D726" t="inlineStr">
        <is>
          <t>OK_NO_TOTALS</t>
        </is>
      </c>
      <c r="E726" t="n">
        <v>15</v>
      </c>
      <c r="F726" t="inlineStr">
        <is>
          <t>TABLE</t>
        </is>
      </c>
      <c r="G726" t="inlineStr">
        <is>
          <t>TABLE_RULED</t>
        </is>
      </c>
      <c r="H726" t="inlineStr"/>
      <c r="J726" t="inlineStr">
        <is>
          <t>GateKeeper | Recuperação Judicial em São Paulo – Ética, técnica e profissionalismo na administração judicial de processos de recuperação e falência.</t>
        </is>
      </c>
      <c r="K726" t="inlineStr">
        <is>
          <t>gatekeeperaj.com.br</t>
        </is>
      </c>
      <c r="L726" s="19" t="inlineStr">
        <is>
          <t>https://gatekeeperaj.com.br/wp-content/uploads/2026/08/QGC-GRUPO-GTP-03.08.2026-1.pdf</t>
        </is>
      </c>
    </row>
    <row r="727">
      <c r="A727" t="inlineStr">
        <is>
          <t>f2d87b226c5f</t>
        </is>
      </c>
      <c r="B727" t="inlineStr">
        <is>
          <t>0834048-17.1998.8.26.0100</t>
        </is>
      </c>
      <c r="C727" t="inlineStr">
        <is>
          <t>QGC</t>
        </is>
      </c>
      <c r="D727" t="inlineStr">
        <is>
          <t>OK_NO_TOTALS</t>
        </is>
      </c>
      <c r="E727" t="n">
        <v>2</v>
      </c>
      <c r="F727" t="inlineStr">
        <is>
          <t>TABLE</t>
        </is>
      </c>
      <c r="G727" t="inlineStr">
        <is>
          <t>TABLE_RULED</t>
        </is>
      </c>
      <c r="H727" t="inlineStr"/>
      <c r="J727" t="inlineStr">
        <is>
          <t>GateKeeper | Recuperação Judicial em São Paulo – Ética, técnica e profissionalismo na administração judicial de processos de recuperação e falência.</t>
        </is>
      </c>
      <c r="K727" t="inlineStr">
        <is>
          <t>gatekeeperaj.com.br</t>
        </is>
      </c>
      <c r="L727" s="19" t="inlineStr">
        <is>
          <t>https://gatekeeperaj.com.br/wp-content/uploads/2026/07/QGC-ATUALIZADO-JULHO-28.07.2026.pdf</t>
        </is>
      </c>
    </row>
    <row r="728">
      <c r="A728" t="inlineStr">
        <is>
          <t>1aa81151b89e</t>
        </is>
      </c>
      <c r="B728" t="inlineStr">
        <is>
          <t>5021069-77.2019.8.21.0001</t>
        </is>
      </c>
      <c r="C728" t="inlineStr">
        <is>
          <t>QGC</t>
        </is>
      </c>
      <c r="D728" t="inlineStr">
        <is>
          <t>OK_NO_TOTALS</t>
        </is>
      </c>
      <c r="E728" t="n">
        <v>1</v>
      </c>
      <c r="F728" t="inlineStr">
        <is>
          <t>PROSE</t>
        </is>
      </c>
      <c r="G728" t="inlineStr">
        <is>
          <t>PROSE</t>
        </is>
      </c>
      <c r="H728" t="inlineStr"/>
      <c r="I728" t="inlineStr">
        <is>
          <t>2023-04-10</t>
        </is>
      </c>
      <c r="J728" t="inlineStr">
        <is>
          <t>5021069- 77.2019.8.21.0001 | CB2D</t>
        </is>
      </c>
      <c r="K728" t="inlineStr">
        <is>
          <t>cb2d.com.br</t>
        </is>
      </c>
      <c r="L728" s="19" t="inlineStr">
        <is>
          <t>https://www.cb2d.com.br/portal/_uploads/55a2cd74-2225-4cd8-b989-4bc73f210c3b.pdf</t>
        </is>
      </c>
    </row>
    <row r="729">
      <c r="A729" t="inlineStr">
        <is>
          <t>604b3f782218</t>
        </is>
      </c>
      <c r="B729" t="inlineStr">
        <is>
          <t>0000335-78.2024.8.26.0260</t>
        </is>
      </c>
      <c r="C729" t="inlineStr">
        <is>
          <t>QGC</t>
        </is>
      </c>
      <c r="D729" t="inlineStr">
        <is>
          <t>OK_NO_TOTALS</t>
        </is>
      </c>
      <c r="E729" t="n">
        <v>8</v>
      </c>
      <c r="F729" t="inlineStr">
        <is>
          <t>TABLE</t>
        </is>
      </c>
      <c r="G729" t="inlineStr">
        <is>
          <t>TABLE_RULED</t>
        </is>
      </c>
      <c r="H729" t="inlineStr"/>
      <c r="J729" t="inlineStr">
        <is>
          <t>GateKeeper | Recuperação Judicial em São Paulo – Ética, técnica e profissionalismo na administração judicial de processos de recuperação e falência.</t>
        </is>
      </c>
      <c r="K729" t="inlineStr">
        <is>
          <t>gatekeeperaj.com.br</t>
        </is>
      </c>
      <c r="L729" s="19" t="inlineStr">
        <is>
          <t>https://gatekeeperaj.com.br/wp-content/uploads/2024/11/2a-Relacao-HEL.pdf</t>
        </is>
      </c>
    </row>
    <row r="730">
      <c r="A730" t="inlineStr">
        <is>
          <t>b257dcd2085a</t>
        </is>
      </c>
      <c r="B730" t="inlineStr">
        <is>
          <t>0000335-78.2024.8.26.0260</t>
        </is>
      </c>
      <c r="C730" t="inlineStr">
        <is>
          <t>QGC</t>
        </is>
      </c>
      <c r="D730" t="inlineStr">
        <is>
          <t>OK_NO_TOTALS</t>
        </is>
      </c>
      <c r="E730" t="n">
        <v>8</v>
      </c>
      <c r="F730" t="inlineStr">
        <is>
          <t>TABLE</t>
        </is>
      </c>
      <c r="G730" t="inlineStr">
        <is>
          <t>TABLE_RULED</t>
        </is>
      </c>
      <c r="H730" t="inlineStr"/>
      <c r="J730" t="inlineStr">
        <is>
          <t>GateKeeper | Recuperação Judicial em São Paulo – Ética, técnica e profissionalismo na administração judicial de processos de recuperação e falência.</t>
        </is>
      </c>
      <c r="K730" t="inlineStr">
        <is>
          <t>gatekeeperaj.com.br</t>
        </is>
      </c>
      <c r="L730" s="19" t="inlineStr">
        <is>
          <t>https://gatekeeperaj.com.br/wp-content/uploads/2026/07/QGC-HEL-29.07.2026-1.pdf</t>
        </is>
      </c>
    </row>
    <row r="731">
      <c r="A731" t="inlineStr">
        <is>
          <t>59cd7a9416ae</t>
        </is>
      </c>
      <c r="B731" t="inlineStr">
        <is>
          <t>0832522-59.1991.8.26.0100</t>
        </is>
      </c>
      <c r="C731" t="inlineStr">
        <is>
          <t>QGC</t>
        </is>
      </c>
      <c r="D731" t="inlineStr">
        <is>
          <t>OK_NO_TOTALS</t>
        </is>
      </c>
      <c r="E731" t="n">
        <v>3</v>
      </c>
      <c r="F731" t="inlineStr">
        <is>
          <t>TABLE</t>
        </is>
      </c>
      <c r="G731" t="inlineStr">
        <is>
          <t>TABLE_RULED</t>
        </is>
      </c>
      <c r="H731" t="inlineStr"/>
      <c r="J731" t="inlineStr">
        <is>
          <t>GateKeeper | Recuperação Judicial em São Paulo – Ética, técnica e profissionalismo na administração judicial de processos de recuperação e falência.</t>
        </is>
      </c>
      <c r="K731" t="inlineStr">
        <is>
          <t>gatekeeperaj.com.br</t>
        </is>
      </c>
      <c r="L731" s="19" t="inlineStr">
        <is>
          <t>https://gatekeeperaj.com.br/wp-content/uploads/2026/08/QGC-BK.pdf</t>
        </is>
      </c>
    </row>
    <row r="732">
      <c r="A732" t="inlineStr">
        <is>
          <t>8443710e6cb5</t>
        </is>
      </c>
      <c r="B732" t="inlineStr">
        <is>
          <t>0000335-78.2024.8.26.0260</t>
        </is>
      </c>
      <c r="C732" t="inlineStr">
        <is>
          <t>QGC</t>
        </is>
      </c>
      <c r="D732" t="inlineStr">
        <is>
          <t>OK_NO_TOTALS</t>
        </is>
      </c>
      <c r="E732" t="n">
        <v>6</v>
      </c>
      <c r="F732" t="inlineStr">
        <is>
          <t>TABLE</t>
        </is>
      </c>
      <c r="G732" t="inlineStr">
        <is>
          <t>TABLE_RULED</t>
        </is>
      </c>
      <c r="H732" t="inlineStr"/>
      <c r="J732" t="inlineStr">
        <is>
          <t>GateKeeper | Recuperação Judicial em São Paulo – Ética, técnica e profissionalismo na administração judicial de processos de recuperação e falência.</t>
        </is>
      </c>
      <c r="K732" t="inlineStr">
        <is>
          <t>gatekeeperaj.com.br</t>
        </is>
      </c>
      <c r="L732" s="19" t="inlineStr">
        <is>
          <t>https://gatekeeperaj.com.br/wp-content/uploads/2026/06/SEGUNDA-RELACAO-JOMAR.pdf</t>
        </is>
      </c>
    </row>
    <row r="733">
      <c r="A733" t="inlineStr">
        <is>
          <t>30e2ea9c5d52</t>
        </is>
      </c>
      <c r="B733" t="inlineStr">
        <is>
          <t>0000335-78.2024.8.26.0260</t>
        </is>
      </c>
      <c r="C733" t="inlineStr">
        <is>
          <t>QGC</t>
        </is>
      </c>
      <c r="D733" t="inlineStr">
        <is>
          <t>OK_NO_TOTALS</t>
        </is>
      </c>
      <c r="E733" t="n">
        <v>4</v>
      </c>
      <c r="F733" t="inlineStr">
        <is>
          <t>TABLE</t>
        </is>
      </c>
      <c r="G733" t="inlineStr">
        <is>
          <t>TABLE_BANDS</t>
        </is>
      </c>
      <c r="H733" t="inlineStr"/>
      <c r="J733" t="inlineStr">
        <is>
          <t>GateKeeper | Recuperação Judicial em São Paulo – Ética, técnica e profissionalismo na administração judicial de processos de recuperação e falência.</t>
        </is>
      </c>
      <c r="K733" t="inlineStr">
        <is>
          <t>gatekeeperaj.com.br</t>
        </is>
      </c>
      <c r="L733" s="19" t="inlineStr">
        <is>
          <t>https://gatekeeperaj.com.br/wp-content/uploads/2025/09/QGC-LCR.pdf</t>
        </is>
      </c>
    </row>
    <row r="734">
      <c r="A734" t="inlineStr">
        <is>
          <t>c82d0fc2f46c</t>
        </is>
      </c>
      <c r="B734" t="inlineStr">
        <is>
          <t>5000846-68.2020.8.21.0066</t>
        </is>
      </c>
      <c r="C734" t="inlineStr">
        <is>
          <t>QGC</t>
        </is>
      </c>
      <c r="D734" t="inlineStr">
        <is>
          <t>OK_NO_TOTALS</t>
        </is>
      </c>
      <c r="E734" t="n">
        <v>2</v>
      </c>
      <c r="F734" t="inlineStr">
        <is>
          <t>PROSE</t>
        </is>
      </c>
      <c r="G734" t="inlineStr">
        <is>
          <t>PROSE</t>
        </is>
      </c>
      <c r="H734" t="inlineStr"/>
      <c r="I734" t="inlineStr">
        <is>
          <t>2021-09-30</t>
        </is>
      </c>
      <c r="J734" t="inlineStr">
        <is>
          <t>5000846-68.2020.8.21.0066 | CB2D</t>
        </is>
      </c>
      <c r="K734" t="inlineStr">
        <is>
          <t>cb2d.com.br</t>
        </is>
      </c>
      <c r="L734" s="19" t="inlineStr">
        <is>
          <t>https://www.cb2d.com.br/portal/_uploads/6a02f0c7-4ce5-4205-be9c-0899f9bb46c8.pdf</t>
        </is>
      </c>
    </row>
    <row r="735">
      <c r="A735" t="inlineStr">
        <is>
          <t>d75aa72bd42a</t>
        </is>
      </c>
      <c r="B735" t="inlineStr">
        <is>
          <t>0000335-78.2024.8.26.0260</t>
        </is>
      </c>
      <c r="C735" t="inlineStr">
        <is>
          <t>QGC</t>
        </is>
      </c>
      <c r="D735" t="inlineStr">
        <is>
          <t>OK_NO_TOTALS</t>
        </is>
      </c>
      <c r="E735" t="n">
        <v>2</v>
      </c>
      <c r="F735" t="inlineStr">
        <is>
          <t>TABLE</t>
        </is>
      </c>
      <c r="G735" t="inlineStr">
        <is>
          <t>TABLE_RULED</t>
        </is>
      </c>
      <c r="H735" t="inlineStr"/>
      <c r="J735" t="inlineStr">
        <is>
          <t>GateKeeper | Recuperação Judicial em São Paulo – Ética, técnica e profissionalismo na administração judicial de processos de recuperação e falência.</t>
        </is>
      </c>
      <c r="K735" t="inlineStr">
        <is>
          <t>gatekeeperaj.com.br</t>
        </is>
      </c>
      <c r="L735" s="19" t="inlineStr">
        <is>
          <t>https://gatekeeperaj.com.br/wp-content/uploads/2025/05/Rel-credores-Max-Ferros.pdf</t>
        </is>
      </c>
    </row>
    <row r="736">
      <c r="A736" t="inlineStr">
        <is>
          <t>a12513fd51db</t>
        </is>
      </c>
      <c r="B736" t="inlineStr">
        <is>
          <t>5000846-68.2020.8.21.0066</t>
        </is>
      </c>
      <c r="C736" t="inlineStr">
        <is>
          <t>QGC</t>
        </is>
      </c>
      <c r="D736" t="inlineStr">
        <is>
          <t>OK_NO_TOTALS</t>
        </is>
      </c>
      <c r="E736" t="n">
        <v>3</v>
      </c>
      <c r="F736" t="inlineStr">
        <is>
          <t>PROSE</t>
        </is>
      </c>
      <c r="G736" t="inlineStr">
        <is>
          <t>PROSE</t>
        </is>
      </c>
      <c r="H736" t="inlineStr"/>
      <c r="J736" t="inlineStr">
        <is>
          <t>5000846-68.2020.8.21.0066 | CB2D</t>
        </is>
      </c>
      <c r="K736" t="inlineStr">
        <is>
          <t>cb2d.com.br</t>
        </is>
      </c>
      <c r="L736" s="19" t="inlineStr">
        <is>
          <t>https://www.cb2d.com.br/portal/_uploads/aa7ae5e4-8341-4054-b947-72597948fa26.pdf</t>
        </is>
      </c>
    </row>
    <row r="737">
      <c r="A737" t="inlineStr">
        <is>
          <t>972476a3a223</t>
        </is>
      </c>
      <c r="B737" t="inlineStr">
        <is>
          <t>5000846-68.2020.8.21.0066</t>
        </is>
      </c>
      <c r="C737" t="inlineStr">
        <is>
          <t>QGC</t>
        </is>
      </c>
      <c r="D737" t="inlineStr">
        <is>
          <t>OK_NO_TOTALS</t>
        </is>
      </c>
      <c r="E737" t="n">
        <v>2</v>
      </c>
      <c r="F737" t="inlineStr">
        <is>
          <t>PROSE</t>
        </is>
      </c>
      <c r="G737" t="inlineStr">
        <is>
          <t>PROSE</t>
        </is>
      </c>
      <c r="H737" t="inlineStr"/>
      <c r="I737" t="inlineStr">
        <is>
          <t>2022-12-01</t>
        </is>
      </c>
      <c r="J737" t="inlineStr">
        <is>
          <t>5000846-68.2020.8.21.0066 | CB2D</t>
        </is>
      </c>
      <c r="K737" t="inlineStr">
        <is>
          <t>cb2d.com.br</t>
        </is>
      </c>
      <c r="L737" s="19" t="inlineStr">
        <is>
          <t>https://www.cb2d.com.br/portal/_uploads/56a3cbd8-5360-4ae5-ae3a-7b92dbced0b0.pdf</t>
        </is>
      </c>
    </row>
    <row r="738">
      <c r="A738" t="inlineStr">
        <is>
          <t>52e2da21ced0</t>
        </is>
      </c>
      <c r="B738" t="inlineStr">
        <is>
          <t>5128887-20.2021.8.21.0001</t>
        </is>
      </c>
      <c r="C738" t="inlineStr">
        <is>
          <t>QGC</t>
        </is>
      </c>
      <c r="D738" t="inlineStr">
        <is>
          <t>OK_NO_TOTALS</t>
        </is>
      </c>
      <c r="E738" t="n">
        <v>1</v>
      </c>
      <c r="F738" t="inlineStr">
        <is>
          <t>PROSE</t>
        </is>
      </c>
      <c r="G738" t="inlineStr">
        <is>
          <t>PROSE</t>
        </is>
      </c>
      <c r="H738" t="inlineStr"/>
      <c r="I738" t="inlineStr">
        <is>
          <t>2022-02-21</t>
        </is>
      </c>
      <c r="J738" t="inlineStr">
        <is>
          <t>5032410-66.2020.8.21.0001 | CB2D</t>
        </is>
      </c>
      <c r="K738" t="inlineStr">
        <is>
          <t>cb2d.com.br</t>
        </is>
      </c>
      <c r="L738" s="19" t="inlineStr">
        <is>
          <t>https://www.cb2d.com.br/portal/_uploads/e0a53569-6b65-453b-a2bf-022814516271.pdf</t>
        </is>
      </c>
    </row>
    <row r="739">
      <c r="A739" t="inlineStr">
        <is>
          <t>efd986e1c671</t>
        </is>
      </c>
      <c r="B739" t="inlineStr">
        <is>
          <t>1049020-41.2017.8.26.0100</t>
        </is>
      </c>
      <c r="C739" t="inlineStr">
        <is>
          <t>QGC</t>
        </is>
      </c>
      <c r="D739" t="inlineStr">
        <is>
          <t>OK_NO_TOTALS</t>
        </is>
      </c>
      <c r="E739" t="n">
        <v>13</v>
      </c>
      <c r="F739" t="inlineStr">
        <is>
          <t>TABLE</t>
        </is>
      </c>
      <c r="G739" t="inlineStr">
        <is>
          <t>TABLE_BANDS</t>
        </is>
      </c>
      <c r="H739" t="inlineStr"/>
      <c r="I739" t="inlineStr">
        <is>
          <t>2017-08-04</t>
        </is>
      </c>
      <c r="J739" t="inlineStr">
        <is>
          <t>KENNZUR CENTRO DE BEM ESTAR E SPA LTDA</t>
        </is>
      </c>
      <c r="K739" t="inlineStr">
        <is>
          <t>acfb.com.br</t>
        </is>
      </c>
      <c r="L739" s="19" t="inlineStr">
        <is>
          <t>https://acfb.com.br/wp-content/uploads/2018/05/1º-Edital.pdf</t>
        </is>
      </c>
    </row>
    <row r="740">
      <c r="A740" t="inlineStr">
        <is>
          <t>9370a11b9879</t>
        </is>
      </c>
      <c r="B740" t="inlineStr">
        <is>
          <t>0000007-32.1977.8.24.0041</t>
        </is>
      </c>
      <c r="C740" t="inlineStr">
        <is>
          <t>QGC</t>
        </is>
      </c>
      <c r="D740" t="inlineStr">
        <is>
          <t>OK_NO_TOTALS</t>
        </is>
      </c>
      <c r="E740" t="n">
        <v>2</v>
      </c>
      <c r="F740" t="inlineStr">
        <is>
          <t>TABLE</t>
        </is>
      </c>
      <c r="G740" t="inlineStr">
        <is>
          <t>TABLE_BANDS</t>
        </is>
      </c>
      <c r="H740" t="inlineStr"/>
      <c r="I740" t="inlineStr">
        <is>
          <t>2025-03-31</t>
        </is>
      </c>
      <c r="J740" t="inlineStr">
        <is>
          <t>e Extrajudicia</t>
        </is>
      </c>
      <c r="K740" t="inlineStr">
        <is>
          <t>cb2d.com.br</t>
        </is>
      </c>
      <c r="L740" s="19" t="inlineStr">
        <is>
          <t>https://www.cb2d.com.br/portal/_uploads/59660091-12d0-46cb-8da2-8e05b3a56a86.pdf</t>
        </is>
      </c>
    </row>
    <row r="741">
      <c r="A741" t="inlineStr">
        <is>
          <t>69a40a8294d9</t>
        </is>
      </c>
      <c r="C741" t="inlineStr">
        <is>
          <t>QGC</t>
        </is>
      </c>
      <c r="D741" t="inlineStr">
        <is>
          <t>OK_NO_TOTALS</t>
        </is>
      </c>
      <c r="E741" t="n">
        <v>2</v>
      </c>
      <c r="F741" t="inlineStr">
        <is>
          <t>PROSE</t>
        </is>
      </c>
      <c r="G741" t="inlineStr">
        <is>
          <t>PROSE</t>
        </is>
      </c>
      <c r="H741" t="inlineStr"/>
      <c r="J741" t="inlineStr">
        <is>
          <t>Base | AJ RUIZ - Administração Judicial</t>
        </is>
      </c>
      <c r="K741" t="inlineStr">
        <is>
          <t>ajruiz.com.br</t>
        </is>
      </c>
      <c r="L741" s="19" t="inlineStr">
        <is>
          <t>https://ajruiz.com.br/sites/default/files/public/arquivos-processos/2023-12/2._relacao_de_credores.pdf</t>
        </is>
      </c>
    </row>
    <row r="742">
      <c r="A742" t="inlineStr">
        <is>
          <t>716d80d5a667</t>
        </is>
      </c>
      <c r="B742" t="inlineStr">
        <is>
          <t>0324544-58.2009.8.26.0100</t>
        </is>
      </c>
      <c r="C742" t="inlineStr">
        <is>
          <t>QGC</t>
        </is>
      </c>
      <c r="D742" t="inlineStr">
        <is>
          <t>OK_NO_TOTALS</t>
        </is>
      </c>
      <c r="E742" t="n">
        <v>2</v>
      </c>
      <c r="F742" t="inlineStr">
        <is>
          <t>TABLE</t>
        </is>
      </c>
      <c r="G742" t="inlineStr">
        <is>
          <t>TABLE_BANDS</t>
        </is>
      </c>
      <c r="H742" t="inlineStr"/>
      <c r="I742" t="inlineStr">
        <is>
          <t>2025-04-22</t>
        </is>
      </c>
      <c r="J742" t="inlineStr">
        <is>
          <t>EATALY BRASIL COMERCIO E DISTRIBUIÇÃO DE ALIMENTOS LTDA</t>
        </is>
      </c>
      <c r="K742" t="inlineStr">
        <is>
          <t>ativosajce.com.br</t>
        </is>
      </c>
      <c r="L742" s="19" t="inlineStr">
        <is>
          <t>https://ativosajce.com.br/admin/download.php?file=files/processo_documento/processo_documento18363702062025_1_.pdf&amp;nome=Edital de Relação de Credores - Art. 7º, § 2º - 24/04/2025</t>
        </is>
      </c>
    </row>
    <row r="743">
      <c r="A743" t="inlineStr">
        <is>
          <t>9ed62d65fed6</t>
        </is>
      </c>
      <c r="B743" t="inlineStr">
        <is>
          <t>1000386-43.2022.8.26.0260</t>
        </is>
      </c>
      <c r="C743" t="inlineStr">
        <is>
          <t>QGC</t>
        </is>
      </c>
      <c r="D743" t="inlineStr">
        <is>
          <t>OK_NO_TOTALS</t>
        </is>
      </c>
      <c r="E743" t="n">
        <v>2</v>
      </c>
      <c r="F743" t="inlineStr">
        <is>
          <t>PROSE</t>
        </is>
      </c>
      <c r="G743" t="inlineStr">
        <is>
          <t>PROSE</t>
        </is>
      </c>
      <c r="H743" t="inlineStr"/>
      <c r="I743" t="inlineStr">
        <is>
          <t>2024-09-30</t>
        </is>
      </c>
      <c r="J743" t="inlineStr">
        <is>
          <t>FERRAMENTARIA GASPEC LTDA</t>
        </is>
      </c>
      <c r="K743" t="inlineStr">
        <is>
          <t>ativosajce.com.br</t>
        </is>
      </c>
      <c r="L743" s="19" t="inlineStr">
        <is>
          <t>https://ativosajce.com.br/admin/download.php?file=files/processo_documento/processo_documento16304230012025_1_.pdf&amp;nome=Edital QGC - 09/12/2024</t>
        </is>
      </c>
    </row>
    <row r="744">
      <c r="A744" t="inlineStr">
        <is>
          <t>d426abd887f9</t>
        </is>
      </c>
      <c r="B744" t="inlineStr">
        <is>
          <t>1117901-31.2021.8.26.0100</t>
        </is>
      </c>
      <c r="C744" t="inlineStr">
        <is>
          <t>QGC</t>
        </is>
      </c>
      <c r="D744" t="inlineStr">
        <is>
          <t>OK_NO_TOTALS</t>
        </is>
      </c>
      <c r="E744" t="n">
        <v>3</v>
      </c>
      <c r="F744" t="inlineStr">
        <is>
          <t>PROSE</t>
        </is>
      </c>
      <c r="G744" t="inlineStr">
        <is>
          <t>PROSE</t>
        </is>
      </c>
      <c r="H744" t="inlineStr"/>
      <c r="I744" t="inlineStr">
        <is>
          <t>2022-04-06</t>
        </is>
      </c>
      <c r="J744" t="inlineStr">
        <is>
          <t>PÓRTICO REALINDÚSTRIA COMÉRCIO E LOCAÇÃO DE EQUIPAMENTOS LTDA</t>
        </is>
      </c>
      <c r="K744" t="inlineStr">
        <is>
          <t>ativosajce.com.br</t>
        </is>
      </c>
      <c r="L744" s="19" t="inlineStr">
        <is>
          <t>https://ativosajce.com.br/admin/download.php?file=files/processo_documento/processo_documento17021122082022_1_.pdf&amp;nome=Edital de Credores - Art. 52, § 1º, da Lei 11.101/2005 - 22/08/2022</t>
        </is>
      </c>
    </row>
    <row r="745">
      <c r="A745" t="inlineStr">
        <is>
          <t>83c5c4ade09b</t>
        </is>
      </c>
      <c r="B745" t="inlineStr">
        <is>
          <t>5315944-66.2023.8.13.0024</t>
        </is>
      </c>
      <c r="C745" t="inlineStr">
        <is>
          <t>QGC</t>
        </is>
      </c>
      <c r="D745" t="inlineStr">
        <is>
          <t>OK_NO_TOTALS</t>
        </is>
      </c>
      <c r="E745" t="n">
        <v>12</v>
      </c>
      <c r="F745" t="inlineStr">
        <is>
          <t>TABLE</t>
        </is>
      </c>
      <c r="G745" t="inlineStr">
        <is>
          <t>TABLE_RULED</t>
        </is>
      </c>
      <c r="H745" t="inlineStr"/>
      <c r="J745" t="inlineStr">
        <is>
          <t>e na falência</t>
        </is>
      </c>
      <c r="K745" t="inlineStr">
        <is>
          <t>3fmodas.madgav.com.br</t>
        </is>
      </c>
      <c r="L745" s="19" t="inlineStr">
        <is>
          <t>https://3fmodas.madgav.com.br/wp-content/uploads/2025/05/Quadro-Geral-de-Credores.pdf</t>
        </is>
      </c>
    </row>
    <row r="746">
      <c r="A746" t="inlineStr">
        <is>
          <t>98f99945499b</t>
        </is>
      </c>
      <c r="B746" t="inlineStr">
        <is>
          <t>0301015-33.2016.8.24.0031</t>
        </is>
      </c>
      <c r="C746" t="inlineStr">
        <is>
          <t>QGC</t>
        </is>
      </c>
      <c r="D746" t="inlineStr">
        <is>
          <t>OK_NO_TOTALS</t>
        </is>
      </c>
      <c r="E746" t="n">
        <v>4</v>
      </c>
      <c r="F746" t="inlineStr">
        <is>
          <t>PROSE</t>
        </is>
      </c>
      <c r="G746" t="inlineStr">
        <is>
          <t>PROSE</t>
        </is>
      </c>
      <c r="H746" t="inlineStr"/>
      <c r="I746" t="inlineStr">
        <is>
          <t>2024-07-05</t>
        </is>
      </c>
      <c r="J746" t="inlineStr">
        <is>
          <t>e Extrajudicia</t>
        </is>
      </c>
      <c r="K746" t="inlineStr">
        <is>
          <t>administradorajudicialgs.com.br</t>
        </is>
      </c>
      <c r="L746" s="19" t="inlineStr">
        <is>
          <t>https://administradorajudicialgs.com.br/wp-content/uploads/2023/08/edital-quadro-geral-de-credores.pdf</t>
        </is>
      </c>
    </row>
    <row r="747">
      <c r="A747" t="inlineStr">
        <is>
          <t>260709460920</t>
        </is>
      </c>
      <c r="B747" t="inlineStr">
        <is>
          <t>0010173-64.2023.8.17.2480</t>
        </is>
      </c>
      <c r="C747" t="inlineStr">
        <is>
          <t>QGC</t>
        </is>
      </c>
      <c r="D747" t="inlineStr">
        <is>
          <t>OK_NO_TOTALS</t>
        </is>
      </c>
      <c r="E747" t="n">
        <v>4</v>
      </c>
      <c r="F747" t="inlineStr">
        <is>
          <t>PROSE</t>
        </is>
      </c>
      <c r="G747" t="inlineStr">
        <is>
          <t>PROSE</t>
        </is>
      </c>
      <c r="H747" t="inlineStr"/>
      <c r="I747" t="inlineStr">
        <is>
          <t>2025-06-26</t>
        </is>
      </c>
      <c r="J747" t="inlineStr">
        <is>
          <t>E FALENCIA</t>
        </is>
      </c>
      <c r="K747" t="inlineStr">
        <is>
          <t>diligence.adm.br</t>
        </is>
      </c>
      <c r="L747" s="19" t="inlineStr">
        <is>
          <t>https://diligence.adm.br/wp-content/uploads/2024/05/Apresentacao-do-edital-QGC.pdf</t>
        </is>
      </c>
    </row>
    <row r="748">
      <c r="A748" t="inlineStr">
        <is>
          <t>cc2648e040c3</t>
        </is>
      </c>
      <c r="B748" t="inlineStr">
        <is>
          <t>5001743-15.2025.8.08.0024</t>
        </is>
      </c>
      <c r="C748" t="inlineStr">
        <is>
          <t>QGC</t>
        </is>
      </c>
      <c r="D748" t="inlineStr">
        <is>
          <t>OK_NO_TOTALS</t>
        </is>
      </c>
      <c r="E748" t="n">
        <v>2</v>
      </c>
      <c r="F748" t="inlineStr">
        <is>
          <t>TABLE</t>
        </is>
      </c>
      <c r="G748" t="inlineStr">
        <is>
          <t>TABLE_BANDS</t>
        </is>
      </c>
      <c r="H748" t="inlineStr"/>
      <c r="I748" t="inlineStr">
        <is>
          <t>2025-05-09</t>
        </is>
      </c>
      <c r="J748" t="inlineStr">
        <is>
          <t>e Falência</t>
        </is>
      </c>
      <c r="K748" t="inlineStr">
        <is>
          <t>rlg-aj.com.br</t>
        </is>
      </c>
      <c r="L748" s="19" t="inlineStr">
        <is>
          <t>https://rlg-aj.com.br/wp-content/uploads/2025/02/Publicacao-do-Edital-da-Segunda-Lista-de-Credores-e-Aviso-de-Recebimento-do-Plano-de-Recuperacao-Judicial-Contemporanea.pdf</t>
        </is>
      </c>
    </row>
    <row r="749">
      <c r="A749" t="inlineStr">
        <is>
          <t>25ef09a5f15e</t>
        </is>
      </c>
      <c r="B749" t="inlineStr">
        <is>
          <t>0704506-58.2023.8.07.0015</t>
        </is>
      </c>
      <c r="C749" t="inlineStr">
        <is>
          <t>QGC</t>
        </is>
      </c>
      <c r="D749" t="inlineStr">
        <is>
          <t>OK_NO_TOTALS</t>
        </is>
      </c>
      <c r="E749" t="n">
        <v>1</v>
      </c>
      <c r="F749" t="inlineStr">
        <is>
          <t>PROSE</t>
        </is>
      </c>
      <c r="G749" t="inlineStr">
        <is>
          <t>PROSE</t>
        </is>
      </c>
      <c r="H749" t="inlineStr"/>
      <c r="I749" t="inlineStr">
        <is>
          <t>2026-02-23</t>
        </is>
      </c>
      <c r="K749" t="inlineStr">
        <is>
          <t>vtladm.com.br</t>
        </is>
      </c>
      <c r="L749" s="19" t="inlineStr">
        <is>
          <t>https://vtladm.com.br/wp-content/uploads/2024/07/10-%E2%80%93-Edital-%E2%80%93-Quadro-Geral-de-Credores-%E2%80%93-Massa-Falida-de-Xadi-Servicos-de-Odontologia-Ltda.pdf</t>
        </is>
      </c>
    </row>
    <row r="750">
      <c r="A750" t="inlineStr">
        <is>
          <t>bcf440631b56</t>
        </is>
      </c>
      <c r="B750" t="inlineStr">
        <is>
          <t>0276159-86.2022.8.06.0001</t>
        </is>
      </c>
      <c r="C750" t="inlineStr">
        <is>
          <t>QGC</t>
        </is>
      </c>
      <c r="D750" t="inlineStr">
        <is>
          <t>OK_NO_TOTALS</t>
        </is>
      </c>
      <c r="E750" t="n">
        <v>2</v>
      </c>
      <c r="F750" t="inlineStr">
        <is>
          <t>TABLE</t>
        </is>
      </c>
      <c r="G750" t="inlineStr">
        <is>
          <t>TABLE_RULED</t>
        </is>
      </c>
      <c r="H750" t="inlineStr"/>
      <c r="J750" t="inlineStr">
        <is>
          <t>Assunto Concurso de Credores Requerente e Massa</t>
        </is>
      </c>
      <c r="K750" t="inlineStr">
        <is>
          <t>bugarimecoelho.com.br</t>
        </is>
      </c>
      <c r="L750" s="19" t="inlineStr">
        <is>
          <t>https://www.bugarimecoelho.com.br/ws/media-library/8a4db3196289447e90c0a3273a5a6258/29.-edital-03o-aditivo-qgc.pdf</t>
        </is>
      </c>
    </row>
    <row r="751">
      <c r="A751" t="inlineStr">
        <is>
          <t>de60a25921f3</t>
        </is>
      </c>
      <c r="B751" t="inlineStr">
        <is>
          <t>5045407-81.2020.8.21.0001</t>
        </is>
      </c>
      <c r="C751" t="inlineStr">
        <is>
          <t>QGC</t>
        </is>
      </c>
      <c r="D751" t="inlineStr">
        <is>
          <t>OK_NO_TOTALS</t>
        </is>
      </c>
      <c r="E751" t="n">
        <v>10</v>
      </c>
      <c r="F751" t="inlineStr">
        <is>
          <t>TABLE</t>
        </is>
      </c>
      <c r="G751" t="inlineStr">
        <is>
          <t>TABLE_RULED</t>
        </is>
      </c>
      <c r="H751" t="inlineStr"/>
      <c r="J751" t="inlineStr">
        <is>
          <t>Catalise Administração Judicial</t>
        </is>
      </c>
      <c r="K751" t="inlineStr">
        <is>
          <t>cataliseaj.com.br</t>
        </is>
      </c>
      <c r="L751" s="19" t="inlineStr">
        <is>
          <t>https://cataliseaj.com.br/sgc/download.php?file=files/processo_documento/processo_documento13563210062024_1_.pdf&amp;nome=8. QUADRO GERAL DE CREDORES</t>
        </is>
      </c>
    </row>
    <row r="752">
      <c r="A752" t="inlineStr">
        <is>
          <t>1db940bc65b5</t>
        </is>
      </c>
      <c r="B752" t="inlineStr">
        <is>
          <t>5073632-14.2020.8.21.0001</t>
        </is>
      </c>
      <c r="C752" t="inlineStr">
        <is>
          <t>QGC</t>
        </is>
      </c>
      <c r="D752" t="inlineStr">
        <is>
          <t>OK_NO_TOTALS</t>
        </is>
      </c>
      <c r="E752" t="n">
        <v>1</v>
      </c>
      <c r="F752" t="inlineStr">
        <is>
          <t>TABLE</t>
        </is>
      </c>
      <c r="G752" t="inlineStr">
        <is>
          <t>TABLE_BANDS</t>
        </is>
      </c>
      <c r="H752" t="inlineStr"/>
      <c r="I752" t="inlineStr">
        <is>
          <t>2021-11-29</t>
        </is>
      </c>
      <c r="J752" t="inlineStr">
        <is>
          <t>Catalise Administração Judicial</t>
        </is>
      </c>
      <c r="K752" t="inlineStr">
        <is>
          <t>cataliseaj.com.br</t>
        </is>
      </c>
      <c r="L752" s="19" t="inlineStr">
        <is>
          <t>https://cataliseaj.com.br/sgc/download.php?file=files/processo_documento/processo_documento15542610062024_1_.pdf&amp;nome=12. HOMOLOGADO QUADRO GERAL DE CREDORES</t>
        </is>
      </c>
    </row>
    <row r="753">
      <c r="A753" t="inlineStr">
        <is>
          <t>89e5cd812ba8</t>
        </is>
      </c>
      <c r="B753" t="inlineStr">
        <is>
          <t>5087077-02.2020.8.21.0001</t>
        </is>
      </c>
      <c r="C753" t="inlineStr">
        <is>
          <t>QGC</t>
        </is>
      </c>
      <c r="D753" t="inlineStr">
        <is>
          <t>OK_NO_TOTALS</t>
        </is>
      </c>
      <c r="E753" t="n">
        <v>3</v>
      </c>
      <c r="F753" t="inlineStr">
        <is>
          <t>PROSE</t>
        </is>
      </c>
      <c r="G753" t="inlineStr">
        <is>
          <t>PROSE</t>
        </is>
      </c>
      <c r="H753" t="inlineStr"/>
      <c r="J753" t="inlineStr">
        <is>
          <t>Catalise Administração Judicial</t>
        </is>
      </c>
      <c r="K753" t="inlineStr">
        <is>
          <t>cataliseaj.com.br</t>
        </is>
      </c>
      <c r="L753" s="19" t="inlineStr">
        <is>
          <t>https://cataliseaj.com.br/sgc/download.php?file=files/processo_documento/processo_documento17360510062024_1_.pdf&amp;nome=10. LISTA QUADRO-GERAL DE CREDORES</t>
        </is>
      </c>
    </row>
    <row r="754">
      <c r="A754" t="inlineStr">
        <is>
          <t>9f6359ad8902</t>
        </is>
      </c>
      <c r="B754" t="inlineStr">
        <is>
          <t>5087077-02.2020.8.21.0001</t>
        </is>
      </c>
      <c r="C754" t="inlineStr">
        <is>
          <t>QGC</t>
        </is>
      </c>
      <c r="D754" t="inlineStr">
        <is>
          <t>OK_NO_TOTALS</t>
        </is>
      </c>
      <c r="E754" t="n">
        <v>2</v>
      </c>
      <c r="F754" t="inlineStr">
        <is>
          <t>PROSE</t>
        </is>
      </c>
      <c r="G754" t="inlineStr">
        <is>
          <t>PROSE</t>
        </is>
      </c>
      <c r="H754" t="inlineStr"/>
      <c r="I754" t="inlineStr">
        <is>
          <t>2021-10-15</t>
        </is>
      </c>
      <c r="J754" t="inlineStr">
        <is>
          <t>Catalise Administração Judicial</t>
        </is>
      </c>
      <c r="K754" t="inlineStr">
        <is>
          <t>cataliseaj.com.br</t>
        </is>
      </c>
      <c r="L754" s="19" t="inlineStr">
        <is>
          <t>https://cataliseaj.com.br/sgc/download.php?file=files/processo_documento/processo_documento17364510062024_1_.pdf&amp;nome=12. EDITAL QUADRO-GERAL DE CREDORES</t>
        </is>
      </c>
    </row>
    <row r="755">
      <c r="A755" t="inlineStr">
        <is>
          <t>b6a1c95560b4</t>
        </is>
      </c>
      <c r="B755" t="inlineStr">
        <is>
          <t>0000206-72.2017.8.17.2490</t>
        </is>
      </c>
      <c r="C755" t="inlineStr">
        <is>
          <t>QGC</t>
        </is>
      </c>
      <c r="D755" t="inlineStr">
        <is>
          <t>OK_NO_TOTALS</t>
        </is>
      </c>
      <c r="E755" t="n">
        <v>5</v>
      </c>
      <c r="F755" t="inlineStr">
        <is>
          <t>PROSE</t>
        </is>
      </c>
      <c r="G755" t="inlineStr">
        <is>
          <t>PROSE</t>
        </is>
      </c>
      <c r="H755" t="inlineStr"/>
      <c r="I755" t="inlineStr">
        <is>
          <t>2024-04-22</t>
        </is>
      </c>
      <c r="J755" t="inlineStr">
        <is>
          <t>E FALENCIA</t>
        </is>
      </c>
      <c r="K755" t="inlineStr">
        <is>
          <t>diligence.adm.br</t>
        </is>
      </c>
      <c r="L755" s="19" t="inlineStr">
        <is>
          <t>https://diligence.adm.br/wp-content/plugins/download-attachments/includes/download.php?id=4121</t>
        </is>
      </c>
    </row>
    <row r="756">
      <c r="A756" t="inlineStr">
        <is>
          <t>f4adb6a123bd</t>
        </is>
      </c>
      <c r="B756" t="inlineStr">
        <is>
          <t>0034582-54.1995.8.17.0001</t>
        </is>
      </c>
      <c r="C756" t="inlineStr">
        <is>
          <t>QGC</t>
        </is>
      </c>
      <c r="D756" t="inlineStr">
        <is>
          <t>OK_NO_TOTALS</t>
        </is>
      </c>
      <c r="E756" t="n">
        <v>189</v>
      </c>
      <c r="F756" t="inlineStr">
        <is>
          <t>TABLE</t>
        </is>
      </c>
      <c r="G756" t="inlineStr">
        <is>
          <t>TABLE_BANDS</t>
        </is>
      </c>
      <c r="H756" t="inlineStr"/>
      <c r="J756" t="inlineStr">
        <is>
          <t>Falência de Usina Catende  — Lindoso e Araujo</t>
        </is>
      </c>
      <c r="K756" t="inlineStr">
        <is>
          <t>recuperacaojudicial.squarespace.com</t>
        </is>
      </c>
      <c r="L756" s="19" t="inlineStr">
        <is>
          <t>https://recuperacaojudicial.squarespace.com/s/Fal-Usina-Catende-Edital-da-1-Lista-marco-2012.pdf</t>
        </is>
      </c>
    </row>
    <row r="757">
      <c r="A757" t="inlineStr">
        <is>
          <t>23c7d876c5cd</t>
        </is>
      </c>
      <c r="B757" t="inlineStr">
        <is>
          <t>5003572-94.2020.8.21.0072</t>
        </is>
      </c>
      <c r="C757" t="inlineStr">
        <is>
          <t>QGC</t>
        </is>
      </c>
      <c r="D757" t="inlineStr">
        <is>
          <t>OK_NO_TOTALS</t>
        </is>
      </c>
      <c r="E757" t="n">
        <v>3</v>
      </c>
      <c r="F757" t="inlineStr">
        <is>
          <t>PROSE</t>
        </is>
      </c>
      <c r="G757" t="inlineStr">
        <is>
          <t>PROSE</t>
        </is>
      </c>
      <c r="H757" t="inlineStr"/>
      <c r="J757" t="inlineStr">
        <is>
          <t>Catalise Administração Judicial</t>
        </is>
      </c>
      <c r="K757" t="inlineStr">
        <is>
          <t>cataliseaj.com.br</t>
        </is>
      </c>
      <c r="L757" s="19" t="inlineStr">
        <is>
          <t>https://cataliseaj.com.br/sgc/download.php?file=files/processo_documento/processo_documento16031312062024_1_.pdf&amp;nome=14. RELAÇÃO DE CREDORES INDIVIDUALIZADA</t>
        </is>
      </c>
    </row>
    <row r="758">
      <c r="A758" t="inlineStr">
        <is>
          <t>8c57772182de</t>
        </is>
      </c>
      <c r="B758" t="inlineStr">
        <is>
          <t>5001625-18.2022.8.24.0018</t>
        </is>
      </c>
      <c r="C758" t="inlineStr">
        <is>
          <t>QGC</t>
        </is>
      </c>
      <c r="D758" t="inlineStr">
        <is>
          <t>OK_NO_TOTALS</t>
        </is>
      </c>
      <c r="E758" t="n">
        <v>30</v>
      </c>
      <c r="F758" t="inlineStr">
        <is>
          <t>TABLE</t>
        </is>
      </c>
      <c r="G758" t="inlineStr">
        <is>
          <t>TABLE_RULED</t>
        </is>
      </c>
      <c r="H758" t="inlineStr"/>
      <c r="I758" t="inlineStr">
        <is>
          <t>2025-07-02</t>
        </is>
      </c>
      <c r="J758" t="inlineStr">
        <is>
          <t>e, sobretudo, com a análise dos livros contábeis apresentados pelas empresa</t>
        </is>
      </c>
      <c r="K758" t="inlineStr">
        <is>
          <t>scalzilliaj.com.br</t>
        </is>
      </c>
      <c r="L758" s="19" t="inlineStr">
        <is>
          <t>https://scalzilliaj.com.br/sgc/download.php?file=files/processo_documento/processo_documento14011402072025_1_.pdf&amp;nome=04 - Relação de credores do art. 7, §2º, da LREF</t>
        </is>
      </c>
    </row>
    <row r="759">
      <c r="A759" t="inlineStr">
        <is>
          <t>58df07bbdd79</t>
        </is>
      </c>
      <c r="B759" t="inlineStr">
        <is>
          <t>5001625-18.2022.8.24.0018</t>
        </is>
      </c>
      <c r="C759" t="inlineStr">
        <is>
          <t>QGC</t>
        </is>
      </c>
      <c r="D759" t="inlineStr">
        <is>
          <t>OK_NO_TOTALS</t>
        </is>
      </c>
      <c r="E759" t="n">
        <v>29</v>
      </c>
      <c r="F759" t="inlineStr">
        <is>
          <t>TABLE</t>
        </is>
      </c>
      <c r="G759" t="inlineStr">
        <is>
          <t>TABLE_RULED</t>
        </is>
      </c>
      <c r="H759" t="inlineStr"/>
      <c r="I759" t="inlineStr">
        <is>
          <t>2025-07-02</t>
        </is>
      </c>
      <c r="J759" t="inlineStr">
        <is>
          <t>SCZ Scalzilli Administração Judicial</t>
        </is>
      </c>
      <c r="K759" t="inlineStr">
        <is>
          <t>scalzilliaj.com.br</t>
        </is>
      </c>
      <c r="L759" s="19" t="inlineStr">
        <is>
          <t>https://scalzilliaj.com.br/sgc/download.php?file=files/processo_documento/processo_documento14070402072025_1_.pdf&amp;nome=06 - Relação de credores do art. 18, da LREF</t>
        </is>
      </c>
    </row>
    <row r="760">
      <c r="A760" t="inlineStr">
        <is>
          <t>971651d82e9c</t>
        </is>
      </c>
      <c r="B760" t="inlineStr">
        <is>
          <t>5045407-81.2020.8.21.0001</t>
        </is>
      </c>
      <c r="C760" t="inlineStr">
        <is>
          <t>QGC</t>
        </is>
      </c>
      <c r="D760" t="inlineStr">
        <is>
          <t>OK_NO_TOTALS</t>
        </is>
      </c>
      <c r="E760" t="n">
        <v>3</v>
      </c>
      <c r="F760" t="inlineStr">
        <is>
          <t>TABLE</t>
        </is>
      </c>
      <c r="G760" t="inlineStr">
        <is>
          <t>TABLE_BANDS</t>
        </is>
      </c>
      <c r="H760" t="inlineStr"/>
      <c r="I760" t="inlineStr">
        <is>
          <t>2023-05-03</t>
        </is>
      </c>
      <c r="J760" t="inlineStr">
        <is>
          <t>Catalise Administração Judicial</t>
        </is>
      </c>
      <c r="K760" t="inlineStr">
        <is>
          <t>cataliseaj.com.br</t>
        </is>
      </c>
      <c r="L760" s="19" t="inlineStr">
        <is>
          <t>https://cataliseaj.com.br/sgc/download.php?file=files/processo_documento/processo_documento14081810062024_1_.pdf&amp;nome=18. SENTENÇA - ENCERRAMENTO DA FALÊNCIA</t>
        </is>
      </c>
    </row>
    <row r="761">
      <c r="A761" t="inlineStr">
        <is>
          <t>620492a90293</t>
        </is>
      </c>
      <c r="B761" t="inlineStr">
        <is>
          <t>5006054-94.2026.8.21.0010</t>
        </is>
      </c>
      <c r="C761" t="inlineStr">
        <is>
          <t>QGC</t>
        </is>
      </c>
      <c r="D761" t="inlineStr">
        <is>
          <t>OK_NO_TOTALS</t>
        </is>
      </c>
      <c r="E761" t="n">
        <v>4</v>
      </c>
      <c r="F761" t="inlineStr">
        <is>
          <t>TABLE</t>
        </is>
      </c>
      <c r="G761" t="inlineStr">
        <is>
          <t>TABLE_BANDS</t>
        </is>
      </c>
      <c r="H761" t="inlineStr"/>
      <c r="J761" t="inlineStr">
        <is>
          <t>Catalise Administração Judicial</t>
        </is>
      </c>
      <c r="K761" t="inlineStr">
        <is>
          <t>cataliseaj.com.br</t>
        </is>
      </c>
      <c r="L761" s="19" t="inlineStr">
        <is>
          <t>https://cataliseaj.com.br/sgc/download.php?file=files/processo_documento/processo_documento11070313032026_1_.pdf&amp;nome=2. SENTENÇA  FALÊNCIA</t>
        </is>
      </c>
    </row>
    <row r="762">
      <c r="A762" t="inlineStr">
        <is>
          <t>a57b29e07c6d</t>
        </is>
      </c>
      <c r="B762" t="inlineStr">
        <is>
          <t>5012295-78.2023.8.24.0019</t>
        </is>
      </c>
      <c r="C762" t="inlineStr">
        <is>
          <t>QGC</t>
        </is>
      </c>
      <c r="D762" t="inlineStr">
        <is>
          <t>OK_NO_TOTALS</t>
        </is>
      </c>
      <c r="E762" t="n">
        <v>2</v>
      </c>
      <c r="F762" t="inlineStr">
        <is>
          <t>PROSE</t>
        </is>
      </c>
      <c r="G762" t="inlineStr">
        <is>
          <t>PROSE</t>
        </is>
      </c>
      <c r="H762" t="inlineStr"/>
      <c r="I762" t="inlineStr">
        <is>
          <t>2024-03-05</t>
        </is>
      </c>
      <c r="J762" t="inlineStr">
        <is>
          <t>GAMAC IMPORTACAO E EXPORTACAO LTDA</t>
        </is>
      </c>
      <c r="K762" t="inlineStr">
        <is>
          <t>scalzilliaj.com.br</t>
        </is>
      </c>
      <c r="L762" s="19" t="inlineStr">
        <is>
          <t>https://scalzilliaj.com.br/sgc/download.php?file=files/processo_documento/processo_documento10141405032024_1_.pdf&amp;nome=10 - Edital do art. 7º, §2º da Lei 11.101/2005 (segunda lista de credores)</t>
        </is>
      </c>
    </row>
    <row r="763">
      <c r="A763" t="inlineStr">
        <is>
          <t>375eb9076d9a</t>
        </is>
      </c>
      <c r="B763" t="inlineStr">
        <is>
          <t>1001917-20.2026.8.13.0024</t>
        </is>
      </c>
      <c r="C763" t="inlineStr">
        <is>
          <t>QGC</t>
        </is>
      </c>
      <c r="D763" t="inlineStr">
        <is>
          <t>OK_NO_TOTALS</t>
        </is>
      </c>
      <c r="E763" t="n">
        <v>5</v>
      </c>
      <c r="F763" t="inlineStr">
        <is>
          <t>PROSE</t>
        </is>
      </c>
      <c r="G763" t="inlineStr">
        <is>
          <t>PROSE</t>
        </is>
      </c>
      <c r="H763" t="inlineStr"/>
      <c r="I763" t="inlineStr">
        <is>
          <t>2026-08-26</t>
        </is>
      </c>
      <c r="J763" t="inlineStr">
        <is>
          <t>GBA COMERCIA</t>
        </is>
      </c>
      <c r="K763" t="inlineStr">
        <is>
          <t>scalzilliaj.com.br</t>
        </is>
      </c>
      <c r="L763" s="19" t="inlineStr">
        <is>
          <t>https://scalzilliaj.com.br/sgc/download.php?file=files/processo_documento/processo_documento18311426082026_1_.pdf&amp;nome=03 - Relação de credores (Edital do art. 52, §1º)</t>
        </is>
      </c>
    </row>
    <row r="764">
      <c r="A764" t="inlineStr">
        <is>
          <t>0b5e48a7dc9e</t>
        </is>
      </c>
      <c r="B764" t="inlineStr">
        <is>
          <t>0067168-21.2019.8.17.2001</t>
        </is>
      </c>
      <c r="C764" t="inlineStr">
        <is>
          <t>QGC</t>
        </is>
      </c>
      <c r="D764" t="inlineStr">
        <is>
          <t>OK_NO_TOTALS</t>
        </is>
      </c>
      <c r="E764" t="n">
        <v>7</v>
      </c>
      <c r="F764" t="inlineStr">
        <is>
          <t>PROSE</t>
        </is>
      </c>
      <c r="G764" t="inlineStr">
        <is>
          <t>PROSE</t>
        </is>
      </c>
      <c r="H764" t="inlineStr"/>
      <c r="J764" t="inlineStr">
        <is>
          <t>E FALENCIA</t>
        </is>
      </c>
      <c r="K764" t="inlineStr">
        <is>
          <t>lrflideres.com.br</t>
        </is>
      </c>
      <c r="L764" s="19" t="inlineStr">
        <is>
          <t>https://lrflideres.com.br/wp-content/plugins/download-attachments/includes/download.php?id=3751</t>
        </is>
      </c>
    </row>
    <row r="765">
      <c r="A765" t="inlineStr">
        <is>
          <t>dc7fa235a7c1</t>
        </is>
      </c>
      <c r="B765" t="inlineStr">
        <is>
          <t>5008261-83.2019.8.21.0019</t>
        </is>
      </c>
      <c r="C765" t="inlineStr">
        <is>
          <t>QGC</t>
        </is>
      </c>
      <c r="D765" t="inlineStr">
        <is>
          <t>OK_NO_TOTALS</t>
        </is>
      </c>
      <c r="E765" t="n">
        <v>16</v>
      </c>
      <c r="F765" t="inlineStr">
        <is>
          <t>TABLE</t>
        </is>
      </c>
      <c r="G765" t="inlineStr">
        <is>
          <t>TABLE_BANDS</t>
        </is>
      </c>
      <c r="H765" t="inlineStr"/>
      <c r="J765" t="inlineStr">
        <is>
          <t>SCZ Scalzilli Administração Judicial</t>
        </is>
      </c>
      <c r="K765" t="inlineStr">
        <is>
          <t>scalzilliaj.com.br</t>
        </is>
      </c>
      <c r="L765" s="19" t="inlineStr">
        <is>
          <t>https://scalzilliaj.com.br/sgc/download.php?file=files/processo_documento/processo_documento13180420072022_1_.pdf&amp;nome=13 - QGC provisório</t>
        </is>
      </c>
    </row>
    <row r="766">
      <c r="A766" t="inlineStr">
        <is>
          <t>893648330cd2</t>
        </is>
      </c>
      <c r="B766" t="inlineStr">
        <is>
          <t>0160454-48.2022.8.17.2001</t>
        </is>
      </c>
      <c r="C766" t="inlineStr">
        <is>
          <t>QGC</t>
        </is>
      </c>
      <c r="D766" t="inlineStr">
        <is>
          <t>OK_NO_TOTALS</t>
        </is>
      </c>
      <c r="E766" t="n">
        <v>27</v>
      </c>
      <c r="F766" t="inlineStr">
        <is>
          <t>TABLE</t>
        </is>
      </c>
      <c r="G766" t="inlineStr">
        <is>
          <t>TABLE_RULED</t>
        </is>
      </c>
      <c r="H766" t="inlineStr"/>
      <c r="J766" t="inlineStr">
        <is>
          <t>GRUPO ALFA – Diligence Administração em Recuperação Judicial e Falência</t>
        </is>
      </c>
      <c r="K766" t="inlineStr">
        <is>
          <t>diligence.adm.br</t>
        </is>
      </c>
      <c r="L766" s="19" t="inlineStr">
        <is>
          <t>https://diligence.adm.br/wp-content/uploads/2024/04/Relacao-de-Credores-Classe-I-Atualizada-Outubro-25-1.pdf</t>
        </is>
      </c>
    </row>
    <row r="767">
      <c r="A767" t="inlineStr">
        <is>
          <t>28df82ff9f96</t>
        </is>
      </c>
      <c r="B767" t="inlineStr">
        <is>
          <t>5009474-18.2019.8.21.0022</t>
        </is>
      </c>
      <c r="C767" t="inlineStr">
        <is>
          <t>QGC</t>
        </is>
      </c>
      <c r="D767" t="inlineStr">
        <is>
          <t>OK_NO_TOTALS</t>
        </is>
      </c>
      <c r="E767" t="n">
        <v>186</v>
      </c>
      <c r="F767" t="inlineStr">
        <is>
          <t>TABLE</t>
        </is>
      </c>
      <c r="G767" t="inlineStr">
        <is>
          <t>TABLE_RULED</t>
        </is>
      </c>
      <c r="H767" t="inlineStr"/>
      <c r="I767" t="inlineStr">
        <is>
          <t>2021-08-06</t>
        </is>
      </c>
      <c r="J767" t="inlineStr">
        <is>
          <t>em epígrafe, vem, respeitosa</t>
        </is>
      </c>
      <c r="K767" t="inlineStr">
        <is>
          <t>cataliseaj.com.br</t>
        </is>
      </c>
      <c r="L767" s="19" t="inlineStr">
        <is>
          <t>https://cataliseaj.com.br/sgc/download.php?file=files/processo_documento/processo_documento09035011062024_1_.pdf&amp;nome=14. 2º PLANO MODIFICATIVO</t>
        </is>
      </c>
    </row>
    <row r="768">
      <c r="A768" t="inlineStr">
        <is>
          <t>fc459b230338</t>
        </is>
      </c>
      <c r="B768" t="inlineStr">
        <is>
          <t>5008261-83.2019.8.21.0019</t>
        </is>
      </c>
      <c r="C768" t="inlineStr">
        <is>
          <t>QGC</t>
        </is>
      </c>
      <c r="D768" t="inlineStr">
        <is>
          <t>OK_NO_TOTALS</t>
        </is>
      </c>
      <c r="E768" t="n">
        <v>9</v>
      </c>
      <c r="F768" t="inlineStr">
        <is>
          <t>TABLE</t>
        </is>
      </c>
      <c r="G768" t="inlineStr">
        <is>
          <t>TABLE_BANDS</t>
        </is>
      </c>
      <c r="H768" t="inlineStr"/>
      <c r="I768" t="inlineStr">
        <is>
          <t>2023-12-18</t>
        </is>
      </c>
      <c r="J768" t="inlineStr">
        <is>
          <t>SCZ Scalzilli Administração Judicial</t>
        </is>
      </c>
      <c r="K768" t="inlineStr">
        <is>
          <t>scalzilliaj.com.br</t>
        </is>
      </c>
      <c r="L768" s="19" t="inlineStr">
        <is>
          <t>https://scalzilliaj.com.br/sgc/download.php?file=files/processo_documento/processo_documento18432315122023_1_.pdf&amp;nome=15 - Edital do art. 18 da Lei 11.101/2005 (quadro geral de credores)</t>
        </is>
      </c>
    </row>
    <row r="769">
      <c r="A769" t="inlineStr">
        <is>
          <t>35e3afbc2e27</t>
        </is>
      </c>
      <c r="B769" t="inlineStr">
        <is>
          <t>0160454-48.2022.8.17.2001</t>
        </is>
      </c>
      <c r="C769" t="inlineStr">
        <is>
          <t>QGC</t>
        </is>
      </c>
      <c r="D769" t="inlineStr">
        <is>
          <t>OK_NO_TOTALS</t>
        </is>
      </c>
      <c r="E769" t="n">
        <v>4</v>
      </c>
      <c r="F769" t="inlineStr">
        <is>
          <t>TABLE</t>
        </is>
      </c>
      <c r="G769" t="inlineStr">
        <is>
          <t>TABLE_BANDS</t>
        </is>
      </c>
      <c r="H769" t="inlineStr"/>
      <c r="J769" t="inlineStr">
        <is>
          <t>GRUPO ALFA – Diligence Administração em Recuperação Judicial e Falência</t>
        </is>
      </c>
      <c r="K769" t="inlineStr">
        <is>
          <t>diligence.adm.br</t>
        </is>
      </c>
      <c r="L769" s="19" t="inlineStr">
        <is>
          <t>https://diligence.adm.br/wp-content/uploads/2024/04/Relacao-de-Credores-Classe-III-Atualizada-Outubro-25-1.pdf</t>
        </is>
      </c>
    </row>
    <row r="770">
      <c r="A770" t="inlineStr">
        <is>
          <t>faec85d0dc38</t>
        </is>
      </c>
      <c r="B770" t="inlineStr">
        <is>
          <t>5009474-18.2019.8.21.0022</t>
        </is>
      </c>
      <c r="C770" t="inlineStr">
        <is>
          <t>QGC</t>
        </is>
      </c>
      <c r="D770" t="inlineStr">
        <is>
          <t>OK_NO_TOTALS</t>
        </is>
      </c>
      <c r="E770" t="n">
        <v>45</v>
      </c>
      <c r="F770" t="inlineStr">
        <is>
          <t>TABLE</t>
        </is>
      </c>
      <c r="G770" t="inlineStr">
        <is>
          <t>TABLE_RULED</t>
        </is>
      </c>
      <c r="H770" t="inlineStr"/>
      <c r="J770" t="inlineStr">
        <is>
          <t>como advogados, administrador judicia</t>
        </is>
      </c>
      <c r="K770" t="inlineStr">
        <is>
          <t>cataliseaj.com.br</t>
        </is>
      </c>
      <c r="L770" s="19" t="inlineStr">
        <is>
          <t>https://cataliseaj.com.br/sgc/download.php?file=files/processo_documento/processo_documento09045611062024_1_.pdf&amp;nome=15. 3º PLANO MODIFICATIVO</t>
        </is>
      </c>
    </row>
    <row r="771">
      <c r="A771" t="inlineStr">
        <is>
          <t>0692d6834236</t>
        </is>
      </c>
      <c r="B771" t="inlineStr">
        <is>
          <t>5008261-83.2019.8.21.0019</t>
        </is>
      </c>
      <c r="C771" t="inlineStr">
        <is>
          <t>QGC</t>
        </is>
      </c>
      <c r="D771" t="inlineStr">
        <is>
          <t>OK_NO_TOTALS</t>
        </is>
      </c>
      <c r="E771" t="n">
        <v>12</v>
      </c>
      <c r="F771" t="inlineStr">
        <is>
          <t>PROSE</t>
        </is>
      </c>
      <c r="G771" t="inlineStr">
        <is>
          <t>PROSE</t>
        </is>
      </c>
      <c r="H771" t="inlineStr"/>
      <c r="I771" t="inlineStr">
        <is>
          <t>2025-01-13</t>
        </is>
      </c>
      <c r="J771" t="inlineStr">
        <is>
          <t>SCZ Scalzilli Administração Judicial</t>
        </is>
      </c>
      <c r="K771" t="inlineStr">
        <is>
          <t>scalzilliaj.com.br</t>
        </is>
      </c>
      <c r="L771" s="19" t="inlineStr">
        <is>
          <t>https://scalzilliaj.com.br/sgc/download.php?file=files/processo_documento/processo_documento11564713012025_1_.pdf&amp;nome=17 - Edital de retificação do Quadro Geral de Credores (referente apenas à Classe I)</t>
        </is>
      </c>
    </row>
    <row r="772">
      <c r="A772" t="inlineStr">
        <is>
          <t>0ed909b49e56</t>
        </is>
      </c>
      <c r="B772" t="inlineStr">
        <is>
          <t>0160454-48.2022.8.17.2001</t>
        </is>
      </c>
      <c r="C772" t="inlineStr">
        <is>
          <t>QGC</t>
        </is>
      </c>
      <c r="D772" t="inlineStr">
        <is>
          <t>OK_NO_TOTALS</t>
        </is>
      </c>
      <c r="E772" t="n">
        <v>2</v>
      </c>
      <c r="F772" t="inlineStr">
        <is>
          <t>TABLE</t>
        </is>
      </c>
      <c r="G772" t="inlineStr">
        <is>
          <t>TABLE_BANDS</t>
        </is>
      </c>
      <c r="H772" t="inlineStr"/>
      <c r="J772" t="inlineStr">
        <is>
          <t>GRUPO ALFA – Diligence Administração em Recuperação Judicial e Falência</t>
        </is>
      </c>
      <c r="K772" t="inlineStr">
        <is>
          <t>diligence.adm.br</t>
        </is>
      </c>
      <c r="L772" s="19" t="inlineStr">
        <is>
          <t>https://diligence.adm.br/wp-content/uploads/2024/04/Relacao-de-Credores-Classe-IV-Atualizada-Outubro-25-1.pdf</t>
        </is>
      </c>
    </row>
    <row r="773">
      <c r="A773" t="inlineStr">
        <is>
          <t>03dbf807dfa3</t>
        </is>
      </c>
      <c r="B773" t="inlineStr">
        <is>
          <t>5009474-18.2019.8.21.0022</t>
        </is>
      </c>
      <c r="C773" t="inlineStr">
        <is>
          <t>QGC</t>
        </is>
      </c>
      <c r="D773" t="inlineStr">
        <is>
          <t>OK_NO_TOTALS</t>
        </is>
      </c>
      <c r="E773" t="n">
        <v>11</v>
      </c>
      <c r="F773" t="inlineStr">
        <is>
          <t>TABLE</t>
        </is>
      </c>
      <c r="G773" t="inlineStr">
        <is>
          <t>TABLE_BANDS</t>
        </is>
      </c>
      <c r="H773" t="inlineStr"/>
      <c r="I773" t="inlineStr">
        <is>
          <t>2021-12-10</t>
        </is>
      </c>
      <c r="J773" t="inlineStr">
        <is>
          <t>empresa</t>
        </is>
      </c>
      <c r="K773" t="inlineStr">
        <is>
          <t>cataliseaj.com.br</t>
        </is>
      </c>
      <c r="L773" s="19" t="inlineStr">
        <is>
          <t>https://cataliseaj.com.br/sgc/download.php?file=files/processo_documento/processo_documento11351511062024_1_.pdf&amp;nome=  22. SENTENÇA CONVOLAÇÃO DA RJ EM FALÊNCIA CONTINUADA</t>
        </is>
      </c>
    </row>
    <row r="774">
      <c r="A774" t="inlineStr">
        <is>
          <t>8b4c169de629</t>
        </is>
      </c>
      <c r="B774" t="inlineStr">
        <is>
          <t>5000561-63.2025.8.24.0536</t>
        </is>
      </c>
      <c r="C774" t="inlineStr">
        <is>
          <t>QGC</t>
        </is>
      </c>
      <c r="D774" t="inlineStr">
        <is>
          <t>OK_NO_TOTALS</t>
        </is>
      </c>
      <c r="E774" t="n">
        <v>1</v>
      </c>
      <c r="F774" t="inlineStr">
        <is>
          <t>TABLE</t>
        </is>
      </c>
      <c r="G774" t="inlineStr">
        <is>
          <t>TABLE_RULED</t>
        </is>
      </c>
      <c r="H774" t="inlineStr"/>
      <c r="J774" t="inlineStr">
        <is>
          <t>SCZ Scalzilli Administração Judicial</t>
        </is>
      </c>
      <c r="K774" t="inlineStr">
        <is>
          <t>scalzilliaj.com.br</t>
        </is>
      </c>
      <c r="L774" s="19" t="inlineStr">
        <is>
          <t>https://scalzilliaj.com.br/sgc/download.php?file=files/processo_documento/processo_documento13183320052026_1_.pdf&amp;nome=10 - QGC Provisório - atualizado até Maio de 2026</t>
        </is>
      </c>
    </row>
    <row r="775">
      <c r="A775" t="inlineStr">
        <is>
          <t>edb580f0c5bc</t>
        </is>
      </c>
      <c r="B775" t="inlineStr">
        <is>
          <t>0049768-73.2018.8.21.0010</t>
        </is>
      </c>
      <c r="C775" t="inlineStr">
        <is>
          <t>QGC</t>
        </is>
      </c>
      <c r="D775" t="inlineStr">
        <is>
          <t>OK_NO_TOTALS</t>
        </is>
      </c>
      <c r="E775" t="n">
        <v>2</v>
      </c>
      <c r="F775" t="inlineStr">
        <is>
          <t>TABLE</t>
        </is>
      </c>
      <c r="G775" t="inlineStr">
        <is>
          <t>TABLE_BANDS</t>
        </is>
      </c>
      <c r="H775" t="inlineStr"/>
      <c r="I775" t="inlineStr">
        <is>
          <t>2019-08-22</t>
        </is>
      </c>
      <c r="J775" t="inlineStr">
        <is>
          <t>SCZ Scalzilli Administração Judicial</t>
        </is>
      </c>
      <c r="K775" t="inlineStr">
        <is>
          <t>scalzilliaj.com.br</t>
        </is>
      </c>
      <c r="L775" s="19" t="inlineStr">
        <is>
          <t>https://scalzilliaj.com.br/sgc/download.php?file=files/processo_documento/processo_documento15242107012022_1_.pdf&amp;nome=10 - Edital do art. 18 da Lei 11.101/2005 (quadro geral de credores)</t>
        </is>
      </c>
    </row>
    <row r="776">
      <c r="A776" t="inlineStr">
        <is>
          <t>95341eb49a13</t>
        </is>
      </c>
      <c r="B776" t="inlineStr">
        <is>
          <t>5044580-07.2019.8.21.0001</t>
        </is>
      </c>
      <c r="C776" t="inlineStr">
        <is>
          <t>QGC</t>
        </is>
      </c>
      <c r="D776" t="inlineStr">
        <is>
          <t>OK_NO_TOTALS</t>
        </is>
      </c>
      <c r="E776" t="n">
        <v>41</v>
      </c>
      <c r="F776" t="inlineStr">
        <is>
          <t>TABLE</t>
        </is>
      </c>
      <c r="G776" t="inlineStr">
        <is>
          <t>TABLE_BANDS</t>
        </is>
      </c>
      <c r="H776" t="inlineStr"/>
      <c r="J776" t="inlineStr">
        <is>
          <t>VARA DE DIREITO EMPRESA</t>
        </is>
      </c>
      <c r="K776" t="inlineStr">
        <is>
          <t>cataliseaj.com.br</t>
        </is>
      </c>
      <c r="L776" s="19" t="inlineStr">
        <is>
          <t>https://cataliseaj.com.br/sgc/download.php?file=files/processo_documento/processo_documento15263203102024_1_.pdf&amp;nome=7. 2º MODIFICATIVO DO PLANO DE RECUPERAÇÃO JUDICIAL</t>
        </is>
      </c>
    </row>
    <row r="777">
      <c r="A777" t="inlineStr">
        <is>
          <t>41bad830b310</t>
        </is>
      </c>
      <c r="B777" t="inlineStr">
        <is>
          <t>5001888-13.2023.8.24.0019</t>
        </is>
      </c>
      <c r="C777" t="inlineStr">
        <is>
          <t>QGC</t>
        </is>
      </c>
      <c r="D777" t="inlineStr">
        <is>
          <t>OK_NO_TOTALS</t>
        </is>
      </c>
      <c r="E777" t="n">
        <v>6</v>
      </c>
      <c r="F777" t="inlineStr">
        <is>
          <t>TABLE</t>
        </is>
      </c>
      <c r="G777" t="inlineStr">
        <is>
          <t>TABLE_BANDS</t>
        </is>
      </c>
      <c r="H777" t="inlineStr"/>
      <c r="I777" t="inlineStr">
        <is>
          <t>2023-04-10</t>
        </is>
      </c>
      <c r="J777" t="inlineStr">
        <is>
          <t>nos termos do Plano de Soerguimento a ser submetido oportunamente à aprecia</t>
        </is>
      </c>
      <c r="K777" t="inlineStr">
        <is>
          <t>administradorajudicialgs.com.br</t>
        </is>
      </c>
      <c r="L777" s="19" t="inlineStr">
        <is>
          <t>https://administradorajudicialgs.com.br/wp-content/uploads/2023/08/edital-decisao-de-processamento-e-relacao-de-credores-art-7-e-52.pdf</t>
        </is>
      </c>
    </row>
    <row r="778">
      <c r="A778" t="inlineStr">
        <is>
          <t>7ed77eca2273</t>
        </is>
      </c>
      <c r="B778" t="inlineStr">
        <is>
          <t>5007102-48.2024.8.24.0019</t>
        </is>
      </c>
      <c r="C778" t="inlineStr">
        <is>
          <t>QGC</t>
        </is>
      </c>
      <c r="D778" t="inlineStr">
        <is>
          <t>OK_NO_TOTALS</t>
        </is>
      </c>
      <c r="E778" t="n">
        <v>2</v>
      </c>
      <c r="F778" t="inlineStr">
        <is>
          <t>TABLE</t>
        </is>
      </c>
      <c r="G778" t="inlineStr">
        <is>
          <t>TABLE_BANDS</t>
        </is>
      </c>
      <c r="H778" t="inlineStr"/>
      <c r="I778" t="inlineStr">
        <is>
          <t>2026-02-04</t>
        </is>
      </c>
      <c r="J778" t="inlineStr">
        <is>
          <t>SCZ Scalzilli Administração Judicial</t>
        </is>
      </c>
      <c r="K778" t="inlineStr">
        <is>
          <t>scalzilliaj.com.br</t>
        </is>
      </c>
      <c r="L778" s="19" t="inlineStr">
        <is>
          <t>https://scalzilliaj.com.br/sgc/download.php?file=files/processo_documento/processo_documento11471404022026_1_.pdf&amp;nome=07 - Quadro Geral de Credores e chamamento para indicação de dados bancários</t>
        </is>
      </c>
    </row>
    <row r="779">
      <c r="A779" t="inlineStr">
        <is>
          <t>030fb0765a5e</t>
        </is>
      </c>
      <c r="B779" t="inlineStr">
        <is>
          <t>5021639-32.2021.8.21.0021</t>
        </is>
      </c>
      <c r="C779" t="inlineStr">
        <is>
          <t>QGC</t>
        </is>
      </c>
      <c r="D779" t="inlineStr">
        <is>
          <t>OK_NO_TOTALS</t>
        </is>
      </c>
      <c r="E779" t="n">
        <v>6</v>
      </c>
      <c r="F779" t="inlineStr">
        <is>
          <t>TABLE</t>
        </is>
      </c>
      <c r="G779" t="inlineStr">
        <is>
          <t>TABLE_BANDS</t>
        </is>
      </c>
      <c r="H779" t="inlineStr"/>
      <c r="I779" t="inlineStr">
        <is>
          <t>2000-02-28</t>
        </is>
      </c>
      <c r="J779" t="inlineStr">
        <is>
          <t>SCZ Scalzilli Administração Judicial</t>
        </is>
      </c>
      <c r="K779" t="inlineStr">
        <is>
          <t>scalzilliaj.com.br</t>
        </is>
      </c>
      <c r="L779" s="19" t="inlineStr">
        <is>
          <t>https://scalzilliaj.com.br/sgc/download.php?file=files/processo_documento/processo_documento11070417062026_1_.pdf&amp;nome=04 - Quadro Geral de Credores</t>
        </is>
      </c>
    </row>
    <row r="780">
      <c r="A780" t="inlineStr">
        <is>
          <t>cf92cff797d2</t>
        </is>
      </c>
      <c r="B780" t="inlineStr">
        <is>
          <t>5057720-48.2025.8.24.0023</t>
        </is>
      </c>
      <c r="C780" t="inlineStr">
        <is>
          <t>QUORUM_LIST</t>
        </is>
      </c>
      <c r="D780" t="inlineStr">
        <is>
          <t>OK_NO_TOTALS</t>
        </is>
      </c>
      <c r="E780" t="n">
        <v>2</v>
      </c>
      <c r="F780" t="inlineStr">
        <is>
          <t>TABLE</t>
        </is>
      </c>
      <c r="G780" t="inlineStr">
        <is>
          <t>TABLE_RULED</t>
        </is>
      </c>
      <c r="H780" t="inlineStr"/>
      <c r="J780" t="inlineStr">
        <is>
          <t>Grupo Rech | Administração Judicial - Credibilità</t>
        </is>
      </c>
      <c r="K780" t="inlineStr">
        <is>
          <t>credibilita.com.br</t>
        </is>
      </c>
      <c r="L780" s="19" t="inlineStr">
        <is>
          <t>https://credibilita.com.br/wp-content/uploads/2025/09/Relacao-Credores-29.04.2026.pdf</t>
        </is>
      </c>
    </row>
    <row r="781">
      <c r="A781" t="inlineStr">
        <is>
          <t>b64759742011</t>
        </is>
      </c>
      <c r="B781" t="inlineStr">
        <is>
          <t>0011283-80.2023.8.17.2001</t>
        </is>
      </c>
      <c r="C781" t="inlineStr">
        <is>
          <t>UNKNOWN</t>
        </is>
      </c>
      <c r="D781" t="inlineStr">
        <is>
          <t>OK_NO_TOTALS</t>
        </is>
      </c>
      <c r="E781" t="n">
        <v>5</v>
      </c>
      <c r="F781" t="inlineStr">
        <is>
          <t>TABLE</t>
        </is>
      </c>
      <c r="G781" t="inlineStr">
        <is>
          <t>TABLE_BANDS</t>
        </is>
      </c>
      <c r="H781" t="inlineStr"/>
      <c r="I781" t="inlineStr">
        <is>
          <t>2025-01-14</t>
        </is>
      </c>
      <c r="J781" t="inlineStr">
        <is>
          <t>Náutico - Página — Lindoso e Araujo</t>
        </is>
      </c>
      <c r="K781" t="inlineStr">
        <is>
          <t>recuperacaojudicial.squarespace.com</t>
        </is>
      </c>
      <c r="L781" s="19" t="inlineStr">
        <is>
          <t>https://recuperacaojudicial.squarespace.com/s/0011283-8020238172001-1736865367684-401832-pub-edital-152739742.pdf</t>
        </is>
      </c>
    </row>
    <row r="782">
      <c r="A782" t="inlineStr">
        <is>
          <t>9b7c6076f0b4</t>
        </is>
      </c>
      <c r="B782" t="inlineStr">
        <is>
          <t>0311937-30.2016.8.24.0033</t>
        </is>
      </c>
      <c r="C782" t="inlineStr">
        <is>
          <t>UNKNOWN</t>
        </is>
      </c>
      <c r="D782" t="inlineStr">
        <is>
          <t>OK_NO_TOTALS</t>
        </is>
      </c>
      <c r="E782" t="n">
        <v>53</v>
      </c>
      <c r="F782" t="inlineStr">
        <is>
          <t>TABLE</t>
        </is>
      </c>
      <c r="G782" t="inlineStr">
        <is>
          <t>TABLE_RULED</t>
        </is>
      </c>
      <c r="H782" t="inlineStr"/>
      <c r="J782" t="inlineStr">
        <is>
          <t>F.MARINE INDÚSTRIA E COMÉRCIO DE PRODUTOS NÁUTICOS LTDA – Sgrott Administradora Judicial e Consultoria Empresarial</t>
        </is>
      </c>
      <c r="K782" t="inlineStr">
        <is>
          <t>administradorajudicialgs.com.br</t>
        </is>
      </c>
      <c r="L782" s="19" t="inlineStr">
        <is>
          <t>https://administradorajudicialgs.com.br/wp-content/uploads/2023/08/doc-02-relacao-de-credores-1.pdf</t>
        </is>
      </c>
    </row>
    <row r="783">
      <c r="A783" t="inlineStr">
        <is>
          <t>c178292f19b3</t>
        </is>
      </c>
      <c r="B783" t="inlineStr">
        <is>
          <t>0302174-63.2015.8.24.0025</t>
        </is>
      </c>
      <c r="C783" t="inlineStr">
        <is>
          <t>UNKNOWN</t>
        </is>
      </c>
      <c r="D783" t="inlineStr">
        <is>
          <t>OK_NO_TOTALS</t>
        </is>
      </c>
      <c r="E783" t="n">
        <v>4</v>
      </c>
      <c r="F783" t="inlineStr">
        <is>
          <t>TABLE</t>
        </is>
      </c>
      <c r="G783" t="inlineStr">
        <is>
          <t>TABLE_RULED</t>
        </is>
      </c>
      <c r="H783" t="inlineStr"/>
      <c r="J783" t="inlineStr">
        <is>
          <t>CONFECÇÕES ANDRIMALHAS LTDA – Sgrott Administradora Judicial e Consultoria Empresarial</t>
        </is>
      </c>
      <c r="K783" t="inlineStr">
        <is>
          <t>administradorajudicialgs.com.br</t>
        </is>
      </c>
      <c r="L783" s="19" t="inlineStr">
        <is>
          <t>https://administradorajudicialgs.com.br/wp-content/uploads/2023/08/doc-02-relacao-de-credores-2.pdf</t>
        </is>
      </c>
    </row>
    <row r="784">
      <c r="A784" t="inlineStr">
        <is>
          <t>672cbd66be81</t>
        </is>
      </c>
      <c r="B784" t="inlineStr">
        <is>
          <t>0843102-61.2020.8.15.2001</t>
        </is>
      </c>
      <c r="C784" t="inlineStr">
        <is>
          <t>UNKNOWN</t>
        </is>
      </c>
      <c r="D784" t="inlineStr">
        <is>
          <t>OK_NO_TOTALS</t>
        </is>
      </c>
      <c r="E784" t="n">
        <v>2</v>
      </c>
      <c r="F784" t="inlineStr">
        <is>
          <t>TABLE</t>
        </is>
      </c>
      <c r="G784" t="inlineStr">
        <is>
          <t>TABLE_BANDS</t>
        </is>
      </c>
      <c r="H784" t="inlineStr"/>
      <c r="I784" t="inlineStr">
        <is>
          <t>2021-09-30</t>
        </is>
      </c>
      <c r="J784" t="inlineStr">
        <is>
          <t>FIBRA CONSTRUTORA E INCORPORADORA LTDA – LRF Líderes em Recuperação Judicial e Falência</t>
        </is>
      </c>
      <c r="K784" t="inlineStr">
        <is>
          <t>lrflideres.com.br</t>
        </is>
      </c>
      <c r="L784" s="19" t="inlineStr">
        <is>
          <t>https://lrflideres.com.br/wp-content/plugins/download-attachments/includes/download.php?id=3977</t>
        </is>
      </c>
    </row>
    <row r="785">
      <c r="A785" t="inlineStr">
        <is>
          <t>71e80c900039</t>
        </is>
      </c>
      <c r="B785" t="inlineStr">
        <is>
          <t>0089327-55.2019.8.17.2001</t>
        </is>
      </c>
      <c r="C785" t="inlineStr">
        <is>
          <t>UNKNOWN</t>
        </is>
      </c>
      <c r="D785" t="inlineStr">
        <is>
          <t>OK_NO_TOTALS</t>
        </is>
      </c>
      <c r="E785" t="n">
        <v>133</v>
      </c>
      <c r="F785" t="inlineStr">
        <is>
          <t>TABLE</t>
        </is>
      </c>
      <c r="G785" t="inlineStr">
        <is>
          <t>TABLE_RULED</t>
        </is>
      </c>
      <c r="H785" t="inlineStr"/>
      <c r="I785" t="inlineStr">
        <is>
          <t>2024-05-31</t>
        </is>
      </c>
      <c r="J785" t="inlineStr">
        <is>
          <t>E FALENCIA</t>
        </is>
      </c>
      <c r="K785" t="inlineStr">
        <is>
          <t>diligence.adm.br</t>
        </is>
      </c>
      <c r="L785" s="19" t="inlineStr">
        <is>
          <t>https://diligence.adm.br/wp-content/plugins/download-attachments/includes/download.php?id=4538</t>
        </is>
      </c>
    </row>
    <row r="786">
      <c r="A786" t="inlineStr">
        <is>
          <t>e92da88430b1</t>
        </is>
      </c>
      <c r="B786" t="inlineStr">
        <is>
          <t>0089327-55.2019.8.17.2001</t>
        </is>
      </c>
      <c r="C786" t="inlineStr">
        <is>
          <t>UNKNOWN</t>
        </is>
      </c>
      <c r="D786" t="inlineStr">
        <is>
          <t>OK_NO_TOTALS</t>
        </is>
      </c>
      <c r="E786" t="n">
        <v>14</v>
      </c>
      <c r="F786" t="inlineStr">
        <is>
          <t>PROSE</t>
        </is>
      </c>
      <c r="G786" t="inlineStr">
        <is>
          <t>PROSE</t>
        </is>
      </c>
      <c r="H786" t="inlineStr"/>
      <c r="I786" t="inlineStr">
        <is>
          <t>2024-05-31</t>
        </is>
      </c>
      <c r="J786" t="inlineStr">
        <is>
          <t>E FALENCIA</t>
        </is>
      </c>
      <c r="K786" t="inlineStr">
        <is>
          <t>diligence.adm.br</t>
        </is>
      </c>
      <c r="L786" s="19" t="inlineStr">
        <is>
          <t>https://diligence.adm.br/wp-content/plugins/download-attachments/includes/download.php?id=4554</t>
        </is>
      </c>
    </row>
    <row r="787">
      <c r="A787" t="inlineStr">
        <is>
          <t>9ce2feaa45a9</t>
        </is>
      </c>
      <c r="B787" t="inlineStr">
        <is>
          <t>5100227-29.2022.8.24.0023</t>
        </is>
      </c>
      <c r="C787" t="inlineStr">
        <is>
          <t>UNKNOWN</t>
        </is>
      </c>
      <c r="D787" t="inlineStr">
        <is>
          <t>OK_NO_TOTALS</t>
        </is>
      </c>
      <c r="E787" t="n">
        <v>1</v>
      </c>
      <c r="F787" t="inlineStr">
        <is>
          <t>TABLE</t>
        </is>
      </c>
      <c r="G787" t="inlineStr">
        <is>
          <t>TABLE_RULED</t>
        </is>
      </c>
      <c r="H787" t="inlineStr"/>
      <c r="I787" t="inlineStr">
        <is>
          <t>2018-11-26</t>
        </is>
      </c>
      <c r="J787" t="inlineStr">
        <is>
          <t>MUNDO BIZARRO IMPORTAÇÃO E EXPORTAÇÃO LTDA – Sgrott Administradora Judicial e Consultoria Empresarial</t>
        </is>
      </c>
      <c r="K787" t="inlineStr">
        <is>
          <t>administradorajudicialgs.com.br</t>
        </is>
      </c>
      <c r="L787" s="19" t="inlineStr">
        <is>
          <t>https://administradorajudicialgs.com.br/wp-content/uploads/2024/10/relacao-de-credores-da-recuperanda.pdf</t>
        </is>
      </c>
    </row>
    <row r="788">
      <c r="A788" t="inlineStr">
        <is>
          <t>102b04dc13b8</t>
        </is>
      </c>
      <c r="B788" t="inlineStr">
        <is>
          <t>5003439-20.2020.8.24.0282</t>
        </is>
      </c>
      <c r="C788" t="inlineStr">
        <is>
          <t>UNKNOWN</t>
        </is>
      </c>
      <c r="D788" t="inlineStr">
        <is>
          <t>OK_NO_TOTALS</t>
        </is>
      </c>
      <c r="E788" t="n">
        <v>5</v>
      </c>
      <c r="F788" t="inlineStr">
        <is>
          <t>TABLE</t>
        </is>
      </c>
      <c r="G788" t="inlineStr">
        <is>
          <t>TABLE_RULED</t>
        </is>
      </c>
      <c r="H788" t="inlineStr"/>
      <c r="I788" t="inlineStr">
        <is>
          <t>2019-11-11</t>
        </is>
      </c>
      <c r="J788" t="inlineStr">
        <is>
          <t>ALBERTINA MARTINS PEREIRA FRECCIA / ROBERTO BRUNATO FRECCIA – EPP / SOFIA FRECCIA CONFECÇÕES LTDA – Sgrott Administradora Judicial e Consultoria Empresarial</t>
        </is>
      </c>
      <c r="K788" t="inlineStr">
        <is>
          <t>administradorajudicialgs.com.br</t>
        </is>
      </c>
      <c r="L788" s="19" t="inlineStr">
        <is>
          <t>https://administradorajudicialgs.com.br/wp-content/uploads/2023/08/relacao-de-credores-da-recuperanda-2.pdf</t>
        </is>
      </c>
    </row>
    <row r="789">
      <c r="A789" t="inlineStr">
        <is>
          <t>a228ba15e8ae</t>
        </is>
      </c>
      <c r="B789" t="inlineStr">
        <is>
          <t>5003439-20.2020.8.24.0282</t>
        </is>
      </c>
      <c r="C789" t="inlineStr">
        <is>
          <t>UNKNOWN</t>
        </is>
      </c>
      <c r="D789" t="inlineStr">
        <is>
          <t>OK_NO_TOTALS</t>
        </is>
      </c>
      <c r="E789" t="n">
        <v>1</v>
      </c>
      <c r="F789" t="inlineStr">
        <is>
          <t>TABLE</t>
        </is>
      </c>
      <c r="G789" t="inlineStr">
        <is>
          <t>TABLE_RULED</t>
        </is>
      </c>
      <c r="H789" t="inlineStr"/>
      <c r="J789" t="inlineStr">
        <is>
          <t>ALBERTINA MARTINS PEREIRA FRECCIA / ROBERTO BRUNATO FRECCIA – EPP / SOFIA FRECCIA CONFECÇÕES LTDA – Sgrott Administradora Judicial e Consultoria Empresarial</t>
        </is>
      </c>
      <c r="K789" t="inlineStr">
        <is>
          <t>administradorajudicialgs.com.br</t>
        </is>
      </c>
      <c r="L789" s="19" t="inlineStr">
        <is>
          <t>https://administradorajudicialgs.com.br/wp-content/uploads/2023/08/albertina-relacao-de-credores.pdf</t>
        </is>
      </c>
    </row>
    <row r="790">
      <c r="A790" t="inlineStr">
        <is>
          <t>82c3a1a860e4</t>
        </is>
      </c>
      <c r="B790" t="inlineStr">
        <is>
          <t>5003439-20.2020.8.24.0282</t>
        </is>
      </c>
      <c r="C790" t="inlineStr">
        <is>
          <t>UNKNOWN</t>
        </is>
      </c>
      <c r="D790" t="inlineStr">
        <is>
          <t>OK_NO_TOTALS</t>
        </is>
      </c>
      <c r="E790" t="n">
        <v>1</v>
      </c>
      <c r="F790" t="inlineStr">
        <is>
          <t>TABLE</t>
        </is>
      </c>
      <c r="G790" t="inlineStr">
        <is>
          <t>TABLE_RULED</t>
        </is>
      </c>
      <c r="H790" t="inlineStr"/>
      <c r="J790" t="inlineStr">
        <is>
          <t>ALBERTINA MARTINS PEREIRA FRECCIA / ROBERTO BRUNATO FRECCIA – EPP / SOFIA FRECCIA CONFECÇÕES LTDA – Sgrott Administradora Judicial e Consultoria Empresarial</t>
        </is>
      </c>
      <c r="K790" t="inlineStr">
        <is>
          <t>administradorajudicialgs.com.br</t>
        </is>
      </c>
      <c r="L790" s="19" t="inlineStr">
        <is>
          <t>https://administradorajudicialgs.com.br/wp-content/uploads/2023/08/roberto-relacao-credores.pdf</t>
        </is>
      </c>
    </row>
    <row r="791">
      <c r="A791" t="inlineStr">
        <is>
          <t>15ce847bc577</t>
        </is>
      </c>
      <c r="B791" t="inlineStr">
        <is>
          <t>0074500-63.2024.8.17.2001</t>
        </is>
      </c>
      <c r="C791" t="inlineStr">
        <is>
          <t>UNKNOWN</t>
        </is>
      </c>
      <c r="D791" t="inlineStr">
        <is>
          <t>OK_NO_TOTALS</t>
        </is>
      </c>
      <c r="E791" t="n">
        <v>221</v>
      </c>
      <c r="F791" t="inlineStr">
        <is>
          <t>PROSE</t>
        </is>
      </c>
      <c r="G791" t="inlineStr">
        <is>
          <t>PROSE</t>
        </is>
      </c>
      <c r="H791" t="inlineStr"/>
      <c r="I791" t="inlineStr">
        <is>
          <t>2024-07-22</t>
        </is>
      </c>
      <c r="J791" t="inlineStr">
        <is>
          <t>GRUPO IMOBI – LRF Líderes em Recuperação Judicial e Falência</t>
        </is>
      </c>
      <c r="K791" t="inlineStr">
        <is>
          <t>lrflideres.com.br</t>
        </is>
      </c>
      <c r="L791" s="19" t="inlineStr">
        <is>
          <t>https://lrflideres.com.br/wp-content/plugins/download-attachments/includes/download.php?id=6018</t>
        </is>
      </c>
    </row>
    <row r="792">
      <c r="A792" t="inlineStr">
        <is>
          <t>e4d939cdc446</t>
        </is>
      </c>
      <c r="B792" t="inlineStr">
        <is>
          <t>0000707-30.2008.8.02.0042</t>
        </is>
      </c>
      <c r="C792" t="inlineStr">
        <is>
          <t>UNKNOWN</t>
        </is>
      </c>
      <c r="D792" t="inlineStr">
        <is>
          <t>OK_NO_TOTALS</t>
        </is>
      </c>
      <c r="E792" t="n">
        <v>35</v>
      </c>
      <c r="F792" t="inlineStr">
        <is>
          <t>TABLE</t>
        </is>
      </c>
      <c r="G792" t="inlineStr">
        <is>
          <t>TABLE_RULED</t>
        </is>
      </c>
      <c r="H792" t="inlineStr"/>
      <c r="J792" t="inlineStr">
        <is>
          <t>LAGINHA AGRO INDUSTRIAL S/A - Vivante Gestão e Administração Judicial</t>
        </is>
      </c>
      <c r="K792" t="inlineStr">
        <is>
          <t>vivanteaj.com.br</t>
        </is>
      </c>
      <c r="L792" s="19" t="inlineStr">
        <is>
          <t>https://vivanteaj.com.br/wp-content/uploads/2024/11/11.06.2024-QGC-Laginha-1.pdf</t>
        </is>
      </c>
    </row>
    <row r="793">
      <c r="A793" t="inlineStr">
        <is>
          <t>710a314c1bca</t>
        </is>
      </c>
      <c r="B793" t="inlineStr">
        <is>
          <t>1003322-70.2024.8.26.0260</t>
        </is>
      </c>
      <c r="C793" t="inlineStr">
        <is>
          <t>UNKNOWN</t>
        </is>
      </c>
      <c r="D793" t="inlineStr">
        <is>
          <t>OK_NO_TOTALS</t>
        </is>
      </c>
      <c r="E793" t="n">
        <v>3</v>
      </c>
      <c r="F793" t="inlineStr">
        <is>
          <t>PROSE</t>
        </is>
      </c>
      <c r="G793" t="inlineStr">
        <is>
          <t>PROSE</t>
        </is>
      </c>
      <c r="H793" t="inlineStr"/>
      <c r="J793" t="inlineStr">
        <is>
          <t>AGROSAFRA INDÚSTRIA E COMÉRCIO DE ADUBOS LTDA. e outros - Vivante Gestão e Administração Judicial</t>
        </is>
      </c>
      <c r="K793" t="inlineStr">
        <is>
          <t>vivanteaj.com.br</t>
        </is>
      </c>
      <c r="L793" s="19" t="inlineStr">
        <is>
          <t>https://vivanteaj.com.br/wp-content/uploads/2025/02/2a-lista-de-credores-Agro-Safra-e-outros.pdf</t>
        </is>
      </c>
    </row>
    <row r="794">
      <c r="A794" t="inlineStr">
        <is>
          <t>ddbb311fb5c1</t>
        </is>
      </c>
      <c r="B794" t="inlineStr">
        <is>
          <t>1111148-53.2024.8.26.0100</t>
        </is>
      </c>
      <c r="C794" t="inlineStr">
        <is>
          <t>UNKNOWN</t>
        </is>
      </c>
      <c r="D794" t="inlineStr">
        <is>
          <t>OK_NO_TOTALS</t>
        </is>
      </c>
      <c r="E794" t="n">
        <v>18</v>
      </c>
      <c r="F794" t="inlineStr">
        <is>
          <t>TABLE</t>
        </is>
      </c>
      <c r="G794" t="inlineStr">
        <is>
          <t>TABLE_RULED</t>
        </is>
      </c>
      <c r="H794" t="inlineStr"/>
      <c r="J794" t="inlineStr">
        <is>
          <t>GRUPO METALLOYS - Vivante Gestão e Administração Judicial</t>
        </is>
      </c>
      <c r="K794" t="inlineStr">
        <is>
          <t>vivanteaj.com.br</t>
        </is>
      </c>
      <c r="L794" s="19" t="inlineStr">
        <is>
          <t>https://vivanteaj.com.br/wp-content/uploads/2024/11/1a-lista-de-credores-metalloys.pdf</t>
        </is>
      </c>
    </row>
    <row r="795">
      <c r="A795" t="inlineStr">
        <is>
          <t>08701b535019</t>
        </is>
      </c>
      <c r="B795" t="inlineStr">
        <is>
          <t>1003919-39.2024.8.26.0260</t>
        </is>
      </c>
      <c r="C795" t="inlineStr">
        <is>
          <t>UNKNOWN</t>
        </is>
      </c>
      <c r="D795" t="inlineStr">
        <is>
          <t>OK_NO_TOTALS</t>
        </is>
      </c>
      <c r="E795" t="n">
        <v>1</v>
      </c>
      <c r="F795" t="inlineStr">
        <is>
          <t>TABLE</t>
        </is>
      </c>
      <c r="G795" t="inlineStr">
        <is>
          <t>TABLE_BANDS</t>
        </is>
      </c>
      <c r="H795" t="inlineStr"/>
      <c r="J795" t="inlineStr">
        <is>
          <t>MFC INDUSTRIA E COMÉRCIO LTDA - Vivante Gestão e Administração Judicial</t>
        </is>
      </c>
      <c r="K795" t="inlineStr">
        <is>
          <t>vivanteaj.com.br</t>
        </is>
      </c>
      <c r="L795" s="19" t="inlineStr">
        <is>
          <t>https://vivanteaj.com.br/wp-content/uploads/2025/02/2a-lista-de-credores-MFC-Industria.pdf</t>
        </is>
      </c>
    </row>
    <row r="796">
      <c r="A796" t="inlineStr">
        <is>
          <t>1d5a86f7f971</t>
        </is>
      </c>
      <c r="B796" t="inlineStr">
        <is>
          <t>1018313-46.2024.8.26.0100</t>
        </is>
      </c>
      <c r="C796" t="inlineStr">
        <is>
          <t>UNKNOWN</t>
        </is>
      </c>
      <c r="D796" t="inlineStr">
        <is>
          <t>OK_NO_TOTALS</t>
        </is>
      </c>
      <c r="E796" t="n">
        <v>1</v>
      </c>
      <c r="F796" t="inlineStr">
        <is>
          <t>TABLE</t>
        </is>
      </c>
      <c r="G796" t="inlineStr">
        <is>
          <t>TABLE_BANDS</t>
        </is>
      </c>
      <c r="H796" t="inlineStr"/>
      <c r="J796" t="inlineStr">
        <is>
          <t>JA SANTOS IMPORTAÇÃO E EXPORTAÇÃO DE FERRAMENTAS LTDA. (CONCEPT FERRAMENTAS) - Vivante Gestão e Administração Judicial</t>
        </is>
      </c>
      <c r="K796" t="inlineStr">
        <is>
          <t>vivanteaj.com.br</t>
        </is>
      </c>
      <c r="L796" s="19" t="inlineStr">
        <is>
          <t>https://vivanteaj.com.br/wp-content/uploads/2024/11/2a-lista-de-credores-JA-Santos.pdf</t>
        </is>
      </c>
    </row>
    <row r="797">
      <c r="A797" t="inlineStr">
        <is>
          <t>1e8e27e13f99</t>
        </is>
      </c>
      <c r="B797" t="inlineStr">
        <is>
          <t>3000117-40.2025.8.06.0512</t>
        </is>
      </c>
      <c r="C797" t="inlineStr">
        <is>
          <t>UNKNOWN</t>
        </is>
      </c>
      <c r="D797" t="inlineStr">
        <is>
          <t>OK_NO_TOTALS</t>
        </is>
      </c>
      <c r="E797" t="n">
        <v>15</v>
      </c>
      <c r="F797" t="inlineStr">
        <is>
          <t>TABLE</t>
        </is>
      </c>
      <c r="G797" t="inlineStr">
        <is>
          <t>TABLE_BANDS</t>
        </is>
      </c>
      <c r="H797" t="inlineStr"/>
      <c r="I797" t="inlineStr">
        <is>
          <t>2026-07-09</t>
        </is>
      </c>
      <c r="J797" t="inlineStr">
        <is>
          <t>PÃ¡gina inicial</t>
        </is>
      </c>
      <c r="K797" t="inlineStr">
        <is>
          <t>bugarimecoelho.com.br</t>
        </is>
      </c>
      <c r="L797" s="19" t="inlineStr">
        <is>
          <t>https://bugarimecoelho.com.br/ws/media-library/38bfb264f2d01233d1cc8db0ec27f7b2/15---sentenca-de-extincao-da-recuperacao.pdf</t>
        </is>
      </c>
    </row>
    <row r="798">
      <c r="A798" t="inlineStr">
        <is>
          <t>6398fe1f3006</t>
        </is>
      </c>
      <c r="B798" t="inlineStr">
        <is>
          <t>0214287-36.2023.8.06.0001</t>
        </is>
      </c>
      <c r="C798" t="inlineStr">
        <is>
          <t>UNKNOWN</t>
        </is>
      </c>
      <c r="D798" t="inlineStr">
        <is>
          <t>OK_NO_TOTALS</t>
        </is>
      </c>
      <c r="E798" t="n">
        <v>17</v>
      </c>
      <c r="F798" t="inlineStr">
        <is>
          <t>TABLE</t>
        </is>
      </c>
      <c r="G798" t="inlineStr">
        <is>
          <t>TABLE_BANDS</t>
        </is>
      </c>
      <c r="H798" t="inlineStr"/>
      <c r="I798" t="inlineStr">
        <is>
          <t>2026-07-09</t>
        </is>
      </c>
      <c r="J798" t="inlineStr">
        <is>
          <t>PÃ¡gina inicial</t>
        </is>
      </c>
      <c r="K798" t="inlineStr">
        <is>
          <t>bugarimecoelho.com.br</t>
        </is>
      </c>
      <c r="L798" s="19" t="inlineStr">
        <is>
          <t>https://bugarimecoelho.com.br/ws/media-library/6c628fe11ba9764cefa3c40adaef0fb6/57---edital-de-extincao-da-rj.pdf</t>
        </is>
      </c>
    </row>
    <row r="799">
      <c r="A799" t="inlineStr">
        <is>
          <t>6da849833e61</t>
        </is>
      </c>
      <c r="B799" t="inlineStr">
        <is>
          <t>0001324-92.2023.8.17.2710</t>
        </is>
      </c>
      <c r="C799" t="inlineStr">
        <is>
          <t>UNKNOWN</t>
        </is>
      </c>
      <c r="D799" t="inlineStr">
        <is>
          <t>OK_NO_TOTALS</t>
        </is>
      </c>
      <c r="E799" t="n">
        <v>43</v>
      </c>
      <c r="F799" t="inlineStr">
        <is>
          <t>TABLE</t>
        </is>
      </c>
      <c r="G799" t="inlineStr">
        <is>
          <t>TABLE_BANDS</t>
        </is>
      </c>
      <c r="H799" t="inlineStr"/>
      <c r="I799" t="inlineStr">
        <is>
          <t>2025-02-12</t>
        </is>
      </c>
      <c r="J799" t="inlineStr">
        <is>
          <t>ONDUNORTE CIA DE PAPEIS E PAPELAO ONDULADO DO NORTE e outras - Vivante Gestão e Administração Judicial</t>
        </is>
      </c>
      <c r="K799" t="inlineStr">
        <is>
          <t>vivanteaj.com.br</t>
        </is>
      </c>
      <c r="L799" s="19" t="inlineStr">
        <is>
          <t>https://vivanteaj.com.br/wp-content/uploads/2024/11/plano-de-recuperacao.pdf</t>
        </is>
      </c>
    </row>
    <row r="800">
      <c r="A800" t="inlineStr">
        <is>
          <t>ec39faeb6c83</t>
        </is>
      </c>
      <c r="B800" t="inlineStr">
        <is>
          <t>0001324-92.2023.8.17.2710</t>
        </is>
      </c>
      <c r="C800" t="inlineStr">
        <is>
          <t>UNKNOWN</t>
        </is>
      </c>
      <c r="D800" t="inlineStr">
        <is>
          <t>OK_NO_TOTALS</t>
        </is>
      </c>
      <c r="E800" t="n">
        <v>43</v>
      </c>
      <c r="F800" t="inlineStr">
        <is>
          <t>TABLE</t>
        </is>
      </c>
      <c r="G800" t="inlineStr">
        <is>
          <t>TABLE_BANDS</t>
        </is>
      </c>
      <c r="H800" t="inlineStr"/>
      <c r="I800" t="inlineStr">
        <is>
          <t>2025-02-12</t>
        </is>
      </c>
      <c r="J800" t="inlineStr">
        <is>
          <t>ONDUNORTE CIA DE PAPEIS E PAPELAO ONDULADO DO NORTE e outras - Vivante Gestão e Administração Judicial</t>
        </is>
      </c>
      <c r="K800" t="inlineStr">
        <is>
          <t>vivanteaj.com.br</t>
        </is>
      </c>
      <c r="L800" s="19" t="inlineStr">
        <is>
          <t>https://vivanteaj.com.br/wp-content/uploads/2024/11/1-aditivo-prj.pdf</t>
        </is>
      </c>
    </row>
    <row r="801">
      <c r="A801" t="inlineStr">
        <is>
          <t>165832408a80</t>
        </is>
      </c>
      <c r="B801" t="inlineStr">
        <is>
          <t>0001324-92.2023.8.17.2710</t>
        </is>
      </c>
      <c r="C801" t="inlineStr">
        <is>
          <t>UNKNOWN</t>
        </is>
      </c>
      <c r="D801" t="inlineStr">
        <is>
          <t>OK_NO_TOTALS</t>
        </is>
      </c>
      <c r="E801" t="n">
        <v>42</v>
      </c>
      <c r="F801" t="inlineStr">
        <is>
          <t>TABLE</t>
        </is>
      </c>
      <c r="G801" t="inlineStr">
        <is>
          <t>TABLE_BANDS</t>
        </is>
      </c>
      <c r="H801" t="inlineStr"/>
      <c r="I801" t="inlineStr">
        <is>
          <t>2025-02-12</t>
        </is>
      </c>
      <c r="J801" t="inlineStr">
        <is>
          <t>ONDUNORTE CIA DE PAPEIS E PAPELAO ONDULADO DO NORTE e outras - Vivante Gestão e Administração Judicial</t>
        </is>
      </c>
      <c r="K801" t="inlineStr">
        <is>
          <t>vivanteaj.com.br</t>
        </is>
      </c>
      <c r="L801" s="19" t="inlineStr">
        <is>
          <t>https://vivanteaj.com.br/wp-content/uploads/2024/11/2-aitivo-prj.pdf</t>
        </is>
      </c>
    </row>
    <row r="802">
      <c r="A802" t="inlineStr">
        <is>
          <t>7429ed394841</t>
        </is>
      </c>
      <c r="B802" t="inlineStr">
        <is>
          <t>0001324-92.2023.8.17.2710</t>
        </is>
      </c>
      <c r="C802" t="inlineStr">
        <is>
          <t>UNKNOWN</t>
        </is>
      </c>
      <c r="D802" t="inlineStr">
        <is>
          <t>OK_NO_TOTALS</t>
        </is>
      </c>
      <c r="E802" t="n">
        <v>18</v>
      </c>
      <c r="F802" t="inlineStr">
        <is>
          <t>TABLE</t>
        </is>
      </c>
      <c r="G802" t="inlineStr">
        <is>
          <t>TABLE_BANDS</t>
        </is>
      </c>
      <c r="H802" t="inlineStr"/>
      <c r="I802" t="inlineStr">
        <is>
          <t>2026-05-12</t>
        </is>
      </c>
      <c r="J802" t="inlineStr">
        <is>
          <t>ONDUNORTE CIA DE PAPEIS E PAPELAO ONDULADO DO NORTE e outras - Vivante Gestão e Administração Judicial</t>
        </is>
      </c>
      <c r="K802" t="inlineStr">
        <is>
          <t>vivanteaj.com.br</t>
        </is>
      </c>
      <c r="L802" s="19" t="inlineStr">
        <is>
          <t>https://vivanteaj.com.br/wp-content/uploads/2024/11/Analise-do-PRJ-ONDUNORTE.pdf</t>
        </is>
      </c>
    </row>
    <row r="803">
      <c r="A803" t="inlineStr">
        <is>
          <t>5a97531f74f2</t>
        </is>
      </c>
      <c r="B803" t="inlineStr">
        <is>
          <t>0035526-54.2024.8.17.2001</t>
        </is>
      </c>
      <c r="C803" t="inlineStr">
        <is>
          <t>UNKNOWN</t>
        </is>
      </c>
      <c r="D803" t="inlineStr">
        <is>
          <t>OK_NO_TOTALS</t>
        </is>
      </c>
      <c r="E803" t="n">
        <v>23</v>
      </c>
      <c r="F803" t="inlineStr">
        <is>
          <t>TABLE</t>
        </is>
      </c>
      <c r="G803" t="inlineStr">
        <is>
          <t>TABLE_BANDS</t>
        </is>
      </c>
      <c r="H803" t="inlineStr"/>
      <c r="I803" t="inlineStr">
        <is>
          <t>2024-12-06</t>
        </is>
      </c>
      <c r="J803" t="inlineStr">
        <is>
          <t>IMPERIO ATACADISTA DE ESTIVAS E CEREAIS LTDA E OUTRAS - Vivante Gestão e Administração Judicial</t>
        </is>
      </c>
      <c r="K803" t="inlineStr">
        <is>
          <t>vivanteaj.com.br</t>
        </is>
      </c>
      <c r="L803" s="19" t="inlineStr">
        <is>
          <t>https://vivanteaj.com.br/wp-content/uploads/2024/11/Plano-de-Recuperacao-Judicial-.pdf</t>
        </is>
      </c>
    </row>
    <row r="804">
      <c r="A804" t="inlineStr">
        <is>
          <t>f5dac366e07f</t>
        </is>
      </c>
      <c r="B804" t="inlineStr">
        <is>
          <t>0035526-54.2024.8.17.2001</t>
        </is>
      </c>
      <c r="C804" t="inlineStr">
        <is>
          <t>UNKNOWN</t>
        </is>
      </c>
      <c r="D804" t="inlineStr">
        <is>
          <t>OK_NO_TOTALS</t>
        </is>
      </c>
      <c r="E804" t="n">
        <v>16</v>
      </c>
      <c r="F804" t="inlineStr">
        <is>
          <t>TABLE</t>
        </is>
      </c>
      <c r="G804" t="inlineStr">
        <is>
          <t>TABLE_BANDS</t>
        </is>
      </c>
      <c r="H804" t="inlineStr"/>
      <c r="I804" t="inlineStr">
        <is>
          <t>2025-09-01</t>
        </is>
      </c>
      <c r="J804" t="inlineStr">
        <is>
          <t>INTEMPESTIVO. PLANO TARDIO IMPRESTÁVEL POR TER SIDO ÚNICO PARA TODAS AS EMPRESA</t>
        </is>
      </c>
      <c r="K804" t="inlineStr">
        <is>
          <t>vivanteaj.com.br</t>
        </is>
      </c>
      <c r="L804" s="19" t="inlineStr">
        <is>
          <t>https://vivanteaj.com.br/wp-content/uploads/2024/11/Sentenca-de-decretacao-da-flaencia.pdf</t>
        </is>
      </c>
    </row>
    <row r="805">
      <c r="A805" t="inlineStr">
        <is>
          <t>426de92c73a6</t>
        </is>
      </c>
      <c r="B805" t="inlineStr">
        <is>
          <t>0810226-31.2023.8.20.5001</t>
        </is>
      </c>
      <c r="C805" t="inlineStr">
        <is>
          <t>UNKNOWN</t>
        </is>
      </c>
      <c r="D805" t="inlineStr">
        <is>
          <t>OK_NO_TOTALS</t>
        </is>
      </c>
      <c r="E805" t="n">
        <v>18</v>
      </c>
      <c r="F805" t="inlineStr">
        <is>
          <t>TABLE</t>
        </is>
      </c>
      <c r="G805" t="inlineStr">
        <is>
          <t>TABLE_BANDS</t>
        </is>
      </c>
      <c r="H805" t="inlineStr"/>
      <c r="I805" t="inlineStr">
        <is>
          <t>2023-06-02</t>
        </is>
      </c>
      <c r="J805" t="inlineStr">
        <is>
          <t>GRUPO MADETEX - Vivante Gestão e Administração Judicial</t>
        </is>
      </c>
      <c r="K805" t="inlineStr">
        <is>
          <t>vivanteaj.com.br</t>
        </is>
      </c>
      <c r="L805" s="19" t="inlineStr">
        <is>
          <t>https://vivanteaj.com.br/wp-content/uploads/2023/06/Plano-de-Recuperacao-Judicial.pdf</t>
        </is>
      </c>
    </row>
    <row r="806">
      <c r="A806" t="inlineStr">
        <is>
          <t>f0da96f309ed</t>
        </is>
      </c>
      <c r="B806" t="inlineStr">
        <is>
          <t>0810226-31.2023.8.20.5001</t>
        </is>
      </c>
      <c r="C806" t="inlineStr">
        <is>
          <t>UNKNOWN</t>
        </is>
      </c>
      <c r="D806" t="inlineStr">
        <is>
          <t>OK_NO_TOTALS</t>
        </is>
      </c>
      <c r="E806" t="n">
        <v>15</v>
      </c>
      <c r="F806" t="inlineStr">
        <is>
          <t>TABLE</t>
        </is>
      </c>
      <c r="G806" t="inlineStr">
        <is>
          <t>TABLE_BANDS</t>
        </is>
      </c>
      <c r="H806" t="inlineStr"/>
      <c r="I806" t="inlineStr">
        <is>
          <t>2023-08-30</t>
        </is>
      </c>
      <c r="J806" t="inlineStr">
        <is>
          <t>GRUPO MADETEX - Vivante Gestão e Administração Judicial</t>
        </is>
      </c>
      <c r="K806" t="inlineStr">
        <is>
          <t>vivanteaj.com.br</t>
        </is>
      </c>
      <c r="L806" s="19" t="inlineStr">
        <is>
          <t>https://vivanteaj.com.br/wp-content/uploads/2023/06/1o-Aditivo-ao-Plano-de-Recuperacao-Judicial.pdf</t>
        </is>
      </c>
    </row>
    <row r="807">
      <c r="A807" t="inlineStr">
        <is>
          <t>311d772b1764</t>
        </is>
      </c>
      <c r="B807" t="inlineStr">
        <is>
          <t>0810226-31.2023.8.20.5001</t>
        </is>
      </c>
      <c r="C807" t="inlineStr">
        <is>
          <t>UNKNOWN</t>
        </is>
      </c>
      <c r="D807" t="inlineStr">
        <is>
          <t>OK_NO_TOTALS</t>
        </is>
      </c>
      <c r="E807" t="n">
        <v>11</v>
      </c>
      <c r="F807" t="inlineStr">
        <is>
          <t>TABLE</t>
        </is>
      </c>
      <c r="G807" t="inlineStr">
        <is>
          <t>TABLE_BANDS</t>
        </is>
      </c>
      <c r="H807" t="inlineStr"/>
      <c r="I807" t="inlineStr">
        <is>
          <t>2024-03-26</t>
        </is>
      </c>
      <c r="J807" t="inlineStr">
        <is>
          <t>GRUPO MADETEX - Vivante Gestão e Administração Judicial</t>
        </is>
      </c>
      <c r="K807" t="inlineStr">
        <is>
          <t>vivanteaj.com.br</t>
        </is>
      </c>
      <c r="L807" s="19" t="inlineStr">
        <is>
          <t>https://vivanteaj.com.br/wp-content/uploads/2023/06/3o-Aditivo-ao-Plano-de-Recuperacao-Judicial.pdf</t>
        </is>
      </c>
    </row>
    <row r="808">
      <c r="A808" t="inlineStr">
        <is>
          <t>076655377ea7</t>
        </is>
      </c>
      <c r="B808" t="inlineStr">
        <is>
          <t>1005755-09.2025.8.26.0132</t>
        </is>
      </c>
      <c r="C808" t="inlineStr">
        <is>
          <t>UNKNOWN</t>
        </is>
      </c>
      <c r="D808" t="inlineStr">
        <is>
          <t>OK_NO_TOTALS</t>
        </is>
      </c>
      <c r="E808" t="n">
        <v>8</v>
      </c>
      <c r="F808" t="inlineStr">
        <is>
          <t>TABLE</t>
        </is>
      </c>
      <c r="G808" t="inlineStr">
        <is>
          <t>TABLE_RULED</t>
        </is>
      </c>
      <c r="H808" t="inlineStr"/>
      <c r="J808" t="inlineStr">
        <is>
          <t>Distribuidora de Frutas Rumo Novo Ltda. EPP e outros – VTL</t>
        </is>
      </c>
      <c r="K808" t="inlineStr">
        <is>
          <t>vtladm.com.br</t>
        </is>
      </c>
      <c r="L808" s="19" t="inlineStr">
        <is>
          <t>https://vtladm.com.br/wp-content/uploads/2025/08/02-–-Primeira-Relacao-de-Credores-–-Distribuidora-de-Frutas-Rumo-Novo-Ltda.-EPP-e-outros.pdf</t>
        </is>
      </c>
    </row>
    <row r="809">
      <c r="A809" t="inlineStr">
        <is>
          <t>55c560845fb4</t>
        </is>
      </c>
      <c r="B809" t="inlineStr">
        <is>
          <t>0804994-81.2024.8.07.0016</t>
        </is>
      </c>
      <c r="C809" t="inlineStr">
        <is>
          <t>UNKNOWN</t>
        </is>
      </c>
      <c r="D809" t="inlineStr">
        <is>
          <t>OK_NO_TOTALS</t>
        </is>
      </c>
      <c r="E809" t="n">
        <v>3</v>
      </c>
      <c r="F809" t="inlineStr">
        <is>
          <t>TABLE</t>
        </is>
      </c>
      <c r="G809" t="inlineStr">
        <is>
          <t>TABLE_RULED</t>
        </is>
      </c>
      <c r="H809" t="inlineStr"/>
      <c r="I809" t="inlineStr">
        <is>
          <t>2023-01-18</t>
        </is>
      </c>
      <c r="J809" t="inlineStr">
        <is>
          <t>Ellite Consultoria E Assessoria Ltda. – VTL</t>
        </is>
      </c>
      <c r="K809" t="inlineStr">
        <is>
          <t>vtladm.com.br</t>
        </is>
      </c>
      <c r="L809" s="19" t="inlineStr">
        <is>
          <t>https://vtladm.com.br/wp-content/uploads/2026/01/02-Relacao-de-Credores-Ellite-Consultoria-E-Assessoria-Ltda.pdf</t>
        </is>
      </c>
    </row>
    <row r="810">
      <c r="A810" t="inlineStr">
        <is>
          <t>30c9c08af726</t>
        </is>
      </c>
      <c r="B810" t="inlineStr">
        <is>
          <t>1009827-02.2024.8.26.0576</t>
        </is>
      </c>
      <c r="C810" t="inlineStr">
        <is>
          <t>UNKNOWN</t>
        </is>
      </c>
      <c r="D810" t="inlineStr">
        <is>
          <t>OK_NO_TOTALS</t>
        </is>
      </c>
      <c r="E810" t="n">
        <v>7</v>
      </c>
      <c r="F810" t="inlineStr">
        <is>
          <t>TABLE</t>
        </is>
      </c>
      <c r="G810" t="inlineStr">
        <is>
          <t>TABLE_RULED</t>
        </is>
      </c>
      <c r="H810" t="inlineStr"/>
      <c r="I810" t="inlineStr">
        <is>
          <t>2023-06-27</t>
        </is>
      </c>
      <c r="J810" t="inlineStr">
        <is>
          <t>Frigorífico Alfa Indústria e Comércio de Carnes e Derivados Ltda.  e Ctx Logística, Transporte E Locações Ltda. – VTL</t>
        </is>
      </c>
      <c r="K810" t="inlineStr">
        <is>
          <t>vtladm.com.br</t>
        </is>
      </c>
      <c r="L810" s="19" t="inlineStr">
        <is>
          <t>https://vtladm.com.br/wp-content/uploads/2024/04/02.-Relacao-de-Credores.pdf</t>
        </is>
      </c>
    </row>
    <row r="811">
      <c r="A811" t="inlineStr">
        <is>
          <t>abf6f46571cf</t>
        </is>
      </c>
      <c r="B811" t="inlineStr">
        <is>
          <t>4000807-49.2026.8.26.0354</t>
        </is>
      </c>
      <c r="C811" t="inlineStr">
        <is>
          <t>UNKNOWN</t>
        </is>
      </c>
      <c r="D811" t="inlineStr">
        <is>
          <t>OK_NO_TOTALS</t>
        </is>
      </c>
      <c r="E811" t="n">
        <v>5</v>
      </c>
      <c r="F811" t="inlineStr">
        <is>
          <t>PROSE</t>
        </is>
      </c>
      <c r="G811" t="inlineStr">
        <is>
          <t>PROSE</t>
        </is>
      </c>
      <c r="H811" t="inlineStr"/>
      <c r="J811" t="inlineStr">
        <is>
          <t>Nair Kawakami Morioka e Outros – VTL</t>
        </is>
      </c>
      <c r="K811" t="inlineStr">
        <is>
          <t>vtladm.com.br</t>
        </is>
      </c>
      <c r="L811" s="19" t="inlineStr">
        <is>
          <t>https://vtladm.com.br/wp-content/uploads/2026/06/02-–-Relacao-de-Credores-–-NAIR-AKICO-KAWAKAMI-MORIOKA-E-OUTROS.pdf</t>
        </is>
      </c>
    </row>
    <row r="812">
      <c r="A812" t="inlineStr">
        <is>
          <t>3cf351396c78</t>
        </is>
      </c>
      <c r="B812" t="inlineStr">
        <is>
          <t>1057555-04.2023.8.26.0114</t>
        </is>
      </c>
      <c r="C812" t="inlineStr">
        <is>
          <t>UNKNOWN</t>
        </is>
      </c>
      <c r="D812" t="inlineStr">
        <is>
          <t>OK_NO_TOTALS</t>
        </is>
      </c>
      <c r="E812" t="n">
        <v>41</v>
      </c>
      <c r="F812" t="inlineStr">
        <is>
          <t>PROSE</t>
        </is>
      </c>
      <c r="G812" t="inlineStr">
        <is>
          <t>PROSE</t>
        </is>
      </c>
      <c r="H812" t="inlineStr"/>
      <c r="J812" t="inlineStr">
        <is>
          <t>Wws Services Prestadora de Servicos Ltda. – VTL</t>
        </is>
      </c>
      <c r="K812" t="inlineStr">
        <is>
          <t>vtladm.com.br</t>
        </is>
      </c>
      <c r="L812" s="19" t="inlineStr">
        <is>
          <t>https://vtladm.com.br/wp-content/uploads/2024/02/02-–-Relacao-de-Credores-–-WWS-Services-e-Worldwide.pdf</t>
        </is>
      </c>
    </row>
    <row r="813">
      <c r="A813" t="inlineStr">
        <is>
          <t>01ec96f91175</t>
        </is>
      </c>
      <c r="B813" t="inlineStr">
        <is>
          <t>0012043-76.2016.8.16.0069</t>
        </is>
      </c>
      <c r="C813" t="inlineStr">
        <is>
          <t>UNKNOWN</t>
        </is>
      </c>
      <c r="D813" t="inlineStr">
        <is>
          <t>OK_NO_TOTALS</t>
        </is>
      </c>
      <c r="E813" t="n">
        <v>2</v>
      </c>
      <c r="F813" t="inlineStr">
        <is>
          <t>TABLE</t>
        </is>
      </c>
      <c r="G813" t="inlineStr">
        <is>
          <t>TABLE_BANDS</t>
        </is>
      </c>
      <c r="H813" t="inlineStr"/>
      <c r="I813" t="inlineStr">
        <is>
          <t>2017-09-19</t>
        </is>
      </c>
      <c r="J813" t="inlineStr">
        <is>
          <t>Marques Administrações Judiciais</t>
        </is>
      </c>
      <c r="K813" t="inlineStr">
        <is>
          <t>marquesadmjudicial.com.br</t>
        </is>
      </c>
      <c r="L813" s="19" t="inlineStr">
        <is>
          <t>https://marquesadmjudicial.com.br/sgc/download.php?file=files/processo_documento/processo_documento16115007032024_1_.pdf&amp;nome=Relação Nominal de Credores da AJ Retificada - Classe IV</t>
        </is>
      </c>
    </row>
    <row r="814">
      <c r="A814" t="inlineStr">
        <is>
          <t>dd976bf4a75f</t>
        </is>
      </c>
      <c r="B814" t="inlineStr">
        <is>
          <t>0701237-50.2019.8.07.0015</t>
        </is>
      </c>
      <c r="C814" t="inlineStr">
        <is>
          <t>UNKNOWN</t>
        </is>
      </c>
      <c r="D814" t="inlineStr">
        <is>
          <t>OK_NO_TOTALS</t>
        </is>
      </c>
      <c r="E814" t="n">
        <v>21</v>
      </c>
      <c r="F814" t="inlineStr">
        <is>
          <t>TABLE</t>
        </is>
      </c>
      <c r="G814" t="inlineStr">
        <is>
          <t>TABLE_RULED</t>
        </is>
      </c>
      <c r="H814" t="inlineStr"/>
      <c r="I814" t="inlineStr">
        <is>
          <t>2025-09-12</t>
        </is>
      </c>
      <c r="J814" t="inlineStr">
        <is>
          <t>Insolvência Civil de  Ambrosino de Serpa Coutinho – VTL</t>
        </is>
      </c>
      <c r="K814" t="inlineStr">
        <is>
          <t>vtladm.com.br</t>
        </is>
      </c>
      <c r="L814" s="19" t="inlineStr">
        <is>
          <t>https://vtladm.com.br/wp-content/uploads/2025/06/06-–-Manifestacao-do-Administrador-Judicial-–-Insolvencia-Civil-de-Ambrosino-de-Serpa-Coutinho.pdf</t>
        </is>
      </c>
    </row>
    <row r="815">
      <c r="A815" t="inlineStr">
        <is>
          <t>75957820e78f</t>
        </is>
      </c>
      <c r="B815" t="inlineStr">
        <is>
          <t>0012245-43.2022.8.16.0069</t>
        </is>
      </c>
      <c r="C815" t="inlineStr">
        <is>
          <t>UNKNOWN</t>
        </is>
      </c>
      <c r="D815" t="inlineStr">
        <is>
          <t>OK_NO_TOTALS</t>
        </is>
      </c>
      <c r="E815" t="n">
        <v>12</v>
      </c>
      <c r="F815" t="inlineStr">
        <is>
          <t>TABLE</t>
        </is>
      </c>
      <c r="G815" t="inlineStr">
        <is>
          <t>TABLE_RULED</t>
        </is>
      </c>
      <c r="H815" t="inlineStr"/>
      <c r="I815" t="inlineStr">
        <is>
          <t>2022-12-06</t>
        </is>
      </c>
      <c r="J815" t="inlineStr">
        <is>
          <t>Marques Administrações Judiciais</t>
        </is>
      </c>
      <c r="K815" t="inlineStr">
        <is>
          <t>marquesadmjudicial.com.br</t>
        </is>
      </c>
      <c r="L815" s="19" t="inlineStr">
        <is>
          <t>https://marquesadmjudicial.com.br/sgc/download.php?file=files/processo_documento/processo_documento15422908032024_1_.pdf&amp;nome=Relação de Credores das Recuperandas</t>
        </is>
      </c>
    </row>
    <row r="816">
      <c r="A816" t="inlineStr">
        <is>
          <t>2c00af99d308</t>
        </is>
      </c>
      <c r="B816" t="inlineStr">
        <is>
          <t>0044747-14.2024.8.16.0021</t>
        </is>
      </c>
      <c r="C816" t="inlineStr">
        <is>
          <t>UNKNOWN</t>
        </is>
      </c>
      <c r="D816" t="inlineStr">
        <is>
          <t>OK_NO_TOTALS</t>
        </is>
      </c>
      <c r="E816" t="n">
        <v>4</v>
      </c>
      <c r="F816" t="inlineStr">
        <is>
          <t>TABLE</t>
        </is>
      </c>
      <c r="G816" t="inlineStr">
        <is>
          <t>TABLE_BANDS</t>
        </is>
      </c>
      <c r="H816" t="inlineStr"/>
      <c r="I816" t="inlineStr">
        <is>
          <t>2025-09-15</t>
        </is>
      </c>
      <c r="J816" t="inlineStr">
        <is>
          <t>Marques Administrações Judiciais</t>
        </is>
      </c>
      <c r="K816" t="inlineStr">
        <is>
          <t>marquesadmjudicial.com.br</t>
        </is>
      </c>
      <c r="L816" s="19" t="inlineStr">
        <is>
          <t>https://marquesadmjudicial.com.br/sgc/download.php?file=files/processo_documento/processo_documento09335916012025_1_.pdf&amp;nome=Relação de Credores Recuperandas Classe II - Garantia Real</t>
        </is>
      </c>
    </row>
    <row r="817">
      <c r="A817" t="inlineStr">
        <is>
          <t>cca2299a5950</t>
        </is>
      </c>
      <c r="B817" t="inlineStr">
        <is>
          <t>0004387-24.2024.8.16.0090</t>
        </is>
      </c>
      <c r="C817" t="inlineStr">
        <is>
          <t>UNKNOWN</t>
        </is>
      </c>
      <c r="D817" t="inlineStr">
        <is>
          <t>OK_NO_TOTALS</t>
        </is>
      </c>
      <c r="E817" t="n">
        <v>2</v>
      </c>
      <c r="F817" t="inlineStr">
        <is>
          <t>TABLE</t>
        </is>
      </c>
      <c r="G817" t="inlineStr">
        <is>
          <t>TABLE_BANDS</t>
        </is>
      </c>
      <c r="H817" t="inlineStr"/>
      <c r="I817" t="inlineStr">
        <is>
          <t>2026-01-26</t>
        </is>
      </c>
      <c r="J817" t="inlineStr">
        <is>
          <t>Marques Administrações Judiciais</t>
        </is>
      </c>
      <c r="K817" t="inlineStr">
        <is>
          <t>marquesadmjudicial.com.br</t>
        </is>
      </c>
      <c r="L817" s="19" t="inlineStr">
        <is>
          <t>https://marquesadmjudicial.com.br/sgc/download.php?file=files/processo_documento/processo_documento09415102042026_1_.pdf&amp;nome=Relação de credores Família - Classe III</t>
        </is>
      </c>
    </row>
    <row r="818">
      <c r="A818" t="inlineStr">
        <is>
          <t>99cb472df0c2</t>
        </is>
      </c>
      <c r="B818" t="inlineStr">
        <is>
          <t>0004387-24.2024.8.16.0090</t>
        </is>
      </c>
      <c r="C818" t="inlineStr">
        <is>
          <t>UNKNOWN</t>
        </is>
      </c>
      <c r="D818" t="inlineStr">
        <is>
          <t>OK_NO_TOTALS</t>
        </is>
      </c>
      <c r="E818" t="n">
        <v>1</v>
      </c>
      <c r="F818" t="inlineStr">
        <is>
          <t>TABLE</t>
        </is>
      </c>
      <c r="G818" t="inlineStr">
        <is>
          <t>TABLE_BANDS</t>
        </is>
      </c>
      <c r="H818" t="inlineStr"/>
      <c r="I818" t="inlineStr">
        <is>
          <t>2026-01-26</t>
        </is>
      </c>
      <c r="J818" t="inlineStr">
        <is>
          <t>Marques Administrações Judiciais</t>
        </is>
      </c>
      <c r="K818" t="inlineStr">
        <is>
          <t>marquesadmjudicial.com.br</t>
        </is>
      </c>
      <c r="L818" s="19" t="inlineStr">
        <is>
          <t>https://marquesadmjudicial.com.br/sgc/download.php?file=files/processo_documento/processo_documento09421602042026_1_.pdf&amp;nome=Relação de credores Golden</t>
        </is>
      </c>
    </row>
    <row r="819">
      <c r="A819" t="inlineStr">
        <is>
          <t>cbabba497255</t>
        </is>
      </c>
      <c r="B819" t="inlineStr">
        <is>
          <t>0873220-82.2023.8.12.0001</t>
        </is>
      </c>
      <c r="C819" t="inlineStr">
        <is>
          <t>UNKNOWN</t>
        </is>
      </c>
      <c r="D819" t="inlineStr">
        <is>
          <t>OK_NO_TOTALS</t>
        </is>
      </c>
      <c r="E819" t="n">
        <v>2</v>
      </c>
      <c r="F819" t="inlineStr">
        <is>
          <t>TABLE</t>
        </is>
      </c>
      <c r="G819" t="inlineStr">
        <is>
          <t>TABLE_BANDS</t>
        </is>
      </c>
      <c r="H819" t="inlineStr"/>
      <c r="J819" t="inlineStr">
        <is>
          <t>Rinatta Laticínio LTDA - Real Brasil Consultoria</t>
        </is>
      </c>
      <c r="K819" t="inlineStr">
        <is>
          <t>realbrasil.com.br</t>
        </is>
      </c>
      <c r="L819" s="19" t="inlineStr">
        <is>
          <t>https://realbrasil.com.br/wp-content/uploads/2024/05/4.LISTA-DE-CREDORES-DEVEDORA.pdf</t>
        </is>
      </c>
    </row>
    <row r="820">
      <c r="A820" t="inlineStr">
        <is>
          <t>1a8eb2452300</t>
        </is>
      </c>
      <c r="B820" t="inlineStr">
        <is>
          <t>8054910-22.2020.8.05.0001</t>
        </is>
      </c>
      <c r="C820" t="inlineStr">
        <is>
          <t>UNKNOWN</t>
        </is>
      </c>
      <c r="D820" t="inlineStr">
        <is>
          <t>OK_NO_TOTALS</t>
        </is>
      </c>
      <c r="E820" t="n">
        <v>3</v>
      </c>
      <c r="F820" t="inlineStr">
        <is>
          <t>PROSE</t>
        </is>
      </c>
      <c r="G820" t="inlineStr">
        <is>
          <t>PROSE</t>
        </is>
      </c>
      <c r="H820" t="inlineStr"/>
      <c r="I820" t="inlineStr">
        <is>
          <t>2025-07-16</t>
        </is>
      </c>
      <c r="J820" t="inlineStr">
        <is>
          <t>Hoteis e Pousadas Belle Mer Brasil S/A - Real Brasil Consultoria</t>
        </is>
      </c>
      <c r="K820" t="inlineStr">
        <is>
          <t>realbrasil.com.br</t>
        </is>
      </c>
      <c r="L820" s="19" t="inlineStr">
        <is>
          <t>https://realbrasil.com.br/wp-content/uploads/2025/07/7.EDITAL-QUADRO-DE-CREDORES-DO-AJ.pdf</t>
        </is>
      </c>
    </row>
    <row r="821">
      <c r="A821" t="inlineStr">
        <is>
          <t>ea5d9e6ac662</t>
        </is>
      </c>
      <c r="C821" t="inlineStr">
        <is>
          <t>UNKNOWN</t>
        </is>
      </c>
      <c r="D821" t="inlineStr">
        <is>
          <t>OK_NO_TOTALS</t>
        </is>
      </c>
      <c r="E821" t="n">
        <v>3</v>
      </c>
      <c r="F821" t="inlineStr">
        <is>
          <t>TABLE</t>
        </is>
      </c>
      <c r="G821" t="inlineStr">
        <is>
          <t>TABLE_RULED</t>
        </is>
      </c>
      <c r="H821" t="inlineStr"/>
      <c r="I821" t="inlineStr">
        <is>
          <t>2011-05-26</t>
        </is>
      </c>
      <c r="J821" t="inlineStr">
        <is>
          <t>Nayr Confecções LTDA - Real Brasil Consultoria</t>
        </is>
      </c>
      <c r="K821" t="inlineStr">
        <is>
          <t>realbrasil.com.br</t>
        </is>
      </c>
      <c r="L821" s="19" t="inlineStr">
        <is>
          <t>https://realbrasil.com.br/wp-content/uploads/2020/10/4.LISTA-DE-RECUPERANDA-CREDORES.pdf</t>
        </is>
      </c>
    </row>
    <row r="822">
      <c r="A822" t="inlineStr">
        <is>
          <t>65cf7e04be7f</t>
        </is>
      </c>
      <c r="C822" t="inlineStr">
        <is>
          <t>UNKNOWN</t>
        </is>
      </c>
      <c r="D822" t="inlineStr">
        <is>
          <t>OK_NO_TOTALS</t>
        </is>
      </c>
      <c r="E822" t="n">
        <v>27</v>
      </c>
      <c r="F822" t="inlineStr">
        <is>
          <t>PROSE</t>
        </is>
      </c>
      <c r="G822" t="inlineStr">
        <is>
          <t>PROSE</t>
        </is>
      </c>
      <c r="H822" t="inlineStr"/>
      <c r="J822" t="inlineStr">
        <is>
          <t>ALPHATEC INOVAÇÃO EM INFRAESTRUTURA - Real Brasil Consultoria</t>
        </is>
      </c>
      <c r="K822" t="inlineStr">
        <is>
          <t>realbrasil.com.br</t>
        </is>
      </c>
      <c r="L822" s="19" t="inlineStr">
        <is>
          <t>https://realbrasil.com.br/wp-content/uploads/2021/05/LISTA-DE-CREDORES-ALPHATEC.pdf</t>
        </is>
      </c>
    </row>
    <row r="823">
      <c r="A823" t="inlineStr">
        <is>
          <t>29ff4732fc87</t>
        </is>
      </c>
      <c r="B823" t="inlineStr">
        <is>
          <t>5341375-33.2026.8.09.0049</t>
        </is>
      </c>
      <c r="C823" t="inlineStr">
        <is>
          <t>UNKNOWN</t>
        </is>
      </c>
      <c r="D823" t="inlineStr">
        <is>
          <t>OK_NO_TOTALS</t>
        </is>
      </c>
      <c r="E823" t="n">
        <v>35</v>
      </c>
      <c r="F823" t="inlineStr">
        <is>
          <t>TABLE</t>
        </is>
      </c>
      <c r="G823" t="inlineStr">
        <is>
          <t>TABLE_RULED</t>
        </is>
      </c>
      <c r="H823" t="inlineStr"/>
      <c r="I823" t="inlineStr">
        <is>
          <t>2026-08-24</t>
        </is>
      </c>
      <c r="J823" t="inlineStr">
        <is>
          <t>RJ Grupo 3E - Stenius</t>
        </is>
      </c>
      <c r="K823" t="inlineStr">
        <is>
          <t>stenius.com.br</t>
        </is>
      </c>
      <c r="L823" s="19" t="inlineStr">
        <is>
          <t>https://stenius.com.br/wp-content/uploads/2026/08/Edital-2°-Relacao-de-Credores-e-Aviso-de-Recebumento-do-Plano-de-Reccuperacao-Judicial-do-Grupo-3E-1.pdf</t>
        </is>
      </c>
    </row>
    <row r="824">
      <c r="A824" t="inlineStr">
        <is>
          <t>c1999368afeb</t>
        </is>
      </c>
      <c r="B824" t="inlineStr">
        <is>
          <t>0010193-34.2013.8.19.0028</t>
        </is>
      </c>
      <c r="C824" t="inlineStr">
        <is>
          <t>UNKNOWN</t>
        </is>
      </c>
      <c r="D824" t="inlineStr">
        <is>
          <t>OK_NO_TOTALS</t>
        </is>
      </c>
      <c r="E824" t="n">
        <v>16</v>
      </c>
      <c r="F824" t="inlineStr">
        <is>
          <t>TABLE</t>
        </is>
      </c>
      <c r="G824" t="inlineStr">
        <is>
          <t>TABLE_RULED</t>
        </is>
      </c>
      <c r="H824" t="inlineStr"/>
      <c r="J824" t="inlineStr">
        <is>
          <t>SERMAP Comércio e Serviços LTDA - Real Brasil Consultoria</t>
        </is>
      </c>
      <c r="K824" t="inlineStr">
        <is>
          <t>realbrasil.com.br</t>
        </is>
      </c>
      <c r="L824" s="19" t="inlineStr">
        <is>
          <t>https://realbrasil.com.br/wp-content/uploads/2019/02/LISTA-DE-CREDORES-DA-RECUPERANDA.pdf</t>
        </is>
      </c>
    </row>
    <row r="825">
      <c r="A825" t="inlineStr">
        <is>
          <t>2807a62d00c2</t>
        </is>
      </c>
      <c r="B825" t="inlineStr">
        <is>
          <t>0813392-05.2016.8.12.0001</t>
        </is>
      </c>
      <c r="C825" t="inlineStr">
        <is>
          <t>UNKNOWN</t>
        </is>
      </c>
      <c r="D825" t="inlineStr">
        <is>
          <t>OK_NO_TOTALS</t>
        </is>
      </c>
      <c r="E825" t="n">
        <v>3</v>
      </c>
      <c r="F825" t="inlineStr">
        <is>
          <t>TABLE</t>
        </is>
      </c>
      <c r="G825" t="inlineStr">
        <is>
          <t>TABLE_BANDS</t>
        </is>
      </c>
      <c r="H825" t="inlineStr"/>
      <c r="I825" t="inlineStr">
        <is>
          <t>2016-10-17</t>
        </is>
      </c>
      <c r="J825" t="inlineStr">
        <is>
          <t>Pozzomat - Real Brasil Consultoria</t>
        </is>
      </c>
      <c r="K825" t="inlineStr">
        <is>
          <t>realbrasil.com.br</t>
        </is>
      </c>
      <c r="L825" s="19" t="inlineStr">
        <is>
          <t>https://realbrasil.com.br/wp-content/uploads/2018/08/1.LISTA-DE-CREDORES-DA-FALIDA.pdf</t>
        </is>
      </c>
    </row>
    <row r="826">
      <c r="A826" t="inlineStr">
        <is>
          <t>9ada72c17319</t>
        </is>
      </c>
      <c r="B826" t="inlineStr">
        <is>
          <t>6032681-62.2025.8.09.0051</t>
        </is>
      </c>
      <c r="C826" t="inlineStr">
        <is>
          <t>UNKNOWN</t>
        </is>
      </c>
      <c r="D826" t="inlineStr">
        <is>
          <t>OK_NO_TOTALS</t>
        </is>
      </c>
      <c r="E826" t="n">
        <v>6</v>
      </c>
      <c r="F826" t="inlineStr">
        <is>
          <t>TABLE</t>
        </is>
      </c>
      <c r="G826" t="inlineStr">
        <is>
          <t>TABLE_RULED</t>
        </is>
      </c>
      <c r="H826" t="inlineStr"/>
      <c r="I826" t="inlineStr">
        <is>
          <t>2026-05-04</t>
        </is>
      </c>
      <c r="J826" t="inlineStr">
        <is>
          <t>MARGIL TRANSPORTES LTDA</t>
        </is>
      </c>
      <c r="K826" t="inlineStr">
        <is>
          <t>stenius.com.br</t>
        </is>
      </c>
      <c r="L826" s="19" t="inlineStr">
        <is>
          <t>https://stenius.com.br/wp-content/uploads/2026/05/2-RELACAO-DE-CREDORES-MARGIL.pdf</t>
        </is>
      </c>
    </row>
    <row r="827">
      <c r="A827" t="inlineStr">
        <is>
          <t>e29b93fc0dd1</t>
        </is>
      </c>
      <c r="B827" t="inlineStr">
        <is>
          <t>5660592-49.2025.8.09.0105</t>
        </is>
      </c>
      <c r="C827" t="inlineStr">
        <is>
          <t>UNKNOWN</t>
        </is>
      </c>
      <c r="D827" t="inlineStr">
        <is>
          <t>OK_NO_TOTALS</t>
        </is>
      </c>
      <c r="E827" t="n">
        <v>2</v>
      </c>
      <c r="F827" t="inlineStr">
        <is>
          <t>TABLE</t>
        </is>
      </c>
      <c r="G827" t="inlineStr">
        <is>
          <t>TABLE_RULED</t>
        </is>
      </c>
      <c r="H827" t="inlineStr"/>
      <c r="I827" t="inlineStr">
        <is>
          <t>2026-05-22</t>
        </is>
      </c>
      <c r="J827" t="inlineStr">
        <is>
          <t>RJ DINKOSKI - Stenius</t>
        </is>
      </c>
      <c r="K827" t="inlineStr">
        <is>
          <t>stenius.com.br</t>
        </is>
      </c>
      <c r="L827" s="19" t="inlineStr">
        <is>
          <t>https://stenius.com.br/wp-content/uploads/2026/05/Edital-2-relacao-credores-Dinkoski.pdf</t>
        </is>
      </c>
    </row>
    <row r="828">
      <c r="A828" t="inlineStr">
        <is>
          <t>30aa5a0be31b</t>
        </is>
      </c>
      <c r="B828" t="inlineStr">
        <is>
          <t>0002888-23.2018.8.19.0028</t>
        </is>
      </c>
      <c r="C828" t="inlineStr">
        <is>
          <t>UNKNOWN</t>
        </is>
      </c>
      <c r="D828" t="inlineStr">
        <is>
          <t>OK_NO_TOTALS</t>
        </is>
      </c>
      <c r="E828" t="n">
        <v>5</v>
      </c>
      <c r="F828" t="inlineStr">
        <is>
          <t>TABLE</t>
        </is>
      </c>
      <c r="G828" t="inlineStr">
        <is>
          <t>TABLE_RULED</t>
        </is>
      </c>
      <c r="H828" t="inlineStr"/>
      <c r="J828" t="inlineStr">
        <is>
          <t>Paragon Offshore - Real Brasil Consultoria</t>
        </is>
      </c>
      <c r="K828" t="inlineStr">
        <is>
          <t>realbrasil.com.br</t>
        </is>
      </c>
      <c r="L828" s="19" t="inlineStr">
        <is>
          <t>https://realbrasil.com.br/wp-content/uploads/2018/08/2.LISTA_DE_CREDORES_PARAGON_OFFSHORE_DRILLING_DO_BRASIL_LTDA.pdf</t>
        </is>
      </c>
    </row>
    <row r="829">
      <c r="A829" t="inlineStr">
        <is>
          <t>747e62e9d4aa</t>
        </is>
      </c>
      <c r="B829" t="inlineStr">
        <is>
          <t>6032681-62.2025.8.09.0051</t>
        </is>
      </c>
      <c r="C829" t="inlineStr">
        <is>
          <t>UNKNOWN</t>
        </is>
      </c>
      <c r="D829" t="inlineStr">
        <is>
          <t>OK_NO_TOTALS</t>
        </is>
      </c>
      <c r="E829" t="n">
        <v>34</v>
      </c>
      <c r="F829" t="inlineStr">
        <is>
          <t>TABLE</t>
        </is>
      </c>
      <c r="G829" t="inlineStr">
        <is>
          <t>TABLE_BANDS</t>
        </is>
      </c>
      <c r="H829" t="inlineStr"/>
      <c r="I829" t="inlineStr">
        <is>
          <t>2026-04-08</t>
        </is>
      </c>
      <c r="J829" t="inlineStr">
        <is>
          <t>RJ - Margil - Stenius</t>
        </is>
      </c>
      <c r="K829" t="inlineStr">
        <is>
          <t>stenius.com.br</t>
        </is>
      </c>
      <c r="L829" s="19" t="inlineStr">
        <is>
          <t>https://stenius.com.br/wp-content/uploads/2026/04/4-Plano-de-RJ-mov.57.pdf</t>
        </is>
      </c>
    </row>
    <row r="830">
      <c r="A830" t="inlineStr">
        <is>
          <t>4702d7201f18</t>
        </is>
      </c>
      <c r="B830" t="inlineStr">
        <is>
          <t>5264228-81.2025.8.09.0172</t>
        </is>
      </c>
      <c r="C830" t="inlineStr">
        <is>
          <t>UNKNOWN</t>
        </is>
      </c>
      <c r="D830" t="inlineStr">
        <is>
          <t>OK_NO_TOTALS</t>
        </is>
      </c>
      <c r="E830" t="n">
        <v>77</v>
      </c>
      <c r="F830" t="inlineStr">
        <is>
          <t>TABLE</t>
        </is>
      </c>
      <c r="G830" t="inlineStr">
        <is>
          <t>TABLE_RULED</t>
        </is>
      </c>
      <c r="H830" t="inlineStr"/>
      <c r="I830" t="inlineStr">
        <is>
          <t>2026-04-08</t>
        </is>
      </c>
      <c r="J830" t="inlineStr">
        <is>
          <t>RJ GRUPO FAEL - Stenius</t>
        </is>
      </c>
      <c r="K830" t="inlineStr">
        <is>
          <t>stenius.com.br</t>
        </is>
      </c>
      <c r="L830" s="19" t="inlineStr">
        <is>
          <t>https://stenius.com.br/wp-content/uploads/2026/04/5-Plano-de-Recuperacao-Judicial-mov.55.pdf</t>
        </is>
      </c>
    </row>
    <row r="831">
      <c r="A831" t="inlineStr">
        <is>
          <t>5ae418852e60</t>
        </is>
      </c>
      <c r="B831" t="inlineStr">
        <is>
          <t>0012812-06.2016.8.19.0068</t>
        </is>
      </c>
      <c r="C831" t="inlineStr">
        <is>
          <t>UNKNOWN</t>
        </is>
      </c>
      <c r="D831" t="inlineStr">
        <is>
          <t>OK_NO_TOTALS</t>
        </is>
      </c>
      <c r="E831" t="n">
        <v>1</v>
      </c>
      <c r="F831" t="inlineStr">
        <is>
          <t>TABLE</t>
        </is>
      </c>
      <c r="G831" t="inlineStr">
        <is>
          <t>TABLE_RULED</t>
        </is>
      </c>
      <c r="H831" t="inlineStr"/>
      <c r="J831" t="inlineStr">
        <is>
          <t>PORPLAN Construtora LTDA EPP - Real Brasil Consultoria</t>
        </is>
      </c>
      <c r="K831" t="inlineStr">
        <is>
          <t>realbrasil.com.br</t>
        </is>
      </c>
      <c r="L831" s="19" t="inlineStr">
        <is>
          <t>https://realbrasil.com.br/wp-content/uploads/2017/10/2_RELAÇÃO-NOMINAL-DE-CREDORES-PORPLAN.pdf</t>
        </is>
      </c>
    </row>
    <row r="832">
      <c r="A832" t="inlineStr">
        <is>
          <t>ec141f83234f</t>
        </is>
      </c>
      <c r="B832" t="inlineStr">
        <is>
          <t>5677250-87.2023.8.09.0051</t>
        </is>
      </c>
      <c r="C832" t="inlineStr">
        <is>
          <t>UNKNOWN</t>
        </is>
      </c>
      <c r="D832" t="inlineStr">
        <is>
          <t>OK_NO_TOTALS</t>
        </is>
      </c>
      <c r="E832" t="n">
        <v>23</v>
      </c>
      <c r="F832" t="inlineStr">
        <is>
          <t>TABLE</t>
        </is>
      </c>
      <c r="G832" t="inlineStr">
        <is>
          <t>TABLE_BANDS</t>
        </is>
      </c>
      <c r="H832" t="inlineStr"/>
      <c r="I832" t="inlineStr">
        <is>
          <t>2026-04-08</t>
        </is>
      </c>
      <c r="J832" t="inlineStr">
        <is>
          <t>EMPRESA</t>
        </is>
      </c>
      <c r="K832" t="inlineStr">
        <is>
          <t>stenius.com.br</t>
        </is>
      </c>
      <c r="L832" s="19" t="inlineStr">
        <is>
          <t>https://stenius.com.br/wp-content/uploads/2026/04/1-edital.pdf</t>
        </is>
      </c>
    </row>
    <row r="833">
      <c r="A833" t="inlineStr">
        <is>
          <t>e33f5132f74c</t>
        </is>
      </c>
      <c r="B833" t="inlineStr">
        <is>
          <t>1000201-93.2017.8.11.0002</t>
        </is>
      </c>
      <c r="C833" t="inlineStr">
        <is>
          <t>UNKNOWN</t>
        </is>
      </c>
      <c r="D833" t="inlineStr">
        <is>
          <t>OK_NO_TOTALS</t>
        </is>
      </c>
      <c r="E833" t="n">
        <v>2</v>
      </c>
      <c r="F833" t="inlineStr">
        <is>
          <t>TABLE</t>
        </is>
      </c>
      <c r="G833" t="inlineStr">
        <is>
          <t>TABLE_RULED</t>
        </is>
      </c>
      <c r="H833" t="inlineStr"/>
      <c r="I833" t="inlineStr">
        <is>
          <t>2016-12-30</t>
        </is>
      </c>
      <c r="J833" t="inlineStr">
        <is>
          <t>Grupo Radar - Radar Soluções Empresariais Ltda - Real Brasil Consultoria</t>
        </is>
      </c>
      <c r="K833" t="inlineStr">
        <is>
          <t>realbrasil.com.br</t>
        </is>
      </c>
      <c r="L833" s="19" t="inlineStr">
        <is>
          <t>https://realbrasil.com.br/wp-content/uploads/2017/05/Lista-de-Credores-radar.pdf</t>
        </is>
      </c>
    </row>
    <row r="834">
      <c r="A834" t="inlineStr">
        <is>
          <t>73081002805c</t>
        </is>
      </c>
      <c r="B834" t="inlineStr">
        <is>
          <t>5012487-62.2024.8.24.0023</t>
        </is>
      </c>
      <c r="C834" t="inlineStr">
        <is>
          <t>UNKNOWN</t>
        </is>
      </c>
      <c r="D834" t="inlineStr">
        <is>
          <t>OK_NO_TOTALS</t>
        </is>
      </c>
      <c r="E834" t="n">
        <v>18</v>
      </c>
      <c r="F834" t="inlineStr">
        <is>
          <t>PROSE</t>
        </is>
      </c>
      <c r="G834" t="inlineStr">
        <is>
          <t>PROSE</t>
        </is>
      </c>
      <c r="H834" t="inlineStr"/>
      <c r="J834" t="inlineStr">
        <is>
          <t>Figueirense Futebol Clube – Recuperação Judicial | Administração Judicial - Credibilità</t>
        </is>
      </c>
      <c r="K834" t="inlineStr">
        <is>
          <t>credibilita.com.br</t>
        </is>
      </c>
      <c r="L834" s="19" t="inlineStr">
        <is>
          <t>https://credibilita.com.br/wp-content/uploads/2024/02/Lista-de-credores-Figueirense-Futebol-Clube.pdf</t>
        </is>
      </c>
    </row>
    <row r="835">
      <c r="A835" t="inlineStr">
        <is>
          <t>e1a90a6120bc</t>
        </is>
      </c>
      <c r="B835" t="inlineStr">
        <is>
          <t>0003679-79.2026.8.16.0194</t>
        </is>
      </c>
      <c r="C835" t="inlineStr">
        <is>
          <t>UNKNOWN</t>
        </is>
      </c>
      <c r="D835" t="inlineStr">
        <is>
          <t>OK_NO_TOTALS</t>
        </is>
      </c>
      <c r="E835" t="n">
        <v>46</v>
      </c>
      <c r="F835" t="inlineStr">
        <is>
          <t>TABLE</t>
        </is>
      </c>
      <c r="G835" t="inlineStr">
        <is>
          <t>TABLE_BANDS</t>
        </is>
      </c>
      <c r="H835" t="inlineStr"/>
      <c r="I835" t="inlineStr">
        <is>
          <t>2026-03-05</t>
        </is>
      </c>
      <c r="J835" t="inlineStr">
        <is>
          <t>Fasttel Engenharia S.A. | Administração Judicial - Credibilità</t>
        </is>
      </c>
      <c r="K835" t="inlineStr">
        <is>
          <t>credibilita.com.br</t>
        </is>
      </c>
      <c r="L835" s="19" t="inlineStr">
        <is>
          <t>https://credibilita.com.br/wp-content/uploads/2026/03/05.03.2026-Lista-de-Credores-apresentada-pela-Recuperanda-1.pdf</t>
        </is>
      </c>
    </row>
    <row r="836">
      <c r="A836" t="inlineStr">
        <is>
          <t>13fa7793a2f7</t>
        </is>
      </c>
      <c r="B836" t="inlineStr">
        <is>
          <t>0806815-98.2025.8.19.0001</t>
        </is>
      </c>
      <c r="C836" t="inlineStr">
        <is>
          <t>UNKNOWN</t>
        </is>
      </c>
      <c r="D836" t="inlineStr">
        <is>
          <t>OK_NO_TOTALS</t>
        </is>
      </c>
      <c r="E836" t="n">
        <v>2</v>
      </c>
      <c r="F836" t="inlineStr">
        <is>
          <t>TABLE</t>
        </is>
      </c>
      <c r="G836" t="inlineStr">
        <is>
          <t>TABLE_RULED</t>
        </is>
      </c>
      <c r="H836" t="inlineStr"/>
      <c r="J836" t="inlineStr">
        <is>
          <t>GRUPO WIDMEN Para facilitar a consulta, usa</t>
        </is>
      </c>
      <c r="K836" t="inlineStr">
        <is>
          <t>inova-aj.com.br</t>
        </is>
      </c>
      <c r="L836" s="19" t="inlineStr">
        <is>
          <t>https://inova-aj.com.br/wp-content/uploads/2026/04/Grupo-Widmen-Segunda-Relacao-de-Credores.pdf</t>
        </is>
      </c>
    </row>
    <row r="837">
      <c r="A837" t="inlineStr">
        <is>
          <t>ef9dfa465669</t>
        </is>
      </c>
      <c r="B837" t="inlineStr">
        <is>
          <t>0949160-58.2023.8.19.0001</t>
        </is>
      </c>
      <c r="C837" t="inlineStr">
        <is>
          <t>UNKNOWN</t>
        </is>
      </c>
      <c r="D837" t="inlineStr">
        <is>
          <t>OK_NO_TOTALS</t>
        </is>
      </c>
      <c r="E837" t="n">
        <v>5</v>
      </c>
      <c r="F837" t="inlineStr">
        <is>
          <t>TABLE</t>
        </is>
      </c>
      <c r="G837" t="inlineStr">
        <is>
          <t>TABLE_RULED</t>
        </is>
      </c>
      <c r="H837" t="inlineStr"/>
      <c r="J837" t="inlineStr">
        <is>
          <t>Grupo Officilab – Processo nº 0949160-58.2023.8.19.0001 – e-mail: admjudofficilab@inova-aj.com.br – INOVA</t>
        </is>
      </c>
      <c r="K837" t="inlineStr">
        <is>
          <t>inova-aj.com.br</t>
        </is>
      </c>
      <c r="L837" s="19" t="inlineStr">
        <is>
          <t>https://inova-aj.com.br/wp-content/uploads/2024/05/Officilab-Segunda-Relacao-de-Credores.pdf</t>
        </is>
      </c>
    </row>
    <row r="838">
      <c r="A838" t="inlineStr">
        <is>
          <t>1e51f201c30c</t>
        </is>
      </c>
      <c r="B838" t="inlineStr">
        <is>
          <t>0021370-77.2024.8.16.0194</t>
        </is>
      </c>
      <c r="C838" t="inlineStr">
        <is>
          <t>UNKNOWN</t>
        </is>
      </c>
      <c r="D838" t="inlineStr">
        <is>
          <t>OK_NO_TOTALS</t>
        </is>
      </c>
      <c r="E838" t="n">
        <v>3</v>
      </c>
      <c r="F838" t="inlineStr">
        <is>
          <t>TABLE</t>
        </is>
      </c>
      <c r="G838" t="inlineStr">
        <is>
          <t>TABLE_BANDS</t>
        </is>
      </c>
      <c r="H838" t="inlineStr"/>
      <c r="I838" t="inlineStr">
        <is>
          <t>2025-06-02</t>
        </is>
      </c>
      <c r="J838" t="inlineStr">
        <is>
          <t>Compet Agro Florestal S.A, Antônio de Pauli S.A e Empreendimentos Florestais Paraná LTDA. | Administração Judicial - Credibilità</t>
        </is>
      </c>
      <c r="K838" t="inlineStr">
        <is>
          <t>credibilita.com.br</t>
        </is>
      </c>
      <c r="L838" s="19" t="inlineStr">
        <is>
          <t>https://credibilita.com.br/wp-content/uploads/2024/12/02.06.2025-Relacao-de-Credores-mov.-49.2.pdf</t>
        </is>
      </c>
    </row>
    <row r="839">
      <c r="A839" t="inlineStr">
        <is>
          <t>2312b4e52fdf</t>
        </is>
      </c>
      <c r="B839" t="inlineStr">
        <is>
          <t>0949160-58.2023.8.19.0001</t>
        </is>
      </c>
      <c r="C839" t="inlineStr">
        <is>
          <t>UNKNOWN</t>
        </is>
      </c>
      <c r="D839" t="inlineStr">
        <is>
          <t>OK_NO_TOTALS</t>
        </is>
      </c>
      <c r="E839" t="n">
        <v>5</v>
      </c>
      <c r="F839" t="inlineStr">
        <is>
          <t>TABLE</t>
        </is>
      </c>
      <c r="G839" t="inlineStr">
        <is>
          <t>TABLE_RULED</t>
        </is>
      </c>
      <c r="H839" t="inlineStr"/>
      <c r="J839" t="inlineStr">
        <is>
          <t>Grupo Officilab – Processo nº 0949160-58.2023.8.19.0001 – e-mail: admjudofficilab@inova-aj.com.br – INOVA</t>
        </is>
      </c>
      <c r="K839" t="inlineStr">
        <is>
          <t>inova-aj.com.br</t>
        </is>
      </c>
      <c r="L839" s="19" t="inlineStr">
        <is>
          <t>https://inova-aj.com.br/wp-content/uploads/2023/12/Relacao-de-Credores-Officilab-.pdf</t>
        </is>
      </c>
    </row>
    <row r="840">
      <c r="A840" t="inlineStr">
        <is>
          <t>3bd524befb7d</t>
        </is>
      </c>
      <c r="B840" t="inlineStr">
        <is>
          <t>0928454-54.2023.8.19.0001</t>
        </is>
      </c>
      <c r="C840" t="inlineStr">
        <is>
          <t>UNKNOWN</t>
        </is>
      </c>
      <c r="D840" t="inlineStr">
        <is>
          <t>OK_NO_TOTALS</t>
        </is>
      </c>
      <c r="E840" t="n">
        <v>4</v>
      </c>
      <c r="F840" t="inlineStr">
        <is>
          <t>TABLE</t>
        </is>
      </c>
      <c r="G840" t="inlineStr">
        <is>
          <t>TABLE_BANDS</t>
        </is>
      </c>
      <c r="H840" t="inlineStr"/>
      <c r="I840" t="inlineStr">
        <is>
          <t>2024-04-05</t>
        </is>
      </c>
      <c r="J840" t="inlineStr">
        <is>
          <t>Grupo Concal – Processo nº 0928454-54.2023.8.19.0001 – e-mail: admjudconcal@inova-aj.com.br – INOVA</t>
        </is>
      </c>
      <c r="K840" t="inlineStr">
        <is>
          <t>inova-aj.com.br</t>
        </is>
      </c>
      <c r="L840" s="19" t="inlineStr">
        <is>
          <t>https://inova-aj.com.br/wp-content/uploads/2024/04/Concal-Edital-Recebimento-do-PRJ-e-2a-Relacao-de-Credores.pdf</t>
        </is>
      </c>
    </row>
    <row r="841">
      <c r="A841" t="inlineStr">
        <is>
          <t>4c98239a0559</t>
        </is>
      </c>
      <c r="B841" t="inlineStr">
        <is>
          <t>0928454-54.2023.8.19.0001</t>
        </is>
      </c>
      <c r="C841" t="inlineStr">
        <is>
          <t>UNKNOWN</t>
        </is>
      </c>
      <c r="D841" t="inlineStr">
        <is>
          <t>OK_NO_TOTALS</t>
        </is>
      </c>
      <c r="E841" t="n">
        <v>10</v>
      </c>
      <c r="F841" t="inlineStr">
        <is>
          <t>TABLE</t>
        </is>
      </c>
      <c r="G841" t="inlineStr">
        <is>
          <t>TABLE_RULED</t>
        </is>
      </c>
      <c r="H841" t="inlineStr"/>
      <c r="J841" t="inlineStr">
        <is>
          <t>Grupo Concal – Processo nº 0928454-54.2023.8.19.0001 – e-mail: admjudconcal@inova-aj.com.br – INOVA</t>
        </is>
      </c>
      <c r="K841" t="inlineStr">
        <is>
          <t>inova-aj.com.br</t>
        </is>
      </c>
      <c r="L841" s="19" t="inlineStr">
        <is>
          <t>https://inova-aj.com.br/wp-content/uploads/2023/10/Concal-Relacao-de-Credores-0928454-54.2023.8.19.0001.pdf</t>
        </is>
      </c>
    </row>
    <row r="842">
      <c r="A842" t="inlineStr">
        <is>
          <t>ece9afaa7528</t>
        </is>
      </c>
      <c r="B842" t="inlineStr">
        <is>
          <t>0024643-24.2017.8.19.0001</t>
        </is>
      </c>
      <c r="C842" t="inlineStr">
        <is>
          <t>UNKNOWN</t>
        </is>
      </c>
      <c r="D842" t="inlineStr">
        <is>
          <t>OK_NO_TOTALS</t>
        </is>
      </c>
      <c r="E842" t="n">
        <v>14</v>
      </c>
      <c r="F842" t="inlineStr">
        <is>
          <t>TABLE</t>
        </is>
      </c>
      <c r="G842" t="inlineStr">
        <is>
          <t>TABLE_RULED</t>
        </is>
      </c>
      <c r="H842" t="inlineStr"/>
      <c r="I842" t="inlineStr">
        <is>
          <t>2019-11-07</t>
        </is>
      </c>
      <c r="J842" t="inlineStr">
        <is>
          <t>Engetécnica Serviços e Construções Ltda. e Construtora Zadar Ltda. – Processo nº 0024643-24.2017.8.19.0001 – e-mail: admjudzadar@inova-aj.com.br – INOVA</t>
        </is>
      </c>
      <c r="K842" t="inlineStr">
        <is>
          <t>inova-aj.com.br</t>
        </is>
      </c>
      <c r="L842" s="19" t="inlineStr">
        <is>
          <t>https://inova-aj.com.br/wp-content/uploads/2019/11/Relação-de-Credores-Incluídos-na-2ª-Opção-do-PRJ-1.pdf</t>
        </is>
      </c>
    </row>
    <row r="843">
      <c r="A843" t="inlineStr">
        <is>
          <t>812b7174724a</t>
        </is>
      </c>
      <c r="B843" t="inlineStr">
        <is>
          <t>5001024-38.2024.8.24.0019</t>
        </is>
      </c>
      <c r="C843" t="inlineStr">
        <is>
          <t>UNKNOWN</t>
        </is>
      </c>
      <c r="D843" t="inlineStr">
        <is>
          <t>OK_NO_TOTALS</t>
        </is>
      </c>
      <c r="E843" t="n">
        <v>6</v>
      </c>
      <c r="F843" t="inlineStr">
        <is>
          <t>TABLE</t>
        </is>
      </c>
      <c r="G843" t="inlineStr">
        <is>
          <t>TABLE_RULED</t>
        </is>
      </c>
      <c r="H843" t="inlineStr"/>
      <c r="J843" t="inlineStr">
        <is>
          <t>Starkfest Indústria do Vestuário Ltda. - RLG-AJ</t>
        </is>
      </c>
      <c r="K843" t="inlineStr">
        <is>
          <t>rlg-aj.com.br</t>
        </is>
      </c>
      <c r="L843" s="19" t="inlineStr">
        <is>
          <t>https://rlg-aj.com.br/wp-content/uploads/2024/02/6.-Relacao-de-Credores-Retificacao-Starkfest.pdf</t>
        </is>
      </c>
    </row>
    <row r="844">
      <c r="A844" t="inlineStr">
        <is>
          <t>b37e6542173f</t>
        </is>
      </c>
      <c r="B844" t="inlineStr">
        <is>
          <t>0024643-24.2017.8.19.0001</t>
        </is>
      </c>
      <c r="C844" t="inlineStr">
        <is>
          <t>UNKNOWN</t>
        </is>
      </c>
      <c r="D844" t="inlineStr">
        <is>
          <t>OK_NO_TOTALS</t>
        </is>
      </c>
      <c r="E844" t="n">
        <v>44</v>
      </c>
      <c r="F844" t="inlineStr">
        <is>
          <t>TABLE</t>
        </is>
      </c>
      <c r="G844" t="inlineStr">
        <is>
          <t>TABLE_BANDS</t>
        </is>
      </c>
      <c r="H844" t="inlineStr"/>
      <c r="J844" t="inlineStr">
        <is>
          <t>N2 0024643-24.2017.8.19.0001 RELAÇÃO NOMINAL DE DE CREDORES DA RECUPERAÇÃO JUDICIA</t>
        </is>
      </c>
      <c r="K844" t="inlineStr">
        <is>
          <t>inova-aj.com.br</t>
        </is>
      </c>
      <c r="L844" s="19" t="inlineStr">
        <is>
          <t>https://inova-aj.com.br/wp-content/uploads/2017/07/Relação-de-Credores-Engetécnica-e-Zadar-Art.-7º-§2º-LRE-Publicada...pdf</t>
        </is>
      </c>
    </row>
    <row r="845">
      <c r="A845" t="inlineStr">
        <is>
          <t>a62ac8ee0458</t>
        </is>
      </c>
      <c r="B845" t="inlineStr">
        <is>
          <t>5009149-92.2024.8.24.0019</t>
        </is>
      </c>
      <c r="C845" t="inlineStr">
        <is>
          <t>UNKNOWN</t>
        </is>
      </c>
      <c r="D845" t="inlineStr">
        <is>
          <t>OK_NO_TOTALS</t>
        </is>
      </c>
      <c r="E845" t="n">
        <v>4</v>
      </c>
      <c r="F845" t="inlineStr">
        <is>
          <t>TABLE</t>
        </is>
      </c>
      <c r="G845" t="inlineStr">
        <is>
          <t>TABLE_BANDS</t>
        </is>
      </c>
      <c r="H845" t="inlineStr"/>
      <c r="J845" t="inlineStr">
        <is>
          <t>Suinocultura Kunzler - RLG-AJ</t>
        </is>
      </c>
      <c r="K845" t="inlineStr">
        <is>
          <t>rlg-aj.com.br</t>
        </is>
      </c>
      <c r="L845" s="19" t="inlineStr">
        <is>
          <t>https://rlg-aj.com.br/wp-content/uploads/2024/11/07.-Relação-de-credores.pdf</t>
        </is>
      </c>
    </row>
    <row r="846">
      <c r="A846" t="inlineStr">
        <is>
          <t>f57b212d586f</t>
        </is>
      </c>
      <c r="B846" t="inlineStr">
        <is>
          <t>5009149-92.2024.8.24.0019</t>
        </is>
      </c>
      <c r="C846" t="inlineStr">
        <is>
          <t>UNKNOWN</t>
        </is>
      </c>
      <c r="D846" t="inlineStr">
        <is>
          <t>OK_NO_TOTALS</t>
        </is>
      </c>
      <c r="E846" t="n">
        <v>1</v>
      </c>
      <c r="F846" t="inlineStr">
        <is>
          <t>TABLE</t>
        </is>
      </c>
      <c r="G846" t="inlineStr">
        <is>
          <t>TABLE_BANDS</t>
        </is>
      </c>
      <c r="H846" t="inlineStr"/>
      <c r="J846" t="inlineStr">
        <is>
          <t>Suinocultura Kunzler - RLG-AJ</t>
        </is>
      </c>
      <c r="K846" t="inlineStr">
        <is>
          <t>rlg-aj.com.br</t>
        </is>
      </c>
      <c r="L846" s="19" t="inlineStr">
        <is>
          <t>https://rlg-aj.com.br/wp-content/uploads/2024/11/14.-Relação-de-credores-Retificação-1.pdf</t>
        </is>
      </c>
    </row>
    <row r="847">
      <c r="A847" t="inlineStr">
        <is>
          <t>ed76c67f66d1</t>
        </is>
      </c>
      <c r="B847" t="inlineStr">
        <is>
          <t>0287128-76.2017.8.19.0001</t>
        </is>
      </c>
      <c r="C847" t="inlineStr">
        <is>
          <t>UNKNOWN</t>
        </is>
      </c>
      <c r="D847" t="inlineStr">
        <is>
          <t>OK_NO_TOTALS</t>
        </is>
      </c>
      <c r="E847" t="n">
        <v>83</v>
      </c>
      <c r="F847" t="inlineStr">
        <is>
          <t>TABLE</t>
        </is>
      </c>
      <c r="G847" t="inlineStr">
        <is>
          <t>TABLE_RULED</t>
        </is>
      </c>
      <c r="H847" t="inlineStr"/>
      <c r="I847" t="inlineStr">
        <is>
          <t>2019-11-19</t>
        </is>
      </c>
      <c r="J847" t="inlineStr">
        <is>
          <t>Salutar Saúde Seguradora S/A – Processo nº 0872732-98.2024.8.19.0001 – e-mail: admjudsalutar@inova-aj.com.br – INOVA</t>
        </is>
      </c>
      <c r="K847" t="inlineStr">
        <is>
          <t>inova-aj.com.br</t>
        </is>
      </c>
      <c r="L847" s="19" t="inlineStr">
        <is>
          <t>https://inova-aj.com.br/wp-content/uploads/2025/02/Salutar-2a-Relacao-de-Credores.pdf</t>
        </is>
      </c>
    </row>
    <row r="848">
      <c r="A848" t="inlineStr">
        <is>
          <t>bb0428442aa1</t>
        </is>
      </c>
      <c r="B848" t="inlineStr">
        <is>
          <t>0078610-63.1989.8.19.0001</t>
        </is>
      </c>
      <c r="C848" t="inlineStr">
        <is>
          <t>UNKNOWN</t>
        </is>
      </c>
      <c r="D848" t="inlineStr">
        <is>
          <t>OK_NO_TOTALS</t>
        </is>
      </c>
      <c r="E848" t="n">
        <v>2</v>
      </c>
      <c r="F848" t="inlineStr">
        <is>
          <t>TABLE</t>
        </is>
      </c>
      <c r="G848" t="inlineStr">
        <is>
          <t>TABLE_RULED</t>
        </is>
      </c>
      <c r="H848" t="inlineStr"/>
      <c r="J848" t="inlineStr">
        <is>
          <t>Perácio Exportadora Café S.A. – Processo nº 0078610-63.1989.8.19.0001 – INOVA</t>
        </is>
      </c>
      <c r="K848" t="inlineStr">
        <is>
          <t>inova-aj.com.br</t>
        </is>
      </c>
      <c r="L848" s="19" t="inlineStr">
        <is>
          <t>https://inova-aj.com.br/wp-content/uploads/2025/04/2-Relacao-de-Credores-14.08.2023.pdf</t>
        </is>
      </c>
    </row>
    <row r="849">
      <c r="A849" t="inlineStr">
        <is>
          <t>0ecb744ed77a</t>
        </is>
      </c>
      <c r="B849" t="inlineStr">
        <is>
          <t>0014118-50.2014.8.19.0045</t>
        </is>
      </c>
      <c r="C849" t="inlineStr">
        <is>
          <t>UNKNOWN</t>
        </is>
      </c>
      <c r="D849" t="inlineStr">
        <is>
          <t>OK_NO_TOTALS</t>
        </is>
      </c>
      <c r="E849" t="n">
        <v>2</v>
      </c>
      <c r="F849" t="inlineStr">
        <is>
          <t>TABLE</t>
        </is>
      </c>
      <c r="G849" t="inlineStr">
        <is>
          <t>TABLE_RULED</t>
        </is>
      </c>
      <c r="H849" t="inlineStr"/>
      <c r="I849" t="inlineStr">
        <is>
          <t>2018-01-08</t>
        </is>
      </c>
      <c r="J849" t="inlineStr">
        <is>
          <t>Servatis S/A – Processo nº 0014118-50.2014.8.19.0045 – e-mail: admjudservatis@inova-aj.com.br – INOVA</t>
        </is>
      </c>
      <c r="K849" t="inlineStr">
        <is>
          <t>inova-aj.com.br</t>
        </is>
      </c>
      <c r="L849" s="19" t="inlineStr">
        <is>
          <t>https://inova-aj.com.br/wp-content/uploads/2024/01/00141185020148190045-21.pdf</t>
        </is>
      </c>
    </row>
    <row r="850">
      <c r="A850" t="inlineStr">
        <is>
          <t>3d346eb27e7f</t>
        </is>
      </c>
      <c r="B850" t="inlineStr">
        <is>
          <t>1501181-71.2016.8.26.0625</t>
        </is>
      </c>
      <c r="C850" t="inlineStr">
        <is>
          <t>UNKNOWN</t>
        </is>
      </c>
      <c r="D850" t="inlineStr">
        <is>
          <t>OK_NO_TOTALS</t>
        </is>
      </c>
      <c r="E850" t="n">
        <v>1</v>
      </c>
      <c r="F850" t="inlineStr">
        <is>
          <t>TABLE</t>
        </is>
      </c>
      <c r="G850" t="inlineStr">
        <is>
          <t>TABLE_BANDS</t>
        </is>
      </c>
      <c r="H850" t="inlineStr"/>
      <c r="J850" t="inlineStr">
        <is>
          <t>GateKeeper | Recuperação Judicial em São Paulo – Ética, técnica e profissionalismo na administração judicial de processos de recuperação e falência.</t>
        </is>
      </c>
      <c r="K850" t="inlineStr">
        <is>
          <t>gatekeeperaj.com.br</t>
        </is>
      </c>
      <c r="L850" s="19" t="inlineStr">
        <is>
          <t>https://gatekeeperaj.com.br/wp-content/uploads/2026/03/LISTA-DE-CREDORES-AIR-SHIELD.pdf</t>
        </is>
      </c>
    </row>
    <row r="851">
      <c r="A851" t="inlineStr">
        <is>
          <t>991f5b9c904b</t>
        </is>
      </c>
      <c r="B851" t="inlineStr">
        <is>
          <t>0139448-14.2022.8.19.0001</t>
        </is>
      </c>
      <c r="C851" t="inlineStr">
        <is>
          <t>UNKNOWN</t>
        </is>
      </c>
      <c r="D851" t="inlineStr">
        <is>
          <t>OK_NO_TOTALS</t>
        </is>
      </c>
      <c r="E851" t="n">
        <v>18</v>
      </c>
      <c r="F851" t="inlineStr">
        <is>
          <t>TABLE</t>
        </is>
      </c>
      <c r="G851" t="inlineStr">
        <is>
          <t>TABLE_RULED</t>
        </is>
      </c>
      <c r="H851" t="inlineStr"/>
      <c r="I851" t="inlineStr">
        <is>
          <t>2011-09-15</t>
        </is>
      </c>
      <c r="J851" t="inlineStr">
        <is>
          <t>Desenvolvimento Engenharia – 0029506-77.2004.8.19.0001 – INOVA</t>
        </is>
      </c>
      <c r="K851" t="inlineStr">
        <is>
          <t>inova-aj.com.br</t>
        </is>
      </c>
      <c r="L851" s="19" t="inlineStr">
        <is>
          <t>https://inova-aj.com.br/wp-content/uploads/2026/08/Desenvolvimento-Engenharia-QGC-nov.24.pdf</t>
        </is>
      </c>
    </row>
    <row r="852">
      <c r="A852" t="inlineStr">
        <is>
          <t>d22af55780f1</t>
        </is>
      </c>
      <c r="B852" t="inlineStr">
        <is>
          <t>0007113-75.2018.8.26.0001</t>
        </is>
      </c>
      <c r="C852" t="inlineStr">
        <is>
          <t>UNKNOWN</t>
        </is>
      </c>
      <c r="D852" t="inlineStr">
        <is>
          <t>OK_NO_TOTALS</t>
        </is>
      </c>
      <c r="E852" t="n">
        <v>1</v>
      </c>
      <c r="F852" t="inlineStr">
        <is>
          <t>TABLE</t>
        </is>
      </c>
      <c r="G852" t="inlineStr">
        <is>
          <t>TABLE_BANDS</t>
        </is>
      </c>
      <c r="H852" t="inlineStr"/>
      <c r="J852" t="inlineStr">
        <is>
          <t>GateKeeper | Recuperação Judicial em São Paulo – Ética, técnica e profissionalismo na administração judicial de processos de recuperação e falência.</t>
        </is>
      </c>
      <c r="K852" t="inlineStr">
        <is>
          <t>gatekeeperaj.com.br</t>
        </is>
      </c>
      <c r="L852" s="19" t="inlineStr">
        <is>
          <t>https://gatekeeperaj.com.br/wp-content/uploads/2025/10/RELACAO-DE-CREDORES.pdf</t>
        </is>
      </c>
    </row>
    <row r="853">
      <c r="A853" t="inlineStr">
        <is>
          <t>36d044bb8937</t>
        </is>
      </c>
      <c r="B853" t="inlineStr">
        <is>
          <t>1074600-92.2025.8.11.0041</t>
        </is>
      </c>
      <c r="C853" t="inlineStr">
        <is>
          <t>UNKNOWN</t>
        </is>
      </c>
      <c r="D853" t="inlineStr">
        <is>
          <t>OK_NO_TOTALS</t>
        </is>
      </c>
      <c r="E853" t="n">
        <v>78</v>
      </c>
      <c r="F853" t="inlineStr">
        <is>
          <t>TABLE</t>
        </is>
      </c>
      <c r="G853" t="inlineStr">
        <is>
          <t>TABLE_BANDS</t>
        </is>
      </c>
      <c r="H853" t="inlineStr"/>
      <c r="I853" t="inlineStr">
        <is>
          <t>2026-04-28</t>
        </is>
      </c>
      <c r="J853" t="inlineStr">
        <is>
          <t>Grupo Vezignazzi - RLG-AJ</t>
        </is>
      </c>
      <c r="K853" t="inlineStr">
        <is>
          <t>rlg-aj.com.br</t>
        </is>
      </c>
      <c r="L853" s="19" t="inlineStr">
        <is>
          <t>https://rlg-aj.com.br/wp-content/uploads/2026/03/20260424-Plano-de-Recuperacao-Judicial-Vezignazzi.pdf</t>
        </is>
      </c>
    </row>
    <row r="854">
      <c r="A854" t="inlineStr">
        <is>
          <t>cd9ea9590fab</t>
        </is>
      </c>
      <c r="B854" t="inlineStr">
        <is>
          <t>0000335-78.2024.8.26.0260</t>
        </is>
      </c>
      <c r="C854" t="inlineStr">
        <is>
          <t>UNKNOWN</t>
        </is>
      </c>
      <c r="D854" t="inlineStr">
        <is>
          <t>OK_NO_TOTALS</t>
        </is>
      </c>
      <c r="E854" t="n">
        <v>9</v>
      </c>
      <c r="F854" t="inlineStr">
        <is>
          <t>TABLE</t>
        </is>
      </c>
      <c r="G854" t="inlineStr">
        <is>
          <t>TABLE_RULED</t>
        </is>
      </c>
      <c r="H854" t="inlineStr"/>
      <c r="J854" t="inlineStr">
        <is>
          <t>GateKeeper | Recuperação Judicial em São Paulo – Ética, técnica e profissionalismo na administração judicial de processos de recuperação e falência.</t>
        </is>
      </c>
      <c r="K854" t="inlineStr">
        <is>
          <t>gatekeeperaj.com.br</t>
        </is>
      </c>
      <c r="L854" s="19" t="inlineStr">
        <is>
          <t>https://gatekeeperaj.com.br/wp-content/uploads/2024/09/Relacao-de-Credores-HEL.pdf</t>
        </is>
      </c>
    </row>
    <row r="855">
      <c r="A855" t="inlineStr">
        <is>
          <t>2727fa6d8ba5</t>
        </is>
      </c>
      <c r="B855" t="inlineStr">
        <is>
          <t>0000335-78.2024.8.26.0260</t>
        </is>
      </c>
      <c r="C855" t="inlineStr">
        <is>
          <t>UNKNOWN</t>
        </is>
      </c>
      <c r="D855" t="inlineStr">
        <is>
          <t>OK_NO_TOTALS</t>
        </is>
      </c>
      <c r="E855" t="n">
        <v>3</v>
      </c>
      <c r="F855" t="inlineStr">
        <is>
          <t>TABLE</t>
        </is>
      </c>
      <c r="G855" t="inlineStr">
        <is>
          <t>TABLE_RULED</t>
        </is>
      </c>
      <c r="H855" t="inlineStr"/>
      <c r="I855" t="inlineStr">
        <is>
          <t>2025-08-01</t>
        </is>
      </c>
      <c r="J855" t="inlineStr">
        <is>
          <t>GateKeeper | Recuperação Judicial em São Paulo – Ética, técnica e profissionalismo na administração judicial de processos de recuperação e falência.</t>
        </is>
      </c>
      <c r="K855" t="inlineStr">
        <is>
          <t>gatekeeperaj.com.br</t>
        </is>
      </c>
      <c r="L855" s="19" t="inlineStr">
        <is>
          <t>https://gatekeeperaj.com.br/wp-content/uploads/2025/11/Relacao-Nominal-de-Credores-Jomar.pdf</t>
        </is>
      </c>
    </row>
    <row r="856">
      <c r="A856" t="inlineStr">
        <is>
          <t>afd7d6accbb4</t>
        </is>
      </c>
      <c r="B856" t="inlineStr">
        <is>
          <t>5056287-30.2023.8.21.0001</t>
        </is>
      </c>
      <c r="C856" t="inlineStr">
        <is>
          <t>UNKNOWN</t>
        </is>
      </c>
      <c r="D856" t="inlineStr">
        <is>
          <t>OK_NO_TOTALS</t>
        </is>
      </c>
      <c r="E856" t="n">
        <v>2</v>
      </c>
      <c r="F856" t="inlineStr">
        <is>
          <t>TABLE</t>
        </is>
      </c>
      <c r="G856" t="inlineStr">
        <is>
          <t>TABLE_BANDS</t>
        </is>
      </c>
      <c r="H856" t="inlineStr"/>
      <c r="J856" t="inlineStr">
        <is>
          <t>5056287-30.2023.8.21.0001 | CB2D</t>
        </is>
      </c>
      <c r="K856" t="inlineStr">
        <is>
          <t>cb2d.com.br</t>
        </is>
      </c>
      <c r="L856" s="19" t="inlineStr">
        <is>
          <t>https://www.cb2d.com.br/portal/_uploads/4e6258c2-5f73-4d10-b4f7-990f797cf08f.pdf</t>
        </is>
      </c>
    </row>
    <row r="857">
      <c r="A857" t="inlineStr">
        <is>
          <t>1b26551517db</t>
        </is>
      </c>
      <c r="B857" t="inlineStr">
        <is>
          <t>4077687-05.2025.8.26.0100</t>
        </is>
      </c>
      <c r="C857" t="inlineStr">
        <is>
          <t>UNKNOWN</t>
        </is>
      </c>
      <c r="D857" t="inlineStr">
        <is>
          <t>OK_NO_TOTALS</t>
        </is>
      </c>
      <c r="E857" t="n">
        <v>6</v>
      </c>
      <c r="F857" t="inlineStr">
        <is>
          <t>TABLE</t>
        </is>
      </c>
      <c r="G857" t="inlineStr">
        <is>
          <t>TABLE_RULED</t>
        </is>
      </c>
      <c r="H857" t="inlineStr"/>
      <c r="J857" t="inlineStr">
        <is>
          <t>Grupo Pneus Paulista – ACFB</t>
        </is>
      </c>
      <c r="K857" t="inlineStr">
        <is>
          <t>acfb.com.br</t>
        </is>
      </c>
      <c r="L857" s="19" t="inlineStr">
        <is>
          <t>https://acfb.com.br/wp-content/uploads/2026/06/Relacao_de_Credores_Pneus_-_SITE.pdf</t>
        </is>
      </c>
    </row>
    <row r="858">
      <c r="A858" t="inlineStr">
        <is>
          <t>9a6a3c292c1c</t>
        </is>
      </c>
      <c r="C858" t="inlineStr">
        <is>
          <t>UNKNOWN</t>
        </is>
      </c>
      <c r="D858" t="inlineStr">
        <is>
          <t>OK_NO_TOTALS</t>
        </is>
      </c>
      <c r="E858" t="n">
        <v>3</v>
      </c>
      <c r="F858" t="inlineStr">
        <is>
          <t>TABLE</t>
        </is>
      </c>
      <c r="G858" t="inlineStr">
        <is>
          <t>TABLE_RULED</t>
        </is>
      </c>
      <c r="H858" t="inlineStr"/>
      <c r="J858" t="inlineStr">
        <is>
          <t>Base | AJ RUIZ - Administração Judicial</t>
        </is>
      </c>
      <c r="K858" t="inlineStr">
        <is>
          <t>ajruiz.com.br</t>
        </is>
      </c>
      <c r="L858" s="19" t="inlineStr">
        <is>
          <t>https://ajruiz.com.br/sites/default/files/public/arquivos-processos/2025-08/3._relacao_de_credores_two_square.pdf</t>
        </is>
      </c>
    </row>
    <row r="859">
      <c r="A859" t="inlineStr">
        <is>
          <t>5c84a7096ec9</t>
        </is>
      </c>
      <c r="C859" t="inlineStr">
        <is>
          <t>UNKNOWN</t>
        </is>
      </c>
      <c r="D859" t="inlineStr">
        <is>
          <t>OK_NO_TOTALS</t>
        </is>
      </c>
      <c r="E859" t="n">
        <v>4</v>
      </c>
      <c r="F859" t="inlineStr">
        <is>
          <t>TABLE</t>
        </is>
      </c>
      <c r="G859" t="inlineStr">
        <is>
          <t>TABLE_RULED</t>
        </is>
      </c>
      <c r="H859" t="inlineStr"/>
      <c r="J859" t="inlineStr">
        <is>
          <t>Base | AJ RUIZ - Administração Judicial</t>
        </is>
      </c>
      <c r="K859" t="inlineStr">
        <is>
          <t>ajruiz.com.br</t>
        </is>
      </c>
      <c r="L859" s="19" t="inlineStr">
        <is>
          <t>https://ajruiz.com.br/sites/default/files/public/arquivos-processos/2025-11/doc.02_relacao_de_credores_retificada.pdf</t>
        </is>
      </c>
    </row>
    <row r="860">
      <c r="A860" t="inlineStr">
        <is>
          <t>12b368d18cd8</t>
        </is>
      </c>
      <c r="B860" t="inlineStr">
        <is>
          <t>4000455-34.2026.8.26.0373</t>
        </is>
      </c>
      <c r="C860" t="inlineStr">
        <is>
          <t>UNKNOWN</t>
        </is>
      </c>
      <c r="D860" t="inlineStr">
        <is>
          <t>OK_NO_TOTALS</t>
        </is>
      </c>
      <c r="E860" t="n">
        <v>8</v>
      </c>
      <c r="F860" t="inlineStr">
        <is>
          <t>TABLE</t>
        </is>
      </c>
      <c r="G860" t="inlineStr">
        <is>
          <t>TABLE_RULED</t>
        </is>
      </c>
      <c r="H860" t="inlineStr"/>
      <c r="I860" t="inlineStr">
        <is>
          <t>2026-06-09</t>
        </is>
      </c>
      <c r="J860" t="inlineStr">
        <is>
          <t>Base | AJ RUIZ - Administração Judicial</t>
        </is>
      </c>
      <c r="K860" t="inlineStr">
        <is>
          <t>ajruiz.com.br</t>
        </is>
      </c>
      <c r="L860" s="19" t="inlineStr">
        <is>
          <t>https://ajruiz.com.br/sites/default/files/public/arquivos-processos/2026-06/relacao_de_credores.pdf</t>
        </is>
      </c>
    </row>
    <row r="861">
      <c r="A861" t="inlineStr">
        <is>
          <t>780bb17a2618</t>
        </is>
      </c>
      <c r="B861" t="inlineStr">
        <is>
          <t>4039082-53.2026.8.26.0100</t>
        </is>
      </c>
      <c r="C861" t="inlineStr">
        <is>
          <t>UNKNOWN</t>
        </is>
      </c>
      <c r="D861" t="inlineStr">
        <is>
          <t>OK_NO_TOTALS</t>
        </is>
      </c>
      <c r="E861" t="n">
        <v>2</v>
      </c>
      <c r="F861" t="inlineStr">
        <is>
          <t>TABLE</t>
        </is>
      </c>
      <c r="G861" t="inlineStr">
        <is>
          <t>TABLE_RULED</t>
        </is>
      </c>
      <c r="H861" t="inlineStr"/>
      <c r="I861" t="inlineStr">
        <is>
          <t>2026-04-22</t>
        </is>
      </c>
      <c r="J861" t="inlineStr">
        <is>
          <t>Ativos</t>
        </is>
      </c>
      <c r="K861" t="inlineStr">
        <is>
          <t>ativosajce.com.br</t>
        </is>
      </c>
      <c r="L861" s="19" t="inlineStr">
        <is>
          <t>https://ativosajce.com.br/admin/download.php?file=files/processo_documento/processo_documento18560022042026_1_.pdf&amp;nome=Relação de Credores - art. 52, §1º da Lei 11.101/05 - 22/04/2026</t>
        </is>
      </c>
    </row>
    <row r="862">
      <c r="A862" t="inlineStr">
        <is>
          <t>2fe04bf4466d</t>
        </is>
      </c>
      <c r="B862" t="inlineStr">
        <is>
          <t>4054599-35.2025.8.26.0100</t>
        </is>
      </c>
      <c r="C862" t="inlineStr">
        <is>
          <t>UNKNOWN</t>
        </is>
      </c>
      <c r="D862" t="inlineStr">
        <is>
          <t>OK_NO_TOTALS</t>
        </is>
      </c>
      <c r="E862" t="n">
        <v>11</v>
      </c>
      <c r="F862" t="inlineStr">
        <is>
          <t>TABLE</t>
        </is>
      </c>
      <c r="G862" t="inlineStr">
        <is>
          <t>TABLE_RULED</t>
        </is>
      </c>
      <c r="H862" t="inlineStr"/>
      <c r="J862" t="inlineStr">
        <is>
          <t>Ativos</t>
        </is>
      </c>
      <c r="K862" t="inlineStr">
        <is>
          <t>ativosajce.com.br</t>
        </is>
      </c>
      <c r="L862" s="19" t="inlineStr">
        <is>
          <t>https://ativosajce.com.br/admin/download.php?file=files/processo_documento/processo_documento16022716122025_1_.pdf&amp;nome=Relação de credores - art. 52, §1º da Lei 11.101/05 - 15/12/2025</t>
        </is>
      </c>
    </row>
    <row r="863">
      <c r="A863" t="inlineStr">
        <is>
          <t>20722ac5b149</t>
        </is>
      </c>
      <c r="B863" t="inlineStr">
        <is>
          <t>4000064-73.2025.8.26.0354</t>
        </is>
      </c>
      <c r="C863" t="inlineStr">
        <is>
          <t>UNKNOWN</t>
        </is>
      </c>
      <c r="D863" t="inlineStr">
        <is>
          <t>OK_NO_TOTALS</t>
        </is>
      </c>
      <c r="E863" t="n">
        <v>11</v>
      </c>
      <c r="F863" t="inlineStr">
        <is>
          <t>TABLE</t>
        </is>
      </c>
      <c r="G863" t="inlineStr">
        <is>
          <t>TABLE_BANDS</t>
        </is>
      </c>
      <c r="H863" t="inlineStr"/>
      <c r="J863" t="inlineStr">
        <is>
          <t>Ativos</t>
        </is>
      </c>
      <c r="K863" t="inlineStr">
        <is>
          <t>ativosajce.com.br</t>
        </is>
      </c>
      <c r="L863" s="19" t="inlineStr">
        <is>
          <t>https://ativosajce.com.br/admin/download.php?file=files/processo_documento/processo_documento14321031072026_1_.pdf&amp;nome=Relação de credores - 27/10/2025</t>
        </is>
      </c>
    </row>
    <row r="864">
      <c r="A864" t="inlineStr">
        <is>
          <t>f77ff7a0e28e</t>
        </is>
      </c>
      <c r="B864" t="inlineStr">
        <is>
          <t>0034729-42.2021.8.16.0019</t>
        </is>
      </c>
      <c r="C864" t="inlineStr">
        <is>
          <t>UNKNOWN</t>
        </is>
      </c>
      <c r="D864" t="inlineStr">
        <is>
          <t>OK_NO_TOTALS</t>
        </is>
      </c>
      <c r="E864" t="n">
        <v>5</v>
      </c>
      <c r="F864" t="inlineStr">
        <is>
          <t>TABLE</t>
        </is>
      </c>
      <c r="G864" t="inlineStr">
        <is>
          <t>TABLE_BANDS</t>
        </is>
      </c>
      <c r="H864" t="inlineStr"/>
      <c r="I864" t="inlineStr">
        <is>
          <t>2025-09-11</t>
        </is>
      </c>
      <c r="J864" t="inlineStr">
        <is>
          <t>VISÃO ASSESSORIA CONTÁBIL SC LTDA – Falência – Brazilio Bacellar Shirai Advogados</t>
        </is>
      </c>
      <c r="K864" t="inlineStr">
        <is>
          <t>bbsadvogados.com.br</t>
        </is>
      </c>
      <c r="L864" s="19" t="inlineStr">
        <is>
          <t>https://bbsadvogados.com.br/wp-content/uploads/2025/09/Edital-contendo-a-integra-da-decisao-que-decretou-a-falencia-e-relacao-de-credores-apresentada-pelo-falido-art.-99-1-da-LRF-pablo-dotto.pdf</t>
        </is>
      </c>
    </row>
    <row r="865">
      <c r="A865" t="inlineStr">
        <is>
          <t>0142de179331</t>
        </is>
      </c>
      <c r="B865" t="inlineStr">
        <is>
          <t>0133628-14.2024.8.17.2001</t>
        </is>
      </c>
      <c r="C865" t="inlineStr">
        <is>
          <t>UNKNOWN</t>
        </is>
      </c>
      <c r="D865" t="inlineStr">
        <is>
          <t>OK_NO_TOTALS</t>
        </is>
      </c>
      <c r="E865" t="n">
        <v>153</v>
      </c>
      <c r="F865" t="inlineStr">
        <is>
          <t>TABLE</t>
        </is>
      </c>
      <c r="G865" t="inlineStr">
        <is>
          <t>TABLE_BANDS</t>
        </is>
      </c>
      <c r="H865" t="inlineStr"/>
      <c r="I865" t="inlineStr">
        <is>
          <t>2025-02-03</t>
        </is>
      </c>
      <c r="J865" t="inlineStr">
        <is>
          <t>CEAM - Recupera Soluções Empresariais</t>
        </is>
      </c>
      <c r="K865" t="inlineStr">
        <is>
          <t>recuperasolucoes.com</t>
        </is>
      </c>
      <c r="L865" s="19" t="inlineStr">
        <is>
          <t>https://recuperasolucoes.com/wp-content/plugins/download-attachments/includes/download.php?id=1493</t>
        </is>
      </c>
    </row>
    <row r="866">
      <c r="A866" t="inlineStr">
        <is>
          <t>77c825485f49</t>
        </is>
      </c>
      <c r="B866" t="inlineStr">
        <is>
          <t>1000166-31.2025.8.26.0554</t>
        </is>
      </c>
      <c r="C866" t="inlineStr">
        <is>
          <t>UNKNOWN</t>
        </is>
      </c>
      <c r="D866" t="inlineStr">
        <is>
          <t>OK_NO_TOTALS</t>
        </is>
      </c>
      <c r="E866" t="n">
        <v>4</v>
      </c>
      <c r="F866" t="inlineStr">
        <is>
          <t>TABLE</t>
        </is>
      </c>
      <c r="G866" t="inlineStr">
        <is>
          <t>TABLE_BANDS</t>
        </is>
      </c>
      <c r="H866" t="inlineStr"/>
      <c r="I866" t="inlineStr">
        <is>
          <t>2024-02-08</t>
        </is>
      </c>
      <c r="J866" t="inlineStr">
        <is>
          <t>Ativos</t>
        </is>
      </c>
      <c r="K866" t="inlineStr">
        <is>
          <t>ativosajce.com.br</t>
        </is>
      </c>
      <c r="L866" s="19" t="inlineStr">
        <is>
          <t>https://ativosajce.com.br/admin/download.php?file=files/processo_documento/processo_documento14083705032025_1_.pdf&amp;nome=Relação de Credores - Art. 52º § 1º, da Lei nº 11.101/2005 - 28/01/2025</t>
        </is>
      </c>
    </row>
    <row r="867">
      <c r="A867" t="inlineStr">
        <is>
          <t>a76a1740df7e</t>
        </is>
      </c>
      <c r="B867" t="inlineStr">
        <is>
          <t>1010519-70.2024.8.26.0068</t>
        </is>
      </c>
      <c r="C867" t="inlineStr">
        <is>
          <t>UNKNOWN</t>
        </is>
      </c>
      <c r="D867" t="inlineStr">
        <is>
          <t>OK_NO_TOTALS</t>
        </is>
      </c>
      <c r="E867" t="n">
        <v>8</v>
      </c>
      <c r="F867" t="inlineStr">
        <is>
          <t>TABLE</t>
        </is>
      </c>
      <c r="G867" t="inlineStr">
        <is>
          <t>TABLE_BANDS</t>
        </is>
      </c>
      <c r="H867" t="inlineStr"/>
      <c r="I867" t="inlineStr">
        <is>
          <t>2017-09-20</t>
        </is>
      </c>
      <c r="J867" t="inlineStr">
        <is>
          <t>e Falência</t>
        </is>
      </c>
      <c r="K867" t="inlineStr">
        <is>
          <t>bbsadvogados.com.br</t>
        </is>
      </c>
      <c r="L867" s="19" t="inlineStr">
        <is>
          <t>https://bbsadvogados.com.br/wp-content/uploads/2026/03/Sentenca-de-decretacao-de-Falencia-1.pdf</t>
        </is>
      </c>
    </row>
    <row r="868">
      <c r="A868" t="inlineStr">
        <is>
          <t>d4de74f710a0</t>
        </is>
      </c>
      <c r="B868" t="inlineStr">
        <is>
          <t>0085817-92.2023.8.17.2001</t>
        </is>
      </c>
      <c r="C868" t="inlineStr">
        <is>
          <t>UNKNOWN</t>
        </is>
      </c>
      <c r="D868" t="inlineStr">
        <is>
          <t>OK_NO_TOTALS</t>
        </is>
      </c>
      <c r="E868" t="n">
        <v>20</v>
      </c>
      <c r="F868" t="inlineStr">
        <is>
          <t>TABLE</t>
        </is>
      </c>
      <c r="G868" t="inlineStr">
        <is>
          <t>TABLE_BANDS</t>
        </is>
      </c>
      <c r="H868" t="inlineStr"/>
      <c r="I868" t="inlineStr">
        <is>
          <t>2025-03-10</t>
        </is>
      </c>
      <c r="J868" t="inlineStr">
        <is>
          <t>BORGES E FIGUEIREDO SERVIÇOS DE ENGENHARIA LTDA</t>
        </is>
      </c>
      <c r="K868" t="inlineStr">
        <is>
          <t>recuperasolucoes.com</t>
        </is>
      </c>
      <c r="L868" s="19" t="inlineStr">
        <is>
          <t>https://recuperasolucoes.com/wp-content/plugins/download-attachments/includes/download.php?id=1377</t>
        </is>
      </c>
    </row>
    <row r="869">
      <c r="A869" t="inlineStr">
        <is>
          <t>442539f948e0</t>
        </is>
      </c>
      <c r="B869" t="inlineStr">
        <is>
          <t>1001174-80.2024.8.26.0359</t>
        </is>
      </c>
      <c r="C869" t="inlineStr">
        <is>
          <t>UNKNOWN</t>
        </is>
      </c>
      <c r="D869" t="inlineStr">
        <is>
          <t>OK_NO_TOTALS</t>
        </is>
      </c>
      <c r="E869" t="n">
        <v>5</v>
      </c>
      <c r="F869" t="inlineStr">
        <is>
          <t>TABLE</t>
        </is>
      </c>
      <c r="G869" t="inlineStr">
        <is>
          <t>TABLE_RULED</t>
        </is>
      </c>
      <c r="H869" t="inlineStr"/>
      <c r="J869" t="inlineStr">
        <is>
          <t>Ativos</t>
        </is>
      </c>
      <c r="K869" t="inlineStr">
        <is>
          <t>ativosajce.com.br</t>
        </is>
      </c>
      <c r="L869" s="19" t="inlineStr">
        <is>
          <t>https://ativosajce.com.br/admin/download.php?file=files/processo_documento/processo_documento18543908052025_1_.pdf&amp;nome=Relação de Credores - art. 52, §1º da Lei 11.101/05 - 27/01/2025</t>
        </is>
      </c>
    </row>
    <row r="870">
      <c r="A870" t="inlineStr">
        <is>
          <t>5e301207903b</t>
        </is>
      </c>
      <c r="B870" t="inlineStr">
        <is>
          <t>0002325-43.2026.8.17.2990</t>
        </is>
      </c>
      <c r="C870" t="inlineStr">
        <is>
          <t>UNKNOWN</t>
        </is>
      </c>
      <c r="D870" t="inlineStr">
        <is>
          <t>OK_NO_TOTALS</t>
        </is>
      </c>
      <c r="E870" t="n">
        <v>405</v>
      </c>
      <c r="F870" t="inlineStr">
        <is>
          <t>TABLE</t>
        </is>
      </c>
      <c r="G870" t="inlineStr">
        <is>
          <t>TABLE_RULED</t>
        </is>
      </c>
      <c r="H870" t="inlineStr"/>
      <c r="I870" t="inlineStr">
        <is>
          <t>2026-03-30</t>
        </is>
      </c>
      <c r="J870" t="inlineStr">
        <is>
          <t>GRUPO MEDITERRÂNEA - Recupera Soluções Empresariais</t>
        </is>
      </c>
      <c r="K870" t="inlineStr">
        <is>
          <t>recuperasolucoes.com</t>
        </is>
      </c>
      <c r="L870" s="19" t="inlineStr">
        <is>
          <t>https://recuperasolucoes.com/wp-content/plugins/download-attachments/includes/download.php?id=1648</t>
        </is>
      </c>
    </row>
    <row r="871">
      <c r="A871" t="inlineStr">
        <is>
          <t>7e2dd0270ed8</t>
        </is>
      </c>
      <c r="B871" t="inlineStr">
        <is>
          <t>1000119-75.2025.8.26.0354</t>
        </is>
      </c>
      <c r="C871" t="inlineStr">
        <is>
          <t>UNKNOWN</t>
        </is>
      </c>
      <c r="D871" t="inlineStr">
        <is>
          <t>OK_NO_TOTALS</t>
        </is>
      </c>
      <c r="E871" t="n">
        <v>9</v>
      </c>
      <c r="F871" t="inlineStr">
        <is>
          <t>TABLE</t>
        </is>
      </c>
      <c r="G871" t="inlineStr">
        <is>
          <t>TABLE_BANDS</t>
        </is>
      </c>
      <c r="H871" t="inlineStr"/>
      <c r="I871" t="inlineStr">
        <is>
          <t>2025-02-28</t>
        </is>
      </c>
      <c r="J871" t="inlineStr">
        <is>
          <t>Ativos</t>
        </is>
      </c>
      <c r="K871" t="inlineStr">
        <is>
          <t>ativosajce.com.br</t>
        </is>
      </c>
      <c r="L871" s="19" t="inlineStr">
        <is>
          <t>https://ativosajce.com.br/admin/download.php?file=files/processo_documento/processo_documento13422625032025_1_.pdf&amp;nome=Relação de Credores - Art. 52º § 1º, da Lei nº 11.101/2005 - 25/02/2025</t>
        </is>
      </c>
    </row>
    <row r="872">
      <c r="A872" t="inlineStr">
        <is>
          <t>a16b83662029</t>
        </is>
      </c>
      <c r="B872" t="inlineStr">
        <is>
          <t>1000203-38.2023.8.26.0260</t>
        </is>
      </c>
      <c r="C872" t="inlineStr">
        <is>
          <t>UNKNOWN</t>
        </is>
      </c>
      <c r="D872" t="inlineStr">
        <is>
          <t>OK_NO_TOTALS</t>
        </is>
      </c>
      <c r="E872" t="n">
        <v>24</v>
      </c>
      <c r="F872" t="inlineStr">
        <is>
          <t>TABLE</t>
        </is>
      </c>
      <c r="G872" t="inlineStr">
        <is>
          <t>TABLE_RULED</t>
        </is>
      </c>
      <c r="H872" t="inlineStr"/>
      <c r="J872" t="inlineStr">
        <is>
          <t>Base | AJ RUIZ - Administração Judicial</t>
        </is>
      </c>
      <c r="K872" t="inlineStr">
        <is>
          <t>ajruiz.com.br</t>
        </is>
      </c>
      <c r="L872" s="19" t="inlineStr">
        <is>
          <t>https://ajruiz.com.br/sites/default/files/public/arquivos-processos/2023-11/4_relacao_de_credores_recuperanda_art._52_parag._1o_ii_da_lre.pdf</t>
        </is>
      </c>
    </row>
    <row r="873">
      <c r="A873" t="inlineStr">
        <is>
          <t>e5ff2184e99c</t>
        </is>
      </c>
      <c r="C873" t="inlineStr">
        <is>
          <t>UNKNOWN</t>
        </is>
      </c>
      <c r="D873" t="inlineStr">
        <is>
          <t>OK_NO_TOTALS</t>
        </is>
      </c>
      <c r="E873" t="n">
        <v>16</v>
      </c>
      <c r="F873" t="inlineStr">
        <is>
          <t>TABLE</t>
        </is>
      </c>
      <c r="G873" t="inlineStr">
        <is>
          <t>TABLE_RULED</t>
        </is>
      </c>
      <c r="H873" t="inlineStr"/>
      <c r="J873" t="inlineStr">
        <is>
          <t>Base | AJ RUIZ - Administração Judicial</t>
        </is>
      </c>
      <c r="K873" t="inlineStr">
        <is>
          <t>ajruiz.com.br</t>
        </is>
      </c>
      <c r="L873" s="19" t="inlineStr">
        <is>
          <t>https://ajruiz.com.br/sites/default/files/public/arquivos-processos/2026-05/1._relacao_de_credores_empresas.pdf</t>
        </is>
      </c>
    </row>
    <row r="874">
      <c r="A874" t="inlineStr">
        <is>
          <t>785af7b32986</t>
        </is>
      </c>
      <c r="C874" t="inlineStr">
        <is>
          <t>UNKNOWN</t>
        </is>
      </c>
      <c r="D874" t="inlineStr">
        <is>
          <t>OK_NO_TOTALS</t>
        </is>
      </c>
      <c r="E874" t="n">
        <v>4</v>
      </c>
      <c r="F874" t="inlineStr">
        <is>
          <t>TABLE</t>
        </is>
      </c>
      <c r="G874" t="inlineStr">
        <is>
          <t>TABLE_RULED</t>
        </is>
      </c>
      <c r="H874" t="inlineStr"/>
      <c r="J874" t="inlineStr">
        <is>
          <t>Base | AJ RUIZ - Administração Judicial</t>
        </is>
      </c>
      <c r="K874" t="inlineStr">
        <is>
          <t>ajruiz.com.br</t>
        </is>
      </c>
      <c r="L874" s="19" t="inlineStr">
        <is>
          <t>https://ajruiz.com.br/sites/default/files/public/arquivos-processos/2026-05/2._relacao_de_credores_produtores_rurais.pdf</t>
        </is>
      </c>
    </row>
    <row r="875">
      <c r="A875" t="inlineStr">
        <is>
          <t>3d7db4a10c9f</t>
        </is>
      </c>
      <c r="B875" t="inlineStr">
        <is>
          <t>1189223-09.2024.8.26.0100</t>
        </is>
      </c>
      <c r="C875" t="inlineStr">
        <is>
          <t>UNKNOWN</t>
        </is>
      </c>
      <c r="D875" t="inlineStr">
        <is>
          <t>OK_NO_TOTALS</t>
        </is>
      </c>
      <c r="E875" t="n">
        <v>26</v>
      </c>
      <c r="F875" t="inlineStr">
        <is>
          <t>TABLE</t>
        </is>
      </c>
      <c r="G875" t="inlineStr">
        <is>
          <t>TABLE_BANDS</t>
        </is>
      </c>
      <c r="H875" t="inlineStr"/>
      <c r="J875" t="inlineStr">
        <is>
          <t>Ativos</t>
        </is>
      </c>
      <c r="K875" t="inlineStr">
        <is>
          <t>ativosajce.com.br</t>
        </is>
      </c>
      <c r="L875" s="19" t="inlineStr">
        <is>
          <t>https://ativosajce.com.br/admin/download.php?file=files/processo_documento/processo_documento23322219122024_1_.pdf&amp;nome=Relação de credores - art. 52, §1º da Lei 11.101/05 - 18/12/2024</t>
        </is>
      </c>
    </row>
    <row r="876">
      <c r="A876" t="inlineStr">
        <is>
          <t>7d03c9d4861a</t>
        </is>
      </c>
      <c r="B876" t="inlineStr">
        <is>
          <t>0000742-29.2017.8.17.3090</t>
        </is>
      </c>
      <c r="C876" t="inlineStr">
        <is>
          <t>UNKNOWN</t>
        </is>
      </c>
      <c r="D876" t="inlineStr">
        <is>
          <t>OK_NO_TOTALS</t>
        </is>
      </c>
      <c r="E876" t="n">
        <v>23</v>
      </c>
      <c r="F876" t="inlineStr">
        <is>
          <t>TABLE</t>
        </is>
      </c>
      <c r="G876" t="inlineStr">
        <is>
          <t>TABLE_RULED</t>
        </is>
      </c>
      <c r="H876" t="inlineStr"/>
      <c r="I876" t="inlineStr">
        <is>
          <t>2021-09-10</t>
        </is>
      </c>
      <c r="J876" t="inlineStr">
        <is>
          <t>ABF ENGENHARIA, SERVIÇOS E COMÉRCIO LTDA – LRF Líderes em Recuperação Judicial e Falência</t>
        </is>
      </c>
      <c r="K876" t="inlineStr">
        <is>
          <t>lrflideres.com.br</t>
        </is>
      </c>
      <c r="L876" s="19" t="inlineStr">
        <is>
          <t>https://lrflideres.com.br/wp-content/plugins/download-attachments/includes/download.php?id=3469</t>
        </is>
      </c>
    </row>
    <row r="877">
      <c r="A877" t="inlineStr">
        <is>
          <t>306dd46ee538</t>
        </is>
      </c>
      <c r="B877" t="inlineStr">
        <is>
          <t>3289322-33.2013.8.13.0024</t>
        </is>
      </c>
      <c r="C877" t="inlineStr">
        <is>
          <t>UNKNOWN</t>
        </is>
      </c>
      <c r="D877" t="inlineStr">
        <is>
          <t>OK_NO_TOTALS</t>
        </is>
      </c>
      <c r="E877" t="n">
        <v>8</v>
      </c>
      <c r="F877" t="inlineStr">
        <is>
          <t>TABLE</t>
        </is>
      </c>
      <c r="G877" t="inlineStr">
        <is>
          <t>TABLE_BANDS</t>
        </is>
      </c>
      <c r="H877" t="inlineStr"/>
      <c r="I877" t="inlineStr">
        <is>
          <t>2023-03-01</t>
        </is>
      </c>
      <c r="J877" t="inlineStr">
        <is>
          <t>e Falência</t>
        </is>
      </c>
      <c r="K877" t="inlineStr">
        <is>
          <t>bernardobicalho.com.br</t>
        </is>
      </c>
      <c r="L877" s="19" t="inlineStr">
        <is>
          <t>http://bernardobicalho.com.br/login/app/documents/Editais/Edital%20do%20Art.%2099%20%C2%A7%201%20da%20Lei%2011.101-05%20-%20Locplan.pdf</t>
        </is>
      </c>
    </row>
    <row r="878">
      <c r="A878" t="inlineStr">
        <is>
          <t>a03dea18f259</t>
        </is>
      </c>
      <c r="C878" t="inlineStr">
        <is>
          <t>UNKNOWN</t>
        </is>
      </c>
      <c r="D878" t="inlineStr">
        <is>
          <t>OK_NO_TOTALS</t>
        </is>
      </c>
      <c r="E878" t="n">
        <v>81</v>
      </c>
      <c r="F878" t="inlineStr">
        <is>
          <t>TABLE</t>
        </is>
      </c>
      <c r="G878" t="inlineStr">
        <is>
          <t>TABLE_BANDS</t>
        </is>
      </c>
      <c r="H878" t="inlineStr"/>
      <c r="I878" t="inlineStr">
        <is>
          <t>2009-11-04</t>
        </is>
      </c>
      <c r="K878" t="inlineStr">
        <is>
          <t>diario.tjrr.jus.br</t>
        </is>
      </c>
      <c r="L878" s="19" t="inlineStr">
        <is>
          <t>https://diario.tjrr.jus.br/dpj/dpj-20091105.pdf</t>
        </is>
      </c>
    </row>
    <row r="879">
      <c r="A879" t="inlineStr">
        <is>
          <t>bff0950df595</t>
        </is>
      </c>
      <c r="C879" t="inlineStr">
        <is>
          <t>UNKNOWN</t>
        </is>
      </c>
      <c r="D879" t="inlineStr">
        <is>
          <t>OK_NO_TOTALS</t>
        </is>
      </c>
      <c r="E879" t="n">
        <v>120</v>
      </c>
      <c r="F879" t="inlineStr">
        <is>
          <t>TABLE</t>
        </is>
      </c>
      <c r="G879" t="inlineStr">
        <is>
          <t>TABLE_RULED</t>
        </is>
      </c>
      <c r="H879" t="inlineStr"/>
      <c r="I879" t="inlineStr">
        <is>
          <t>2009-12-15</t>
        </is>
      </c>
      <c r="K879" t="inlineStr">
        <is>
          <t>diario.tjrr.jus.br</t>
        </is>
      </c>
      <c r="L879" s="19" t="inlineStr">
        <is>
          <t>https://diario.tjrr.jus.br/dpj/dpj-20091216.pdf</t>
        </is>
      </c>
    </row>
    <row r="880">
      <c r="A880" t="inlineStr">
        <is>
          <t>85feaf9ec486</t>
        </is>
      </c>
      <c r="B880" t="inlineStr">
        <is>
          <t>0003283-70.2015.8.17.2810</t>
        </is>
      </c>
      <c r="C880" t="inlineStr">
        <is>
          <t>UNKNOWN</t>
        </is>
      </c>
      <c r="D880" t="inlineStr">
        <is>
          <t>OK_NO_TOTALS</t>
        </is>
      </c>
      <c r="E880" t="n">
        <v>11</v>
      </c>
      <c r="F880" t="inlineStr">
        <is>
          <t>TABLE</t>
        </is>
      </c>
      <c r="G880" t="inlineStr">
        <is>
          <t>TABLE_RULED</t>
        </is>
      </c>
      <c r="H880" t="inlineStr"/>
      <c r="I880" t="inlineStr">
        <is>
          <t>2021-09-30</t>
        </is>
      </c>
      <c r="J880" t="inlineStr">
        <is>
          <t>e Falência</t>
        </is>
      </c>
      <c r="K880" t="inlineStr">
        <is>
          <t>lrflideres.com.br</t>
        </is>
      </c>
      <c r="L880" s="19" t="inlineStr">
        <is>
          <t>https://lrflideres.com.br/wp-content/uploads/2021/09/LISTA-DE-CREDORES-FALENCIA.pdf</t>
        </is>
      </c>
    </row>
    <row r="881">
      <c r="A881" t="inlineStr">
        <is>
          <t>fcd4aec0367b</t>
        </is>
      </c>
      <c r="B881" t="inlineStr">
        <is>
          <t>0802656-15.2026.8.18.0031</t>
        </is>
      </c>
      <c r="C881" t="inlineStr">
        <is>
          <t>UNKNOWN</t>
        </is>
      </c>
      <c r="D881" t="inlineStr">
        <is>
          <t>OK_NO_TOTALS</t>
        </is>
      </c>
      <c r="E881" t="n">
        <v>33</v>
      </c>
      <c r="F881" t="inlineStr">
        <is>
          <t>TABLE</t>
        </is>
      </c>
      <c r="G881" t="inlineStr">
        <is>
          <t>TABLE_BANDS</t>
        </is>
      </c>
      <c r="H881" t="inlineStr"/>
      <c r="I881" t="inlineStr">
        <is>
          <t>2026-07-07</t>
        </is>
      </c>
      <c r="K881" t="inlineStr">
        <is>
          <t>lrflideres.com.br</t>
        </is>
      </c>
      <c r="L881" s="19" t="inlineStr">
        <is>
          <t>https://lrflideres.com.br/wp-content/uploads/2026/03/6.-PLANO-DE-RECUPERACAO-JUDICIAL.pdf</t>
        </is>
      </c>
    </row>
    <row r="882">
      <c r="A882" t="inlineStr">
        <is>
          <t>67323a444fc0</t>
        </is>
      </c>
      <c r="B882" t="inlineStr">
        <is>
          <t>0802299-53.2019.8.20.5001</t>
        </is>
      </c>
      <c r="C882" t="inlineStr">
        <is>
          <t>UNKNOWN</t>
        </is>
      </c>
      <c r="D882" t="inlineStr">
        <is>
          <t>OK_NO_TOTALS</t>
        </is>
      </c>
      <c r="E882" t="n">
        <v>7</v>
      </c>
      <c r="F882" t="inlineStr">
        <is>
          <t>TABLE</t>
        </is>
      </c>
      <c r="G882" t="inlineStr">
        <is>
          <t>TABLE_BANDS</t>
        </is>
      </c>
      <c r="H882" t="inlineStr"/>
      <c r="I882" t="inlineStr">
        <is>
          <t>2025-09-02</t>
        </is>
      </c>
      <c r="J882" t="inlineStr">
        <is>
          <t>e Falência</t>
        </is>
      </c>
      <c r="K882" t="inlineStr">
        <is>
          <t>recuperacaojudicial.squarespace.com</t>
        </is>
      </c>
      <c r="L882" s="19" t="inlineStr">
        <is>
          <t>https://recuperacaojudicial.squarespace.com/s/1-LISTA-DE-CREDORES.pdf</t>
        </is>
      </c>
    </row>
    <row r="883">
      <c r="A883" t="inlineStr">
        <is>
          <t>73bde08ac11b</t>
        </is>
      </c>
      <c r="B883" t="inlineStr">
        <is>
          <t>0824184-31.2016.8.20.5001</t>
        </is>
      </c>
      <c r="C883" t="inlineStr">
        <is>
          <t>UNKNOWN</t>
        </is>
      </c>
      <c r="D883" t="inlineStr">
        <is>
          <t>OK_NO_TOTALS</t>
        </is>
      </c>
      <c r="E883" t="n">
        <v>11</v>
      </c>
      <c r="F883" t="inlineStr">
        <is>
          <t>TABLE</t>
        </is>
      </c>
      <c r="G883" t="inlineStr">
        <is>
          <t>TABLE_BANDS</t>
        </is>
      </c>
      <c r="H883" t="inlineStr"/>
      <c r="I883" t="inlineStr">
        <is>
          <t>2023-08-11</t>
        </is>
      </c>
      <c r="J883" t="inlineStr">
        <is>
          <t>e Falência</t>
        </is>
      </c>
      <c r="K883" t="inlineStr">
        <is>
          <t>vivanteaj.com.br</t>
        </is>
      </c>
      <c r="L883" s="19" t="inlineStr">
        <is>
          <t>https://vivanteaj.com.br/wp-content/uploads/2024/01/LISTA-DE-CREDORES.pdf</t>
        </is>
      </c>
    </row>
    <row r="884">
      <c r="A884" t="inlineStr">
        <is>
          <t>ff13505db3c3</t>
        </is>
      </c>
      <c r="B884" t="inlineStr">
        <is>
          <t>5746053-87.2025.8.09.0137</t>
        </is>
      </c>
      <c r="C884" t="inlineStr">
        <is>
          <t>UNKNOWN</t>
        </is>
      </c>
      <c r="D884" t="inlineStr">
        <is>
          <t>OK_NO_TOTALS</t>
        </is>
      </c>
      <c r="E884" t="n">
        <v>16</v>
      </c>
      <c r="F884" t="inlineStr">
        <is>
          <t>TABLE</t>
        </is>
      </c>
      <c r="G884" t="inlineStr">
        <is>
          <t>TABLE_BANDS</t>
        </is>
      </c>
      <c r="H884" t="inlineStr"/>
      <c r="I884" t="inlineStr">
        <is>
          <t>2026-03-24</t>
        </is>
      </c>
      <c r="J884" t="inlineStr">
        <is>
          <t>empresa</t>
        </is>
      </c>
      <c r="K884" t="inlineStr">
        <is>
          <t>tjdft.jus.br</t>
        </is>
      </c>
      <c r="L884" s="19" t="inlineStr">
        <is>
          <t>https://www.tjdft.jus.br/institucional/administracao-superior/corregedoria/comunicados-falencias/revogacao-judicial/2025-tjgo-recuperacao-judicial.pdf/@@download/file/2025%20TJGO%20Recupera%C3%A7%C3%A3o%20Judicial.pdf</t>
        </is>
      </c>
    </row>
    <row r="885">
      <c r="A885" t="inlineStr">
        <is>
          <t>5eddc15bafce</t>
        </is>
      </c>
      <c r="B885" t="inlineStr">
        <is>
          <t>0002316-40.2012.8.17.0220</t>
        </is>
      </c>
      <c r="C885" t="inlineStr">
        <is>
          <t>UNKNOWN</t>
        </is>
      </c>
      <c r="D885" t="inlineStr">
        <is>
          <t>OK_NO_TOTALS</t>
        </is>
      </c>
      <c r="E885" t="n">
        <v>12</v>
      </c>
      <c r="F885" t="inlineStr">
        <is>
          <t>TABLE</t>
        </is>
      </c>
      <c r="G885" t="inlineStr">
        <is>
          <t>TABLE_RULED</t>
        </is>
      </c>
      <c r="H885" t="inlineStr"/>
      <c r="I885" t="inlineStr">
        <is>
          <t>2024-07-12</t>
        </is>
      </c>
      <c r="J885" t="inlineStr">
        <is>
          <t>E FALENCIA</t>
        </is>
      </c>
      <c r="K885" t="inlineStr">
        <is>
          <t>diligence.adm.br</t>
        </is>
      </c>
      <c r="L885" s="19" t="inlineStr">
        <is>
          <t>https://diligence.adm.br/wp-content/plugins/download-attachments/includes/download.php?id=4866</t>
        </is>
      </c>
    </row>
    <row r="886">
      <c r="A886" t="inlineStr">
        <is>
          <t>fb23b1017c77</t>
        </is>
      </c>
      <c r="B886" t="inlineStr">
        <is>
          <t>5045407-81.2020.8.21.0001</t>
        </is>
      </c>
      <c r="C886" t="inlineStr">
        <is>
          <t>UNKNOWN</t>
        </is>
      </c>
      <c r="D886" t="inlineStr">
        <is>
          <t>OK_NO_TOTALS</t>
        </is>
      </c>
      <c r="E886" t="n">
        <v>21</v>
      </c>
      <c r="F886" t="inlineStr">
        <is>
          <t>TABLE</t>
        </is>
      </c>
      <c r="G886" t="inlineStr">
        <is>
          <t>TABLE_BANDS</t>
        </is>
      </c>
      <c r="H886" t="inlineStr"/>
      <c r="J886" t="inlineStr">
        <is>
          <t>Catalise Administração Judicial</t>
        </is>
      </c>
      <c r="K886" t="inlineStr">
        <is>
          <t>cataliseaj.com.br</t>
        </is>
      </c>
      <c r="L886" s="19" t="inlineStr">
        <is>
          <t>https://cataliseaj.com.br/sgc/download.php?file=files/processo_documento/processo_documento13534410062024_1_.pdf&amp;nome=5. RELAÇÃO DOS CREDORES</t>
        </is>
      </c>
    </row>
    <row r="887">
      <c r="A887" t="inlineStr">
        <is>
          <t>92789330424c</t>
        </is>
      </c>
      <c r="B887" t="inlineStr">
        <is>
          <t>0034582-54.1995.8.17.0001</t>
        </is>
      </c>
      <c r="C887" t="inlineStr">
        <is>
          <t>UNKNOWN</t>
        </is>
      </c>
      <c r="D887" t="inlineStr">
        <is>
          <t>OK_NO_TOTALS</t>
        </is>
      </c>
      <c r="E887" t="n">
        <v>9</v>
      </c>
      <c r="F887" t="inlineStr">
        <is>
          <t>TABLE</t>
        </is>
      </c>
      <c r="G887" t="inlineStr">
        <is>
          <t>TABLE_BANDS</t>
        </is>
      </c>
      <c r="H887" t="inlineStr"/>
      <c r="I887" t="inlineStr">
        <is>
          <t>2025-10-02</t>
        </is>
      </c>
      <c r="J887" t="inlineStr">
        <is>
          <t>Falência de Usina Catende  — Lindoso e Araujo</t>
        </is>
      </c>
      <c r="K887" t="inlineStr">
        <is>
          <t>recuperacaojudicial.squarespace.com</t>
        </is>
      </c>
      <c r="L887" s="19" t="inlineStr">
        <is>
          <t>https://recuperacaojudicial.squarespace.com/s/Falencia-Usina-Catende-Alvara-coletivo-credores-da-5a-6a-7a-e-8a-listagem-agosto-2025.pdf</t>
        </is>
      </c>
    </row>
    <row r="888">
      <c r="A888" t="inlineStr">
        <is>
          <t>c11888be6477</t>
        </is>
      </c>
      <c r="B888" t="inlineStr">
        <is>
          <t>5009474-18.2019.8.21.0022</t>
        </is>
      </c>
      <c r="C888" t="inlineStr">
        <is>
          <t>UNKNOWN</t>
        </is>
      </c>
      <c r="D888" t="inlineStr">
        <is>
          <t>OK_NO_TOTALS</t>
        </is>
      </c>
      <c r="E888" t="n">
        <v>3</v>
      </c>
      <c r="F888" t="inlineStr">
        <is>
          <t>TABLE</t>
        </is>
      </c>
      <c r="G888" t="inlineStr">
        <is>
          <t>TABLE_RULED</t>
        </is>
      </c>
      <c r="H888" t="inlineStr"/>
      <c r="I888" t="inlineStr">
        <is>
          <t>2016-10-24</t>
        </is>
      </c>
      <c r="J888" t="inlineStr">
        <is>
          <t>Catalise Administração Judicial</t>
        </is>
      </c>
      <c r="K888" t="inlineStr">
        <is>
          <t>cataliseaj.com.br</t>
        </is>
      </c>
      <c r="L888" s="19" t="inlineStr">
        <is>
          <t>https://cataliseaj.com.br/sgc/download.php?file=files/processo_documento/processo_documento17404010062024_1_.pdf&amp;nome=3. RELAÇÃO DE CREDORES TRABALHISTAS</t>
        </is>
      </c>
    </row>
    <row r="889">
      <c r="A889" t="inlineStr">
        <is>
          <t>bd2049db579b</t>
        </is>
      </c>
      <c r="B889" t="inlineStr">
        <is>
          <t>5009367-03.2021.8.21.0022</t>
        </is>
      </c>
      <c r="C889" t="inlineStr">
        <is>
          <t>UNKNOWN</t>
        </is>
      </c>
      <c r="D889" t="inlineStr">
        <is>
          <t>OK_NO_TOTALS</t>
        </is>
      </c>
      <c r="E889" t="n">
        <v>1</v>
      </c>
      <c r="F889" t="inlineStr">
        <is>
          <t>TABLE</t>
        </is>
      </c>
      <c r="G889" t="inlineStr">
        <is>
          <t>TABLE_BANDS</t>
        </is>
      </c>
      <c r="H889" t="inlineStr"/>
      <c r="J889" t="inlineStr">
        <is>
          <t>Catalise Administração Judicial</t>
        </is>
      </c>
      <c r="K889" t="inlineStr">
        <is>
          <t>cataliseaj.com.br</t>
        </is>
      </c>
      <c r="L889" s="19" t="inlineStr">
        <is>
          <t>https://cataliseaj.com.br/sgc/download.php?file=files/processo_documento/processo_documento16345504102024_1_.pdf&amp;nome=06. LISTA DE CREDORES (7º, §2º, DA LREF)</t>
        </is>
      </c>
    </row>
    <row r="890">
      <c r="A890" t="inlineStr">
        <is>
          <t>a35e7cdf2f53</t>
        </is>
      </c>
      <c r="B890" t="inlineStr">
        <is>
          <t>0000880-57.2020.8.17.2001</t>
        </is>
      </c>
      <c r="C890" t="inlineStr">
        <is>
          <t>UNKNOWN</t>
        </is>
      </c>
      <c r="D890" t="inlineStr">
        <is>
          <t>OK_NO_TOTALS</t>
        </is>
      </c>
      <c r="E890" t="n">
        <v>4</v>
      </c>
      <c r="F890" t="inlineStr">
        <is>
          <t>TABLE</t>
        </is>
      </c>
      <c r="G890" t="inlineStr">
        <is>
          <t>TABLE_RULED</t>
        </is>
      </c>
      <c r="H890" t="inlineStr"/>
      <c r="J890" t="inlineStr">
        <is>
          <t>CONSTRUTORA ANDRADE GUEDES LDTA – Diligence Administração em Recuperação Judicial e Falência</t>
        </is>
      </c>
      <c r="K890" t="inlineStr">
        <is>
          <t>diligence.adm.br</t>
        </is>
      </c>
      <c r="L890" s="19" t="inlineStr">
        <is>
          <t>https://diligence.adm.br/wp-content/uploads/2024/06/Credores-Classe-I.pdf</t>
        </is>
      </c>
    </row>
    <row r="891">
      <c r="A891" t="inlineStr">
        <is>
          <t>810484d234b5</t>
        </is>
      </c>
      <c r="B891" t="inlineStr">
        <is>
          <t>0034582-54.1995.8.17.0001</t>
        </is>
      </c>
      <c r="C891" t="inlineStr">
        <is>
          <t>UNKNOWN</t>
        </is>
      </c>
      <c r="D891" t="inlineStr">
        <is>
          <t>OK_NO_TOTALS</t>
        </is>
      </c>
      <c r="E891" t="n">
        <v>3</v>
      </c>
      <c r="F891" t="inlineStr">
        <is>
          <t>TABLE</t>
        </is>
      </c>
      <c r="G891" t="inlineStr">
        <is>
          <t>TABLE_BANDS</t>
        </is>
      </c>
      <c r="H891" t="inlineStr"/>
      <c r="I891" t="inlineStr">
        <is>
          <t>2025-08-29</t>
        </is>
      </c>
      <c r="J891" t="inlineStr">
        <is>
          <t>Falência de Usina Catende  — Lindoso e Araujo</t>
        </is>
      </c>
      <c r="K891" t="inlineStr">
        <is>
          <t>recuperacaojudicial.squarespace.com</t>
        </is>
      </c>
      <c r="L891" s="19" t="inlineStr">
        <is>
          <t>https://recuperacaojudicial.squarespace.com/s/0034582-5419958170001-1756495166712-401832-despacho.pdf</t>
        </is>
      </c>
    </row>
    <row r="892">
      <c r="A892" t="inlineStr">
        <is>
          <t>9dc802b9d87b</t>
        </is>
      </c>
      <c r="B892" t="inlineStr">
        <is>
          <t>0000880-57.2020.8.17.2001</t>
        </is>
      </c>
      <c r="C892" t="inlineStr">
        <is>
          <t>UNKNOWN</t>
        </is>
      </c>
      <c r="D892" t="inlineStr">
        <is>
          <t>OK_NO_TOTALS</t>
        </is>
      </c>
      <c r="E892" t="n">
        <v>2</v>
      </c>
      <c r="F892" t="inlineStr">
        <is>
          <t>TABLE</t>
        </is>
      </c>
      <c r="G892" t="inlineStr">
        <is>
          <t>TABLE_RULED</t>
        </is>
      </c>
      <c r="H892" t="inlineStr"/>
      <c r="J892" t="inlineStr">
        <is>
          <t>CONSTRUTORA ANDRADE GUEDES LDTA – Diligence Administração em Recuperação Judicial e Falência</t>
        </is>
      </c>
      <c r="K892" t="inlineStr">
        <is>
          <t>diligence.adm.br</t>
        </is>
      </c>
      <c r="L892" s="19" t="inlineStr">
        <is>
          <t>https://diligence.adm.br/wp-content/uploads/2024/06/Credores-Classe-III-1.pdf</t>
        </is>
      </c>
    </row>
    <row r="893">
      <c r="A893" t="inlineStr">
        <is>
          <t>760795a38812</t>
        </is>
      </c>
      <c r="C893" t="inlineStr">
        <is>
          <t>UNKNOWN</t>
        </is>
      </c>
      <c r="D893" t="inlineStr">
        <is>
          <t>OK_NO_TOTALS</t>
        </is>
      </c>
      <c r="E893" t="n">
        <v>48</v>
      </c>
      <c r="F893" t="inlineStr">
        <is>
          <t>TABLE</t>
        </is>
      </c>
      <c r="G893" t="inlineStr">
        <is>
          <t>TABLE_BANDS</t>
        </is>
      </c>
      <c r="H893" t="inlineStr"/>
      <c r="J893" t="inlineStr">
        <is>
          <t>SCZ Scalzilli Administração Judicial</t>
        </is>
      </c>
      <c r="K893" t="inlineStr">
        <is>
          <t>scalzilliaj.com.br</t>
        </is>
      </c>
      <c r="L893" s="19" t="inlineStr">
        <is>
          <t>https://scalzilliaj.com.br/sgc/download.php?file=files/processo_documento/processo_documento09023407082026_1_.pdf&amp;nome=14 - QGC atualizado até agosto de 2026</t>
        </is>
      </c>
    </row>
    <row r="894">
      <c r="A894" t="inlineStr">
        <is>
          <t>27b009abcc3f</t>
        </is>
      </c>
      <c r="B894" t="inlineStr">
        <is>
          <t>0034582-54.1995.8.17.0001</t>
        </is>
      </c>
      <c r="C894" t="inlineStr">
        <is>
          <t>UNKNOWN</t>
        </is>
      </c>
      <c r="D894" t="inlineStr">
        <is>
          <t>OK_NO_TOTALS</t>
        </is>
      </c>
      <c r="E894" t="n">
        <v>2</v>
      </c>
      <c r="F894" t="inlineStr">
        <is>
          <t>PROSE</t>
        </is>
      </c>
      <c r="G894" t="inlineStr">
        <is>
          <t>PROSE</t>
        </is>
      </c>
      <c r="H894" t="inlineStr"/>
      <c r="I894" t="inlineStr">
        <is>
          <t>2025-10-02</t>
        </is>
      </c>
      <c r="J894" t="inlineStr">
        <is>
          <t>Falência de Usina Catende  — Lindoso e Araujo</t>
        </is>
      </c>
      <c r="K894" t="inlineStr">
        <is>
          <t>recuperacaojudicial.squarespace.com</t>
        </is>
      </c>
      <c r="L894" s="19" t="inlineStr">
        <is>
          <t>https://recuperacaojudicial.squarespace.com/s/Falencia-Usina-Catende-Certido-com-os-credores-da-5a-6a-7a-e-8a-listagem-que-no-tiveram-alvara-exped.pdf</t>
        </is>
      </c>
    </row>
    <row r="895">
      <c r="A895" t="inlineStr">
        <is>
          <t>295b0a2c9759</t>
        </is>
      </c>
      <c r="B895" t="inlineStr">
        <is>
          <t>5003572-94.2020.8.21.0072</t>
        </is>
      </c>
      <c r="C895" t="inlineStr">
        <is>
          <t>UNKNOWN</t>
        </is>
      </c>
      <c r="D895" t="inlineStr">
        <is>
          <t>OK_NO_TOTALS</t>
        </is>
      </c>
      <c r="E895" t="n">
        <v>7</v>
      </c>
      <c r="F895" t="inlineStr">
        <is>
          <t>TABLE</t>
        </is>
      </c>
      <c r="G895" t="inlineStr">
        <is>
          <t>TABLE_RULED</t>
        </is>
      </c>
      <c r="H895" t="inlineStr"/>
      <c r="J895" t="inlineStr">
        <is>
          <t>Catalise Administração Judicial</t>
        </is>
      </c>
      <c r="K895" t="inlineStr">
        <is>
          <t>cataliseaj.com.br</t>
        </is>
      </c>
      <c r="L895" s="19" t="inlineStr">
        <is>
          <t>https://cataliseaj.com.br/sgc/download.php?file=files/processo_documento/processo_documento16023012062024_1_.pdf&amp;nome=12. LISTA DE CREDORES - ART. 7º, § 2º, DA LREF</t>
        </is>
      </c>
    </row>
    <row r="896">
      <c r="A896" t="inlineStr">
        <is>
          <t>95d100e8c905</t>
        </is>
      </c>
      <c r="B896" t="inlineStr">
        <is>
          <t>5001625-18.2022.8.24.0018</t>
        </is>
      </c>
      <c r="C896" t="inlineStr">
        <is>
          <t>UNKNOWN</t>
        </is>
      </c>
      <c r="D896" t="inlineStr">
        <is>
          <t>OK_NO_TOTALS</t>
        </is>
      </c>
      <c r="E896" t="n">
        <v>16</v>
      </c>
      <c r="F896" t="inlineStr">
        <is>
          <t>TABLE</t>
        </is>
      </c>
      <c r="G896" t="inlineStr">
        <is>
          <t>TABLE_RULED</t>
        </is>
      </c>
      <c r="H896" t="inlineStr"/>
      <c r="J896" t="inlineStr">
        <is>
          <t>SCZ Scalzilli Administração Judicial</t>
        </is>
      </c>
      <c r="K896" t="inlineStr">
        <is>
          <t>scalzilliaj.com.br</t>
        </is>
      </c>
      <c r="L896" s="19" t="inlineStr">
        <is>
          <t>https://scalzilliaj.com.br/sgc/download.php?file=files/processo_documento/processo_documento14004702072025_1_.pdf&amp;nome=03 - Relação de credores apresentada pela Recuperanda</t>
        </is>
      </c>
    </row>
    <row r="897">
      <c r="A897" t="inlineStr">
        <is>
          <t>5c45f950bfb7</t>
        </is>
      </c>
      <c r="B897" t="inlineStr">
        <is>
          <t>5245072-73.2023.8.21.0001</t>
        </is>
      </c>
      <c r="C897" t="inlineStr">
        <is>
          <t>UNKNOWN</t>
        </is>
      </c>
      <c r="D897" t="inlineStr">
        <is>
          <t>OK_NO_TOTALS</t>
        </is>
      </c>
      <c r="E897" t="n">
        <v>2</v>
      </c>
      <c r="F897" t="inlineStr">
        <is>
          <t>TABLE</t>
        </is>
      </c>
      <c r="G897" t="inlineStr">
        <is>
          <t>TABLE_BANDS</t>
        </is>
      </c>
      <c r="H897" t="inlineStr"/>
      <c r="I897" t="inlineStr">
        <is>
          <t>2025-04-22</t>
        </is>
      </c>
      <c r="J897" t="inlineStr">
        <is>
          <t>Catalise Administração Judicial</t>
        </is>
      </c>
      <c r="K897" t="inlineStr">
        <is>
          <t>cataliseaj.com.br</t>
        </is>
      </c>
      <c r="L897" s="19" t="inlineStr">
        <is>
          <t>https://cataliseaj.com.br/sgc/download.php?file=files/processo_documento/processo_documento17024122042025_1_.pdf&amp;nome=17. EDITAL INTIMAÇÃO DE CREDORES SOBRE O ACORDO</t>
        </is>
      </c>
    </row>
    <row r="898">
      <c r="A898" t="inlineStr">
        <is>
          <t>bd689ccef7f0</t>
        </is>
      </c>
      <c r="B898" t="inlineStr">
        <is>
          <t>0000206-69.2013.8.17.1340</t>
        </is>
      </c>
      <c r="C898" t="inlineStr">
        <is>
          <t>UNKNOWN</t>
        </is>
      </c>
      <c r="D898" t="inlineStr">
        <is>
          <t>OK_NO_TOTALS</t>
        </is>
      </c>
      <c r="E898" t="n">
        <v>3</v>
      </c>
      <c r="F898" t="inlineStr">
        <is>
          <t>PROSE</t>
        </is>
      </c>
      <c r="G898" t="inlineStr">
        <is>
          <t>PROSE</t>
        </is>
      </c>
      <c r="H898" t="inlineStr"/>
      <c r="J898" t="inlineStr">
        <is>
          <t>AGROPECUÁRIA SERROTE REDONDO – LRF Líderes em Recuperação Judicial e Falência</t>
        </is>
      </c>
      <c r="K898" t="inlineStr">
        <is>
          <t>lrflideres.com.br</t>
        </is>
      </c>
      <c r="L898" s="19" t="inlineStr">
        <is>
          <t>https://lrflideres.com.br/wp-content/plugins/download-attachments/includes/download.php?id=5002</t>
        </is>
      </c>
    </row>
    <row r="899">
      <c r="A899" t="inlineStr">
        <is>
          <t>7ac96973df45</t>
        </is>
      </c>
      <c r="B899" t="inlineStr">
        <is>
          <t>0062771-12.2013.8.17.0001</t>
        </is>
      </c>
      <c r="C899" t="inlineStr">
        <is>
          <t>UNKNOWN</t>
        </is>
      </c>
      <c r="D899" t="inlineStr">
        <is>
          <t>OK_NO_TOTALS</t>
        </is>
      </c>
      <c r="E899" t="n">
        <v>5</v>
      </c>
      <c r="F899" t="inlineStr">
        <is>
          <t>TABLE</t>
        </is>
      </c>
      <c r="G899" t="inlineStr">
        <is>
          <t>TABLE_RULED</t>
        </is>
      </c>
      <c r="H899" t="inlineStr"/>
      <c r="I899" t="inlineStr">
        <is>
          <t>2026-06-01</t>
        </is>
      </c>
      <c r="J899" t="inlineStr">
        <is>
          <t>ALIMENTAÇÃO PERFEITA DO NORDESTE LTDA – LRF Líderes em Recuperação Judicial e Falência</t>
        </is>
      </c>
      <c r="K899" t="inlineStr">
        <is>
          <t>lrflideres.com.br</t>
        </is>
      </c>
      <c r="L899" s="19" t="inlineStr">
        <is>
          <t>https://lrflideres.com.br/wp-content/plugins/download-attachments/includes/download.php?id=7181</t>
        </is>
      </c>
    </row>
    <row r="900">
      <c r="A900" t="inlineStr">
        <is>
          <t>cdde16d5b23a</t>
        </is>
      </c>
      <c r="B900" t="inlineStr">
        <is>
          <t>0062771-12.2013.8.17.0001</t>
        </is>
      </c>
      <c r="C900" t="inlineStr">
        <is>
          <t>UNKNOWN</t>
        </is>
      </c>
      <c r="D900" t="inlineStr">
        <is>
          <t>OK_NO_TOTALS</t>
        </is>
      </c>
      <c r="E900" t="n">
        <v>8</v>
      </c>
      <c r="F900" t="inlineStr">
        <is>
          <t>TABLE</t>
        </is>
      </c>
      <c r="G900" t="inlineStr">
        <is>
          <t>TABLE_BANDS</t>
        </is>
      </c>
      <c r="H900" t="inlineStr"/>
      <c r="I900" t="inlineStr">
        <is>
          <t>2026-06-01</t>
        </is>
      </c>
      <c r="J900" t="inlineStr">
        <is>
          <t>ALIMENTAÇÃO PERFEITA DO NORDESTE LTDA – LRF Líderes em Recuperação Judicial e Falência</t>
        </is>
      </c>
      <c r="K900" t="inlineStr">
        <is>
          <t>lrflideres.com.br</t>
        </is>
      </c>
      <c r="L900" s="19" t="inlineStr">
        <is>
          <t>https://lrflideres.com.br/wp-content/plugins/download-attachments/includes/download.php?id=7182</t>
        </is>
      </c>
    </row>
    <row r="901">
      <c r="A901" t="inlineStr">
        <is>
          <t>69d7d0821936</t>
        </is>
      </c>
      <c r="B901" t="inlineStr">
        <is>
          <t>1021191-85.2025.8.11.0015</t>
        </is>
      </c>
      <c r="C901" t="inlineStr">
        <is>
          <t>UNKNOWN</t>
        </is>
      </c>
      <c r="D901" t="inlineStr">
        <is>
          <t>OK_NO_TOTALS</t>
        </is>
      </c>
      <c r="E901" t="n">
        <v>11</v>
      </c>
      <c r="F901" t="inlineStr">
        <is>
          <t>PROSE</t>
        </is>
      </c>
      <c r="G901" t="inlineStr">
        <is>
          <t>PROSE</t>
        </is>
      </c>
      <c r="H901" t="inlineStr"/>
      <c r="J901" t="inlineStr">
        <is>
          <t>SCZ Scalzilli Administração Judicial</t>
        </is>
      </c>
      <c r="K901" t="inlineStr">
        <is>
          <t>scalzilliaj.com.br</t>
        </is>
      </c>
      <c r="L901" s="19" t="inlineStr">
        <is>
          <t>https://scalzilliaj.com.br/sgc/download.php?file=files/processo_documento/processo_documento17331017092025_1_.pdf&amp;nome=09 - Relação de credores apresentada pelo Grupo Devedor</t>
        </is>
      </c>
    </row>
    <row r="902">
      <c r="A902" t="inlineStr">
        <is>
          <t>0ecae0dabc2c</t>
        </is>
      </c>
      <c r="B902" t="inlineStr">
        <is>
          <t>0032731-52.2010.8.17.0001</t>
        </is>
      </c>
      <c r="C902" t="inlineStr">
        <is>
          <t>UNKNOWN</t>
        </is>
      </c>
      <c r="D902" t="inlineStr">
        <is>
          <t>OK_NO_TOTALS</t>
        </is>
      </c>
      <c r="E902" t="n">
        <v>6</v>
      </c>
      <c r="F902" t="inlineStr">
        <is>
          <t>PROSE</t>
        </is>
      </c>
      <c r="G902" t="inlineStr">
        <is>
          <t>PROSE</t>
        </is>
      </c>
      <c r="H902" t="inlineStr"/>
      <c r="I902" t="inlineStr">
        <is>
          <t>2024-06-11</t>
        </is>
      </c>
      <c r="J902" t="inlineStr">
        <is>
          <t>E FALENCIA</t>
        </is>
      </c>
      <c r="K902" t="inlineStr">
        <is>
          <t>diligence.adm.br</t>
        </is>
      </c>
      <c r="L902" s="19" t="inlineStr">
        <is>
          <t>https://diligence.adm.br/wp-content/plugins/download-attachments/includes/download.php?id=4581</t>
        </is>
      </c>
    </row>
    <row r="903">
      <c r="A903" t="inlineStr">
        <is>
          <t>9f9b321436d8</t>
        </is>
      </c>
      <c r="B903" t="inlineStr">
        <is>
          <t>0032731-52.2010.8.17.0001</t>
        </is>
      </c>
      <c r="C903" t="inlineStr">
        <is>
          <t>UNKNOWN</t>
        </is>
      </c>
      <c r="D903" t="inlineStr">
        <is>
          <t>OK_NO_TOTALS</t>
        </is>
      </c>
      <c r="E903" t="n">
        <v>20</v>
      </c>
      <c r="F903" t="inlineStr">
        <is>
          <t>TABLE</t>
        </is>
      </c>
      <c r="G903" t="inlineStr">
        <is>
          <t>TABLE_RULED</t>
        </is>
      </c>
      <c r="H903" t="inlineStr"/>
      <c r="I903" t="inlineStr">
        <is>
          <t>2024-06-11</t>
        </is>
      </c>
      <c r="J903" t="inlineStr">
        <is>
          <t>E FALENCIA</t>
        </is>
      </c>
      <c r="K903" t="inlineStr">
        <is>
          <t>diligence.adm.br</t>
        </is>
      </c>
      <c r="L903" s="19" t="inlineStr">
        <is>
          <t>https://diligence.adm.br/wp-content/plugins/download-attachments/includes/download.php?id=4582</t>
        </is>
      </c>
    </row>
    <row r="904">
      <c r="A904" t="inlineStr">
        <is>
          <t>d5ae9aee45e0</t>
        </is>
      </c>
      <c r="B904" t="inlineStr">
        <is>
          <t>0837278-92.2018.8.15.2001</t>
        </is>
      </c>
      <c r="C904" t="inlineStr">
        <is>
          <t>UNKNOWN</t>
        </is>
      </c>
      <c r="D904" t="inlineStr">
        <is>
          <t>OK_NO_TOTALS</t>
        </is>
      </c>
      <c r="E904" t="n">
        <v>13</v>
      </c>
      <c r="F904" t="inlineStr">
        <is>
          <t>TABLE</t>
        </is>
      </c>
      <c r="G904" t="inlineStr">
        <is>
          <t>TABLE_BANDS</t>
        </is>
      </c>
      <c r="H904" t="inlineStr"/>
      <c r="I904" t="inlineStr">
        <is>
          <t>2021-09-09</t>
        </is>
      </c>
      <c r="J904" t="inlineStr">
        <is>
          <t>ATACADAO DOS ELETRODOMESTICOS DO NORDESTE LTDA – LRF Líderes em Recuperação Judicial e Falência</t>
        </is>
      </c>
      <c r="K904" t="inlineStr">
        <is>
          <t>lrflideres.com.br</t>
        </is>
      </c>
      <c r="L904" s="19" t="inlineStr">
        <is>
          <t>https://lrflideres.com.br/wp-content/plugins/download-attachments/includes/download.php?id=3682</t>
        </is>
      </c>
    </row>
    <row r="905">
      <c r="A905" t="inlineStr">
        <is>
          <t>2487bf3f997a</t>
        </is>
      </c>
      <c r="B905" t="inlineStr">
        <is>
          <t>5088952-81.2025.8.13.0024</t>
        </is>
      </c>
      <c r="C905" t="inlineStr">
        <is>
          <t>UNKNOWN</t>
        </is>
      </c>
      <c r="D905" t="inlineStr">
        <is>
          <t>OK_NO_TOTALS</t>
        </is>
      </c>
      <c r="E905" t="n">
        <v>5</v>
      </c>
      <c r="F905" t="inlineStr">
        <is>
          <t>TABLE</t>
        </is>
      </c>
      <c r="G905" t="inlineStr">
        <is>
          <t>TABLE_BANDS</t>
        </is>
      </c>
      <c r="H905" t="inlineStr"/>
      <c r="I905" t="inlineStr">
        <is>
          <t>2025-10-06</t>
        </is>
      </c>
      <c r="J905" t="inlineStr">
        <is>
          <t>SCZ Scalzilli Administração Judicial</t>
        </is>
      </c>
      <c r="K905" t="inlineStr">
        <is>
          <t>scalzilliaj.com.br</t>
        </is>
      </c>
      <c r="L905" s="19" t="inlineStr">
        <is>
          <t>https://scalzilliaj.com.br/sgc/download.php?file=files/processo_documento/processo_documento09212913012026_1_.pdf&amp;nome=12 - Decisão: prorrogação do prazo para apresentação da relação de credores do art. 7º, §2º, da Lei 11.101/2005</t>
        </is>
      </c>
    </row>
    <row r="906">
      <c r="A906" t="inlineStr">
        <is>
          <t>c536a2fa4da3</t>
        </is>
      </c>
      <c r="B906" t="inlineStr">
        <is>
          <t>5011369-81.2026.8.09.0093</t>
        </is>
      </c>
      <c r="C906" t="inlineStr">
        <is>
          <t>UNKNOWN</t>
        </is>
      </c>
      <c r="D906" t="inlineStr">
        <is>
          <t>OK_NO_TOTALS</t>
        </is>
      </c>
      <c r="E906" t="n">
        <v>5</v>
      </c>
      <c r="F906" t="inlineStr">
        <is>
          <t>TABLE</t>
        </is>
      </c>
      <c r="G906" t="inlineStr">
        <is>
          <t>TABLE_RULED</t>
        </is>
      </c>
      <c r="H906" t="inlineStr"/>
      <c r="J906" t="inlineStr">
        <is>
          <t>SCZ Scalzilli Administração Judicial</t>
        </is>
      </c>
      <c r="K906" t="inlineStr">
        <is>
          <t>scalzilliaj.com.br</t>
        </is>
      </c>
      <c r="L906" s="19" t="inlineStr">
        <is>
          <t>https://scalzilliaj.com.br/sgc/download.php?file=files/processo_documento/processo_documento11421222052026_1_.pdf&amp;nome=08. Lista de credores do edital do art. 52, §1º da LREF</t>
        </is>
      </c>
    </row>
    <row r="907">
      <c r="A907" t="inlineStr">
        <is>
          <t>2410c02b40cb</t>
        </is>
      </c>
      <c r="B907" t="inlineStr">
        <is>
          <t>0837278-92.2018.8.15.2001</t>
        </is>
      </c>
      <c r="C907" t="inlineStr">
        <is>
          <t>UNKNOWN</t>
        </is>
      </c>
      <c r="D907" t="inlineStr">
        <is>
          <t>OK_NO_TOTALS</t>
        </is>
      </c>
      <c r="E907" t="n">
        <v>12</v>
      </c>
      <c r="F907" t="inlineStr">
        <is>
          <t>TABLE</t>
        </is>
      </c>
      <c r="G907" t="inlineStr">
        <is>
          <t>TABLE_BANDS</t>
        </is>
      </c>
      <c r="H907" t="inlineStr"/>
      <c r="I907" t="inlineStr">
        <is>
          <t>2021-09-09</t>
        </is>
      </c>
      <c r="J907" t="inlineStr">
        <is>
          <t>ATACADAO DOS ELETRODOMESTICOS DO NORDESTE LTDA – LRF Líderes em Recuperação Judicial e Falência</t>
        </is>
      </c>
      <c r="K907" t="inlineStr">
        <is>
          <t>lrflideres.com.br</t>
        </is>
      </c>
      <c r="L907" s="19" t="inlineStr">
        <is>
          <t>https://lrflideres.com.br/wp-content/plugins/download-attachments/includes/download.php?id=3684</t>
        </is>
      </c>
    </row>
    <row r="908">
      <c r="A908" t="inlineStr">
        <is>
          <t>b2fd5d0ba0e5</t>
        </is>
      </c>
      <c r="B908" t="inlineStr">
        <is>
          <t>0032030-18.2015.8.17.0001</t>
        </is>
      </c>
      <c r="C908" t="inlineStr">
        <is>
          <t>UNKNOWN</t>
        </is>
      </c>
      <c r="D908" t="inlineStr">
        <is>
          <t>OK_NO_TOTALS</t>
        </is>
      </c>
      <c r="E908" t="n">
        <v>9</v>
      </c>
      <c r="F908" t="inlineStr">
        <is>
          <t>TABLE</t>
        </is>
      </c>
      <c r="G908" t="inlineStr">
        <is>
          <t>TABLE_BANDS</t>
        </is>
      </c>
      <c r="H908" t="inlineStr"/>
      <c r="I908" t="inlineStr">
        <is>
          <t>2024-07-05</t>
        </is>
      </c>
      <c r="J908" t="inlineStr">
        <is>
          <t>e Falência</t>
        </is>
      </c>
      <c r="K908" t="inlineStr">
        <is>
          <t>diligence.adm.br</t>
        </is>
      </c>
      <c r="L908" s="19" t="inlineStr">
        <is>
          <t>https://diligence.adm.br/wp-content/plugins/download-attachments/includes/download.php?id=4714</t>
        </is>
      </c>
    </row>
    <row r="909">
      <c r="A909" t="inlineStr">
        <is>
          <t>53219dc5d505</t>
        </is>
      </c>
      <c r="B909" t="inlineStr">
        <is>
          <t>0032030-18.2015.8.17.0001</t>
        </is>
      </c>
      <c r="C909" t="inlineStr">
        <is>
          <t>UNKNOWN</t>
        </is>
      </c>
      <c r="D909" t="inlineStr">
        <is>
          <t>OK_NO_TOTALS</t>
        </is>
      </c>
      <c r="E909" t="n">
        <v>6</v>
      </c>
      <c r="F909" t="inlineStr">
        <is>
          <t>TABLE</t>
        </is>
      </c>
      <c r="G909" t="inlineStr">
        <is>
          <t>TABLE_BANDS</t>
        </is>
      </c>
      <c r="H909" t="inlineStr"/>
      <c r="I909" t="inlineStr">
        <is>
          <t>2024-07-05</t>
        </is>
      </c>
      <c r="J909" t="inlineStr">
        <is>
          <t>e Falência</t>
        </is>
      </c>
      <c r="K909" t="inlineStr">
        <is>
          <t>diligence.adm.br</t>
        </is>
      </c>
      <c r="L909" s="19" t="inlineStr">
        <is>
          <t>https://diligence.adm.br/wp-content/plugins/download-attachments/includes/download.php?id=4715</t>
        </is>
      </c>
    </row>
    <row r="910">
      <c r="A910" t="inlineStr">
        <is>
          <t>b4bd9a254645</t>
        </is>
      </c>
      <c r="B910" t="inlineStr">
        <is>
          <t>0006775-56.2016.8.17.2480</t>
        </is>
      </c>
      <c r="C910" t="inlineStr">
        <is>
          <t>UNKNOWN</t>
        </is>
      </c>
      <c r="D910" t="inlineStr">
        <is>
          <t>OK_NO_TOTALS</t>
        </is>
      </c>
      <c r="E910" t="n">
        <v>11</v>
      </c>
      <c r="F910" t="inlineStr">
        <is>
          <t>TABLE</t>
        </is>
      </c>
      <c r="G910" t="inlineStr">
        <is>
          <t>TABLE_BANDS</t>
        </is>
      </c>
      <c r="H910" t="inlineStr"/>
      <c r="I910" t="inlineStr">
        <is>
          <t>2021-09-22</t>
        </is>
      </c>
      <c r="J910" t="inlineStr">
        <is>
          <t>BONANZA SUPERMERCADOS LTDA – LRF Líderes em Recuperação Judicial e Falência</t>
        </is>
      </c>
      <c r="K910" t="inlineStr">
        <is>
          <t>lrflideres.com.br</t>
        </is>
      </c>
      <c r="L910" s="19" t="inlineStr">
        <is>
          <t>https://lrflideres.com.br/wp-content/plugins/download-attachments/includes/download.php?id=3613</t>
        </is>
      </c>
    </row>
    <row r="911">
      <c r="A911" t="inlineStr">
        <is>
          <t>12e12dae8d0f</t>
        </is>
      </c>
      <c r="B911" t="inlineStr">
        <is>
          <t>0026395-77.2025.8.16.0019</t>
        </is>
      </c>
      <c r="C911" t="inlineStr">
        <is>
          <t>UNKNOWN</t>
        </is>
      </c>
      <c r="D911" t="inlineStr">
        <is>
          <t>OK_NO_TOTALS</t>
        </is>
      </c>
      <c r="E911" t="n">
        <v>21</v>
      </c>
      <c r="F911" t="inlineStr">
        <is>
          <t>PROSE</t>
        </is>
      </c>
      <c r="G911" t="inlineStr">
        <is>
          <t>PROSE</t>
        </is>
      </c>
      <c r="H911" t="inlineStr"/>
      <c r="I911" t="inlineStr">
        <is>
          <t>2025-08-01</t>
        </is>
      </c>
      <c r="J911" t="inlineStr">
        <is>
          <t>GRUPO FOREST – Sgrott Administradora Judicial e Consultoria Empresarial</t>
        </is>
      </c>
      <c r="K911" t="inlineStr">
        <is>
          <t>administradorajudicialgs.com.br</t>
        </is>
      </c>
      <c r="L911" s="19" t="inlineStr">
        <is>
          <t>https://administradorajudicialgs.com.br/wp-content/uploads/2025/09/relacao-de-credores-forest-1.pdf</t>
        </is>
      </c>
    </row>
    <row r="912">
      <c r="A912" t="inlineStr">
        <is>
          <t>2fc83c3890cd</t>
        </is>
      </c>
      <c r="B912" t="inlineStr">
        <is>
          <t>5000561-63.2025.8.24.0536</t>
        </is>
      </c>
      <c r="C912" t="inlineStr">
        <is>
          <t>UNKNOWN</t>
        </is>
      </c>
      <c r="D912" t="inlineStr">
        <is>
          <t>OK_NO_TOTALS</t>
        </is>
      </c>
      <c r="E912" t="n">
        <v>1</v>
      </c>
      <c r="F912" t="inlineStr">
        <is>
          <t>TABLE</t>
        </is>
      </c>
      <c r="G912" t="inlineStr">
        <is>
          <t>TABLE_RULED</t>
        </is>
      </c>
      <c r="H912" t="inlineStr"/>
      <c r="J912" t="inlineStr">
        <is>
          <t>SCZ Scalzilli Administração Judicial</t>
        </is>
      </c>
      <c r="K912" t="inlineStr">
        <is>
          <t>scalzilliaj.com.br</t>
        </is>
      </c>
      <c r="L912" s="19" t="inlineStr">
        <is>
          <t>https://scalzilliaj.com.br/sgc/download.php?file=files/processo_documento/processo_documento10525627042026_1_.pdf&amp;nome=09 - Quadro Geral de Credores Provisório</t>
        </is>
      </c>
    </row>
    <row r="913">
      <c r="A913" t="inlineStr">
        <is>
          <t>6c3ff75a5d19</t>
        </is>
      </c>
      <c r="B913" t="inlineStr">
        <is>
          <t>0300301-76.2018.8.24.0072</t>
        </is>
      </c>
      <c r="C913" t="inlineStr">
        <is>
          <t>UNKNOWN</t>
        </is>
      </c>
      <c r="D913" t="inlineStr">
        <is>
          <t>OK_NO_TOTALS</t>
        </is>
      </c>
      <c r="E913" t="n">
        <v>19</v>
      </c>
      <c r="F913" t="inlineStr">
        <is>
          <t>TABLE</t>
        </is>
      </c>
      <c r="G913" t="inlineStr">
        <is>
          <t>TABLE_RULED</t>
        </is>
      </c>
      <c r="H913" t="inlineStr"/>
      <c r="I913" t="inlineStr">
        <is>
          <t>2017-05-03</t>
        </is>
      </c>
      <c r="J913" t="inlineStr">
        <is>
          <t>TRANSPORTADORA TELLES LTDA – Sgrott Administradora Judicial e Consultoria Empresarial</t>
        </is>
      </c>
      <c r="K913" t="inlineStr">
        <is>
          <t>administradorajudicialgs.com.br</t>
        </is>
      </c>
      <c r="L913" s="19" t="inlineStr">
        <is>
          <t>https://administradorajudicialgs.com.br/wp-content/uploads/2023/08/advogados-sgrott-relacao-de-credores.pdf</t>
        </is>
      </c>
    </row>
    <row r="914">
      <c r="A914" t="inlineStr">
        <is>
          <t>3a71c31a73b9</t>
        </is>
      </c>
      <c r="B914" t="inlineStr">
        <is>
          <t>0160454-48.2022.8.17.2001</t>
        </is>
      </c>
      <c r="C914" t="inlineStr">
        <is>
          <t>UNKNOWN</t>
        </is>
      </c>
      <c r="D914" t="inlineStr">
        <is>
          <t>OK_NO_TOTALS</t>
        </is>
      </c>
      <c r="E914" t="n">
        <v>10</v>
      </c>
      <c r="F914" t="inlineStr">
        <is>
          <t>PROSE</t>
        </is>
      </c>
      <c r="G914" t="inlineStr">
        <is>
          <t>PROSE</t>
        </is>
      </c>
      <c r="H914" t="inlineStr"/>
      <c r="I914" t="inlineStr">
        <is>
          <t>2024-04-21</t>
        </is>
      </c>
      <c r="J914" t="inlineStr">
        <is>
          <t>E FALENCIA</t>
        </is>
      </c>
      <c r="K914" t="inlineStr">
        <is>
          <t>diligence.adm.br</t>
        </is>
      </c>
      <c r="L914" s="19" t="inlineStr">
        <is>
          <t>https://diligence.adm.br/wp-content/plugins/download-attachments/includes/download.php?id=4104</t>
        </is>
      </c>
    </row>
    <row r="915">
      <c r="A915" t="inlineStr">
        <is>
          <t>f27c1682cf46</t>
        </is>
      </c>
      <c r="B915" t="inlineStr">
        <is>
          <t>0315021-46.2018.8.24.0008</t>
        </is>
      </c>
      <c r="C915" t="inlineStr">
        <is>
          <t>UNKNOWN</t>
        </is>
      </c>
      <c r="D915" t="inlineStr">
        <is>
          <t>OK_NO_TOTALS</t>
        </is>
      </c>
      <c r="E915" t="n">
        <v>20</v>
      </c>
      <c r="F915" t="inlineStr">
        <is>
          <t>TABLE</t>
        </is>
      </c>
      <c r="G915" t="inlineStr">
        <is>
          <t>TABLE_RULED</t>
        </is>
      </c>
      <c r="H915" t="inlineStr"/>
      <c r="I915" t="inlineStr">
        <is>
          <t>2017-10-25</t>
        </is>
      </c>
      <c r="J915" t="inlineStr">
        <is>
          <t>BLUFIX INDÚSTRIA E COMÉRCIO LTDA – Sgrott Administradora Judicial e Consultoria Empresarial</t>
        </is>
      </c>
      <c r="K915" t="inlineStr">
        <is>
          <t>administradorajudicialgs.com.br</t>
        </is>
      </c>
      <c r="L915" s="19" t="inlineStr">
        <is>
          <t>https://administradorajudicialgs.com.br/wp-content/uploads/2023/08/relacao-de-credores-empresa.pdf</t>
        </is>
      </c>
    </row>
    <row r="916">
      <c r="A916" t="inlineStr">
        <is>
          <t>a7f404e1fced</t>
        </is>
      </c>
      <c r="B916" t="inlineStr">
        <is>
          <t>5014104-85.2021.8.21.0010</t>
        </is>
      </c>
      <c r="C916" t="inlineStr">
        <is>
          <t>UNKNOWN</t>
        </is>
      </c>
      <c r="D916" t="inlineStr">
        <is>
          <t>OK_NO_TOTALS</t>
        </is>
      </c>
      <c r="E916" t="n">
        <v>11</v>
      </c>
      <c r="F916" t="inlineStr">
        <is>
          <t>TABLE</t>
        </is>
      </c>
      <c r="G916" t="inlineStr">
        <is>
          <t>TABLE_RULED</t>
        </is>
      </c>
      <c r="H916" t="inlineStr"/>
      <c r="J916" t="inlineStr">
        <is>
          <t>SCZ Scalzilli Administração Judicial</t>
        </is>
      </c>
      <c r="K916" t="inlineStr">
        <is>
          <t>scalzilliaj.com.br</t>
        </is>
      </c>
      <c r="L916" s="19" t="inlineStr">
        <is>
          <t>https://scalzilliaj.com.br/sgc/download.php?file=files/processo_documento/processo_documento12173113102022_1_.pdf&amp;nome=14 - Lista de credores apresentada pela administração judicial</t>
        </is>
      </c>
    </row>
    <row r="917">
      <c r="A917" t="inlineStr">
        <is>
          <t>a707869db268</t>
        </is>
      </c>
      <c r="B917" t="inlineStr">
        <is>
          <t>0301494-08.2016.8.24.0037</t>
        </is>
      </c>
      <c r="C917" t="inlineStr">
        <is>
          <t>UNKNOWN</t>
        </is>
      </c>
      <c r="D917" t="inlineStr">
        <is>
          <t>OK_NO_TOTALS</t>
        </is>
      </c>
      <c r="E917" t="n">
        <v>27</v>
      </c>
      <c r="F917" t="inlineStr">
        <is>
          <t>TABLE</t>
        </is>
      </c>
      <c r="G917" t="inlineStr">
        <is>
          <t>TABLE_BANDS</t>
        </is>
      </c>
      <c r="H917" t="inlineStr"/>
      <c r="J917" t="inlineStr">
        <is>
          <t>LEAL ENGENHARIA QUÍMICA LTDA</t>
        </is>
      </c>
      <c r="K917" t="inlineStr">
        <is>
          <t>cataliseaj.com.br</t>
        </is>
      </c>
      <c r="L917" s="19" t="inlineStr">
        <is>
          <t>https://cataliseaj.com.br/sgc/download.php?file=files/processo_documento/processo_documento10302022042025_1_.pdf&amp;nome=9. MODIFICATIVO PRJ</t>
        </is>
      </c>
    </row>
    <row r="918">
      <c r="A918" t="inlineStr">
        <is>
          <t>50940dc5afee</t>
        </is>
      </c>
      <c r="B918" t="inlineStr">
        <is>
          <t>0044705-47.2014.8.17.0001</t>
        </is>
      </c>
      <c r="C918" t="inlineStr">
        <is>
          <t>UNKNOWN</t>
        </is>
      </c>
      <c r="D918" t="inlineStr">
        <is>
          <t>OK_NO_TOTALS</t>
        </is>
      </c>
      <c r="E918" t="n">
        <v>10</v>
      </c>
      <c r="F918" t="inlineStr">
        <is>
          <t>TABLE</t>
        </is>
      </c>
      <c r="G918" t="inlineStr">
        <is>
          <t>TABLE_BANDS</t>
        </is>
      </c>
      <c r="H918" t="inlineStr"/>
      <c r="I918" t="inlineStr">
        <is>
          <t>2024-07-09</t>
        </is>
      </c>
      <c r="J918" t="inlineStr">
        <is>
          <t>E FALENCIA</t>
        </is>
      </c>
      <c r="K918" t="inlineStr">
        <is>
          <t>diligence.adm.br</t>
        </is>
      </c>
      <c r="L918" s="19" t="inlineStr">
        <is>
          <t>https://diligence.adm.br/wp-content/plugins/download-attachments/includes/download.php?id=4767</t>
        </is>
      </c>
    </row>
    <row r="919">
      <c r="A919" t="inlineStr">
        <is>
          <t>a58419416442</t>
        </is>
      </c>
      <c r="B919" t="inlineStr">
        <is>
          <t>0301494-08.2016.8.24.0037</t>
        </is>
      </c>
      <c r="C919" t="inlineStr">
        <is>
          <t>UNKNOWN</t>
        </is>
      </c>
      <c r="D919" t="inlineStr">
        <is>
          <t>OK_NO_TOTALS</t>
        </is>
      </c>
      <c r="E919" t="n">
        <v>11</v>
      </c>
      <c r="F919" t="inlineStr">
        <is>
          <t>TABLE</t>
        </is>
      </c>
      <c r="G919" t="inlineStr">
        <is>
          <t>TABLE_BANDS</t>
        </is>
      </c>
      <c r="H919" t="inlineStr"/>
      <c r="J919" t="inlineStr">
        <is>
          <t>na data de 22.06.2016, sendo deferido o processa</t>
        </is>
      </c>
      <c r="K919" t="inlineStr">
        <is>
          <t>cataliseaj.com.br</t>
        </is>
      </c>
      <c r="L919" s="19" t="inlineStr">
        <is>
          <t>https://cataliseaj.com.br/sgc/download.php?file=files/processo_documento/processo_documento10272222042025_1_.pdf&amp;nome=15. SENTENÇA DE FALÊNCIA</t>
        </is>
      </c>
    </row>
    <row r="920">
      <c r="A920" t="inlineStr">
        <is>
          <t>5371b769907e</t>
        </is>
      </c>
      <c r="B920" t="inlineStr">
        <is>
          <t>0044705-47.2014.8.17.0001</t>
        </is>
      </c>
      <c r="C920" t="inlineStr">
        <is>
          <t>UNKNOWN</t>
        </is>
      </c>
      <c r="D920" t="inlineStr">
        <is>
          <t>OK_NO_TOTALS</t>
        </is>
      </c>
      <c r="E920" t="n">
        <v>8</v>
      </c>
      <c r="F920" t="inlineStr">
        <is>
          <t>TABLE</t>
        </is>
      </c>
      <c r="G920" t="inlineStr">
        <is>
          <t>TABLE_BANDS</t>
        </is>
      </c>
      <c r="H920" t="inlineStr"/>
      <c r="I920" t="inlineStr">
        <is>
          <t>2024-07-09</t>
        </is>
      </c>
      <c r="J920" t="inlineStr">
        <is>
          <t>E FALENCIA</t>
        </is>
      </c>
      <c r="K920" t="inlineStr">
        <is>
          <t>diligence.adm.br</t>
        </is>
      </c>
      <c r="L920" s="19" t="inlineStr">
        <is>
          <t>https://diligence.adm.br/wp-content/plugins/download-attachments/includes/download.php?id=4769</t>
        </is>
      </c>
    </row>
    <row r="921">
      <c r="A921" t="inlineStr">
        <is>
          <t>da22004c28d4</t>
        </is>
      </c>
      <c r="B921" t="inlineStr">
        <is>
          <t>1042555-56.2022.8.26.0224</t>
        </is>
      </c>
      <c r="C921" t="inlineStr">
        <is>
          <t>UNKNOWN</t>
        </is>
      </c>
      <c r="D921" t="inlineStr">
        <is>
          <t>OK_NO_TOTALS</t>
        </is>
      </c>
      <c r="E921" t="n">
        <v>2</v>
      </c>
      <c r="F921" t="inlineStr">
        <is>
          <t>TABLE</t>
        </is>
      </c>
      <c r="G921" t="inlineStr">
        <is>
          <t>TABLE_RULED</t>
        </is>
      </c>
      <c r="H921" t="inlineStr"/>
      <c r="I921" t="inlineStr">
        <is>
          <t>2024-10-22</t>
        </is>
      </c>
      <c r="J921" t="inlineStr">
        <is>
          <t>Administrador Judicia</t>
        </is>
      </c>
      <c r="K921" t="inlineStr">
        <is>
          <t>scalzilliaj.com.br</t>
        </is>
      </c>
      <c r="L921" s="19" t="inlineStr">
        <is>
          <t>https://scalzilliaj.com.br/sgc/download.php?file=files/processo_documento/processo_documento16380303022026_1_.pdf&amp;nome=07 - Quadro Geral de Credores</t>
        </is>
      </c>
    </row>
    <row r="922">
      <c r="A922" t="inlineStr">
        <is>
          <t>f4d76d65e61e</t>
        </is>
      </c>
      <c r="B922" t="inlineStr">
        <is>
          <t>0076699-97.2020.8.17.2001</t>
        </is>
      </c>
      <c r="C922" t="inlineStr">
        <is>
          <t>UNKNOWN</t>
        </is>
      </c>
      <c r="D922" t="inlineStr">
        <is>
          <t>OK_NO_TOTALS</t>
        </is>
      </c>
      <c r="E922" t="n">
        <v>161</v>
      </c>
      <c r="F922" t="inlineStr">
        <is>
          <t>TABLE</t>
        </is>
      </c>
      <c r="G922" t="inlineStr">
        <is>
          <t>TABLE_RULED</t>
        </is>
      </c>
      <c r="H922" t="inlineStr"/>
      <c r="I922" t="inlineStr">
        <is>
          <t>2021-09-20</t>
        </is>
      </c>
      <c r="J922" t="inlineStr">
        <is>
          <t>DUARTE CONSTRUCOES S.A. – LRF Líderes em Recuperação Judicial e Falência</t>
        </is>
      </c>
      <c r="K922" t="inlineStr">
        <is>
          <t>lrflideres.com.br</t>
        </is>
      </c>
      <c r="L922" s="19" t="inlineStr">
        <is>
          <t>https://lrflideres.com.br/wp-content/plugins/download-attachments/includes/download.php?id=6028</t>
        </is>
      </c>
    </row>
    <row r="923">
      <c r="A923" t="inlineStr">
        <is>
          <t>2c4565c92a90</t>
        </is>
      </c>
      <c r="B923" t="inlineStr">
        <is>
          <t>5000002-85.2023.8.24.3605</t>
        </is>
      </c>
      <c r="C923" t="inlineStr">
        <is>
          <t>UNKNOWN</t>
        </is>
      </c>
      <c r="D923" t="inlineStr">
        <is>
          <t>OK_NO_TOTALS</t>
        </is>
      </c>
      <c r="E923" t="n">
        <v>2</v>
      </c>
      <c r="F923" t="inlineStr">
        <is>
          <t>TABLE</t>
        </is>
      </c>
      <c r="G923" t="inlineStr">
        <is>
          <t>TABLE_BANDS</t>
        </is>
      </c>
      <c r="H923" t="inlineStr"/>
      <c r="I923" t="inlineStr">
        <is>
          <t>2026-06-15</t>
        </is>
      </c>
      <c r="J923" t="inlineStr">
        <is>
          <t>e Extrajudicia</t>
        </is>
      </c>
      <c r="K923" t="inlineStr">
        <is>
          <t>scalzilliaj.com.br</t>
        </is>
      </c>
      <c r="L923" s="19" t="inlineStr">
        <is>
          <t>https://scalzilliaj.com.br/sgc/download.php?file=files/processo_documento/processo_documento08191015062026_1_.pdf&amp;nome=07 - Edital intimação credores acerca do rateio</t>
        </is>
      </c>
    </row>
    <row r="924">
      <c r="A924" t="inlineStr">
        <is>
          <t>c4663fd9c819</t>
        </is>
      </c>
      <c r="B924" t="inlineStr">
        <is>
          <t>0011283-80.2023.8.17.2001</t>
        </is>
      </c>
      <c r="C924" t="inlineStr">
        <is>
          <t>UNKNOWN</t>
        </is>
      </c>
      <c r="D924" t="inlineStr">
        <is>
          <t>OK_NO_TOTALS</t>
        </is>
      </c>
      <c r="E924" t="n">
        <v>20</v>
      </c>
      <c r="F924" t="inlineStr">
        <is>
          <t>TABLE</t>
        </is>
      </c>
      <c r="G924" t="inlineStr">
        <is>
          <t>TABLE_RULED</t>
        </is>
      </c>
      <c r="H924" t="inlineStr"/>
      <c r="I924" t="inlineStr">
        <is>
          <t>2024-05-28</t>
        </is>
      </c>
      <c r="J924" t="inlineStr">
        <is>
          <t>Náutico - Página — Lindoso e Araujo</t>
        </is>
      </c>
      <c r="K924" t="inlineStr">
        <is>
          <t>recuperacaojudicial.squarespace.com</t>
        </is>
      </c>
      <c r="L924" s="19" t="inlineStr">
        <is>
          <t>https://recuperacaojudicial.squarespace.com/s/RJ-Clube-Nautico-Lista-de-Credores-Retificada-novembro-2023.pdf</t>
        </is>
      </c>
    </row>
    <row r="925">
      <c r="A925" t="inlineStr">
        <is>
          <t>38d930ab1caa</t>
        </is>
      </c>
      <c r="B925" t="inlineStr">
        <is>
          <t>0820780-23.2026.8.14.0301</t>
        </is>
      </c>
      <c r="C925" t="inlineStr">
        <is>
          <t>AJ_LIST</t>
        </is>
      </c>
      <c r="D925" t="inlineStr">
        <is>
          <t>QUARANTINED</t>
        </is>
      </c>
      <c r="E925" t="n">
        <v>4</v>
      </c>
      <c r="F925" t="inlineStr">
        <is>
          <t>PROSE</t>
        </is>
      </c>
      <c r="G925" t="inlineStr">
        <is>
          <t>PROSE</t>
        </is>
      </c>
      <c r="H925" t="inlineStr">
        <is>
          <t>I/BRL#s1: FAIL Δ-381984.70 · III/BRL#s3: PASS Δ0.00 · IV/BRL#s4: PASS Δ0.00</t>
        </is>
      </c>
      <c r="I925" t="inlineStr">
        <is>
          <t>2026-07-07</t>
        </is>
      </c>
      <c r="J925" t="inlineStr">
        <is>
          <t>e mpresa</t>
        </is>
      </c>
      <c r="K925" t="inlineStr">
        <is>
          <t>cdn.dol.com.br</t>
        </is>
      </c>
      <c r="L925" s="19" t="inlineStr">
        <is>
          <t>https://cdn.dol.com.br/img/attachmentinline/940000/6publicacao-2-edital-art-7-parag-2-da-lei-11101-20009467060.pdf?xid=3272528</t>
        </is>
      </c>
    </row>
    <row r="926">
      <c r="A926" t="inlineStr">
        <is>
          <t>ea645815adc8</t>
        </is>
      </c>
      <c r="B926" t="inlineStr">
        <is>
          <t>0706250-76.2020.8.02.0001</t>
        </is>
      </c>
      <c r="C926" t="inlineStr">
        <is>
          <t>AJ_LIST</t>
        </is>
      </c>
      <c r="D926" t="inlineStr">
        <is>
          <t>QUARANTINED</t>
        </is>
      </c>
      <c r="E926" t="n">
        <v>3</v>
      </c>
      <c r="F926" t="inlineStr">
        <is>
          <t>PROSE</t>
        </is>
      </c>
      <c r="G926" t="inlineStr">
        <is>
          <t>PROSE</t>
        </is>
      </c>
      <c r="H926" t="inlineStr">
        <is>
          <t>I/BRL#s4: PASS ΔNone · III/BRL#s5: FAIL ΔNone · IV/BRL#s6: FAIL ΔNone</t>
        </is>
      </c>
      <c r="I926" t="inlineStr">
        <is>
          <t>2020-10-06</t>
        </is>
      </c>
      <c r="K926" t="inlineStr">
        <is>
          <t>recuperacaojudicial.squarespace.com</t>
        </is>
      </c>
      <c r="L926" s="19" t="inlineStr">
        <is>
          <t>https://recuperacaojudicial.squarespace.com/s/04-RJSampaioConstrucesEditalcoma2relacodecredores.pdf</t>
        </is>
      </c>
    </row>
    <row r="927">
      <c r="A927" t="inlineStr">
        <is>
          <t>9ab1e2a2b4be</t>
        </is>
      </c>
      <c r="B927" t="inlineStr">
        <is>
          <t>0705602-96.2020.8.02.0001</t>
        </is>
      </c>
      <c r="C927" t="inlineStr">
        <is>
          <t>AJ_LIST</t>
        </is>
      </c>
      <c r="D927" t="inlineStr">
        <is>
          <t>QUARANTINED</t>
        </is>
      </c>
      <c r="E927" t="n">
        <v>30</v>
      </c>
      <c r="F927" t="inlineStr">
        <is>
          <t>TABLE</t>
        </is>
      </c>
      <c r="G927" t="inlineStr">
        <is>
          <t>TABLE_RULED</t>
        </is>
      </c>
      <c r="H927" t="inlineStr">
        <is>
          <t>III/BRL: FAIL Δ14000000.00 · II/BRL: FAIL Δ-530000.00 · IV/BRL: FAIL Δ530000.00</t>
        </is>
      </c>
      <c r="I927" t="inlineStr">
        <is>
          <t>2024-06-18</t>
        </is>
      </c>
      <c r="J927" t="inlineStr">
        <is>
          <t>Tecampo e Biocampo. Inicia</t>
        </is>
      </c>
      <c r="K927" t="inlineStr">
        <is>
          <t>recuperacaojudicial.squarespace.com</t>
        </is>
      </c>
      <c r="L927" s="19" t="inlineStr">
        <is>
          <t>https://recuperacaojudicial.squarespace.com/s/0705602-9620208020001-1-mlkc.pdf</t>
        </is>
      </c>
    </row>
    <row r="928">
      <c r="A928" t="inlineStr">
        <is>
          <t>c065235b216e</t>
        </is>
      </c>
      <c r="B928" t="inlineStr">
        <is>
          <t>0108923-15.2025.8.17.2001</t>
        </is>
      </c>
      <c r="C928" t="inlineStr">
        <is>
          <t>AJ_LIST</t>
        </is>
      </c>
      <c r="D928" t="inlineStr">
        <is>
          <t>QUARANTINED</t>
        </is>
      </c>
      <c r="E928" t="n">
        <v>9</v>
      </c>
      <c r="F928" t="inlineStr">
        <is>
          <t>PROSE</t>
        </is>
      </c>
      <c r="G928" t="inlineStr">
        <is>
          <t>PROSE</t>
        </is>
      </c>
      <c r="H928" t="inlineStr">
        <is>
          <t>I/BRL#s1: FAIL Δ-12284.11 · III/BRL#s2: PASS Δ-777.36 · I/BRL#s4: FAIL ΔNone · III/BRL#s5: FAIL Δ-659.22 · IV/BRL#s6: FAIL ΔNone</t>
        </is>
      </c>
      <c r="I928" t="inlineStr">
        <is>
          <t>2026-06-17</t>
        </is>
      </c>
      <c r="J928" t="inlineStr">
        <is>
          <t>EMPRESA</t>
        </is>
      </c>
      <c r="K928" t="inlineStr">
        <is>
          <t>diligence.adm.br</t>
        </is>
      </c>
      <c r="L928" s="19" t="inlineStr">
        <is>
          <t>https://diligence.adm.br/wp-content/plugins/download-attachments/includes/download.php?id=6257</t>
        </is>
      </c>
    </row>
    <row r="929">
      <c r="A929" t="inlineStr">
        <is>
          <t>c17d02b77338</t>
        </is>
      </c>
      <c r="B929" t="inlineStr">
        <is>
          <t>0000206-72.2017.8.17.2490</t>
        </is>
      </c>
      <c r="C929" t="inlineStr">
        <is>
          <t>AJ_LIST</t>
        </is>
      </c>
      <c r="D929" t="inlineStr">
        <is>
          <t>QUARANTINED</t>
        </is>
      </c>
      <c r="E929" t="n">
        <v>8</v>
      </c>
      <c r="F929" t="inlineStr">
        <is>
          <t>TABLE</t>
        </is>
      </c>
      <c r="G929" t="inlineStr">
        <is>
          <t>TABLE_RULED</t>
        </is>
      </c>
      <c r="H929" t="inlineStr">
        <is>
          <t>IV/BRL#s3: PASS Δ0.00 · III/BRL#s5: PASS Δ0.00 · I/BRL#s7: FAIL Δ-10787.70</t>
        </is>
      </c>
      <c r="I929" t="inlineStr">
        <is>
          <t>2024-04-22</t>
        </is>
      </c>
      <c r="J929" t="inlineStr">
        <is>
          <t>E FALENCIA</t>
        </is>
      </c>
      <c r="K929" t="inlineStr">
        <is>
          <t>diligence.adm.br</t>
        </is>
      </c>
      <c r="L929" s="19" t="inlineStr">
        <is>
          <t>https://diligence.adm.br/wp-content/plugins/download-attachments/includes/download.php?id=4122</t>
        </is>
      </c>
    </row>
    <row r="930">
      <c r="A930" t="inlineStr">
        <is>
          <t>6368e39c8019</t>
        </is>
      </c>
      <c r="B930" t="inlineStr">
        <is>
          <t>5009474-18.2019.8.21.0022</t>
        </is>
      </c>
      <c r="C930" t="inlineStr">
        <is>
          <t>AJ_LIST</t>
        </is>
      </c>
      <c r="D930" t="inlineStr">
        <is>
          <t>QUARANTINED</t>
        </is>
      </c>
      <c r="E930" t="n">
        <v>19</v>
      </c>
      <c r="F930" t="inlineStr">
        <is>
          <t>TABLE</t>
        </is>
      </c>
      <c r="G930" t="inlineStr">
        <is>
          <t>TABLE_BANDS</t>
        </is>
      </c>
      <c r="H930" t="inlineStr">
        <is>
          <t>I/BRL: PASS Δ0.00 · II/BRL: PASS Δ0.00 · III/BRL: PASS Δ-3426.00 · IV/BRL: FAIL Δ-1461959.56</t>
        </is>
      </c>
      <c r="J930" t="inlineStr">
        <is>
          <t>Catalise Administração Judicial</t>
        </is>
      </c>
      <c r="K930" t="inlineStr">
        <is>
          <t>cataliseaj.com.br</t>
        </is>
      </c>
      <c r="L930" s="19" t="inlineStr">
        <is>
          <t>https://cataliseaj.com.br/sgc/download.php?file=files/processo_documento/processo_documento17421810062024_1_.pdf&amp;nome= 7. LISTA DE CREDORES DA ADMINISTRAÇÃO JUDICIAL DO ART. 7º, § 2º</t>
        </is>
      </c>
    </row>
    <row r="931">
      <c r="A931" t="inlineStr">
        <is>
          <t>15a3f60047bf</t>
        </is>
      </c>
      <c r="B931" t="inlineStr">
        <is>
          <t>0700087-51.2020.8.02.0043</t>
        </is>
      </c>
      <c r="C931" t="inlineStr">
        <is>
          <t>AJ_LIST</t>
        </is>
      </c>
      <c r="D931" t="inlineStr">
        <is>
          <t>QUARANTINED</t>
        </is>
      </c>
      <c r="E931" t="n">
        <v>10</v>
      </c>
      <c r="F931" t="inlineStr">
        <is>
          <t>TABLE</t>
        </is>
      </c>
      <c r="G931" t="inlineStr">
        <is>
          <t>TABLE_RULED</t>
        </is>
      </c>
      <c r="H931" t="inlineStr">
        <is>
          <t>III/BRL#s1: FAIL Δ1575492.18 · III/BRL#s2: FAIL Δ-156297.46</t>
        </is>
      </c>
      <c r="J931" t="inlineStr">
        <is>
          <t>AUTO POSTO FREITAS &amp; MAIA LTDA</t>
        </is>
      </c>
      <c r="K931" t="inlineStr">
        <is>
          <t>recuperacaojudicial.squarespace.com</t>
        </is>
      </c>
      <c r="L931" s="19" t="inlineStr">
        <is>
          <t>https://recuperacaojudicial.squarespace.com/s/0700087-5120208020043-2.pdf</t>
        </is>
      </c>
    </row>
    <row r="932">
      <c r="A932" t="inlineStr">
        <is>
          <t>667246f02c08</t>
        </is>
      </c>
      <c r="B932" t="inlineStr">
        <is>
          <t>0700087-51.2020.8.02.0043</t>
        </is>
      </c>
      <c r="C932" t="inlineStr">
        <is>
          <t>AJ_LIST</t>
        </is>
      </c>
      <c r="D932" t="inlineStr">
        <is>
          <t>QUARANTINED</t>
        </is>
      </c>
      <c r="E932" t="n">
        <v>3</v>
      </c>
      <c r="F932" t="inlineStr">
        <is>
          <t>PROSE</t>
        </is>
      </c>
      <c r="G932" t="inlineStr">
        <is>
          <t>PROSE</t>
        </is>
      </c>
      <c r="H932" t="inlineStr">
        <is>
          <t>III/BRL#s1: FAIL ΔNone</t>
        </is>
      </c>
      <c r="J932" t="inlineStr">
        <is>
          <t>AUTO POSTO FREITAS &amp; MAIA — Lindoso e Araujo</t>
        </is>
      </c>
      <c r="K932" t="inlineStr">
        <is>
          <t>recuperacaojudicial.squarespace.com</t>
        </is>
      </c>
      <c r="L932" s="19" t="inlineStr">
        <is>
          <t>https://recuperacaojudicial.squarespace.com/s/0700087-5120208020043-3-3hf4.pdf</t>
        </is>
      </c>
    </row>
    <row r="933">
      <c r="A933" t="inlineStr">
        <is>
          <t>2e02b137d8e6</t>
        </is>
      </c>
      <c r="B933" t="inlineStr">
        <is>
          <t>0730042-64.2017.8.02.0001</t>
        </is>
      </c>
      <c r="C933" t="inlineStr">
        <is>
          <t>AJ_LIST</t>
        </is>
      </c>
      <c r="D933" t="inlineStr">
        <is>
          <t>QUARANTINED</t>
        </is>
      </c>
      <c r="E933" t="n">
        <v>3</v>
      </c>
      <c r="F933" t="inlineStr">
        <is>
          <t>PROSE</t>
        </is>
      </c>
      <c r="G933" t="inlineStr">
        <is>
          <t>PROSE</t>
        </is>
      </c>
      <c r="H933" t="inlineStr">
        <is>
          <t>I/BRL#s5: PASS Δ0.00 · II/BRL#s6: PASS Δ0.00 · III/BRL#s7: FAIL Δ-15982.31 · IV/BRL#s8: FAIL Δ-69011.37</t>
        </is>
      </c>
      <c r="J933" t="inlineStr">
        <is>
          <t>Construtora Humberto Lobo Ltda</t>
        </is>
      </c>
      <c r="K933" t="inlineStr">
        <is>
          <t>recuperacaojudicial.squarespace.com</t>
        </is>
      </c>
      <c r="L933" s="19" t="inlineStr">
        <is>
          <t>https://recuperacaojudicial.squarespace.com/s/RJ-CHL-Publicaco-do-Edital-com-a-2-Lista-de-Credores.pdf</t>
        </is>
      </c>
    </row>
    <row r="934">
      <c r="A934" t="inlineStr">
        <is>
          <t>0425bbd7eff9</t>
        </is>
      </c>
      <c r="B934" t="inlineStr">
        <is>
          <t>0026172-78.2019.8.17.2001</t>
        </is>
      </c>
      <c r="C934" t="inlineStr">
        <is>
          <t>AJ_LIST</t>
        </is>
      </c>
      <c r="D934" t="inlineStr">
        <is>
          <t>QUARANTINED</t>
        </is>
      </c>
      <c r="E934" t="n">
        <v>15</v>
      </c>
      <c r="F934" t="inlineStr">
        <is>
          <t>TABLE</t>
        </is>
      </c>
      <c r="G934" t="inlineStr">
        <is>
          <t>TABLE_BANDS</t>
        </is>
      </c>
      <c r="H934" t="inlineStr">
        <is>
          <t>I/BRL: FAIL Δ-5401545.06 · III/BRL: FAIL Δ-43522706.49 · IV/BRL: FAIL Δ-149744.38</t>
        </is>
      </c>
      <c r="I934" t="inlineStr">
        <is>
          <t>2026-06-25</t>
        </is>
      </c>
      <c r="J934" t="inlineStr">
        <is>
          <t>e Falência</t>
        </is>
      </c>
      <c r="K934" t="inlineStr">
        <is>
          <t>diligence.adm.br</t>
        </is>
      </c>
      <c r="L934" s="19" t="inlineStr">
        <is>
          <t>https://diligence.adm.br/wp-content/plugins/download-attachments/includes/download.php?id=6266</t>
        </is>
      </c>
    </row>
    <row r="935">
      <c r="A935" t="inlineStr">
        <is>
          <t>0bc34a3e128f</t>
        </is>
      </c>
      <c r="B935" t="inlineStr">
        <is>
          <t>0720699-10.2018.8.02.0001</t>
        </is>
      </c>
      <c r="C935" t="inlineStr">
        <is>
          <t>AJ_LIST</t>
        </is>
      </c>
      <c r="D935" t="inlineStr">
        <is>
          <t>QUARANTINED</t>
        </is>
      </c>
      <c r="E935" t="n">
        <v>52</v>
      </c>
      <c r="F935" t="inlineStr">
        <is>
          <t>PROSE</t>
        </is>
      </c>
      <c r="G935" t="inlineStr">
        <is>
          <t>PROSE</t>
        </is>
      </c>
      <c r="H935" t="inlineStr">
        <is>
          <t>II/BRL#s2: FAIL Δ-1200000.00 · III/BRL#s3: FAIL Δ-7583882.50 · IV/BRL#s4: FAIL Δ-469659.62 · IV/BRL#s8: FAIL ΔNone · I/BRL: FAIL Δ-1533720.17</t>
        </is>
      </c>
      <c r="J935" t="inlineStr">
        <is>
          <t>EMPRESA</t>
        </is>
      </c>
      <c r="K935" t="inlineStr">
        <is>
          <t>recuperacaojudicial.squarespace.com</t>
        </is>
      </c>
      <c r="L935" s="19" t="inlineStr">
        <is>
          <t>https://recuperacaojudicial.squarespace.com/s/0720699-1020188020001.pdf</t>
        </is>
      </c>
    </row>
    <row r="936">
      <c r="A936" t="inlineStr">
        <is>
          <t>1f7034a9c4cd</t>
        </is>
      </c>
      <c r="B936" t="inlineStr">
        <is>
          <t>0705411-79.2017.8.02.0058</t>
        </is>
      </c>
      <c r="C936" t="inlineStr">
        <is>
          <t>AJ_LIST</t>
        </is>
      </c>
      <c r="D936" t="inlineStr">
        <is>
          <t>QUARANTINED</t>
        </is>
      </c>
      <c r="E936" t="n">
        <v>12</v>
      </c>
      <c r="F936" t="inlineStr">
        <is>
          <t>TABLE</t>
        </is>
      </c>
      <c r="G936" t="inlineStr">
        <is>
          <t>TABLE_RULED</t>
        </is>
      </c>
      <c r="H936" t="inlineStr">
        <is>
          <t>I/BRL#s1: PASS Δ0.00 · III/BRL#s2: FAIL Δ-488713.41 · IV/BRL#s3: FAIL Δ4236921.62</t>
        </is>
      </c>
      <c r="J936" t="inlineStr">
        <is>
          <t>FICS BRASIL INDÚSTRIA COMÉRICO E SERVIÇO DE INFORMÁTICA EIRELI</t>
        </is>
      </c>
      <c r="K936" t="inlineStr">
        <is>
          <t>recuperacaojudicial.squarespace.com</t>
        </is>
      </c>
      <c r="L936" s="19" t="inlineStr">
        <is>
          <t>https://recuperacaojudicial.squarespace.com/s/doc_40308947.pdf</t>
        </is>
      </c>
    </row>
    <row r="937">
      <c r="A937" t="inlineStr">
        <is>
          <t>74acccd5aa11</t>
        </is>
      </c>
      <c r="B937" t="inlineStr">
        <is>
          <t>0705411-79.2017.8.02.0058</t>
        </is>
      </c>
      <c r="C937" t="inlineStr">
        <is>
          <t>AJ_LIST</t>
        </is>
      </c>
      <c r="D937" t="inlineStr">
        <is>
          <t>QUARANTINED</t>
        </is>
      </c>
      <c r="E937" t="n">
        <v>1</v>
      </c>
      <c r="F937" t="inlineStr">
        <is>
          <t>PROSE</t>
        </is>
      </c>
      <c r="G937" t="inlineStr">
        <is>
          <t>PROSE</t>
        </is>
      </c>
      <c r="H937" t="inlineStr">
        <is>
          <t>I/BRL#s4: PASS Δ0.00 · III/BRL: FAIL Δ-1663460.60 · IV/BRL: FAIL Δ-380.00</t>
        </is>
      </c>
      <c r="J937" t="inlineStr">
        <is>
          <t>FICS Bebidas &amp; Destilados Ltda. — Lindoso e Araujo</t>
        </is>
      </c>
      <c r="K937" t="inlineStr">
        <is>
          <t>recuperacaojudicial.squarespace.com</t>
        </is>
      </c>
      <c r="L937" s="19" t="inlineStr">
        <is>
          <t>https://recuperacaojudicial.squarespace.com/s/doc_48744068-2z93.pdf</t>
        </is>
      </c>
    </row>
    <row r="938">
      <c r="A938" t="inlineStr">
        <is>
          <t>40e23db8ca6b</t>
        </is>
      </c>
      <c r="B938" t="inlineStr">
        <is>
          <t>0700707-87.2025.8.02.0043</t>
        </is>
      </c>
      <c r="C938" t="inlineStr">
        <is>
          <t>AJ_LIST</t>
        </is>
      </c>
      <c r="D938" t="inlineStr">
        <is>
          <t>QUARANTINED</t>
        </is>
      </c>
      <c r="E938" t="n">
        <v>33</v>
      </c>
      <c r="F938" t="inlineStr">
        <is>
          <t>PROSE</t>
        </is>
      </c>
      <c r="G938" t="inlineStr">
        <is>
          <t>PROSE</t>
        </is>
      </c>
      <c r="H938" t="inlineStr">
        <is>
          <t>II/BRL#s17: FAIL ΔNone · III/BRL#s18: FAIL ΔNone</t>
        </is>
      </c>
      <c r="I938" t="inlineStr">
        <is>
          <t>2025-09-24</t>
        </is>
      </c>
      <c r="J938" t="inlineStr">
        <is>
          <t>GRUPO PISEBEM — Lindoso e Araujo</t>
        </is>
      </c>
      <c r="K938" t="inlineStr">
        <is>
          <t>recuperacaojudicial.squarespace.com</t>
        </is>
      </c>
      <c r="L938" s="19" t="inlineStr">
        <is>
          <t>https://recuperacaojudicial.squarespace.com/s/0700707-8720258020043.pdf</t>
        </is>
      </c>
    </row>
    <row r="939">
      <c r="A939" t="inlineStr">
        <is>
          <t>89a28b144472</t>
        </is>
      </c>
      <c r="B939" t="inlineStr">
        <is>
          <t>0067168-21.2019.8.17.2001</t>
        </is>
      </c>
      <c r="C939" t="inlineStr">
        <is>
          <t>AJ_LIST</t>
        </is>
      </c>
      <c r="D939" t="inlineStr">
        <is>
          <t>QUARANTINED</t>
        </is>
      </c>
      <c r="E939" t="n">
        <v>6</v>
      </c>
      <c r="F939" t="inlineStr">
        <is>
          <t>PROSE</t>
        </is>
      </c>
      <c r="G939" t="inlineStr">
        <is>
          <t>PROSE</t>
        </is>
      </c>
      <c r="H939" t="inlineStr">
        <is>
          <t>I/BRL#s1: PASS ΔNone · III/BRL#s2: PASS ΔNone · IV/BRL#s3: FAIL ΔNone</t>
        </is>
      </c>
      <c r="J939" t="inlineStr">
        <is>
          <t>BETONPOXI ENGENHARIA LTDA</t>
        </is>
      </c>
      <c r="K939" t="inlineStr">
        <is>
          <t>lrflideres.com.br</t>
        </is>
      </c>
      <c r="L939" s="19" t="inlineStr">
        <is>
          <t>https://lrflideres.com.br/wp-content/plugins/download-attachments/includes/download.php?id=3753</t>
        </is>
      </c>
    </row>
    <row r="940">
      <c r="A940" t="inlineStr">
        <is>
          <t>fde51df7a044</t>
        </is>
      </c>
      <c r="B940" t="inlineStr">
        <is>
          <t>0705602-96.2020.8.02.0001</t>
        </is>
      </c>
      <c r="C940" t="inlineStr">
        <is>
          <t>AJ_LIST</t>
        </is>
      </c>
      <c r="D940" t="inlineStr">
        <is>
          <t>QUARANTINED</t>
        </is>
      </c>
      <c r="E940" t="n">
        <v>2</v>
      </c>
      <c r="F940" t="inlineStr">
        <is>
          <t>PROSE</t>
        </is>
      </c>
      <c r="G940" t="inlineStr">
        <is>
          <t>PROSE</t>
        </is>
      </c>
      <c r="H940" t="inlineStr">
        <is>
          <t>IV/BRL#s3: FAIL ΔNone · II/BRL#s4: PASS ΔNone · III/BRL#s5: PASS ΔNone · IV/BRL#s6: PASS ΔNone · III/BRL#s8: PASS ΔNone</t>
        </is>
      </c>
      <c r="J940" t="inlineStr">
        <is>
          <t>JC Magalhães (Tecampo) e Biocampo — Lindoso e Araujo</t>
        </is>
      </c>
      <c r="K940" t="inlineStr">
        <is>
          <t>recuperacaojudicial.squarespace.com</t>
        </is>
      </c>
      <c r="L940" s="19" t="inlineStr">
        <is>
          <t>https://recuperacaojudicial.squarespace.com/s/RJJCMagalhesEdital2alistapublicadomaio2021.pdf</t>
        </is>
      </c>
    </row>
    <row r="941">
      <c r="A941" t="inlineStr">
        <is>
          <t>dab480ae5541</t>
        </is>
      </c>
      <c r="B941" t="inlineStr">
        <is>
          <t>0160454-48.2022.8.17.2001</t>
        </is>
      </c>
      <c r="C941" t="inlineStr">
        <is>
          <t>AJ_LIST</t>
        </is>
      </c>
      <c r="D941" t="inlineStr">
        <is>
          <t>QUARANTINED</t>
        </is>
      </c>
      <c r="E941" t="n">
        <v>34</v>
      </c>
      <c r="F941" t="inlineStr">
        <is>
          <t>TABLE</t>
        </is>
      </c>
      <c r="G941" t="inlineStr">
        <is>
          <t>TABLE_RULED</t>
        </is>
      </c>
      <c r="H941" t="inlineStr">
        <is>
          <t>III/BRL#s2: FAIL Δ16030410.25 · III/BRL#s3: FAIL Δ-150116.67 · III/BRL#s4: FAIL Δ113901.85 · III/BRL#s5: FAIL Δ35474.51 · III/BRL#s6: FAIL Δ-24903.99 · III/BRL#s7: FAIL Δ178375.51 · III/BRL#s8: FAIL Δ181136.36 · III/BRL#s9: FAIL Δ-5479.57 · III/BRL#s10: FAIL Δ96350.22 · III/BRL#s11: FAIL Δ40052.51 · III/BRL#s12: FAIL Δ17919.67 · III/BRL#s13: FAIL Δ-2213.92</t>
        </is>
      </c>
      <c r="I941" t="inlineStr">
        <is>
          <t>2024-04-18</t>
        </is>
      </c>
      <c r="J941" t="inlineStr">
        <is>
          <t>E FALENCIA</t>
        </is>
      </c>
      <c r="K941" t="inlineStr">
        <is>
          <t>diligence.adm.br</t>
        </is>
      </c>
      <c r="L941" s="19" t="inlineStr">
        <is>
          <t>https://diligence.adm.br/wp-content/plugins/download-attachments/includes/download.php?id=4096</t>
        </is>
      </c>
    </row>
    <row r="942">
      <c r="A942" t="inlineStr">
        <is>
          <t>071c6f7fc88c</t>
        </is>
      </c>
      <c r="B942" t="inlineStr">
        <is>
          <t>5006131-09.2023.8.24.0113</t>
        </is>
      </c>
      <c r="C942" t="inlineStr">
        <is>
          <t>AJ_LIST</t>
        </is>
      </c>
      <c r="D942" t="inlineStr">
        <is>
          <t>QUARANTINED</t>
        </is>
      </c>
      <c r="E942" t="n">
        <v>5</v>
      </c>
      <c r="F942" t="inlineStr">
        <is>
          <t>TABLE</t>
        </is>
      </c>
      <c r="G942" t="inlineStr">
        <is>
          <t>TABLE_RULED</t>
        </is>
      </c>
      <c r="H942" t="inlineStr">
        <is>
          <t>IV/BRL#s6: FAIL Δ7418533.93 · I/BRL: FAIL Δ-168579.27 · III/BRL: FAIL Δ-7249954.66</t>
        </is>
      </c>
      <c r="J942" t="inlineStr">
        <is>
          <t>MEGASAN HIDRAULICA LTDA – Sgrott Administradora Judicial e Consultoria Empresarial</t>
        </is>
      </c>
      <c r="K942" t="inlineStr">
        <is>
          <t>administradorajudicialgs.com.br</t>
        </is>
      </c>
      <c r="L942" s="19" t="inlineStr">
        <is>
          <t>https://administradorajudicialgs.com.br/wp-content/uploads/2023/08/relacao-de-credores-megasan.pdf</t>
        </is>
      </c>
    </row>
    <row r="943">
      <c r="A943" t="inlineStr">
        <is>
          <t>370b6af59419</t>
        </is>
      </c>
      <c r="B943" t="inlineStr">
        <is>
          <t>5005954-36.2023.8.24.0019</t>
        </is>
      </c>
      <c r="C943" t="inlineStr">
        <is>
          <t>AJ_LIST</t>
        </is>
      </c>
      <c r="D943" t="inlineStr">
        <is>
          <t>QUARANTINED</t>
        </is>
      </c>
      <c r="E943" t="n">
        <v>6</v>
      </c>
      <c r="F943" t="inlineStr">
        <is>
          <t>TABLE</t>
        </is>
      </c>
      <c r="G943" t="inlineStr">
        <is>
          <t>TABLE_RULED</t>
        </is>
      </c>
      <c r="H943" t="inlineStr">
        <is>
          <t>IV/BRL#s8: FAIL Δ40341216.53 · I/BRL: FAIL Δ-3192535.94 · II/BRL: FAIL Δ-16168665.34 · III/BRL: FAIL Δ-20980015.25</t>
        </is>
      </c>
      <c r="J943" t="inlineStr">
        <is>
          <t>GILIOLI – Sgrott Administradora Judicial e Consultoria Empresarial</t>
        </is>
      </c>
      <c r="K943" t="inlineStr">
        <is>
          <t>administradorajudicialgs.com.br</t>
        </is>
      </c>
      <c r="L943" s="19" t="inlineStr">
        <is>
          <t>https://administradorajudicialgs.com.br/wp-content/uploads/2023/08/relacao-de-credores-art-7.pdf</t>
        </is>
      </c>
    </row>
    <row r="944">
      <c r="A944" t="inlineStr">
        <is>
          <t>a8bed2db03df</t>
        </is>
      </c>
      <c r="B944" t="inlineStr">
        <is>
          <t>0160454-48.2022.8.17.2001</t>
        </is>
      </c>
      <c r="C944" t="inlineStr">
        <is>
          <t>AJ_LIST</t>
        </is>
      </c>
      <c r="D944" t="inlineStr">
        <is>
          <t>QUARANTINED</t>
        </is>
      </c>
      <c r="E944" t="n">
        <v>33</v>
      </c>
      <c r="F944" t="inlineStr">
        <is>
          <t>TABLE</t>
        </is>
      </c>
      <c r="G944" t="inlineStr">
        <is>
          <t>TABLE_RULED</t>
        </is>
      </c>
      <c r="H944" t="inlineStr">
        <is>
          <t>III/BRL#s2: FAIL Δ15940103.15 · III/BRL#s3: FAIL Δ113901.85 · III/BRL#s4: FAIL Δ35474.51 · III/BRL#s5: FAIL Δ-24903.99 · III/BRL#s6: FAIL Δ178375.51 · III/BRL#s7: FAIL Δ181136.36 · III/BRL#s8: FAIL Δ-5479.57 · III/BRL#s9: FAIL Δ96350.22 · III/BRL#s10: FAIL Δ40052.51 · III/BRL#s11: FAIL Δ17919.67 · III/BRL#s12: FAIL Δ-2213.92</t>
        </is>
      </c>
      <c r="I944" t="inlineStr">
        <is>
          <t>2024-04-18</t>
        </is>
      </c>
      <c r="J944" t="inlineStr">
        <is>
          <t>E FALENCIA</t>
        </is>
      </c>
      <c r="K944" t="inlineStr">
        <is>
          <t>diligence.adm.br</t>
        </is>
      </c>
      <c r="L944" s="19" t="inlineStr">
        <is>
          <t>https://diligence.adm.br/wp-content/plugins/download-attachments/includes/download.php?id=4095</t>
        </is>
      </c>
    </row>
    <row r="945">
      <c r="A945" t="inlineStr">
        <is>
          <t>cb9119cb9f36</t>
        </is>
      </c>
      <c r="B945" t="inlineStr">
        <is>
          <t>0700296-64.2018.8.02.0051</t>
        </is>
      </c>
      <c r="C945" t="inlineStr">
        <is>
          <t>AJ_LIST</t>
        </is>
      </c>
      <c r="D945" t="inlineStr">
        <is>
          <t>QUARANTINED</t>
        </is>
      </c>
      <c r="E945" t="n">
        <v>29</v>
      </c>
      <c r="F945" t="inlineStr">
        <is>
          <t>TABLE</t>
        </is>
      </c>
      <c r="G945" t="inlineStr">
        <is>
          <t>TABLE_BANDS</t>
        </is>
      </c>
      <c r="H945" t="inlineStr">
        <is>
          <t>IV/BRL#s3: FAIL Δ1243377.86</t>
        </is>
      </c>
      <c r="J945" t="inlineStr">
        <is>
          <t>Usina Sa</t>
        </is>
      </c>
      <c r="K945" t="inlineStr">
        <is>
          <t>recuperacaojudicial.squarespace.com</t>
        </is>
      </c>
      <c r="L945" s="19" t="inlineStr">
        <is>
          <t>https://recuperacaojudicial.squarespace.com/s/Edital-da-1a-Lista-Publicado.pdf</t>
        </is>
      </c>
    </row>
    <row r="946">
      <c r="A946" t="inlineStr">
        <is>
          <t>94970a210dbf</t>
        </is>
      </c>
      <c r="B946" t="inlineStr">
        <is>
          <t>0160454-48.2022.8.17.2001</t>
        </is>
      </c>
      <c r="C946" t="inlineStr">
        <is>
          <t>AJ_LIST</t>
        </is>
      </c>
      <c r="D946" t="inlineStr">
        <is>
          <t>QUARANTINED</t>
        </is>
      </c>
      <c r="E946" t="n">
        <v>36</v>
      </c>
      <c r="F946" t="inlineStr">
        <is>
          <t>TABLE</t>
        </is>
      </c>
      <c r="G946" t="inlineStr">
        <is>
          <t>TABLE_RULED</t>
        </is>
      </c>
      <c r="H946" t="inlineStr">
        <is>
          <t>III/BRL#s2: FAIL Δ625072.19 · III/BRL#s3: FAIL Δ1986679.51 · III/BRL#s4: FAIL Δ382844.56 · III/BRL#s5: FAIL Δ27119.89 · III/BRL#s6: FAIL Δ1193063.07 · III/BRL#s7: FAIL Δ-102894.29 · III/BRL#s8: FAIL Δ-15810168.43 · III/BRL#s9: FAIL Δ651772.69 · III/BRL#s10: FAIL Δ2785531.43 · III/BRL#s11: FAIL Δ5964818.19 · III/BRL#s12: FAIL Δ303662.76 · III/BRL#s13: FAIL Δ204823.54 · III/BRL#s14: FAIL Δ19815349.02 · III/BRL#s15: FAIL Δ-336861.85 · III/BRL#s16: FAIL Δ5104593.04 · III/BRL#s17: FAIL Δ4186457.85 · III/BRL#s18: FAIL Δ131519.27 · III/BRL#s19: FAIL Δ249009.35 · III/BRL#s20: FAIL Δ425355.82 · III/BRL#s21: FAIL Δ34162.24</t>
        </is>
      </c>
      <c r="I946" t="inlineStr">
        <is>
          <t>2024-04-21</t>
        </is>
      </c>
      <c r="J946" t="inlineStr">
        <is>
          <t>E FALENCIA</t>
        </is>
      </c>
      <c r="K946" t="inlineStr">
        <is>
          <t>diligence.adm.br</t>
        </is>
      </c>
      <c r="L946" s="19" t="inlineStr">
        <is>
          <t>https://diligence.adm.br/wp-content/plugins/download-attachments/includes/download.php?id=4098</t>
        </is>
      </c>
    </row>
    <row r="947">
      <c r="A947" t="inlineStr">
        <is>
          <t>e1d135240626</t>
        </is>
      </c>
      <c r="B947" t="inlineStr">
        <is>
          <t>0300301-76.2018.8.24.0072</t>
        </is>
      </c>
      <c r="C947" t="inlineStr">
        <is>
          <t>AJ_LIST</t>
        </is>
      </c>
      <c r="D947" t="inlineStr">
        <is>
          <t>QUARANTINED</t>
        </is>
      </c>
      <c r="E947" t="n">
        <v>2</v>
      </c>
      <c r="F947" t="inlineStr">
        <is>
          <t>TABLE</t>
        </is>
      </c>
      <c r="G947" t="inlineStr">
        <is>
          <t>TABLE_RULED</t>
        </is>
      </c>
      <c r="H947" t="inlineStr">
        <is>
          <t>IV/BRL#s8: FAIL Δ4648397.31 · III/BRL: FAIL Δ-4082632.01 · I/BRL: FAIL Δ-565765.30</t>
        </is>
      </c>
      <c r="J947" t="inlineStr">
        <is>
          <t>TRANSPORTADORA TELLES LTDA – Sgrott Administradora Judicial e Consultoria Empresarial</t>
        </is>
      </c>
      <c r="K947" t="inlineStr">
        <is>
          <t>administradorajudicialgs.com.br</t>
        </is>
      </c>
      <c r="L947" s="19" t="inlineStr">
        <is>
          <t>https://administradorajudicialgs.com.br/wp-content/uploads/2023/08/advogados-sgrott-relacao-de-credores-do-administrador-judicial.pdf</t>
        </is>
      </c>
    </row>
    <row r="948">
      <c r="A948" t="inlineStr">
        <is>
          <t>677be5783c06</t>
        </is>
      </c>
      <c r="B948" t="inlineStr">
        <is>
          <t>0011283-80.2023.8.17.2001</t>
        </is>
      </c>
      <c r="C948" t="inlineStr">
        <is>
          <t>AJ_LIST</t>
        </is>
      </c>
      <c r="D948" t="inlineStr">
        <is>
          <t>QUARANTINED</t>
        </is>
      </c>
      <c r="E948" t="n">
        <v>15</v>
      </c>
      <c r="F948" t="inlineStr">
        <is>
          <t>PROSE</t>
        </is>
      </c>
      <c r="G948" t="inlineStr">
        <is>
          <t>PROSE</t>
        </is>
      </c>
      <c r="H948" t="inlineStr">
        <is>
          <t>I/BRL#s4: FAIL Δ-16263.25 · III/BRL#s5: PASS Δ0.00 · IV/BRL#s6: FAIL Δ-1400.00</t>
        </is>
      </c>
      <c r="I948" t="inlineStr">
        <is>
          <t>2023-11-27</t>
        </is>
      </c>
      <c r="J948" t="inlineStr">
        <is>
          <t>INTERESSA</t>
        </is>
      </c>
      <c r="K948" t="inlineStr">
        <is>
          <t>lrflideres.com.br</t>
        </is>
      </c>
      <c r="L948" s="19" t="inlineStr">
        <is>
          <t>https://lrflideres.com.br/wp-content/plugins/download-attachments/includes/download.php?id=5589</t>
        </is>
      </c>
    </row>
    <row r="949">
      <c r="A949" t="inlineStr">
        <is>
          <t>bca4f361820e</t>
        </is>
      </c>
      <c r="B949" t="inlineStr">
        <is>
          <t>0000890-94.2021.8.17.3350</t>
        </is>
      </c>
      <c r="C949" t="inlineStr">
        <is>
          <t>AJ_LIST</t>
        </is>
      </c>
      <c r="D949" t="inlineStr">
        <is>
          <t>QUARANTINED</t>
        </is>
      </c>
      <c r="E949" t="n">
        <v>6</v>
      </c>
      <c r="F949" t="inlineStr">
        <is>
          <t>PROSE</t>
        </is>
      </c>
      <c r="G949" t="inlineStr">
        <is>
          <t>PROSE</t>
        </is>
      </c>
      <c r="H949" t="inlineStr">
        <is>
          <t>I/BRL#s1: FAIL Δ-3435.72 · III/BRL#s2: FAIL Δ-13066.67 · IV/BRL#s3: FAIL Δ-3610.00</t>
        </is>
      </c>
      <c r="I949" t="inlineStr">
        <is>
          <t>2021-09-17</t>
        </is>
      </c>
      <c r="J949" t="inlineStr">
        <is>
          <t>e Falência</t>
        </is>
      </c>
      <c r="K949" t="inlineStr">
        <is>
          <t>lrflideres.com.br</t>
        </is>
      </c>
      <c r="L949" s="19" t="inlineStr">
        <is>
          <t>https://lrflideres.com.br/wp-content/plugins/download-attachments/includes/download.php?id=3517</t>
        </is>
      </c>
    </row>
    <row r="950">
      <c r="A950" t="inlineStr">
        <is>
          <t>9d5f782a8aa6</t>
        </is>
      </c>
      <c r="B950" t="inlineStr">
        <is>
          <t>0315021-46.2018.8.24.0008</t>
        </is>
      </c>
      <c r="C950" t="inlineStr">
        <is>
          <t>AJ_LIST</t>
        </is>
      </c>
      <c r="D950" t="inlineStr">
        <is>
          <t>QUARANTINED</t>
        </is>
      </c>
      <c r="E950" t="n">
        <v>14</v>
      </c>
      <c r="F950" t="inlineStr">
        <is>
          <t>TABLE</t>
        </is>
      </c>
      <c r="G950" t="inlineStr">
        <is>
          <t>TABLE_RULED</t>
        </is>
      </c>
      <c r="H950" t="inlineStr">
        <is>
          <t>IV/BRL#s9: FAIL Δ4156117.63 · I/BRL: FAIL Δ-922192.61 · II/BRL: FAIL Δ-802661.25 · III/BRL: FAIL Δ-2431263.77</t>
        </is>
      </c>
      <c r="J950" t="inlineStr">
        <is>
          <t>BLUFIX INDÚSTRIA E COMÉRCIO LTDA – Sgrott Administradora Judicial e Consultoria Empresarial</t>
        </is>
      </c>
      <c r="K950" t="inlineStr">
        <is>
          <t>administradorajudicialgs.com.br</t>
        </is>
      </c>
      <c r="L950" s="19" t="inlineStr">
        <is>
          <t>https://administradorajudicialgs.com.br/wp-content/uploads/2023/08/relacao-de-credores-adm-jud.pdf</t>
        </is>
      </c>
    </row>
    <row r="951">
      <c r="A951" t="inlineStr">
        <is>
          <t>4e1fcf7e9f9f</t>
        </is>
      </c>
      <c r="B951" t="inlineStr">
        <is>
          <t>0029772-63.2026.8.17.2001</t>
        </is>
      </c>
      <c r="C951" t="inlineStr">
        <is>
          <t>AJ_LIST</t>
        </is>
      </c>
      <c r="D951" t="inlineStr">
        <is>
          <t>QUARANTINED</t>
        </is>
      </c>
      <c r="E951" t="n">
        <v>86</v>
      </c>
      <c r="F951" t="inlineStr">
        <is>
          <t>PROSE</t>
        </is>
      </c>
      <c r="G951" t="inlineStr">
        <is>
          <t>PROSE</t>
        </is>
      </c>
      <c r="H951" t="inlineStr">
        <is>
          <t>I/BRL#s65: FAIL ΔNone · I/BRL#s66: FAIL ΔNone · I/BRL#s67: FAIL ΔNone · I/BRL#s68: FAIL ΔNone · I/BRL#s69: FAIL ΔNone · I/BRL#s70: FAIL ΔNone · I/BRL#s71: FAIL ΔNone · I/BRL#s72: FAIL ΔNone · I/BRL#s73: FAIL ΔNone · I/BRL#s74: FAIL ΔNone · I/BRL#s75: FAIL ΔNone · I/BRL#s76: FAIL ΔNone · I/BRL#s77: FAIL ΔNone · I/BRL#s78: FAIL ΔNone · I/BRL#s79: FAIL ΔNone · I/BRL#s80: FAIL ΔNone · I/BRL#s81: FAIL ΔNone · I/BRL#s82: FAIL ΔNone · I/BRL#s83: FAIL ΔNone · I/BRL#s84: FAIL ΔNone · I/BRL#s85: FAIL ΔNone · I/BRL#s86: FAIL ΔNone · I/BRL#s87: FAIL ΔNone · I/BRL#s88: FAIL ΔNone · I/BRL#s89: FAIL ΔNone · I/BRL#s90: FAIL ΔNone · I/BRL#s91: FAIL ΔNone · I/BRL#s92: FAIL ΔNone · I/BRL#s93: FAIL ΔNone · I/BRL#s94: FAIL ΔNone · I/BRL#s95: FAIL ΔNone · I/BRL#s96: FAIL ΔNone · I/BRL#s97: FAIL ΔNone · I/BRL#s98: FAIL ΔNone · I/BRL#s99: FAIL ΔNone · I/BRL#s100: FAIL ΔNone · I/BRL#s101: FAIL ΔNone · I/BRL#s102: FAIL ΔNone · I/BRL#s103: FAIL ΔNone · I/BRL#s104: FAIL ΔNone · I/BRL#s105: FAIL ΔNone · I/BRL#s106: FAIL ΔNone · I/BRL#s107: FAIL ΔNone · III/BRL#s108: FAIL ΔNone · IV/BRL#s109: FAIL ΔNone</t>
        </is>
      </c>
      <c r="I951" t="inlineStr">
        <is>
          <t>2026-09-03</t>
        </is>
      </c>
      <c r="J951" t="inlineStr">
        <is>
          <t>B1 - VIGILÂNCIA</t>
        </is>
      </c>
      <c r="K951" t="inlineStr">
        <is>
          <t>recuperacaojudicial.squarespace.com</t>
        </is>
      </c>
      <c r="L951" s="19" t="inlineStr">
        <is>
          <t>https://recuperacaojudicial.squarespace.com/s/2-LISTA-DE-CREDORES-p65c.pdf</t>
        </is>
      </c>
    </row>
    <row r="952">
      <c r="A952" t="inlineStr">
        <is>
          <t>f6b63453b37b</t>
        </is>
      </c>
      <c r="B952" t="inlineStr">
        <is>
          <t>0000890-94.2021.8.17.3350</t>
        </is>
      </c>
      <c r="C952" t="inlineStr">
        <is>
          <t>AJ_LIST</t>
        </is>
      </c>
      <c r="D952" t="inlineStr">
        <is>
          <t>QUARANTINED</t>
        </is>
      </c>
      <c r="E952" t="n">
        <v>11</v>
      </c>
      <c r="F952" t="inlineStr">
        <is>
          <t>TABLE</t>
        </is>
      </c>
      <c r="G952" t="inlineStr">
        <is>
          <t>TABLE_BANDS</t>
        </is>
      </c>
      <c r="H952" t="inlineStr">
        <is>
          <t>I/BRL: FAIL Δ-4709437.29 · III/BRL: FAIL Δ-5396961.18 · IV/BRL: FAIL Δ17538188.07</t>
        </is>
      </c>
      <c r="I952" t="inlineStr">
        <is>
          <t>2021-10-05</t>
        </is>
      </c>
      <c r="J952" t="inlineStr">
        <is>
          <t>e Falência</t>
        </is>
      </c>
      <c r="K952" t="inlineStr">
        <is>
          <t>lrflideres.com.br</t>
        </is>
      </c>
      <c r="L952" s="19" t="inlineStr">
        <is>
          <t>https://lrflideres.com.br/wp-content/plugins/download-attachments/includes/download.php?id=3720</t>
        </is>
      </c>
    </row>
    <row r="953">
      <c r="A953" t="inlineStr">
        <is>
          <t>558a8622bd6e</t>
        </is>
      </c>
      <c r="B953" t="inlineStr">
        <is>
          <t>0000890-94.2021.8.17.3350</t>
        </is>
      </c>
      <c r="C953" t="inlineStr">
        <is>
          <t>AJ_LIST</t>
        </is>
      </c>
      <c r="D953" t="inlineStr">
        <is>
          <t>QUARANTINED</t>
        </is>
      </c>
      <c r="E953" t="n">
        <v>5</v>
      </c>
      <c r="F953" t="inlineStr">
        <is>
          <t>PROSE</t>
        </is>
      </c>
      <c r="G953" t="inlineStr">
        <is>
          <t>PROSE</t>
        </is>
      </c>
      <c r="H953" t="inlineStr">
        <is>
          <t>I/BRL#s1: PASS Δ0.00 · III/BRL#s2: PASS Δ0.00 · IV/BRL#s3: FAIL Δ-3610.00</t>
        </is>
      </c>
      <c r="I953" t="inlineStr">
        <is>
          <t>2021-10-26</t>
        </is>
      </c>
      <c r="J953" t="inlineStr">
        <is>
          <t>CONSTRUTORA METRON LTDA – LRF Líderes em Recuperação Judicial e Falência</t>
        </is>
      </c>
      <c r="K953" t="inlineStr">
        <is>
          <t>lrflideres.com.br</t>
        </is>
      </c>
      <c r="L953" s="19" t="inlineStr">
        <is>
          <t>https://lrflideres.com.br/wp-content/plugins/download-attachments/includes/download.php?id=3743</t>
        </is>
      </c>
    </row>
    <row r="954">
      <c r="A954" t="inlineStr">
        <is>
          <t>63102d7a75fd</t>
        </is>
      </c>
      <c r="B954" t="inlineStr">
        <is>
          <t>0300841-02.2018.8.24.0048</t>
        </is>
      </c>
      <c r="C954" t="inlineStr">
        <is>
          <t>AJ_LIST</t>
        </is>
      </c>
      <c r="D954" t="inlineStr">
        <is>
          <t>QUARANTINED</t>
        </is>
      </c>
      <c r="E954" t="n">
        <v>7</v>
      </c>
      <c r="F954" t="inlineStr">
        <is>
          <t>TABLE</t>
        </is>
      </c>
      <c r="G954" t="inlineStr">
        <is>
          <t>TABLE_RULED</t>
        </is>
      </c>
      <c r="H954" t="inlineStr">
        <is>
          <t>I/BRL: FAIL Δ-1163394.53 · II/BRL: FAIL Δ-42854469.61 · III/BRL: FAIL Δ-39121230.64</t>
        </is>
      </c>
      <c r="J954" t="inlineStr">
        <is>
          <t>ARXO INDUSTRIAL DO BRASIL LTDA – Sgrott Administradora Judicial e Consultoria Empresarial</t>
        </is>
      </c>
      <c r="K954" t="inlineStr">
        <is>
          <t>administradorajudicialgs.com.br</t>
        </is>
      </c>
      <c r="L954" s="19" t="inlineStr">
        <is>
          <t>https://administradorajudicialgs.com.br/wp-content/uploads/2023/08/doc-05-edital-de-publicacao-relacao-de-credores-adm-judicial.pdf</t>
        </is>
      </c>
    </row>
    <row r="955">
      <c r="A955" t="inlineStr">
        <is>
          <t>e3838e8d98db</t>
        </is>
      </c>
      <c r="B955" t="inlineStr">
        <is>
          <t>0300852-53.2018.8.24.0073</t>
        </is>
      </c>
      <c r="C955" t="inlineStr">
        <is>
          <t>AJ_LIST</t>
        </is>
      </c>
      <c r="D955" t="inlineStr">
        <is>
          <t>QUARANTINED</t>
        </is>
      </c>
      <c r="E955" t="n">
        <v>6</v>
      </c>
      <c r="F955" t="inlineStr">
        <is>
          <t>TABLE</t>
        </is>
      </c>
      <c r="G955" t="inlineStr">
        <is>
          <t>TABLE_RULED</t>
        </is>
      </c>
      <c r="H955" t="inlineStr">
        <is>
          <t>IV/BRL#s7: FAIL Δ13857791.09 · I/BRL: FAIL Δ-73944.01 · II/BRL: FAIL Δ-10347266.10 · III/BRL: FAIL Δ-3436580.98</t>
        </is>
      </c>
      <c r="J955" t="inlineStr">
        <is>
          <t>BLUE HILL HOTEL – GRUPO REUTER – Sgrott Administradora Judicial e Consultoria Empresarial</t>
        </is>
      </c>
      <c r="K955" t="inlineStr">
        <is>
          <t>administradorajudicialgs.com.br</t>
        </is>
      </c>
      <c r="L955" s="19" t="inlineStr">
        <is>
          <t>https://administradorajudicialgs.com.br/wp-content/uploads/2023/08/doc-09-relacao-de-credores-do-adminsitrador-judicial.pdf</t>
        </is>
      </c>
    </row>
    <row r="956">
      <c r="A956" t="inlineStr">
        <is>
          <t>2d7b50466aa0</t>
        </is>
      </c>
      <c r="B956" t="inlineStr">
        <is>
          <t>0065015-78.2020.8.17.2001</t>
        </is>
      </c>
      <c r="C956" t="inlineStr">
        <is>
          <t>AJ_LIST</t>
        </is>
      </c>
      <c r="D956" t="inlineStr">
        <is>
          <t>QUARANTINED</t>
        </is>
      </c>
      <c r="E956" t="n">
        <v>26</v>
      </c>
      <c r="F956" t="inlineStr">
        <is>
          <t>PROSE</t>
        </is>
      </c>
      <c r="G956" t="inlineStr">
        <is>
          <t>PROSE</t>
        </is>
      </c>
      <c r="H956" t="inlineStr">
        <is>
          <t>III/BRL#s1: FAIL ΔNone · IV/BRL#s2: FAIL ΔNone</t>
        </is>
      </c>
      <c r="I956" t="inlineStr">
        <is>
          <t>2021-08-31</t>
        </is>
      </c>
      <c r="J956" t="inlineStr">
        <is>
          <t>e Falência</t>
        </is>
      </c>
      <c r="K956" t="inlineStr">
        <is>
          <t>recuperacaojudicial.squarespace.com</t>
        </is>
      </c>
      <c r="L956" s="19" t="inlineStr">
        <is>
          <t>https://recuperacaojudicial.squarespace.com/s/RJ-Comercial-Mercantil-de-Cimentos-Peticao-juntada-2a-Lista-de-Credores-agosto-2021-1.pdf</t>
        </is>
      </c>
    </row>
    <row r="957">
      <c r="A957" t="inlineStr">
        <is>
          <t>267ea9a584ce</t>
        </is>
      </c>
      <c r="B957" t="inlineStr">
        <is>
          <t>0300411-14.2014.8.24.0073</t>
        </is>
      </c>
      <c r="C957" t="inlineStr">
        <is>
          <t>AJ_LIST</t>
        </is>
      </c>
      <c r="D957" t="inlineStr">
        <is>
          <t>QUARANTINED</t>
        </is>
      </c>
      <c r="E957" t="n">
        <v>3</v>
      </c>
      <c r="F957" t="inlineStr">
        <is>
          <t>TABLE</t>
        </is>
      </c>
      <c r="G957" t="inlineStr">
        <is>
          <t>TABLE_RULED</t>
        </is>
      </c>
      <c r="H957" t="inlineStr">
        <is>
          <t>I/BRL: FAIL Δ-73944.01 · II/BRL: FAIL Δ-10347266.10 · III/BRL: FAIL Δ-3436580.98</t>
        </is>
      </c>
      <c r="I957" t="inlineStr">
        <is>
          <t>2018-11-01</t>
        </is>
      </c>
      <c r="J957" t="inlineStr">
        <is>
          <t>Gustavo Becker Menegatti apresentado, uma vez que, inicia</t>
        </is>
      </c>
      <c r="K957" t="inlineStr">
        <is>
          <t>administradorajudicialgs.com.br</t>
        </is>
      </c>
      <c r="L957" s="19" t="inlineStr">
        <is>
          <t>https://administradorajudicialgs.com.br/wp-content/uploads/2023/08/doc-10-edital-de-publicacao-da-relacao-de-credores-do-adm-judicial-e-plano-de-recuperacao.pdf</t>
        </is>
      </c>
    </row>
    <row r="958">
      <c r="A958" t="inlineStr">
        <is>
          <t>58415096d122</t>
        </is>
      </c>
      <c r="B958" t="inlineStr">
        <is>
          <t>0004686-90.2026.8.17.2001</t>
        </is>
      </c>
      <c r="C958" t="inlineStr">
        <is>
          <t>AJ_LIST</t>
        </is>
      </c>
      <c r="D958" t="inlineStr">
        <is>
          <t>QUARANTINED</t>
        </is>
      </c>
      <c r="E958" t="n">
        <v>4</v>
      </c>
      <c r="F958" t="inlineStr">
        <is>
          <t>PROSE</t>
        </is>
      </c>
      <c r="G958" t="inlineStr">
        <is>
          <t>PROSE</t>
        </is>
      </c>
      <c r="H958" t="inlineStr">
        <is>
          <t>I/BRL#s1: FAIL Δ-8508.13 · III/BRL#s2: FAIL Δ-7832170.61 · IV/BRL#s3: FAIL ΔNone</t>
        </is>
      </c>
      <c r="I958" t="inlineStr">
        <is>
          <t>2026-06-17</t>
        </is>
      </c>
      <c r="J958" t="inlineStr">
        <is>
          <t>proposta pela VOLTSWATTS HOLDING S.A</t>
        </is>
      </c>
      <c r="K958" t="inlineStr">
        <is>
          <t>diligence.adm.br</t>
        </is>
      </c>
      <c r="L958" s="19" t="inlineStr">
        <is>
          <t>https://diligence.adm.br/wp-content/plugins/download-attachments/includes/download.php?id=6256</t>
        </is>
      </c>
    </row>
    <row r="959">
      <c r="A959" t="inlineStr">
        <is>
          <t>7832cb3b4a46</t>
        </is>
      </c>
      <c r="B959" t="inlineStr">
        <is>
          <t>0064535-08.2017.8.17.2001</t>
        </is>
      </c>
      <c r="C959" t="inlineStr">
        <is>
          <t>AJ_LIST</t>
        </is>
      </c>
      <c r="D959" t="inlineStr">
        <is>
          <t>QUARANTINED</t>
        </is>
      </c>
      <c r="E959" t="n">
        <v>2</v>
      </c>
      <c r="F959" t="inlineStr">
        <is>
          <t>PROSE</t>
        </is>
      </c>
      <c r="G959" t="inlineStr">
        <is>
          <t>PROSE</t>
        </is>
      </c>
      <c r="H959" t="inlineStr">
        <is>
          <t>IV/BRL#s2: FAIL ΔNone · III/BRL#s3: FAIL ΔNone · IV/BRL#s4: PASS ΔNone</t>
        </is>
      </c>
      <c r="J959" t="inlineStr">
        <is>
          <t>LINDOSO E ARAUJO CONSULTORIA EMPRESA</t>
        </is>
      </c>
      <c r="K959" t="inlineStr">
        <is>
          <t>recuperacaojudicial.squarespace.com</t>
        </is>
      </c>
      <c r="L959" s="19" t="inlineStr">
        <is>
          <t>https://recuperacaojudicial.squarespace.com/s/5-RJCMCEditalda2ListadeCredoresnovembro2021.pdf</t>
        </is>
      </c>
    </row>
    <row r="960">
      <c r="A960" t="inlineStr">
        <is>
          <t>696032dd196f</t>
        </is>
      </c>
      <c r="B960" t="inlineStr">
        <is>
          <t>0011283-80.2023.8.17.2001</t>
        </is>
      </c>
      <c r="C960" t="inlineStr">
        <is>
          <t>AJ_LIST</t>
        </is>
      </c>
      <c r="D960" t="inlineStr">
        <is>
          <t>QUARANTINED</t>
        </is>
      </c>
      <c r="E960" t="n">
        <v>270</v>
      </c>
      <c r="F960" t="inlineStr">
        <is>
          <t>TABLE</t>
        </is>
      </c>
      <c r="G960" t="inlineStr">
        <is>
          <t>TABLE_BANDS</t>
        </is>
      </c>
      <c r="H960" t="inlineStr">
        <is>
          <t>IV/BRL#s3: FAIL Δ-33513941.02 · IV/BRL#s8: FAIL Δ-35791343.49</t>
        </is>
      </c>
      <c r="I960" t="inlineStr">
        <is>
          <t>2023-03-23</t>
        </is>
      </c>
      <c r="J960" t="inlineStr">
        <is>
          <t>Náutico - Página — Lindoso e Araujo</t>
        </is>
      </c>
      <c r="K960" t="inlineStr">
        <is>
          <t>recuperacaojudicial.squarespace.com</t>
        </is>
      </c>
      <c r="L960" s="19" t="inlineStr">
        <is>
          <t>https://recuperacaojudicial.squarespace.com/s/05-RJ-Nautico-1-Lista-de-Credores-marco-2023.pdf</t>
        </is>
      </c>
    </row>
    <row r="961">
      <c r="A961" t="inlineStr">
        <is>
          <t>d8c4a0ed4700</t>
        </is>
      </c>
      <c r="B961" t="inlineStr">
        <is>
          <t>0300754-52.2017.8.24.0025</t>
        </is>
      </c>
      <c r="C961" t="inlineStr">
        <is>
          <t>AJ_LIST</t>
        </is>
      </c>
      <c r="D961" t="inlineStr">
        <is>
          <t>QUARANTINED</t>
        </is>
      </c>
      <c r="E961" t="n">
        <v>6</v>
      </c>
      <c r="F961" t="inlineStr">
        <is>
          <t>TABLE</t>
        </is>
      </c>
      <c r="G961" t="inlineStr">
        <is>
          <t>TABLE_RULED</t>
        </is>
      </c>
      <c r="H961" t="inlineStr">
        <is>
          <t>IV/BRL#s8: FAIL Δ4371460.58 · I/BRL: FAIL Δ-25692.97 · III/BRL: FAIL Δ-4345767.61</t>
        </is>
      </c>
      <c r="J961" t="inlineStr">
        <is>
          <t>CONFECÇÕES ROLÚ LTDA – Sgrott Administradora Judicial e Consultoria Empresarial</t>
        </is>
      </c>
      <c r="K961" t="inlineStr">
        <is>
          <t>administradorajudicialgs.com.br</t>
        </is>
      </c>
      <c r="L961" s="19" t="inlineStr">
        <is>
          <t>https://administradorajudicialgs.com.br/wp-content/uploads/2023/08/doc-07-relacao-de-credores-do-administrador-judicial.pdf</t>
        </is>
      </c>
    </row>
    <row r="962">
      <c r="A962" t="inlineStr">
        <is>
          <t>b197b3096d09</t>
        </is>
      </c>
      <c r="B962" t="inlineStr">
        <is>
          <t>0311937-30.2016.8.24.0033</t>
        </is>
      </c>
      <c r="C962" t="inlineStr">
        <is>
          <t>AJ_LIST</t>
        </is>
      </c>
      <c r="D962" t="inlineStr">
        <is>
          <t>QUARANTINED</t>
        </is>
      </c>
      <c r="E962" t="n">
        <v>9</v>
      </c>
      <c r="F962" t="inlineStr">
        <is>
          <t>TABLE</t>
        </is>
      </c>
      <c r="G962" t="inlineStr">
        <is>
          <t>TABLE_RULED</t>
        </is>
      </c>
      <c r="H962" t="inlineStr">
        <is>
          <t>IV/BRL#s8: FAIL Δ17824075.07 · I/BRL: FAIL Δ-64507.00 · III/BRL: FAIL Δ-17759568.07</t>
        </is>
      </c>
      <c r="J962" t="inlineStr">
        <is>
          <t>F.MARINE INDÚSTRIA E COMÉRCIO DE PRODUTOS NÁUTICOS LTDA – Sgrott Administradora Judicial e Consultoria Empresarial</t>
        </is>
      </c>
      <c r="K962" t="inlineStr">
        <is>
          <t>administradorajudicialgs.com.br</t>
        </is>
      </c>
      <c r="L962" s="19" t="inlineStr">
        <is>
          <t>https://administradorajudicialgs.com.br/wp-content/uploads/2023/08/doc-07-relacao-credores-do-adm-judicial.pdf</t>
        </is>
      </c>
    </row>
    <row r="963">
      <c r="A963" t="inlineStr">
        <is>
          <t>b185675b17e9</t>
        </is>
      </c>
      <c r="B963" t="inlineStr">
        <is>
          <t>0077403-37.2025.8.17.2001</t>
        </is>
      </c>
      <c r="C963" t="inlineStr">
        <is>
          <t>AJ_LIST</t>
        </is>
      </c>
      <c r="D963" t="inlineStr">
        <is>
          <t>QUARANTINED</t>
        </is>
      </c>
      <c r="E963" t="n">
        <v>245</v>
      </c>
      <c r="F963" t="inlineStr">
        <is>
          <t>PROSE</t>
        </is>
      </c>
      <c r="G963" t="inlineStr">
        <is>
          <t>PROSE</t>
        </is>
      </c>
      <c r="H963" t="inlineStr">
        <is>
          <t>III/BRL#s81: FAIL Δ-177149.56</t>
        </is>
      </c>
      <c r="I963" t="inlineStr">
        <is>
          <t>2026-07-22</t>
        </is>
      </c>
      <c r="J963" t="inlineStr">
        <is>
          <t>E FALENCIA</t>
        </is>
      </c>
      <c r="K963" t="inlineStr">
        <is>
          <t>diligence.adm.br</t>
        </is>
      </c>
      <c r="L963" s="19" t="inlineStr">
        <is>
          <t>https://diligence.adm.br/wp-content/plugins/download-attachments/includes/download.php?id=6283</t>
        </is>
      </c>
    </row>
    <row r="964">
      <c r="A964" t="inlineStr">
        <is>
          <t>f689ae4ddef0</t>
        </is>
      </c>
      <c r="B964" t="inlineStr">
        <is>
          <t>0028903-37.2025.8.17.2001</t>
        </is>
      </c>
      <c r="C964" t="inlineStr">
        <is>
          <t>AJ_LIST</t>
        </is>
      </c>
      <c r="D964" t="inlineStr">
        <is>
          <t>QUARANTINED</t>
        </is>
      </c>
      <c r="E964" t="n">
        <v>3</v>
      </c>
      <c r="F964" t="inlineStr">
        <is>
          <t>PROSE</t>
        </is>
      </c>
      <c r="G964" t="inlineStr">
        <is>
          <t>PROSE</t>
        </is>
      </c>
      <c r="H964" t="inlineStr">
        <is>
          <t>I/BRL#s1: FAIL Δ-18000.00 · III/BRL#s2: PASS Δ0.00</t>
        </is>
      </c>
      <c r="I964" t="inlineStr">
        <is>
          <t>2026-06-05</t>
        </is>
      </c>
      <c r="J964" t="inlineStr">
        <is>
          <t>formulado por Educacional Cordeiro e O liveira Ltda</t>
        </is>
      </c>
      <c r="K964" t="inlineStr">
        <is>
          <t>recuperacaojudicial.squarespace.com</t>
        </is>
      </c>
      <c r="L964" s="19" t="inlineStr">
        <is>
          <t>https://recuperacaojudicial.squarespace.com/s/Edital-Educacional.pdf</t>
        </is>
      </c>
    </row>
    <row r="965">
      <c r="A965" t="inlineStr">
        <is>
          <t>dc23c1a20e26</t>
        </is>
      </c>
      <c r="B965" t="inlineStr">
        <is>
          <t>0843102-61.2020.8.15.2001</t>
        </is>
      </c>
      <c r="C965" t="inlineStr">
        <is>
          <t>AJ_LIST</t>
        </is>
      </c>
      <c r="D965" t="inlineStr">
        <is>
          <t>QUARANTINED</t>
        </is>
      </c>
      <c r="E965" t="n">
        <v>14</v>
      </c>
      <c r="F965" t="inlineStr">
        <is>
          <t>TABLE</t>
        </is>
      </c>
      <c r="G965" t="inlineStr">
        <is>
          <t>TABLE_RULED</t>
        </is>
      </c>
      <c r="H965" t="inlineStr">
        <is>
          <t>I/BRL: PASS Δ-0.03 · II/BRL: FAIL Δ36677022.39 · III/BRL: FAIL Δ-4595990.72 · IV/BRL: FAIL Δ-283210.65</t>
        </is>
      </c>
      <c r="I965" t="inlineStr">
        <is>
          <t>2021-09-30</t>
        </is>
      </c>
      <c r="J965" t="inlineStr">
        <is>
          <t>FIBRA CONSTRUTORA E INCORPORADORA LTDA – LRF Líderes em Recuperação Judicial e Falência</t>
        </is>
      </c>
      <c r="K965" t="inlineStr">
        <is>
          <t>lrflideres.com.br</t>
        </is>
      </c>
      <c r="L965" s="19" t="inlineStr">
        <is>
          <t>https://lrflideres.com.br/wp-content/plugins/download-attachments/includes/download.php?id=3976</t>
        </is>
      </c>
    </row>
    <row r="966">
      <c r="A966" t="inlineStr">
        <is>
          <t>d403116b357d</t>
        </is>
      </c>
      <c r="B966" t="inlineStr">
        <is>
          <t>0302174-63.2015.8.24.0025</t>
        </is>
      </c>
      <c r="C966" t="inlineStr">
        <is>
          <t>AJ_LIST</t>
        </is>
      </c>
      <c r="D966" t="inlineStr">
        <is>
          <t>QUARANTINED</t>
        </is>
      </c>
      <c r="E966" t="n">
        <v>3</v>
      </c>
      <c r="F966" t="inlineStr">
        <is>
          <t>TABLE</t>
        </is>
      </c>
      <c r="G966" t="inlineStr">
        <is>
          <t>TABLE_BANDS</t>
        </is>
      </c>
      <c r="H966" t="inlineStr">
        <is>
          <t>II/BRL#s1: PASS Δ0.00 · III/BRL#s3: PASS Δ0.00 · IV/BRL: FAIL Δ127271.49</t>
        </is>
      </c>
      <c r="J966" t="inlineStr">
        <is>
          <t>CONFECÇÕES ANDRIMALHAS LTDA – Sgrott Administradora Judicial e Consultoria Empresarial</t>
        </is>
      </c>
      <c r="K966" t="inlineStr">
        <is>
          <t>administradorajudicialgs.com.br</t>
        </is>
      </c>
      <c r="L966" s="19" t="inlineStr">
        <is>
          <t>https://administradorajudicialgs.com.br/wp-content/uploads/2023/08/doc-06-relacao-credores-do-administrador-judicial-10-02-2015.pdf</t>
        </is>
      </c>
    </row>
    <row r="967">
      <c r="A967" t="inlineStr">
        <is>
          <t>b4a299a94bbd</t>
        </is>
      </c>
      <c r="B967" t="inlineStr">
        <is>
          <t>0028903-37.2025.8.17.2001</t>
        </is>
      </c>
      <c r="C967" t="inlineStr">
        <is>
          <t>AJ_LIST</t>
        </is>
      </c>
      <c r="D967" t="inlineStr">
        <is>
          <t>QUARANTINED</t>
        </is>
      </c>
      <c r="E967" t="n">
        <v>17</v>
      </c>
      <c r="F967" t="inlineStr">
        <is>
          <t>TABLE</t>
        </is>
      </c>
      <c r="G967" t="inlineStr">
        <is>
          <t>TABLE_RULED</t>
        </is>
      </c>
      <c r="H967" t="inlineStr">
        <is>
          <t>I/BRL#s1: FAIL Δ-32000.00 · I/BRL#s2: FAIL Δ37689.02 · I/BRL#s3: FAIL Δ-16575.08 · I/BRL#s4: FAIL Δ-15964.81 · I/BRL#s5: PASS Δ0.00 · III/BRL#s6: PASS Δ0.00</t>
        </is>
      </c>
      <c r="I967" t="inlineStr">
        <is>
          <t>2026-07-28</t>
        </is>
      </c>
      <c r="J967" t="inlineStr">
        <is>
          <t>EDUCACIONAL CORDEIRO E OLIVEIRA LTDA</t>
        </is>
      </c>
      <c r="K967" t="inlineStr">
        <is>
          <t>recuperacaojudicial.squarespace.com</t>
        </is>
      </c>
      <c r="L967" s="19" t="inlineStr">
        <is>
          <t>https://recuperacaojudicial.squarespace.com/s/RJ-Educacional-Cordeiro-apresentaco-da-2-Lista-verso-protocolada.pdf</t>
        </is>
      </c>
    </row>
    <row r="968">
      <c r="A968" t="inlineStr">
        <is>
          <t>34db2e6fa465</t>
        </is>
      </c>
      <c r="B968" t="inlineStr">
        <is>
          <t>0307130-42.2016.8.24.0008</t>
        </is>
      </c>
      <c r="C968" t="inlineStr">
        <is>
          <t>AJ_LIST</t>
        </is>
      </c>
      <c r="D968" t="inlineStr">
        <is>
          <t>QUARANTINED</t>
        </is>
      </c>
      <c r="E968" t="n">
        <v>37</v>
      </c>
      <c r="F968" t="inlineStr">
        <is>
          <t>TABLE</t>
        </is>
      </c>
      <c r="G968" t="inlineStr">
        <is>
          <t>TABLE_RULED</t>
        </is>
      </c>
      <c r="H968" t="inlineStr">
        <is>
          <t>I/BRL#s1: PASS Δ0.00 · II/BRL#s3: PASS Δ0.00 · I/BRL#s7: PASS Δ0.00 · III/BRL#s9: PASS Δ0.00 · II/BRL#s11: PASS Δ0.00 · II/BRL#s12: PASS Δ0.00 · IV/BRL#s14: PASS Δ0.00 · III/BRL#s16: PASS Δ15862.00 · III/BRL#s17: FAIL Δ-20291379.93</t>
        </is>
      </c>
      <c r="J968" t="inlineStr">
        <is>
          <t>SULBRASIL INCORPORACAO LTDA – Sgrott Administradora Judicial e Consultoria Empresarial</t>
        </is>
      </c>
      <c r="K968" t="inlineStr">
        <is>
          <t>administradorajudicialgs.com.br</t>
        </is>
      </c>
      <c r="L968" s="19" t="inlineStr">
        <is>
          <t>https://administradorajudicialgs.com.br/wp-content/uploads/2023/08/doc-07-relacao-de-credores-do-administrador-judicial-1.pdf</t>
        </is>
      </c>
    </row>
    <row r="969">
      <c r="A969" t="inlineStr">
        <is>
          <t>ded6d3d756b8</t>
        </is>
      </c>
      <c r="B969" t="inlineStr">
        <is>
          <t>0011774-52.2015.8.17.0810</t>
        </is>
      </c>
      <c r="C969" t="inlineStr">
        <is>
          <t>AJ_LIST</t>
        </is>
      </c>
      <c r="D969" t="inlineStr">
        <is>
          <t>QUARANTINED</t>
        </is>
      </c>
      <c r="E969" t="n">
        <v>3</v>
      </c>
      <c r="F969" t="inlineStr">
        <is>
          <t>TABLE</t>
        </is>
      </c>
      <c r="G969" t="inlineStr">
        <is>
          <t>TABLE_BANDS</t>
        </is>
      </c>
      <c r="H969" t="inlineStr">
        <is>
          <t>IV/BRL: FAIL Δ-3742.18</t>
        </is>
      </c>
      <c r="I969" t="inlineStr">
        <is>
          <t>2018-05-23</t>
        </is>
      </c>
      <c r="J969" t="inlineStr">
        <is>
          <t>GRATICIA</t>
        </is>
      </c>
      <c r="K969" t="inlineStr">
        <is>
          <t>lrflideres.com.br</t>
        </is>
      </c>
      <c r="L969" s="19" t="inlineStr">
        <is>
          <t>https://lrflideres.com.br/wp-content/plugins/download-attachments/includes/download.php?id=4939</t>
        </is>
      </c>
    </row>
    <row r="970">
      <c r="A970" t="inlineStr">
        <is>
          <t>a1e1f2961eea</t>
        </is>
      </c>
      <c r="B970" t="inlineStr">
        <is>
          <t>0019761-43.2024.8.17.2001</t>
        </is>
      </c>
      <c r="C970" t="inlineStr">
        <is>
          <t>AJ_LIST</t>
        </is>
      </c>
      <c r="D970" t="inlineStr">
        <is>
          <t>QUARANTINED</t>
        </is>
      </c>
      <c r="E970" t="n">
        <v>106</v>
      </c>
      <c r="F970" t="inlineStr">
        <is>
          <t>TABLE</t>
        </is>
      </c>
      <c r="G970" t="inlineStr">
        <is>
          <t>TABLE_RULED</t>
        </is>
      </c>
      <c r="H970" t="inlineStr">
        <is>
          <t>I/BRL: PASS Δ0.00 · III/BRL: FAIL Δ11794361.97 · IV/BRL: PASS Δ0.00</t>
        </is>
      </c>
      <c r="I970" t="inlineStr">
        <is>
          <t>2024-06-20</t>
        </is>
      </c>
      <c r="J970" t="inlineStr">
        <is>
          <t>GRUPO ADLIM – LRF Líderes em Recuperação Judicial e Falência</t>
        </is>
      </c>
      <c r="K970" t="inlineStr">
        <is>
          <t>lrflideres.com.br</t>
        </is>
      </c>
      <c r="L970" s="19" t="inlineStr">
        <is>
          <t>https://lrflideres.com.br/wp-content/plugins/download-attachments/includes/download.php?id=5964</t>
        </is>
      </c>
    </row>
    <row r="971">
      <c r="A971" t="inlineStr">
        <is>
          <t>ed0228059371</t>
        </is>
      </c>
      <c r="B971" t="inlineStr">
        <is>
          <t>0019761-43.2024.8.17.2001</t>
        </is>
      </c>
      <c r="C971" t="inlineStr">
        <is>
          <t>AJ_LIST</t>
        </is>
      </c>
      <c r="D971" t="inlineStr">
        <is>
          <t>QUARANTINED</t>
        </is>
      </c>
      <c r="E971" t="n">
        <v>33</v>
      </c>
      <c r="F971" t="inlineStr">
        <is>
          <t>TABLE</t>
        </is>
      </c>
      <c r="G971" t="inlineStr">
        <is>
          <t>TABLE_RULED</t>
        </is>
      </c>
      <c r="H971" t="inlineStr">
        <is>
          <t>IV/BRL#s4: PASS Δ0.00 · I/BRL: PASS Δ0.00 · III/BRL: FAIL Δ5887238.02</t>
        </is>
      </c>
      <c r="I971" t="inlineStr">
        <is>
          <t>2024-06-20</t>
        </is>
      </c>
      <c r="J971" t="inlineStr">
        <is>
          <t>GRUPO ADLIM – LRF Líderes em Recuperação Judicial e Falência</t>
        </is>
      </c>
      <c r="K971" t="inlineStr">
        <is>
          <t>lrflideres.com.br</t>
        </is>
      </c>
      <c r="L971" s="19" t="inlineStr">
        <is>
          <t>https://lrflideres.com.br/wp-content/plugins/download-attachments/includes/download.php?id=5965</t>
        </is>
      </c>
    </row>
    <row r="972">
      <c r="A972" t="inlineStr">
        <is>
          <t>3a99cb501db0</t>
        </is>
      </c>
      <c r="B972" t="inlineStr">
        <is>
          <t>0019761-43.2024.8.17.2001</t>
        </is>
      </c>
      <c r="C972" t="inlineStr">
        <is>
          <t>AJ_LIST</t>
        </is>
      </c>
      <c r="D972" t="inlineStr">
        <is>
          <t>QUARANTINED</t>
        </is>
      </c>
      <c r="E972" t="n">
        <v>25</v>
      </c>
      <c r="F972" t="inlineStr">
        <is>
          <t>TABLE</t>
        </is>
      </c>
      <c r="G972" t="inlineStr">
        <is>
          <t>TABLE_RULED</t>
        </is>
      </c>
      <c r="H972" t="inlineStr">
        <is>
          <t>I/BRL: PASS Δ0.00 · III/BRL: FAIL Δ10688927.85</t>
        </is>
      </c>
      <c r="I972" t="inlineStr">
        <is>
          <t>2024-06-20</t>
        </is>
      </c>
      <c r="J972" t="inlineStr">
        <is>
          <t>GRUPO ADLIM – LRF Líderes em Recuperação Judicial e Falência</t>
        </is>
      </c>
      <c r="K972" t="inlineStr">
        <is>
          <t>lrflideres.com.br</t>
        </is>
      </c>
      <c r="L972" s="19" t="inlineStr">
        <is>
          <t>https://lrflideres.com.br/wp-content/plugins/download-attachments/includes/download.php?id=5966</t>
        </is>
      </c>
    </row>
    <row r="973">
      <c r="A973" t="inlineStr">
        <is>
          <t>a32497797bac</t>
        </is>
      </c>
      <c r="B973" t="inlineStr">
        <is>
          <t>0019761-43.2024.8.17.2001</t>
        </is>
      </c>
      <c r="C973" t="inlineStr">
        <is>
          <t>AJ_LIST</t>
        </is>
      </c>
      <c r="D973" t="inlineStr">
        <is>
          <t>QUARANTINED</t>
        </is>
      </c>
      <c r="E973" t="n">
        <v>97</v>
      </c>
      <c r="F973" t="inlineStr">
        <is>
          <t>PROSE</t>
        </is>
      </c>
      <c r="G973" t="inlineStr">
        <is>
          <t>PROSE</t>
        </is>
      </c>
      <c r="H973" t="inlineStr">
        <is>
          <t>I/BRL#s1: FAIL Δ-25999.19 · III/BRL#s2: PASS Δ0.00 · III/BRL#s3: PASS Δ0.00 · IV/BRL#s4: PASS Δ0.00 · I/BRL#s6: PASS Δ0.00 · III/BRL#s7: PASS Δ0.00 · III/BRL#s8: PASS Δ0.00 · IV/BRL#s9: PASS Δ0.00 · I/BRL#s11: PASS Δ0.00 · III/BRL#s12: PASS Δ0.00 · III/BRL#s13: PASS Δ0.00</t>
        </is>
      </c>
      <c r="I973" t="inlineStr">
        <is>
          <t>2024-08-12</t>
        </is>
      </c>
      <c r="J973" t="inlineStr">
        <is>
          <t>GRUPO ADLIM – LRF Líderes em Recuperação Judicial e Falência</t>
        </is>
      </c>
      <c r="K973" t="inlineStr">
        <is>
          <t>lrflideres.com.br</t>
        </is>
      </c>
      <c r="L973" s="19" t="inlineStr">
        <is>
          <t>https://lrflideres.com.br/wp-content/plugins/download-attachments/includes/download.php?id=6051</t>
        </is>
      </c>
    </row>
    <row r="974">
      <c r="A974" t="inlineStr">
        <is>
          <t>37fa6c841dfc</t>
        </is>
      </c>
      <c r="B974" t="inlineStr">
        <is>
          <t>0002484-82.2022.8.17.2001</t>
        </is>
      </c>
      <c r="C974" t="inlineStr">
        <is>
          <t>AJ_LIST</t>
        </is>
      </c>
      <c r="D974" t="inlineStr">
        <is>
          <t>QUARANTINED</t>
        </is>
      </c>
      <c r="E974" t="n">
        <v>58</v>
      </c>
      <c r="F974" t="inlineStr">
        <is>
          <t>PROSE</t>
        </is>
      </c>
      <c r="G974" t="inlineStr">
        <is>
          <t>PROSE</t>
        </is>
      </c>
      <c r="H974" t="inlineStr">
        <is>
          <t>III/BRL#s87: FAIL ΔNone · III/BRL#s88: FAIL ΔNone · IV/BRL#s89: FAIL Δ-8922854.03 · I/BRL#s91: FAIL Δ-465108.02 · I/BRL#s92: FAIL Δ-465801.37 · I/BRL#s93: FAIL Δ-466623.54 · I/BRL#s94: FAIL Δ-465951.81 · III/BRL#s95: FAIL ΔNone · III/BRL#s96: FAIL ΔNone · IV/BRL#s97: FAIL Δ-18659245.88 · I/BRL#s99: FAIL Δ-806918.07 · I/BRL#s100: FAIL Δ-808006.49 · I/BRL#s101: FAIL Δ-807997.15 · I/BRL#s102: FAIL Δ-807890.49 · I/BRL#s103: FAIL Δ-808006.49 · I/BRL#s104: FAIL Δ-806484.27 · I/BRL#s105: FAIL Δ-808737.71 · III/BRL#s106: FAIL ΔNone · IV/BRL#s107: FAIL Δ-1671347.00 · I/BRL#s109: FAIL Δ-72583.52 · III/BRL#s110: FAIL ΔNone · III/BRL#s111: FAIL ΔNone · IV/BRL#s112: FAIL Δ-2210738.51 · I/BRL#s114: FAIL Δ-189775.78 · I/BRL#s115: FAIL Δ-189396.67</t>
        </is>
      </c>
      <c r="I974" t="inlineStr">
        <is>
          <t>2022-05-10</t>
        </is>
      </c>
      <c r="J974" t="inlineStr">
        <is>
          <t>e Falência</t>
        </is>
      </c>
      <c r="K974" t="inlineStr">
        <is>
          <t>lrflideres.com.br</t>
        </is>
      </c>
      <c r="L974" s="19" t="inlineStr">
        <is>
          <t>https://lrflideres.com.br/wp-content/plugins/download-attachments/includes/download.php?id=4089</t>
        </is>
      </c>
    </row>
    <row r="975">
      <c r="A975" t="inlineStr">
        <is>
          <t>0bc39b0b10cf</t>
        </is>
      </c>
      <c r="B975" t="inlineStr">
        <is>
          <t>0214287-36.2023.8.06.0001</t>
        </is>
      </c>
      <c r="C975" t="inlineStr">
        <is>
          <t>AJ_LIST</t>
        </is>
      </c>
      <c r="D975" t="inlineStr">
        <is>
          <t>QUARANTINED</t>
        </is>
      </c>
      <c r="E975" t="n">
        <v>10</v>
      </c>
      <c r="F975" t="inlineStr">
        <is>
          <t>TABLE</t>
        </is>
      </c>
      <c r="G975" t="inlineStr">
        <is>
          <t>TABLE_RULED</t>
        </is>
      </c>
      <c r="H975" t="inlineStr">
        <is>
          <t>I/BRL#s1: FAIL Δ-185914.30 · III/BRL#s4: FAIL Δ-5524118.62 · IV/BRL#s6: FAIL Δ-1149432.19</t>
        </is>
      </c>
      <c r="J975" t="inlineStr">
        <is>
          <t>Assunto Concurso de Credores Requerente Pminas Brasil Construção Civil e Serviços Ltda</t>
        </is>
      </c>
      <c r="K975" t="inlineStr">
        <is>
          <t>bugarimecoelho.com.br</t>
        </is>
      </c>
      <c r="L975" s="19" t="inlineStr">
        <is>
          <t>https://bugarimecoelho.com.br/ws/media-library/1e823e882f8d4b548225778a021af627/05---edital---relacao-de-credores.pdf</t>
        </is>
      </c>
    </row>
    <row r="976">
      <c r="A976" t="inlineStr">
        <is>
          <t>38f0c15b8a2d</t>
        </is>
      </c>
      <c r="B976" t="inlineStr">
        <is>
          <t>0000721-61.2024.8.17.2620</t>
        </is>
      </c>
      <c r="C976" t="inlineStr">
        <is>
          <t>AJ_LIST</t>
        </is>
      </c>
      <c r="D976" t="inlineStr">
        <is>
          <t>QUARANTINED</t>
        </is>
      </c>
      <c r="E976" t="n">
        <v>4</v>
      </c>
      <c r="F976" t="inlineStr">
        <is>
          <t>PROSE</t>
        </is>
      </c>
      <c r="G976" t="inlineStr">
        <is>
          <t>PROSE</t>
        </is>
      </c>
      <c r="H976" t="inlineStr">
        <is>
          <t>I/BRL#s1: PASS Δ0.00 · II/BRL#s2: FAIL Δ1424700.44 · III/BRL#s3: PASS Δ0.00 · IV/BRL#s4: FAIL Δ-928293661.00</t>
        </is>
      </c>
      <c r="I976" t="inlineStr">
        <is>
          <t>2024-11-27</t>
        </is>
      </c>
      <c r="J976" t="inlineStr">
        <is>
          <t>GRUPO DIVINA INDUSTRIA DE COURO LTDA – LRF Líderes em Recuperação Judicial e Falência</t>
        </is>
      </c>
      <c r="K976" t="inlineStr">
        <is>
          <t>lrflideres.com.br</t>
        </is>
      </c>
      <c r="L976" s="19" t="inlineStr">
        <is>
          <t>https://lrflideres.com.br/wp-content/plugins/download-attachments/includes/download.php?id=6252</t>
        </is>
      </c>
    </row>
    <row r="977">
      <c r="A977" t="inlineStr">
        <is>
          <t>5247afbb1cc3</t>
        </is>
      </c>
      <c r="B977" t="inlineStr">
        <is>
          <t>0832598-25.2022.8.15.2001</t>
        </is>
      </c>
      <c r="C977" t="inlineStr">
        <is>
          <t>AJ_LIST</t>
        </is>
      </c>
      <c r="D977" t="inlineStr">
        <is>
          <t>QUARANTINED</t>
        </is>
      </c>
      <c r="E977" t="n">
        <v>9</v>
      </c>
      <c r="F977" t="inlineStr">
        <is>
          <t>PROSE</t>
        </is>
      </c>
      <c r="G977" t="inlineStr">
        <is>
          <t>PROSE</t>
        </is>
      </c>
      <c r="H977" t="inlineStr">
        <is>
          <t>I/BRL#s2: FAIL Δ-553.44 · II/BRL#s3: PASS Δ0.00 · III/BRL#s4: FAIL Δ-1539.70 · IV/BRL#s5: FAIL Δ-26104.16</t>
        </is>
      </c>
      <c r="I977" t="inlineStr">
        <is>
          <t>2022-07-19</t>
        </is>
      </c>
      <c r="J977" t="inlineStr">
        <is>
          <t>para as devidas anotações no Registro Público da Empresa</t>
        </is>
      </c>
      <c r="K977" t="inlineStr">
        <is>
          <t>lrflideres.com.br</t>
        </is>
      </c>
      <c r="L977" s="19" t="inlineStr">
        <is>
          <t>https://lrflideres.com.br/wp-content/plugins/download-attachments/includes/download.php?id=4525</t>
        </is>
      </c>
    </row>
    <row r="978">
      <c r="A978" t="inlineStr">
        <is>
          <t>d5c4bce5a310</t>
        </is>
      </c>
      <c r="B978" t="inlineStr">
        <is>
          <t>0832598-25.2022.8.15.2001</t>
        </is>
      </c>
      <c r="C978" t="inlineStr">
        <is>
          <t>AJ_LIST</t>
        </is>
      </c>
      <c r="D978" t="inlineStr">
        <is>
          <t>QUARANTINED</t>
        </is>
      </c>
      <c r="E978" t="n">
        <v>5</v>
      </c>
      <c r="F978" t="inlineStr">
        <is>
          <t>PROSE</t>
        </is>
      </c>
      <c r="G978" t="inlineStr">
        <is>
          <t>PROSE</t>
        </is>
      </c>
      <c r="H978" t="inlineStr">
        <is>
          <t>I/BRL#s1: PASS Δ0.04 · II/BRL#s2: PASS Δ0.00 · III/BRL#s3: PASS Δ0.00 · IV/BRL#s4: FAIL Δ-26104.16</t>
        </is>
      </c>
      <c r="I978" t="inlineStr">
        <is>
          <t>2022-11-25</t>
        </is>
      </c>
      <c r="J978" t="inlineStr">
        <is>
          <t>E FALÊNCIA</t>
        </is>
      </c>
      <c r="K978" t="inlineStr">
        <is>
          <t>lrflideres.com.br</t>
        </is>
      </c>
      <c r="L978" s="19" t="inlineStr">
        <is>
          <t>https://lrflideres.com.br/wp-content/plugins/download-attachments/includes/download.php?id=4856</t>
        </is>
      </c>
    </row>
    <row r="979">
      <c r="A979" t="inlineStr">
        <is>
          <t>3de1572f858f</t>
        </is>
      </c>
      <c r="B979" t="inlineStr">
        <is>
          <t>0001324-92.2023.8.17.2710</t>
        </is>
      </c>
      <c r="C979" t="inlineStr">
        <is>
          <t>AJ_LIST</t>
        </is>
      </c>
      <c r="D979" t="inlineStr">
        <is>
          <t>QUARANTINED</t>
        </is>
      </c>
      <c r="E979" t="n">
        <v>42</v>
      </c>
      <c r="F979" t="inlineStr">
        <is>
          <t>PROSE</t>
        </is>
      </c>
      <c r="G979" t="inlineStr">
        <is>
          <t>PROSE</t>
        </is>
      </c>
      <c r="H979" t="inlineStr">
        <is>
          <t>I/BRL#s1: FAIL Δ-649418.00 · II/BRL#s2: PASS Δ0.00 · III/BRL#s3: FAIL Δ-8022182.39 · IV/BRL#s4: FAIL Δ-1030792.70</t>
        </is>
      </c>
      <c r="I979" t="inlineStr">
        <is>
          <t>2023-12-22</t>
        </is>
      </c>
      <c r="J979" t="inlineStr">
        <is>
          <t>ONDUNORTE CIA DE PAPEIS E PAPELAO ONDULADO DO NORTE e outras - Vivante Gestão e Administração Judicial</t>
        </is>
      </c>
      <c r="K979" t="inlineStr">
        <is>
          <t>vivanteaj.com.br</t>
        </is>
      </c>
      <c r="L979" s="19" t="inlineStr">
        <is>
          <t>https://vivanteaj.com.br/wp-content/uploads/2024/11/2o-Edital-de-credores.pdf</t>
        </is>
      </c>
    </row>
    <row r="980">
      <c r="A980" t="inlineStr">
        <is>
          <t>d90152406a91</t>
        </is>
      </c>
      <c r="B980" t="inlineStr">
        <is>
          <t>0035526-54.2024.8.17.2001</t>
        </is>
      </c>
      <c r="C980" t="inlineStr">
        <is>
          <t>AJ_LIST</t>
        </is>
      </c>
      <c r="D980" t="inlineStr">
        <is>
          <t>QUARANTINED</t>
        </is>
      </c>
      <c r="E980" t="n">
        <v>10</v>
      </c>
      <c r="F980" t="inlineStr">
        <is>
          <t>PROSE</t>
        </is>
      </c>
      <c r="G980" t="inlineStr">
        <is>
          <t>PROSE</t>
        </is>
      </c>
      <c r="H980" t="inlineStr">
        <is>
          <t>I/BRL#s2: PASS ΔNone · II/BRL#s3: PASS ΔNone · III/BRL#s4: FAIL ΔNone · IV/BRL#s5: PASS ΔNone · I/BRL#s6: PASS ΔNone · III/BRL#s7: FAIL ΔNone · IV/BRL#s8: FAIL ΔNone · III/BRL#s9: PASS ΔNone · IV/BRL#s10: PASS ΔNone · III/BRL#s11: PASS ΔNone · IV/BRL#s12: PASS ΔNone</t>
        </is>
      </c>
      <c r="I980" t="inlineStr">
        <is>
          <t>2025-04-23</t>
        </is>
      </c>
      <c r="J980" t="inlineStr">
        <is>
          <t>IMPERIO ATACADISTA DE ESTIVAS E CEREAIS LTDA E OUTRAS - Vivante Gestão e Administração Judicial</t>
        </is>
      </c>
      <c r="K980" t="inlineStr">
        <is>
          <t>vivanteaj.com.br</t>
        </is>
      </c>
      <c r="L980" s="19" t="inlineStr">
        <is>
          <t>https://vivanteaj.com.br/wp-content/uploads/2024/11/Apresentacao-do-2o-edital-de-credores-1.pdf</t>
        </is>
      </c>
    </row>
    <row r="981">
      <c r="A981" t="inlineStr">
        <is>
          <t>8ef3ace2fbe9</t>
        </is>
      </c>
      <c r="B981" t="inlineStr">
        <is>
          <t>0862380-60.2022.8.20.5001</t>
        </is>
      </c>
      <c r="C981" t="inlineStr">
        <is>
          <t>AJ_LIST</t>
        </is>
      </c>
      <c r="D981" t="inlineStr">
        <is>
          <t>QUARANTINED</t>
        </is>
      </c>
      <c r="E981" t="n">
        <v>4</v>
      </c>
      <c r="F981" t="inlineStr">
        <is>
          <t>PROSE</t>
        </is>
      </c>
      <c r="G981" t="inlineStr">
        <is>
          <t>PROSE</t>
        </is>
      </c>
      <c r="H981" t="inlineStr">
        <is>
          <t>I/BRL#s1: FAIL Δ0.00 · III/BRL#s2: FAIL Δ0.00 · I/BRL#s3: FAIL Δ-14047.61 · III/BRL#s4: FAIL Δ-2817800.00</t>
        </is>
      </c>
      <c r="I981" t="inlineStr">
        <is>
          <t>2023-06-02</t>
        </is>
      </c>
      <c r="J981" t="inlineStr">
        <is>
          <t>EMPRESA</t>
        </is>
      </c>
      <c r="K981" t="inlineStr">
        <is>
          <t>vivanteaj.com.br</t>
        </is>
      </c>
      <c r="L981" s="19" t="inlineStr">
        <is>
          <t>https://vivanteaj.com.br/wp-content/uploads/2023/06/1o-Edital-de-Credores.pdf</t>
        </is>
      </c>
    </row>
    <row r="982">
      <c r="A982" t="inlineStr">
        <is>
          <t>080cff6af1f7</t>
        </is>
      </c>
      <c r="B982" t="inlineStr">
        <is>
          <t>0810226-31.2023.8.20.5001</t>
        </is>
      </c>
      <c r="C982" t="inlineStr">
        <is>
          <t>AJ_LIST</t>
        </is>
      </c>
      <c r="D982" t="inlineStr">
        <is>
          <t>QUARANTINED</t>
        </is>
      </c>
      <c r="E982" t="n">
        <v>8</v>
      </c>
      <c r="F982" t="inlineStr">
        <is>
          <t>PROSE</t>
        </is>
      </c>
      <c r="G982" t="inlineStr">
        <is>
          <t>PROSE</t>
        </is>
      </c>
      <c r="H982" t="inlineStr">
        <is>
          <t>III/BRL#s1: FAIL Δ-25083.74 · IV/BRL: FAIL Δ-65650.00</t>
        </is>
      </c>
      <c r="I982" t="inlineStr">
        <is>
          <t>2023-08-01</t>
        </is>
      </c>
      <c r="J982" t="inlineStr">
        <is>
          <t>GRUPO MADETEX - Vivante Gestão e Administração Judicial</t>
        </is>
      </c>
      <c r="K982" t="inlineStr">
        <is>
          <t>vivanteaj.com.br</t>
        </is>
      </c>
      <c r="L982" s="19" t="inlineStr">
        <is>
          <t>https://vivanteaj.com.br/wp-content/uploads/2023/06/2o-Edital-de-Credores-2.pdf</t>
        </is>
      </c>
    </row>
    <row r="983">
      <c r="A983" t="inlineStr">
        <is>
          <t>3e332a3289d1</t>
        </is>
      </c>
      <c r="B983" t="inlineStr">
        <is>
          <t>0000707-30.2008.8.02.0042</t>
        </is>
      </c>
      <c r="C983" t="inlineStr">
        <is>
          <t>AJ_LIST</t>
        </is>
      </c>
      <c r="D983" t="inlineStr">
        <is>
          <t>QUARANTINED</t>
        </is>
      </c>
      <c r="E983" t="n">
        <v>78</v>
      </c>
      <c r="F983" t="inlineStr">
        <is>
          <t>TABLE</t>
        </is>
      </c>
      <c r="G983" t="inlineStr">
        <is>
          <t>TABLE_BANDS</t>
        </is>
      </c>
      <c r="H983" t="inlineStr">
        <is>
          <t>I/BRL: FAIL Δ-99203.97</t>
        </is>
      </c>
      <c r="I983" t="inlineStr">
        <is>
          <t>2014-09-02</t>
        </is>
      </c>
      <c r="J983" t="inlineStr">
        <is>
          <t>LAGINHA AGRO INDUSTRIAL S/A - Vivante Gestão e Administração Judicial</t>
        </is>
      </c>
      <c r="K983" t="inlineStr">
        <is>
          <t>vivanteaj.com.br</t>
        </is>
      </c>
      <c r="L983" s="19" t="inlineStr">
        <is>
          <t>https://vivanteaj.com.br/wp-content/uploads/2024/11/Contrato-Arrendamento-Macambira-Homologado.pdf</t>
        </is>
      </c>
    </row>
    <row r="984">
      <c r="A984" t="inlineStr">
        <is>
          <t>7eeb9fc39c5f</t>
        </is>
      </c>
      <c r="B984" t="inlineStr">
        <is>
          <t>1005755-09.2025.8.26.0132</t>
        </is>
      </c>
      <c r="C984" t="inlineStr">
        <is>
          <t>AJ_LIST</t>
        </is>
      </c>
      <c r="D984" t="inlineStr">
        <is>
          <t>QUARANTINED</t>
        </is>
      </c>
      <c r="E984" t="n">
        <v>50</v>
      </c>
      <c r="F984" t="inlineStr">
        <is>
          <t>TABLE</t>
        </is>
      </c>
      <c r="G984" t="inlineStr">
        <is>
          <t>TABLE_RULED</t>
        </is>
      </c>
      <c r="H984" t="inlineStr">
        <is>
          <t>IV/BRL#s9: PASS Δ0.00 · IV/BRL#s19: PASS Δ0.00 · III/BRL#s21: PASS Δ0.00 · I/BRL#s22: PASS Δ0.00 · I/BRL#s23: FAIL Δ8763.37 · III/BRL#s44: FAIL Δ-4826657.41 · III/BRL#s57: FAIL Δ-75616.77 · IV/BRL#s71: FAIL Δ-7692.32 · IV/BRL#s72: FAIL Δ19440.00 · III/BRL#s73: FAIL Δ1761002.32 · III/BRL#s74: PASS Δ-253.09 · III/BRL#s75: FAIL Δ51599.70 · I/BRL#s76: PASS Δ0.00 · II/BRL#s78: PASS Δ0.00 · III/BRL#s80: PASS Δ0.00 · IV/BRL#s82: PASS Δ0.00</t>
        </is>
      </c>
      <c r="J984" t="inlineStr">
        <is>
          <t>formulado por DISTRIBUIDORA DE FRUTAS RUMO NOVO LTDA</t>
        </is>
      </c>
      <c r="K984" t="inlineStr">
        <is>
          <t>vtladm.com.br</t>
        </is>
      </c>
      <c r="L984" s="19" t="inlineStr">
        <is>
          <t>https://vtladm.com.br/wp-content/uploads/2025/08/08_Manifestacao_Adm_Judicial_Habilitacoes_Divergencias_Segunda_Lista_Credores_Distribuidora_Frutas.pdf</t>
        </is>
      </c>
    </row>
    <row r="985">
      <c r="A985" t="inlineStr">
        <is>
          <t>d48af26ade75</t>
        </is>
      </c>
      <c r="B985" t="inlineStr">
        <is>
          <t>1005755-09.2025.8.26.0132</t>
        </is>
      </c>
      <c r="C985" t="inlineStr">
        <is>
          <t>AJ_LIST</t>
        </is>
      </c>
      <c r="D985" t="inlineStr">
        <is>
          <t>QUARANTINED</t>
        </is>
      </c>
      <c r="E985" t="n">
        <v>50</v>
      </c>
      <c r="F985" t="inlineStr">
        <is>
          <t>TABLE</t>
        </is>
      </c>
      <c r="G985" t="inlineStr">
        <is>
          <t>TABLE_RULED</t>
        </is>
      </c>
      <c r="H985" t="inlineStr">
        <is>
          <t>IV/BRL#s9: PASS Δ0.00 · IV/BRL#s19: PASS Δ0.00 · III/BRL#s21: PASS Δ0.00 · I/BRL#s22: PASS Δ0.00 · I/BRL#s23: FAIL Δ8763.37 · III/BRL#s44: FAIL Δ-4826657.41 · III/BRL#s57: FAIL Δ-75616.77 · IV/BRL#s71: FAIL Δ-7692.32 · IV/BRL#s72: FAIL Δ19440.00 · III/BRL#s73: FAIL Δ1761002.32 · III/BRL#s74: PASS Δ-253.09 · III/BRL#s75: FAIL Δ51599.70 · I/BRL#s76: PASS Δ0.00 · II/BRL#s78: PASS Δ0.00 · III/BRL#s80: PASS Δ0.00 · IV/BRL#s82: PASS Δ0.00</t>
        </is>
      </c>
      <c r="J985" t="inlineStr">
        <is>
          <t>formulado por DISTRIBUIDORA DE FRUTAS RUMO NOVO LTDA</t>
        </is>
      </c>
      <c r="K985" t="inlineStr">
        <is>
          <t>vtladm.com.br</t>
        </is>
      </c>
      <c r="L985" s="19" t="inlineStr">
        <is>
          <t>https://vtladm.com.br/wp-content/uploads/2025/08/11_Segunda_Lista_Credores_Distribuidora_Frutas_Rumo_Novo.pdf</t>
        </is>
      </c>
    </row>
    <row r="986">
      <c r="A986" t="inlineStr">
        <is>
          <t>0fc9aeb46c87</t>
        </is>
      </c>
      <c r="B986" t="inlineStr">
        <is>
          <t>1057555-04.2023.8.26.0114</t>
        </is>
      </c>
      <c r="C986" t="inlineStr">
        <is>
          <t>AJ_LIST</t>
        </is>
      </c>
      <c r="D986" t="inlineStr">
        <is>
          <t>QUARANTINED</t>
        </is>
      </c>
      <c r="E986" t="n">
        <v>123</v>
      </c>
      <c r="F986" t="inlineStr">
        <is>
          <t>TABLE</t>
        </is>
      </c>
      <c r="G986" t="inlineStr">
        <is>
          <t>TABLE_RULED</t>
        </is>
      </c>
      <c r="H986" t="inlineStr">
        <is>
          <t>I/BRL#s12: FAIL Δ-1954.45 · I/BRL#s13: FAIL Δ-2400.00 · I/BRL#s14: PASS Δ0.00 · I/BRL#s15: FAIL Δ-4033.55 · I/BRL#s16: PASS Δ-855.54 · I/BRL#s17: FAIL Δ-1954.45 · I/BRL#s18: PASS Δ0.00 · I/BRL#s19: FAIL Δ16035.09 · I/BRL#s20: FAIL Δ-3035.31 · I/BRL#s21: PASS Δ0.00 · I/BRL#s22: PASS Δ635.43 · I/BRL#s23: FAIL Δ-4835.71 · I/BRL#s24: PASS Δ0.00 · I/BRL#s25: FAIL Δ-2769.14 · I/BRL#s26: FAIL Δ2763.16 · I/BRL#s27: FAIL Δ-3634.02 · I/BRL#s28: FAIL Δ-1954.45 · I/BRL#s29: FAIL Δ-14562.54 · I/BRL#s30: FAIL Δ23045.55 · I/BRL#s31: FAIL Δ-2675.00 · I/BRL#s32: PASS Δ0.00 · I/BRL#s33: FAIL Δ-45141.39 · I/BRL#s34: FAIL Δ9572.20 · I/BRL#s35: FAIL Δ1827.86 · I/BRL#s36: FAIL Δ-30005.63 · I/BRL#s37: FAIL Δ-3770.78 · I/BRL#s38: FAIL Δ-73292.01 · I/BRL#s39: FAIL Δ-35269.10 · III/BRL#s41: FAIL Δ-306607.76 · III/BRL#s42: PASS Δ0.00 · III/BRL#s43: PASS Δ0.00 · III/BRL#s44: FAIL Δ5044924.16 · III/BRL#s45: FAIL Δ-47789.04 · III/BRL#s72: FAIL Δ-4796.75 · III/BRL#s73: FAIL Δ-2710.26 · III/BRL#s74: FAIL Δ4597.25 · III/BRL#s75: FAIL Δ-408160.20 · III/BRL#s82: FAIL Δ526598.49 · III/BRL#s83: PASS Δ0.00 · III/BRL#s84: PASS Δ0.00 · III/BRL#s85: PASS Δ0.00 · IV/BRL#s86: PASS Δ0.00 · IV/BRL#s87: PASS Δ0.00 · IV/BRL#s88: PASS Δ0.00 · IV/BRL#s89: FAIL Δ1674.00 · IV/BRL#s90: FAIL Δ62590.00 · IV/BRL#s91: FAIL Δ80970.85 · IV/BRL#s92: FAIL Δ1641.93 · I/BRL#s94: FAIL Δ134204.26 · I/BRL#s95: FAIL Δ70967.26 · I/BRL#s96: FAIL Δ430818.26 · I/BRL#s97: FAIL Δ163378.23 · I/BRL#s98: FAIL Δ72853.68 · I/BRL#s99: FAIL Δ166091.21 · I/BRL#s100: FAIL Δ15099.49 · I/BRL#s101: FAIL Δ65809.74 · I/BRL#s102: FAIL Δ175054.22 · I/BRL#s103: FAIL Δ82897.72 · I/BRL#s104: FAIL Δ15760.25 · III/BRL#s106: FAIL Δ-31243.89 · III/BRL#s107: FAIL Δ1364077.75 · III/BRL#s108: FAIL Δ9868379.35 · III/BRL#s109: FAIL Δ4918382.24 · III/BRL#s110: FAIL Δ1430964.94 · IV/BRL#s111: FAIL Δ35587.72 · IV/BRL#s112: FAIL Δ34752.85 · IV/BRL#s113: FAIL Δ11333.06 · IV/BRL#s114: FAIL Δ1726.11</t>
        </is>
      </c>
      <c r="J986" t="inlineStr">
        <is>
          <t>proposta por WWS Services Prestadora de Serviços Ltda</t>
        </is>
      </c>
      <c r="K986" t="inlineStr">
        <is>
          <t>vtladm.com.br</t>
        </is>
      </c>
      <c r="L986" s="19" t="inlineStr">
        <is>
          <t>https://vtladm.com.br/wp-content/uploads/2024/02/06-Segundo-Edital-de-Credores-Wws-Services-Prestadora-de-Servicos-Ltda.pdf</t>
        </is>
      </c>
    </row>
    <row r="987">
      <c r="A987" t="inlineStr">
        <is>
          <t>07fd7dcdfc40</t>
        </is>
      </c>
      <c r="B987" t="inlineStr">
        <is>
          <t>1057555-04.2023.8.26.0114</t>
        </is>
      </c>
      <c r="C987" t="inlineStr">
        <is>
          <t>AJ_LIST</t>
        </is>
      </c>
      <c r="D987" t="inlineStr">
        <is>
          <t>QUARANTINED</t>
        </is>
      </c>
      <c r="E987" t="n">
        <v>14</v>
      </c>
      <c r="F987" t="inlineStr">
        <is>
          <t>TABLE</t>
        </is>
      </c>
      <c r="G987" t="inlineStr">
        <is>
          <t>TABLE_RULED</t>
        </is>
      </c>
      <c r="H987" t="inlineStr">
        <is>
          <t>I/BRL#s1: FAIL Δ134204.26 · I/BRL#s2: FAIL Δ70967.26 · I/BRL#s3: FAIL Δ430818.26 · I/BRL#s4: FAIL Δ163378.23 · I/BRL#s5: FAIL Δ72853.68 · I/BRL#s6: FAIL Δ166091.21 · I/BRL#s7: FAIL Δ15099.49 · I/BRL#s8: FAIL Δ65809.74 · I/BRL#s9: FAIL Δ175054.22 · I/BRL#s10: FAIL Δ82897.72 · I/BRL#s11: FAIL Δ15760.25 · III/BRL#s13: FAIL Δ-31243.89 · III/BRL#s14: FAIL Δ1364077.75 · III/BRL#s15: FAIL Δ9868379.35 · III/BRL#s16: FAIL Δ4918382.24 · III/BRL#s17: FAIL Δ1430964.94 · IV/BRL#s18: FAIL Δ35587.72 · IV/BRL#s19: FAIL Δ34752.85 · IV/BRL#s20: FAIL Δ11333.06 · IV/BRL#s21: FAIL Δ1726.11</t>
        </is>
      </c>
      <c r="J987" t="inlineStr">
        <is>
          <t>Wws Services Prestadora de Servicos Ltda. – VTL</t>
        </is>
      </c>
      <c r="K987" t="inlineStr">
        <is>
          <t>vtladm.com.br</t>
        </is>
      </c>
      <c r="L987" s="19" t="inlineStr">
        <is>
          <t>https://vtladm.com.br/wp-content/uploads/2024/02/08-–-Segunda-Relacao-de-Credores-–-WWS-Services-e-Worldwide.pdf</t>
        </is>
      </c>
    </row>
    <row r="988">
      <c r="A988" t="inlineStr">
        <is>
          <t>53122b3c23c0</t>
        </is>
      </c>
      <c r="B988" t="inlineStr">
        <is>
          <t>0043030-30.2025.8.16.0021</t>
        </is>
      </c>
      <c r="C988" t="inlineStr">
        <is>
          <t>AJ_LIST</t>
        </is>
      </c>
      <c r="D988" t="inlineStr">
        <is>
          <t>QUARANTINED</t>
        </is>
      </c>
      <c r="E988" t="n">
        <v>6</v>
      </c>
      <c r="F988" t="inlineStr">
        <is>
          <t>TABLE</t>
        </is>
      </c>
      <c r="G988" t="inlineStr">
        <is>
          <t>TABLE_BANDS</t>
        </is>
      </c>
      <c r="H988" t="inlineStr">
        <is>
          <t>I/BRL#s5: FAIL Δ99999.99 · III/BRL#s8: FAIL Δ10000000.00 · IV/BRL: PASS Δ0.00</t>
        </is>
      </c>
      <c r="I988" t="inlineStr">
        <is>
          <t>2025-12-17</t>
        </is>
      </c>
      <c r="J988" t="inlineStr">
        <is>
          <t>Marques Administrações Judiciais</t>
        </is>
      </c>
      <c r="K988" t="inlineStr">
        <is>
          <t>marquesadmjudicial.com.br</t>
        </is>
      </c>
      <c r="L988" s="19" t="inlineStr">
        <is>
          <t>https://marquesadmjudicial.com.br/sgc/download.php?file=files/processo_documento/processo_documento17295409012026_1_.pdf&amp;nome=Relação de Credores AJ</t>
        </is>
      </c>
    </row>
    <row r="989">
      <c r="A989" t="inlineStr">
        <is>
          <t>6dc26e2430e3</t>
        </is>
      </c>
      <c r="B989" t="inlineStr">
        <is>
          <t>0037411-27.2022.8.16.0021</t>
        </is>
      </c>
      <c r="C989" t="inlineStr">
        <is>
          <t>AJ_LIST</t>
        </is>
      </c>
      <c r="D989" t="inlineStr">
        <is>
          <t>QUARANTINED</t>
        </is>
      </c>
      <c r="E989" t="n">
        <v>21</v>
      </c>
      <c r="F989" t="inlineStr">
        <is>
          <t>TABLE</t>
        </is>
      </c>
      <c r="G989" t="inlineStr">
        <is>
          <t>TABLE_BANDS</t>
        </is>
      </c>
      <c r="H989" t="inlineStr">
        <is>
          <t>I/BRL#s5: PASS Δ0.00 · II/BRL#s7: PASS Δ0.00 · III/BRL#s9: FAIL Δ-5220857.11 · IV/BRL: FAIL Δ-1433645.22</t>
        </is>
      </c>
      <c r="I989" t="inlineStr">
        <is>
          <t>2022-11-17</t>
        </is>
      </c>
      <c r="J989" t="inlineStr">
        <is>
          <t>Marques Administrações Judiciais</t>
        </is>
      </c>
      <c r="K989" t="inlineStr">
        <is>
          <t>marquesadmjudicial.com.br</t>
        </is>
      </c>
      <c r="L989" s="19" t="inlineStr">
        <is>
          <t>https://marquesadmjudicial.com.br/sgc/download.php?file=files/processo_documento/processo_documento16561007032024_1_.pdf&amp;nome=Relação Nominal de Credores</t>
        </is>
      </c>
    </row>
    <row r="990">
      <c r="A990" t="inlineStr">
        <is>
          <t>8b9a4375b767</t>
        </is>
      </c>
      <c r="B990" t="inlineStr">
        <is>
          <t>0037411-27.2022.8.16.0021</t>
        </is>
      </c>
      <c r="C990" t="inlineStr">
        <is>
          <t>AJ_LIST</t>
        </is>
      </c>
      <c r="D990" t="inlineStr">
        <is>
          <t>QUARANTINED</t>
        </is>
      </c>
      <c r="E990" t="n">
        <v>21</v>
      </c>
      <c r="F990" t="inlineStr">
        <is>
          <t>TABLE</t>
        </is>
      </c>
      <c r="G990" t="inlineStr">
        <is>
          <t>TABLE_BANDS</t>
        </is>
      </c>
      <c r="H990" t="inlineStr">
        <is>
          <t>I/BRL#s5: FAIL Δ50197.97 · II/BRL#s7: PASS Δ0.00 · III/BRL#s9: FAIL Δ-10539614.80 · IV/BRL: FAIL Δ-1452387.15</t>
        </is>
      </c>
      <c r="I990" t="inlineStr">
        <is>
          <t>2022-11-17</t>
        </is>
      </c>
      <c r="J990" t="inlineStr">
        <is>
          <t>Marques Administrações Judiciais</t>
        </is>
      </c>
      <c r="K990" t="inlineStr">
        <is>
          <t>marquesadmjudicial.com.br</t>
        </is>
      </c>
      <c r="L990" s="19" t="inlineStr">
        <is>
          <t>https://marquesadmjudicial.com.br/sgc/download.php?file=files/processo_documento/processo_documento11330206042026_1_.pdf&amp;nome=Relação Nominal de Credores Retificada</t>
        </is>
      </c>
    </row>
    <row r="991">
      <c r="A991" t="inlineStr">
        <is>
          <t>dfc3207dcd0f</t>
        </is>
      </c>
      <c r="B991" t="inlineStr">
        <is>
          <t>0001943-40.2024.8.16.0115</t>
        </is>
      </c>
      <c r="C991" t="inlineStr">
        <is>
          <t>AJ_LIST</t>
        </is>
      </c>
      <c r="D991" t="inlineStr">
        <is>
          <t>QUARANTINED</t>
        </is>
      </c>
      <c r="E991" t="n">
        <v>8</v>
      </c>
      <c r="F991" t="inlineStr">
        <is>
          <t>TABLE</t>
        </is>
      </c>
      <c r="G991" t="inlineStr">
        <is>
          <t>TABLE_BANDS</t>
        </is>
      </c>
      <c r="H991" t="inlineStr">
        <is>
          <t>I/BRL#s5: FAIL Δ100000.00 · III/BRL#s8: PASS Δ0.00 · IV/BRL#s10: FAIL Δ500000.00</t>
        </is>
      </c>
      <c r="I991" t="inlineStr">
        <is>
          <t>2024-11-08</t>
        </is>
      </c>
      <c r="J991" t="inlineStr">
        <is>
          <t>Marques Administrações Judiciais</t>
        </is>
      </c>
      <c r="K991" t="inlineStr">
        <is>
          <t>marquesadmjudicial.com.br</t>
        </is>
      </c>
      <c r="L991" s="19" t="inlineStr">
        <is>
          <t>https://marquesadmjudicial.com.br/sgc/download.php?file=files/processo_documento/processo_documento20014127022025_1_.pdf&amp;nome=Relação Nominal de Credores</t>
        </is>
      </c>
    </row>
    <row r="992">
      <c r="A992" t="inlineStr">
        <is>
          <t>b1a9f73b4c11</t>
        </is>
      </c>
      <c r="B992" t="inlineStr">
        <is>
          <t>0000410-68.2021.8.16.0174</t>
        </is>
      </c>
      <c r="C992" t="inlineStr">
        <is>
          <t>AJ_LIST</t>
        </is>
      </c>
      <c r="D992" t="inlineStr">
        <is>
          <t>QUARANTINED</t>
        </is>
      </c>
      <c r="E992" t="n">
        <v>20</v>
      </c>
      <c r="F992" t="inlineStr">
        <is>
          <t>TABLE</t>
        </is>
      </c>
      <c r="G992" t="inlineStr">
        <is>
          <t>TABLE_BANDS</t>
        </is>
      </c>
      <c r="H992" t="inlineStr">
        <is>
          <t>IV/BRL#s4: FAIL Δ-2416777.59 · III/BRL#s10: PASS Δ0.00 · I/BRL: FAIL Δ-6677671.85 · II/BRL: FAIL Δ-150000.00</t>
        </is>
      </c>
      <c r="I992" t="inlineStr">
        <is>
          <t>2021-01-22</t>
        </is>
      </c>
      <c r="J992" t="inlineStr">
        <is>
          <t>Marques Administrações Judiciais</t>
        </is>
      </c>
      <c r="K992" t="inlineStr">
        <is>
          <t>marquesadmjudicial.com.br</t>
        </is>
      </c>
      <c r="L992" s="19" t="inlineStr">
        <is>
          <t>https://marquesadmjudicial.com.br/sgc/download.php?file=files/processo_documento/processo_documento15232121112024_1_.pdf&amp;nome=Relação de Credores</t>
        </is>
      </c>
    </row>
    <row r="993">
      <c r="A993" t="inlineStr">
        <is>
          <t>1209dafe77b7</t>
        </is>
      </c>
      <c r="B993" t="inlineStr">
        <is>
          <t>0003971-03.2023.8.16.0119</t>
        </is>
      </c>
      <c r="C993" t="inlineStr">
        <is>
          <t>AJ_LIST</t>
        </is>
      </c>
      <c r="D993" t="inlineStr">
        <is>
          <t>QUARANTINED</t>
        </is>
      </c>
      <c r="E993" t="n">
        <v>18</v>
      </c>
      <c r="F993" t="inlineStr">
        <is>
          <t>TABLE</t>
        </is>
      </c>
      <c r="G993" t="inlineStr">
        <is>
          <t>TABLE_BANDS</t>
        </is>
      </c>
      <c r="H993" t="inlineStr">
        <is>
          <t>I/BRL#s5: FAIL Δ9577.48 · III/BRL#s8: PASS Δ0.00 · IV/BRL#s10: PASS Δ0.00</t>
        </is>
      </c>
      <c r="I993" t="inlineStr">
        <is>
          <t>2024-05-27</t>
        </is>
      </c>
      <c r="J993" t="inlineStr">
        <is>
          <t>Marques Administrações Judiciais</t>
        </is>
      </c>
      <c r="K993" t="inlineStr">
        <is>
          <t>marquesadmjudicial.com.br</t>
        </is>
      </c>
      <c r="L993" s="19" t="inlineStr">
        <is>
          <t>https://marquesadmjudicial.com.br/sgc/download.php?file=files/processo_documento/processo_documento17040729052024_1_.pdf&amp;nome=Relação Nominal de Credores AJ-Sintética</t>
        </is>
      </c>
    </row>
    <row r="994">
      <c r="A994" t="inlineStr">
        <is>
          <t>ae2b8f9e9222</t>
        </is>
      </c>
      <c r="B994" t="inlineStr">
        <is>
          <t>0003971-03.2023.8.16.0119</t>
        </is>
      </c>
      <c r="C994" t="inlineStr">
        <is>
          <t>AJ_LIST</t>
        </is>
      </c>
      <c r="D994" t="inlineStr">
        <is>
          <t>QUARANTINED</t>
        </is>
      </c>
      <c r="E994" t="n">
        <v>70</v>
      </c>
      <c r="F994" t="inlineStr">
        <is>
          <t>TABLE</t>
        </is>
      </c>
      <c r="G994" t="inlineStr">
        <is>
          <t>TABLE_BANDS</t>
        </is>
      </c>
      <c r="H994" t="inlineStr">
        <is>
          <t>I/BRL#s5: PASS Δ0.00 · I/BRL#s6: PASS Δ0.00 · I/BRL#s7: PASS Δ0.00 · I/BRL#s8: PASS Δ0.00 · I/BRL#s9: PASS Δ0.00 · I/BRL#s10: PASS Δ0.00 · I/BRL#s11: PASS Δ0.00 · I/BRL#s12: PASS Δ0.00 · I/BRL#s13: FAIL Δ622768.26 · I/BRL#s14: PASS Δ0.00 · I/BRL#s15: PASS Δ0.00 · I/BRL#s16: PASS Δ0.00 · I/BRL#s17: PASS Δ0.00 · I/BRL#s18: PASS Δ0.00 · I/BRL#s19: PASS Δ0.00 · I/BRL#s20: PASS Δ0.00 · I/BRL#s21: PASS Δ0.00 · I/BRL#s22: PASS Δ0.00 · I/BRL#s23: PASS Δ0.00 · I/BRL#s24: PASS Δ0.00 · I/BRL#s25: PASS Δ0.00 · I/BRL#s26: PASS Δ0.00 · I/BRL#s27: PASS Δ0.00 · I/BRL#s28: PASS Δ0.00 · I/BRL#s29: PASS Δ0.00 · I/BRL#s30: PASS Δ0.00 · I/BRL#s31: PASS Δ0.00 · I/BRL#s32: PASS Δ0.00 · I/BRL#s33: PASS Δ0.00 · I/BRL#s34: PASS Δ0.00 · I/BRL#s35: PASS Δ0.00 · I/BRL#s36: PASS Δ0.00 · I/BRL#s37: PASS Δ0.00 · I/BRL#s38: PASS Δ0.00 · I/BRL#s39: PASS Δ0.00 · I/BRL#s40: PASS Δ0.00 · I/BRL#s41: PASS Δ0.00 · I/BRL#s42: PASS Δ0.00 · I/BRL#s43: PASS Δ0.00 · I/BRL#s44: PASS Δ0.00 · I/BRL#s45: PASS Δ0.00 · I/BRL#s46: PASS Δ0.00 · I/BRL#s47: PASS Δ0.00 · I/BRL#s48: PASS Δ0.00 · I/BRL#s49: PASS Δ0.00 · I/BRL#s50: PASS Δ0.00 · I/BRL#s51: PASS Δ0.00 · IV/BRL#s79: FAIL Δ-1270142.65 · III/BRL: FAIL Δ-39653118.93</t>
        </is>
      </c>
      <c r="I994" t="inlineStr">
        <is>
          <t>2024-05-27</t>
        </is>
      </c>
      <c r="J994" t="inlineStr">
        <is>
          <t>Marques Administrações Judiciais</t>
        </is>
      </c>
      <c r="K994" t="inlineStr">
        <is>
          <t>marquesadmjudicial.com.br</t>
        </is>
      </c>
      <c r="L994" s="19" t="inlineStr">
        <is>
          <t>https://marquesadmjudicial.com.br/sgc/download.php?file=files/processo_documento/processo_documento17043029052024_1_.pdf&amp;nome=Relação Nominal de Credores AJ-Analítica</t>
        </is>
      </c>
    </row>
    <row r="995">
      <c r="A995" t="inlineStr">
        <is>
          <t>341bab0580f4</t>
        </is>
      </c>
      <c r="B995" t="inlineStr">
        <is>
          <t>0000357-17.2024.8.16.0131</t>
        </is>
      </c>
      <c r="C995" t="inlineStr">
        <is>
          <t>AJ_LIST</t>
        </is>
      </c>
      <c r="D995" t="inlineStr">
        <is>
          <t>QUARANTINED</t>
        </is>
      </c>
      <c r="E995" t="n">
        <v>16</v>
      </c>
      <c r="F995" t="inlineStr">
        <is>
          <t>TABLE</t>
        </is>
      </c>
      <c r="G995" t="inlineStr">
        <is>
          <t>TABLE_BANDS</t>
        </is>
      </c>
      <c r="H995" t="inlineStr">
        <is>
          <t>I/BRL#s5: PASS Δ0.00 · III/BRL: FAIL Δ-14690545.61 · IV/BRL: FAIL Δ-1080000.00</t>
        </is>
      </c>
      <c r="I995" t="inlineStr">
        <is>
          <t>2024-01-12</t>
        </is>
      </c>
      <c r="J995" t="inlineStr">
        <is>
          <t>Marques Administrações Judiciais</t>
        </is>
      </c>
      <c r="K995" t="inlineStr">
        <is>
          <t>marquesadmjudicial.com.br</t>
        </is>
      </c>
      <c r="L995" s="19" t="inlineStr">
        <is>
          <t>https://marquesadmjudicial.com.br/sgc/download.php?file=files/processo_documento/processo_documento10231312042024_1_.pdf&amp;nome=Relação Nominal de Credores AJ</t>
        </is>
      </c>
    </row>
    <row r="996">
      <c r="A996" t="inlineStr">
        <is>
          <t>a9431b5b0515</t>
        </is>
      </c>
      <c r="B996" t="inlineStr">
        <is>
          <t>0008897-71.2025.8.16.0017</t>
        </is>
      </c>
      <c r="C996" t="inlineStr">
        <is>
          <t>AJ_LIST</t>
        </is>
      </c>
      <c r="D996" t="inlineStr">
        <is>
          <t>QUARANTINED</t>
        </is>
      </c>
      <c r="E996" t="n">
        <v>19</v>
      </c>
      <c r="F996" t="inlineStr">
        <is>
          <t>TABLE</t>
        </is>
      </c>
      <c r="G996" t="inlineStr">
        <is>
          <t>TABLE_BANDS</t>
        </is>
      </c>
      <c r="H996" t="inlineStr">
        <is>
          <t>IV/BRL#s4: FAIL Δ224279.98 · III/BRL#s8: FAIL Δ10000000.00 · IV/BRL#s10: FAIL Δ100000.00 · I/BRL: FAIL Δ-27647.50</t>
        </is>
      </c>
      <c r="I996" t="inlineStr">
        <is>
          <t>2025-08-01</t>
        </is>
      </c>
      <c r="J996" t="inlineStr">
        <is>
          <t>Marques Administrações Judiciais</t>
        </is>
      </c>
      <c r="K996" t="inlineStr">
        <is>
          <t>marquesadmjudicial.com.br</t>
        </is>
      </c>
      <c r="L996" s="19" t="inlineStr">
        <is>
          <t>https://marquesadmjudicial.com.br/sgc/download.php?file=files/processo_documento/processo_documento09453022082025_1_.pdf&amp;nome=Relação Nominal de Credores AJ</t>
        </is>
      </c>
    </row>
    <row r="997">
      <c r="A997" t="inlineStr">
        <is>
          <t>b465a5d11eec</t>
        </is>
      </c>
      <c r="B997" t="inlineStr">
        <is>
          <t>0005010-98.2023.8.16.0001</t>
        </is>
      </c>
      <c r="C997" t="inlineStr">
        <is>
          <t>AJ_LIST</t>
        </is>
      </c>
      <c r="D997" t="inlineStr">
        <is>
          <t>QUARANTINED</t>
        </is>
      </c>
      <c r="E997" t="n">
        <v>35</v>
      </c>
      <c r="F997" t="inlineStr">
        <is>
          <t>TABLE</t>
        </is>
      </c>
      <c r="G997" t="inlineStr">
        <is>
          <t>TABLE_BANDS</t>
        </is>
      </c>
      <c r="H997" t="inlineStr">
        <is>
          <t>III/BRL#s7: PASS Δ-0.01 · IV/BRL#s9: FAIL Δ-150000.00 · I/BRL: PASS Δ0.03</t>
        </is>
      </c>
      <c r="I997" t="inlineStr">
        <is>
          <t>2023-03-02</t>
        </is>
      </c>
      <c r="J997" t="inlineStr">
        <is>
          <t>Marques Administrações Judiciais</t>
        </is>
      </c>
      <c r="K997" t="inlineStr">
        <is>
          <t>marquesadmjudicial.com.br</t>
        </is>
      </c>
      <c r="L997" s="19" t="inlineStr">
        <is>
          <t>https://marquesadmjudicial.com.br/sgc/download.php?file=files/processo_documento/processo_documento15293208032024_1_.pdf&amp;nome=Relação Nominal de Credores da AJ-Sintética</t>
        </is>
      </c>
    </row>
    <row r="998">
      <c r="A998" t="inlineStr">
        <is>
          <t>e5759eaea27d</t>
        </is>
      </c>
      <c r="B998" t="inlineStr">
        <is>
          <t>0012245-43.2022.8.16.0069</t>
        </is>
      </c>
      <c r="C998" t="inlineStr">
        <is>
          <t>AJ_LIST</t>
        </is>
      </c>
      <c r="D998" t="inlineStr">
        <is>
          <t>QUARANTINED</t>
        </is>
      </c>
      <c r="E998" t="n">
        <v>19</v>
      </c>
      <c r="F998" t="inlineStr">
        <is>
          <t>TABLE</t>
        </is>
      </c>
      <c r="G998" t="inlineStr">
        <is>
          <t>TABLE_BANDS</t>
        </is>
      </c>
      <c r="H998" t="inlineStr">
        <is>
          <t>I/BRL#s5: PASS Δ0.00 · IV/BRL#s10: PASS Δ0.00 · III/BRL: FAIL Δ-32707915.63</t>
        </is>
      </c>
      <c r="I998" t="inlineStr">
        <is>
          <t>2022-12-06</t>
        </is>
      </c>
      <c r="J998" t="inlineStr">
        <is>
          <t>Marques Administrações Judiciais</t>
        </is>
      </c>
      <c r="K998" t="inlineStr">
        <is>
          <t>marquesadmjudicial.com.br</t>
        </is>
      </c>
      <c r="L998" s="19" t="inlineStr">
        <is>
          <t>https://marquesadmjudicial.com.br/sgc/download.php?file=files/processo_documento/processo_documento15414008032024_1_.pdf&amp;nome=Relação Nominal de Credores da AJ - art. 7º, §2º, da Lei 11.101_2005</t>
        </is>
      </c>
    </row>
    <row r="999">
      <c r="A999" t="inlineStr">
        <is>
          <t>ba2c48dd360d</t>
        </is>
      </c>
      <c r="B999" t="inlineStr">
        <is>
          <t>0012245-43.2022.8.16.0069</t>
        </is>
      </c>
      <c r="C999" t="inlineStr">
        <is>
          <t>AJ_LIST</t>
        </is>
      </c>
      <c r="D999" t="inlineStr">
        <is>
          <t>QUARANTINED</t>
        </is>
      </c>
      <c r="E999" t="n">
        <v>16</v>
      </c>
      <c r="F999" t="inlineStr">
        <is>
          <t>TABLE</t>
        </is>
      </c>
      <c r="G999" t="inlineStr">
        <is>
          <t>TABLE_BANDS</t>
        </is>
      </c>
      <c r="H999" t="inlineStr">
        <is>
          <t>I/BRL#s5: PASS Δ0.00 · III/BRL#s8: FAIL Δ-11339729.19 · IV/BRL#s10: FAIL Δ-1053647.56</t>
        </is>
      </c>
      <c r="I999" t="inlineStr">
        <is>
          <t>2022-12-06</t>
        </is>
      </c>
      <c r="J999" t="inlineStr">
        <is>
          <t>Marques Administrações Judiciais</t>
        </is>
      </c>
      <c r="K999" t="inlineStr">
        <is>
          <t>marquesadmjudicial.com.br</t>
        </is>
      </c>
      <c r="L999" s="19" t="inlineStr">
        <is>
          <t>https://marquesadmjudicial.com.br/sgc/download.php?file=files/processo_documento/processo_documento09354208072024_1_.pdf&amp;nome=Relação Nominal de Credores Atualizada</t>
        </is>
      </c>
    </row>
    <row r="1000">
      <c r="A1000" t="inlineStr">
        <is>
          <t>739e29399ac0</t>
        </is>
      </c>
      <c r="B1000" t="inlineStr">
        <is>
          <t>0044747-14.2024.8.16.0021</t>
        </is>
      </c>
      <c r="C1000" t="inlineStr">
        <is>
          <t>AJ_LIST</t>
        </is>
      </c>
      <c r="D1000" t="inlineStr">
        <is>
          <t>QUARANTINED</t>
        </is>
      </c>
      <c r="E1000" t="n">
        <v>5</v>
      </c>
      <c r="F1000" t="inlineStr">
        <is>
          <t>TABLE</t>
        </is>
      </c>
      <c r="G1000" t="inlineStr">
        <is>
          <t>TABLE_BANDS</t>
        </is>
      </c>
      <c r="H1000" t="inlineStr">
        <is>
          <t>II/BRL#s6: PASS Δ0.00 · III/BRL#s8: PASS Δ0.00 · IV/BRL: FAIL Δ-58415174.24</t>
        </is>
      </c>
      <c r="I1000" t="inlineStr">
        <is>
          <t>2025-03-21</t>
        </is>
      </c>
      <c r="J1000" t="inlineStr">
        <is>
          <t>Marques Administrações Judiciais</t>
        </is>
      </c>
      <c r="K1000" t="inlineStr">
        <is>
          <t>marquesadmjudicial.com.br</t>
        </is>
      </c>
      <c r="L1000" s="19" t="inlineStr">
        <is>
          <t>https://marquesadmjudicial.com.br/sgc/download.php?file=files/processo_documento/processo_documento09391327032025_1_.pdf&amp;nome=Relação Nominal de Credores AJ</t>
        </is>
      </c>
    </row>
    <row r="1001">
      <c r="A1001" t="inlineStr">
        <is>
          <t>d62422ae75e7</t>
        </is>
      </c>
      <c r="B1001" t="inlineStr">
        <is>
          <t>0029198-39.2025.8.16.0017</t>
        </is>
      </c>
      <c r="C1001" t="inlineStr">
        <is>
          <t>AJ_LIST</t>
        </is>
      </c>
      <c r="D1001" t="inlineStr">
        <is>
          <t>QUARANTINED</t>
        </is>
      </c>
      <c r="E1001" t="n">
        <v>7</v>
      </c>
      <c r="F1001" t="inlineStr">
        <is>
          <t>TABLE</t>
        </is>
      </c>
      <c r="G1001" t="inlineStr">
        <is>
          <t>TABLE_BANDS</t>
        </is>
      </c>
      <c r="H1001" t="inlineStr">
        <is>
          <t>I/BRL#s5: PASS Δ0.00 · II/BRL#s7: PASS Δ0.00 · IV/BRL#s11: PASS Δ0.00 · III/BRL: FAIL Δ-34590916.68</t>
        </is>
      </c>
      <c r="I1001" t="inlineStr">
        <is>
          <t>2026-03-12</t>
        </is>
      </c>
      <c r="J1001" t="inlineStr">
        <is>
          <t>Marques Administrações Judiciais</t>
        </is>
      </c>
      <c r="K1001" t="inlineStr">
        <is>
          <t>marquesadmjudicial.com.br</t>
        </is>
      </c>
      <c r="L1001" s="19" t="inlineStr">
        <is>
          <t>https://marquesadmjudicial.com.br/sgc/download.php?file=files/processo_documento/processo_documento14104723032026_1_.pdf&amp;nome=Relação Nominal de Credores</t>
        </is>
      </c>
    </row>
    <row r="1002">
      <c r="A1002" t="inlineStr">
        <is>
          <t>c34ffcd97439</t>
        </is>
      </c>
      <c r="B1002" t="inlineStr">
        <is>
          <t>8054910-22.2020.8.05.0001</t>
        </is>
      </c>
      <c r="C1002" t="inlineStr">
        <is>
          <t>AJ_LIST</t>
        </is>
      </c>
      <c r="D1002" t="inlineStr">
        <is>
          <t>QUARANTINED</t>
        </is>
      </c>
      <c r="E1002" t="n">
        <v>4</v>
      </c>
      <c r="F1002" t="inlineStr">
        <is>
          <t>TABLE</t>
        </is>
      </c>
      <c r="G1002" t="inlineStr">
        <is>
          <t>TABLE_RULED</t>
        </is>
      </c>
      <c r="H1002" t="inlineStr">
        <is>
          <t>III/BRL#s1: PASS Δ0.00 · I/BRL#s3: FAIL Δ-2197292.17</t>
        </is>
      </c>
      <c r="I1002" t="inlineStr">
        <is>
          <t>2025-07-16</t>
        </is>
      </c>
      <c r="J1002" t="inlineStr">
        <is>
          <t>apresentado pelas empresa</t>
        </is>
      </c>
      <c r="K1002" t="inlineStr">
        <is>
          <t>realbrasil.com.br</t>
        </is>
      </c>
      <c r="L1002" s="19" t="inlineStr">
        <is>
          <t>https://realbrasil.com.br/wp-content/uploads/2025/07/6.LISTA-DE-CREDORES-DO-AJ.pdf</t>
        </is>
      </c>
    </row>
    <row r="1003">
      <c r="A1003" t="inlineStr">
        <is>
          <t>569911456b8f</t>
        </is>
      </c>
      <c r="B1003" t="inlineStr">
        <is>
          <t>0800811-68.2020.8.12.0016</t>
        </is>
      </c>
      <c r="C1003" t="inlineStr">
        <is>
          <t>AJ_LIST</t>
        </is>
      </c>
      <c r="D1003" t="inlineStr">
        <is>
          <t>QUARANTINED</t>
        </is>
      </c>
      <c r="E1003" t="n">
        <v>21</v>
      </c>
      <c r="F1003" t="inlineStr">
        <is>
          <t>TABLE</t>
        </is>
      </c>
      <c r="G1003" t="inlineStr">
        <is>
          <t>TABLE_RULED</t>
        </is>
      </c>
      <c r="H1003" t="inlineStr">
        <is>
          <t>II/BRL: FAIL Δ-18603767.60</t>
        </is>
      </c>
      <c r="I1003" t="inlineStr">
        <is>
          <t>2020-09-11</t>
        </is>
      </c>
      <c r="J1003" t="inlineStr">
        <is>
          <t>CREDOR VALOR RELAÇÃO AJ CLASSIFICAÇÃO MEGA MÁQUINAS EIRELI</t>
        </is>
      </c>
      <c r="K1003" t="inlineStr">
        <is>
          <t>realbrasil.com.br</t>
        </is>
      </c>
      <c r="L1003" s="19" t="inlineStr">
        <is>
          <t>https://realbrasil.com.br/wp-content/uploads/2020/11/QUADRO-DE-CREDORES-RETIFICADO.pdf</t>
        </is>
      </c>
    </row>
    <row r="1004">
      <c r="A1004" t="inlineStr">
        <is>
          <t>c81568ca1cae</t>
        </is>
      </c>
      <c r="B1004" t="inlineStr">
        <is>
          <t>0002888-23.2018.8.19.0028</t>
        </is>
      </c>
      <c r="C1004" t="inlineStr">
        <is>
          <t>AJ_LIST</t>
        </is>
      </c>
      <c r="D1004" t="inlineStr">
        <is>
          <t>QUARANTINED</t>
        </is>
      </c>
      <c r="E1004" t="n">
        <v>9</v>
      </c>
      <c r="F1004" t="inlineStr">
        <is>
          <t>TABLE</t>
        </is>
      </c>
      <c r="G1004" t="inlineStr">
        <is>
          <t>TABLE_RULED</t>
        </is>
      </c>
      <c r="H1004" t="inlineStr">
        <is>
          <t>I/BRL#s5: FAIL Δ-1350729.60 · I/BRL#s6: PASS Δ0.00 · III/BRL#s8: PASS Δ0.00 · III/BRL#s9: PASS Δ0.00</t>
        </is>
      </c>
      <c r="J1004" t="inlineStr">
        <is>
          <t>Paragon Offshore - Real Brasil Consultoria</t>
        </is>
      </c>
      <c r="K1004" t="inlineStr">
        <is>
          <t>realbrasil.com.br</t>
        </is>
      </c>
      <c r="L1004" s="19" t="inlineStr">
        <is>
          <t>https://realbrasil.com.br/wp-content/uploads/2025/09/1.QUADRO-GERAL-DE-CREDORES_RETIFICADO.pdf</t>
        </is>
      </c>
    </row>
    <row r="1005">
      <c r="A1005" t="inlineStr">
        <is>
          <t>1164ce1f41f8</t>
        </is>
      </c>
      <c r="B1005" t="inlineStr">
        <is>
          <t>0840917-59.2016.8.12.0001</t>
        </is>
      </c>
      <c r="C1005" t="inlineStr">
        <is>
          <t>AJ_LIST</t>
        </is>
      </c>
      <c r="D1005" t="inlineStr">
        <is>
          <t>QUARANTINED</t>
        </is>
      </c>
      <c r="E1005" t="n">
        <v>24</v>
      </c>
      <c r="F1005" t="inlineStr">
        <is>
          <t>TABLE</t>
        </is>
      </c>
      <c r="G1005" t="inlineStr">
        <is>
          <t>TABLE_RULED</t>
        </is>
      </c>
      <c r="H1005" t="inlineStr">
        <is>
          <t>IV/BRL#s18: PASS Δ0.00 · I/BRL: PASS Δ0.00 · III/BRL: PASS Δ0.00 · II/BRL: FAIL Δ2411634.80</t>
        </is>
      </c>
      <c r="J1005" t="inlineStr">
        <is>
          <t>empresa</t>
        </is>
      </c>
      <c r="K1005" t="inlineStr">
        <is>
          <t>realbrasil.com.br</t>
        </is>
      </c>
      <c r="L1005" s="19" t="inlineStr">
        <is>
          <t>https://realbrasil.com.br/wp-content/uploads/2017/04/8-QGC-Comafer.pdf</t>
        </is>
      </c>
    </row>
    <row r="1006">
      <c r="A1006" t="inlineStr">
        <is>
          <t>6cc16628b12b</t>
        </is>
      </c>
      <c r="B1006" t="inlineStr">
        <is>
          <t>5012487-62.2024.8.24.0023</t>
        </is>
      </c>
      <c r="C1006" t="inlineStr">
        <is>
          <t>AJ_LIST</t>
        </is>
      </c>
      <c r="D1006" t="inlineStr">
        <is>
          <t>QUARANTINED</t>
        </is>
      </c>
      <c r="E1006" t="n">
        <v>41</v>
      </c>
      <c r="F1006" t="inlineStr">
        <is>
          <t>TABLE</t>
        </is>
      </c>
      <c r="G1006" t="inlineStr">
        <is>
          <t>TABLE_BANDS</t>
        </is>
      </c>
      <c r="H1006" t="inlineStr">
        <is>
          <t>IV/BRL#s9: FAIL Δ1650.00 · IV/BRL#s10: PASS Δ-148.50 · IV/BRL#s11: PASS Δ-800.17 · IV/BRL#s12: PASS Δ361.00 · I/BRL#s22: PASS Δ-12.44 · IV/BRL#s25: FAIL Δ-1032.00 · III/BRL: PASS Δ-206.54</t>
        </is>
      </c>
      <c r="J1006" t="inlineStr">
        <is>
          <t>em epígrafe, em que são Recuperandas as empresa</t>
        </is>
      </c>
      <c r="K1006" t="inlineStr">
        <is>
          <t>credibilita.com.br</t>
        </is>
      </c>
      <c r="L1006" s="19" t="inlineStr">
        <is>
          <t>https://credibilita.com.br/wp-content/uploads/2024/02/13.-Lista-de-credores-do-Art.-7o-§2o-apresentada-por-esta-Administradora-Judicial-13.08.2024.pdf</t>
        </is>
      </c>
    </row>
    <row r="1007">
      <c r="A1007" t="inlineStr">
        <is>
          <t>2494258a3ffd</t>
        </is>
      </c>
      <c r="B1007" t="inlineStr">
        <is>
          <t>5024222-97.2021.8.24.0023</t>
        </is>
      </c>
      <c r="C1007" t="inlineStr">
        <is>
          <t>AJ_LIST</t>
        </is>
      </c>
      <c r="D1007" t="inlineStr">
        <is>
          <t>QUARANTINED</t>
        </is>
      </c>
      <c r="E1007" t="n">
        <v>40</v>
      </c>
      <c r="F1007" t="inlineStr">
        <is>
          <t>TABLE</t>
        </is>
      </c>
      <c r="G1007" t="inlineStr">
        <is>
          <t>TABLE_BANDS</t>
        </is>
      </c>
      <c r="H1007" t="inlineStr">
        <is>
          <t>IV/BRL#s18: FAIL Δ2260.99 · IV/BRL#s19: PASS Δ-514.83 · IV/BRL#s20: PASS Δ100.00 · IV/BRL#s21: PASS Δ-370.00 · IV/BRL#s22: PASS Δ-850.02 · I/BRL: PASS Δ-125.00 · III/BRL: PASS Δ-70.73</t>
        </is>
      </c>
      <c r="I1007" t="inlineStr">
        <is>
          <t>2021-10-19</t>
        </is>
      </c>
      <c r="J1007" t="inlineStr">
        <is>
          <t>Figueirense Futebol Clube – Recuperação Extrajudicial | Administração Judicial - Credibilità</t>
        </is>
      </c>
      <c r="K1007" t="inlineStr">
        <is>
          <t>credibilita.com.br</t>
        </is>
      </c>
      <c r="L1007" s="19" t="inlineStr">
        <is>
          <t>https://credibilita.com.br/wp-content/uploads/2023/08/21-processo-figueirense-adm.j-lista-credores.pdf</t>
        </is>
      </c>
    </row>
    <row r="1008">
      <c r="A1008" t="inlineStr">
        <is>
          <t>b8a8046d9b21</t>
        </is>
      </c>
      <c r="B1008" t="inlineStr">
        <is>
          <t>0006015-27.2016.8.16.0026</t>
        </is>
      </c>
      <c r="C1008" t="inlineStr">
        <is>
          <t>AJ_LIST</t>
        </is>
      </c>
      <c r="D1008" t="inlineStr">
        <is>
          <t>QUARANTINED</t>
        </is>
      </c>
      <c r="E1008" t="n">
        <v>27</v>
      </c>
      <c r="F1008" t="inlineStr">
        <is>
          <t>TABLE</t>
        </is>
      </c>
      <c r="G1008" t="inlineStr">
        <is>
          <t>TABLE_BANDS</t>
        </is>
      </c>
      <c r="H1008" t="inlineStr">
        <is>
          <t>I/BRL: FAIL Δ13019514.70 · II/BRL: FAIL Δ1492453.02 · III/BRL: FAIL Δ39960467.57 · IV/BRL: FAIL Δ1070854.89</t>
        </is>
      </c>
      <c r="I1008" t="inlineStr">
        <is>
          <t>2017-01-20</t>
        </is>
      </c>
      <c r="J1008" t="inlineStr">
        <is>
          <t>Grupo Schmidt | Administração Judicial - Credibilità</t>
        </is>
      </c>
      <c r="K1008" t="inlineStr">
        <is>
          <t>credibilita.com.br</t>
        </is>
      </c>
      <c r="L1008" s="19" t="inlineStr">
        <is>
          <t>https://credibilita.com.br/wp-content/uploads/2023/08/SCHMIDT-MOV-234-RELACAO-DE-CREDORES-ART.-52-1o-20-01-2017.pdf</t>
        </is>
      </c>
    </row>
    <row r="1009">
      <c r="A1009" t="inlineStr">
        <is>
          <t>0c6b459780fc</t>
        </is>
      </c>
      <c r="B1009" t="inlineStr">
        <is>
          <t>0928454-54.2023.8.19.0001</t>
        </is>
      </c>
      <c r="C1009" t="inlineStr">
        <is>
          <t>AJ_LIST</t>
        </is>
      </c>
      <c r="D1009" t="inlineStr">
        <is>
          <t>QUARANTINED</t>
        </is>
      </c>
      <c r="E1009" t="n">
        <v>6</v>
      </c>
      <c r="F1009" t="inlineStr">
        <is>
          <t>TABLE</t>
        </is>
      </c>
      <c r="G1009" t="inlineStr">
        <is>
          <t>TABLE_RULED</t>
        </is>
      </c>
      <c r="H1009" t="inlineStr">
        <is>
          <t>III/BRL#s3: FAIL Δ-31106.48 · I/BRL: PASS Δ-421.00 · II/BRL: FAIL Δ-202115.63 · IV/BRL: PASS Δ-75.00</t>
        </is>
      </c>
      <c r="J1009" t="inlineStr">
        <is>
          <t>Grupo Concal – Processo nº 0928454-54.2023.8.19.0001 – e-mail: admjudconcal@inova-aj.com.br – INOVA</t>
        </is>
      </c>
      <c r="K1009" t="inlineStr">
        <is>
          <t>inova-aj.com.br</t>
        </is>
      </c>
      <c r="L1009" s="19" t="inlineStr">
        <is>
          <t>https://inova-aj.com.br/wp-content/uploads/2024/01/Relacao-de-Credores-Art.-7o-§-2o.pdf</t>
        </is>
      </c>
    </row>
    <row r="1010">
      <c r="A1010" t="inlineStr">
        <is>
          <t>f0b65b7b5f6b</t>
        </is>
      </c>
      <c r="B1010" t="inlineStr">
        <is>
          <t>5001743-15.2025.8.08.0024</t>
        </is>
      </c>
      <c r="C1010" t="inlineStr">
        <is>
          <t>AJ_LIST</t>
        </is>
      </c>
      <c r="D1010" t="inlineStr">
        <is>
          <t>QUARANTINED</t>
        </is>
      </c>
      <c r="E1010" t="n">
        <v>48</v>
      </c>
      <c r="F1010" t="inlineStr">
        <is>
          <t>TABLE</t>
        </is>
      </c>
      <c r="G1010" t="inlineStr">
        <is>
          <t>TABLE_RULED</t>
        </is>
      </c>
      <c r="H1010" t="inlineStr">
        <is>
          <t>I/BRL#s1: PASS Δ0.00 · II/BRL#s3: PASS Δ0.00 · III/BRL#s5: PASS Δ0.00 · IV/BRL#s7: PASS Δ0.00 · IV/BRL#s12: FAIL Δ20671732.05 · III/BRL#s13: FAIL Δ-6598819.85 · III/BRL#s14: PASS Δ0.00 · III/BRL#s15: PASS Δ0.00 · III/BRL#s16: FAIL Δ-3181.67 · III/BRL#s20: PASS Δ-448.76 · III/BRL#s22: FAIL Δ-2286286.76 · III/BRL#s24: FAIL Δ-45934.80 · III/BRL#s25: FAIL Δ-26400.00 · III/BRL#s26: PASS Δ0.00 · III/BRL#s27: FAIL Δ-3620.74 · III/BRL#s28: FAIL Δ49082.22 · III/BRL#s30: FAIL Δ-12253.05 · IV/BRL#s31: PASS Δ0.00 · III/BRL#s32: FAIL Δ-2049.88 · IV/BRL#s33: FAIL Δ-11323.58 · IV/BRL#s35: FAIL Δ-25616.15 · IV/BRL#s37: FAIL Δ-8141.65 · IV/BRL#s40: PASS Δ0.00 · III/BRL#s41: PASS Δ0.00 · IV/BRL#s42: PASS Δ-774.00 · IV/BRL#s45: PASS Δ0.00 · IV/BRL#s47: PASS Δ0.00 · IV/BRL#s49: PASS Δ-470.00 · IV/BRL#s51: PASS Δ0.00 · IV/BRL#s53: FAIL Δ-45600.00 · IV/BRL#s55: FAIL Δ-228781.04 · IV/BRL#s57: FAIL Δ-261707.47 · IV/BRL#s60: FAIL Δ-3221.87 · IV/BRL#s62: FAIL Δ-811034.35</t>
        </is>
      </c>
      <c r="J1010" t="inlineStr">
        <is>
          <t>CONTEMPORÂNEA CONSTRUÇÕES E PROJETOS LTDA</t>
        </is>
      </c>
      <c r="K1010" t="inlineStr">
        <is>
          <t>rlg-aj.com.br</t>
        </is>
      </c>
      <c r="L1010" s="19" t="inlineStr">
        <is>
          <t>https://rlg-aj.com.br/wp-content/uploads/2025/02/Segunda.pdf</t>
        </is>
      </c>
    </row>
    <row r="1011">
      <c r="A1011" t="inlineStr">
        <is>
          <t>3e05e52fd98e</t>
        </is>
      </c>
      <c r="B1011" t="inlineStr">
        <is>
          <t>5001743-15.2025.8.08.0024</t>
        </is>
      </c>
      <c r="C1011" t="inlineStr">
        <is>
          <t>AJ_LIST</t>
        </is>
      </c>
      <c r="D1011" t="inlineStr">
        <is>
          <t>QUARANTINED</t>
        </is>
      </c>
      <c r="E1011" t="n">
        <v>48</v>
      </c>
      <c r="F1011" t="inlineStr">
        <is>
          <t>TABLE</t>
        </is>
      </c>
      <c r="G1011" t="inlineStr">
        <is>
          <t>TABLE_RULED</t>
        </is>
      </c>
      <c r="H1011" t="inlineStr">
        <is>
          <t>I/BRL#s1: PASS Δ0.00 · II/BRL#s3: PASS Δ0.00 · III/BRL#s5: PASS Δ0.00 · IV/BRL#s7: PASS Δ-6470.00 · IV/BRL#s12: FAIL Δ20671732.05 · III/BRL#s13: FAIL Δ-6598819.85 · III/BRL#s14: PASS Δ0.00 · III/BRL#s15: PASS Δ0.00 · III/BRL#s16: FAIL Δ-3181.67 · III/BRL#s20: PASS Δ-448.76 · III/BRL#s22: FAIL Δ-2286286.76 · III/BRL#s24: FAIL Δ-45934.80 · III/BRL#s25: FAIL Δ-26400.00 · III/BRL#s26: PASS Δ0.00 · III/BRL#s27: FAIL Δ-3620.74 · III/BRL#s28: FAIL Δ49082.22 · III/BRL#s30: FAIL Δ-12253.05 · IV/BRL#s31: PASS Δ0.00 · III/BRL#s32: FAIL Δ-2049.88 · IV/BRL#s33: FAIL Δ-11323.58 · IV/BRL#s35: FAIL Δ-25616.15 · IV/BRL#s37: FAIL Δ-8141.65 · IV/BRL#s40: PASS Δ0.00 · III/BRL#s41: PASS Δ0.00 · IV/BRL#s42: PASS Δ-774.00 · IV/BRL#s45: PASS Δ0.00 · IV/BRL#s47: PASS Δ0.00 · IV/BRL#s49: PASS Δ-470.00 · IV/BRL#s51: PASS Δ0.00 · IV/BRL#s53: FAIL Δ-45600.00 · IV/BRL#s55: FAIL Δ-228781.04 · IV/BRL#s57: FAIL Δ-261707.47 · IV/BRL#s60: FAIL Δ-3221.87 · IV/BRL#s62: FAIL Δ-811034.35</t>
        </is>
      </c>
      <c r="J1011" t="inlineStr">
        <is>
          <t>CONTEMPORÂNEA CONSTRUÇÕES E PROJETOS LTDA</t>
        </is>
      </c>
      <c r="K1011" t="inlineStr">
        <is>
          <t>rlg-aj.com.br</t>
        </is>
      </c>
      <c r="L1011" s="19" t="inlineStr">
        <is>
          <t>https://rlg-aj.com.br/wp-content/uploads/2025/02/Segunda-Lista-de-Credores-Artigo-7.-Paragrafo-2.-da-LRF-Comtemporanea-1.pdf</t>
        </is>
      </c>
    </row>
    <row r="1012">
      <c r="A1012" t="inlineStr">
        <is>
          <t>ee4cd8e918c5</t>
        </is>
      </c>
      <c r="B1012" t="inlineStr">
        <is>
          <t>0047010-37.2020.8.19.0001</t>
        </is>
      </c>
      <c r="C1012" t="inlineStr">
        <is>
          <t>AJ_LIST</t>
        </is>
      </c>
      <c r="D1012" t="inlineStr">
        <is>
          <t>QUARANTINED</t>
        </is>
      </c>
      <c r="E1012" t="n">
        <v>102</v>
      </c>
      <c r="F1012" t="inlineStr">
        <is>
          <t>TABLE</t>
        </is>
      </c>
      <c r="G1012" t="inlineStr">
        <is>
          <t>TABLE_BANDS</t>
        </is>
      </c>
      <c r="H1012" t="inlineStr">
        <is>
          <t>I/BRL#s1: PASS Δ-63.23 · I/BRL#s2: PASS Δ-583.92 · I/BRL#s3: FAIL Δ8570.45 · III/BRL#s7: PASS Δ-159.19 · IV/BRL: PASS Δ-78.40</t>
        </is>
      </c>
      <c r="J1012" t="inlineStr">
        <is>
          <t>SOCIEDADES UNIÃO DE LOJAS LEADER S/A</t>
        </is>
      </c>
      <c r="K1012" t="inlineStr">
        <is>
          <t>inova-aj.com.br</t>
        </is>
      </c>
      <c r="L1012" s="19" t="inlineStr">
        <is>
          <t>https://inova-aj.com.br/wp-content/uploads/2021/02/Relacao-de-Credores-Art.-§-2o-da-LRE.pdf</t>
        </is>
      </c>
    </row>
    <row r="1013">
      <c r="A1013" t="inlineStr">
        <is>
          <t>4cf2d2e008e7</t>
        </is>
      </c>
      <c r="B1013" t="inlineStr">
        <is>
          <t>0194044-84.2018.8.19.0001</t>
        </is>
      </c>
      <c r="C1013" t="inlineStr">
        <is>
          <t>AJ_LIST</t>
        </is>
      </c>
      <c r="D1013" t="inlineStr">
        <is>
          <t>QUARANTINED</t>
        </is>
      </c>
      <c r="E1013" t="n">
        <v>50</v>
      </c>
      <c r="F1013" t="inlineStr">
        <is>
          <t>TABLE</t>
        </is>
      </c>
      <c r="G1013" t="inlineStr">
        <is>
          <t>TABLE_RULED</t>
        </is>
      </c>
      <c r="H1013" t="inlineStr">
        <is>
          <t>I/BRL#s1: FAIL Δ-4175371.95 · III/BRL#s3: FAIL Δ-109489229.17 · IV/BRL#s5: FAIL Δ-10029039.71</t>
        </is>
      </c>
      <c r="J1013" t="inlineStr">
        <is>
          <t>SOCIEDADE SINOPEC PETROLEUM DO BRASIL LTDA</t>
        </is>
      </c>
      <c r="K1013" t="inlineStr">
        <is>
          <t>inova-aj.com.br</t>
        </is>
      </c>
      <c r="L1013" s="19" t="inlineStr">
        <is>
          <t>https://inova-aj.com.br/wp-content/uploads/2018/11/Relacao-de-Credores-SINOPEC-Art.-7o-§2o-LRE....pdf</t>
        </is>
      </c>
    </row>
    <row r="1014">
      <c r="A1014" t="inlineStr">
        <is>
          <t>14dd8421bc5e</t>
        </is>
      </c>
      <c r="B1014" t="inlineStr">
        <is>
          <t>0289751-84.2015.8.19.0001</t>
        </is>
      </c>
      <c r="C1014" t="inlineStr">
        <is>
          <t>AJ_LIST</t>
        </is>
      </c>
      <c r="D1014" t="inlineStr">
        <is>
          <t>QUARANTINED</t>
        </is>
      </c>
      <c r="E1014" t="n">
        <v>19</v>
      </c>
      <c r="F1014" t="inlineStr">
        <is>
          <t>TABLE</t>
        </is>
      </c>
      <c r="G1014" t="inlineStr">
        <is>
          <t>TABLE_BANDS</t>
        </is>
      </c>
      <c r="H1014" t="inlineStr">
        <is>
          <t>III/BRL#s3: FAIL Δ33406553.45</t>
        </is>
      </c>
      <c r="I1014" t="inlineStr">
        <is>
          <t>2017-01-16</t>
        </is>
      </c>
      <c r="J1014" t="inlineStr">
        <is>
          <t>SOCIEDADES BSM ENGENHARIA S/A</t>
        </is>
      </c>
      <c r="K1014" t="inlineStr">
        <is>
          <t>inova-aj.com.br</t>
        </is>
      </c>
      <c r="L1014" s="19" t="inlineStr">
        <is>
          <t>https://inova-aj.com.br/wp-content/uploads/2017/06/Edital-de-Credores-BSM-e-Tensor-Art.-7º-§2º-LRE-17.01.2017.pdf</t>
        </is>
      </c>
    </row>
    <row r="1015">
      <c r="A1015" t="inlineStr">
        <is>
          <t>dfd2096a12ee</t>
        </is>
      </c>
      <c r="B1015" t="inlineStr">
        <is>
          <t>1074600-92.2025.8.11.0041</t>
        </is>
      </c>
      <c r="C1015" t="inlineStr">
        <is>
          <t>AJ_LIST</t>
        </is>
      </c>
      <c r="D1015" t="inlineStr">
        <is>
          <t>QUARANTINED</t>
        </is>
      </c>
      <c r="E1015" t="n">
        <v>18</v>
      </c>
      <c r="F1015" t="inlineStr">
        <is>
          <t>TABLE</t>
        </is>
      </c>
      <c r="G1015" t="inlineStr">
        <is>
          <t>TABLE_RULED</t>
        </is>
      </c>
      <c r="H1015" t="inlineStr">
        <is>
          <t>II/BRL#s1: PASS Δ0.00 · III/BRL#s3: PASS Δ0.00 · IV/BRL#s5: PASS Δ0.00 · IV/BRL#s9: FAIL Δ2115396.45 · III/BRL#s11: FAIL Δ71278.30 · III/BRL#s12: PASS Δ0.00 · III/BRL#s16: FAIL Δ-42415.00 · III/BRL#s17: PASS Δ0.00 · III/BRL#s20: FAIL Δ-53721.70 · I/BRL: FAIL Δ106306.58</t>
        </is>
      </c>
      <c r="I1015" t="inlineStr">
        <is>
          <t>2026-05-21</t>
        </is>
      </c>
      <c r="J1015" t="inlineStr">
        <is>
          <t>GRUPO VEZIGNAZZI, em trâmite perante esse D. Juízo e respectivo Cartório, vem, respeitosa</t>
        </is>
      </c>
      <c r="K1015" t="inlineStr">
        <is>
          <t>rlg-aj.com.br</t>
        </is>
      </c>
      <c r="L1015" s="19" t="inlineStr">
        <is>
          <t>https://rlg-aj.com.br/wp-content/uploads/2026/03/Relacao.pdf</t>
        </is>
      </c>
    </row>
    <row r="1016">
      <c r="A1016" t="inlineStr">
        <is>
          <t>78649e052f48</t>
        </is>
      </c>
      <c r="B1016" t="inlineStr">
        <is>
          <t>5001024-38.2024.8.24.0019</t>
        </is>
      </c>
      <c r="C1016" t="inlineStr">
        <is>
          <t>AJ_LIST</t>
        </is>
      </c>
      <c r="D1016" t="inlineStr">
        <is>
          <t>QUARANTINED</t>
        </is>
      </c>
      <c r="E1016" t="n">
        <v>5</v>
      </c>
      <c r="F1016" t="inlineStr">
        <is>
          <t>TABLE</t>
        </is>
      </c>
      <c r="G1016" t="inlineStr">
        <is>
          <t>TABLE_RULED</t>
        </is>
      </c>
      <c r="H1016" t="inlineStr">
        <is>
          <t>I/BRL#s1: PASS Δ0.00 · II/BRL#s3: PASS Δ0.00 · III/BRL#s5: PASS Δ0.00 · IV/BRL#s7: FAIL Δ-14718.82 · IV/BRL#s12: FAIL Δ3212603.39</t>
        </is>
      </c>
      <c r="J1016" t="inlineStr">
        <is>
          <t>STARKFEST INDÚTRIA DO VESTUÁRIO LTDA</t>
        </is>
      </c>
      <c r="K1016" t="inlineStr">
        <is>
          <t>rlg-aj.com.br</t>
        </is>
      </c>
      <c r="L1016" s="19" t="inlineStr">
        <is>
          <t>https://rlg-aj.com.br/wp-content/uploads/2024/02/Relacao-de-Credores-do-art.-7o-§2o-da-Lei-n.o-11.101-de-2005-Starkfest-Industria-do-Vestuario-Ltda-1.pdf</t>
        </is>
      </c>
    </row>
    <row r="1017">
      <c r="A1017" t="inlineStr">
        <is>
          <t>4730c62bdfc5</t>
        </is>
      </c>
      <c r="B1017" t="inlineStr">
        <is>
          <t>5001299-84.2024.8.24.0019</t>
        </is>
      </c>
      <c r="C1017" t="inlineStr">
        <is>
          <t>AJ_LIST</t>
        </is>
      </c>
      <c r="D1017" t="inlineStr">
        <is>
          <t>QUARANTINED</t>
        </is>
      </c>
      <c r="E1017" t="n">
        <v>3</v>
      </c>
      <c r="F1017" t="inlineStr">
        <is>
          <t>TABLE</t>
        </is>
      </c>
      <c r="G1017" t="inlineStr">
        <is>
          <t>TABLE_RULED</t>
        </is>
      </c>
      <c r="H1017" t="inlineStr">
        <is>
          <t>III/BRL#s1: PASS Δ0.00 · III/BRL#s2: PASS Δ0.00 · III/BRL#s3: FAIL Δ420270.02</t>
        </is>
      </c>
      <c r="J1017" t="inlineStr">
        <is>
          <t>DF Confecções Ltda. - RLG-AJ</t>
        </is>
      </c>
      <c r="K1017" t="inlineStr">
        <is>
          <t>rlg-aj.com.br</t>
        </is>
      </c>
      <c r="L1017" s="19" t="inlineStr">
        <is>
          <t>https://rlg-aj.com.br/wp-content/uploads/2024/02/Relacao-de-Credores-do-art.-7o-§2o-da-Lei-n.o-11.101-de-2005-DF-Confeccoes.pdf</t>
        </is>
      </c>
    </row>
    <row r="1018">
      <c r="A1018" t="inlineStr">
        <is>
          <t>060265d1d83b</t>
        </is>
      </c>
      <c r="B1018" t="inlineStr">
        <is>
          <t>5004799-61.2024.8.24.0019</t>
        </is>
      </c>
      <c r="C1018" t="inlineStr">
        <is>
          <t>AJ_LIST</t>
        </is>
      </c>
      <c r="D1018" t="inlineStr">
        <is>
          <t>QUARANTINED</t>
        </is>
      </c>
      <c r="E1018" t="n">
        <v>20</v>
      </c>
      <c r="F1018" t="inlineStr">
        <is>
          <t>TABLE</t>
        </is>
      </c>
      <c r="G1018" t="inlineStr">
        <is>
          <t>TABLE_RULED</t>
        </is>
      </c>
      <c r="H1018" t="inlineStr">
        <is>
          <t>I/BRL#s6: PASS Δ0.00 · I/BRL#s11: FAIL Δ10546369.60 · III/BRL: FAIL Δ-3498349.10</t>
        </is>
      </c>
      <c r="I1018" t="inlineStr">
        <is>
          <t>2026-07-29</t>
        </is>
      </c>
      <c r="J1018" t="inlineStr">
        <is>
          <t>Diomar Antonio de Souza e CIA Ltda - RLG-AJ</t>
        </is>
      </c>
      <c r="K1018" t="inlineStr">
        <is>
          <t>rlg-aj.com.br</t>
        </is>
      </c>
      <c r="L1018" s="19" t="inlineStr">
        <is>
          <t>https://rlg-aj.com.br/wp-content/uploads/2026/04/2a-Lista-de-Credores-Relacao-Completa-Art.-7o-§2-Lei-11.101-de-2005-Diomar-dados.pdf</t>
        </is>
      </c>
    </row>
    <row r="1019">
      <c r="A1019" t="inlineStr">
        <is>
          <t>36f119bf822b</t>
        </is>
      </c>
      <c r="B1019" t="inlineStr">
        <is>
          <t>5092815-63.2023.8.21.0001</t>
        </is>
      </c>
      <c r="C1019" t="inlineStr">
        <is>
          <t>AJ_LIST</t>
        </is>
      </c>
      <c r="D1019" t="inlineStr">
        <is>
          <t>QUARANTINED</t>
        </is>
      </c>
      <c r="E1019" t="n">
        <v>24</v>
      </c>
      <c r="F1019" t="inlineStr">
        <is>
          <t>TABLE</t>
        </is>
      </c>
      <c r="G1019" t="inlineStr">
        <is>
          <t>TABLE_RULED</t>
        </is>
      </c>
      <c r="H1019" t="inlineStr">
        <is>
          <t>I/BRL#s1: PASS Δ0.00 · III/BRL#s3: PASS Δ0.00 · III/BRL#s4: PASS Δ0.00 · III/BRL#s7: FAIL Δ19775099.85</t>
        </is>
      </c>
      <c r="J1019" t="inlineStr">
        <is>
          <t>Grupo Mobra - RLG-AJ</t>
        </is>
      </c>
      <c r="K1019" t="inlineStr">
        <is>
          <t>rlg-aj.com.br</t>
        </is>
      </c>
      <c r="L1019" s="19" t="inlineStr">
        <is>
          <t>https://rlg-aj.com.br/wp-content/uploads/2023/07/6.-Segunda-Lista-de-Credores-art.-7º-§-2º-LREF-Grupo-Mobra.pdf</t>
        </is>
      </c>
    </row>
    <row r="1020">
      <c r="A1020" t="inlineStr">
        <is>
          <t>d392c0bb47df</t>
        </is>
      </c>
      <c r="B1020" t="inlineStr">
        <is>
          <t>1006507-24.2018.8.26.0100</t>
        </is>
      </c>
      <c r="C1020" t="inlineStr">
        <is>
          <t>AJ_LIST</t>
        </is>
      </c>
      <c r="D1020" t="inlineStr">
        <is>
          <t>QUARANTINED</t>
        </is>
      </c>
      <c r="E1020" t="n">
        <v>3</v>
      </c>
      <c r="F1020" t="inlineStr">
        <is>
          <t>PROSE</t>
        </is>
      </c>
      <c r="G1020" t="inlineStr">
        <is>
          <t>PROSE</t>
        </is>
      </c>
      <c r="H1020" t="inlineStr">
        <is>
          <t>IV/BRL: FAIL Δ-852118.21</t>
        </is>
      </c>
      <c r="J1020" t="inlineStr">
        <is>
          <t>BS TECNOLOGIA E SERVIÇOS LTDA</t>
        </is>
      </c>
      <c r="K1020" t="inlineStr">
        <is>
          <t>gatekeeperaj.com.br</t>
        </is>
      </c>
      <c r="L1020" s="19" t="inlineStr">
        <is>
          <t>https://gatekeeperaj.com.br/wp-content/uploads/2023/08/Edital-BS.pdf</t>
        </is>
      </c>
    </row>
    <row r="1021">
      <c r="A1021" t="inlineStr">
        <is>
          <t>0f0ec10c8dee</t>
        </is>
      </c>
      <c r="B1021" t="inlineStr">
        <is>
          <t>5003874-98.2022.8.21.0090</t>
        </is>
      </c>
      <c r="C1021" t="inlineStr">
        <is>
          <t>AJ_LIST</t>
        </is>
      </c>
      <c r="D1021" t="inlineStr">
        <is>
          <t>QUARANTINED</t>
        </is>
      </c>
      <c r="E1021" t="n">
        <v>10</v>
      </c>
      <c r="F1021" t="inlineStr">
        <is>
          <t>TABLE</t>
        </is>
      </c>
      <c r="G1021" t="inlineStr">
        <is>
          <t>TABLE_BANDS</t>
        </is>
      </c>
      <c r="H1021" t="inlineStr">
        <is>
          <t>III/BRL#s2: FAIL Δ196925006.58 · IV/BRL#s3: FAIL Δ1183756.85</t>
        </is>
      </c>
      <c r="I1021" t="inlineStr">
        <is>
          <t>2024-03-18</t>
        </is>
      </c>
      <c r="J1021" t="inlineStr">
        <is>
          <t>5003874-98.2022.8.21.0090 | CB2D</t>
        </is>
      </c>
      <c r="K1021" t="inlineStr">
        <is>
          <t>cb2d.com.br</t>
        </is>
      </c>
      <c r="L1021" s="19" t="inlineStr">
        <is>
          <t>https://www.cb2d.com.br/portal/_uploads/6de06b46-f33d-44b7-b79c-37f57704c038.pdf</t>
        </is>
      </c>
    </row>
    <row r="1022">
      <c r="A1022" t="inlineStr">
        <is>
          <t>c7d6bfffc7c5</t>
        </is>
      </c>
      <c r="B1022" t="inlineStr">
        <is>
          <t>1132347-05.2022.8.26.0100</t>
        </is>
      </c>
      <c r="C1022" t="inlineStr">
        <is>
          <t>AJ_LIST</t>
        </is>
      </c>
      <c r="D1022" t="inlineStr">
        <is>
          <t>QUARANTINED</t>
        </is>
      </c>
      <c r="E1022" t="n">
        <v>109</v>
      </c>
      <c r="F1022" t="inlineStr">
        <is>
          <t>TABLE</t>
        </is>
      </c>
      <c r="G1022" t="inlineStr">
        <is>
          <t>TABLE_BANDS</t>
        </is>
      </c>
      <c r="H1022" t="inlineStr">
        <is>
          <t>I/BRL#s1: PASS Δ0.00 · II/BRL#s3: PASS Δ0.00 · III/BRL#s5: PASS Δ0.00 · IV/BRL#s7: PASS Δ0.00 · I/BRL#s10: PASS Δ247.79 · I/BRL#s11: PASS Δ0.00 · I/BRL#s12: PASS Δ0.00 · I/BRL#s13: FAIL Δ3784.02 · I/BRL#s14: PASS Δ-146.39 · I/BRL#s15: PASS Δ0.00 · I/BRL#s16: PASS Δ0.00 · I/BRL#s17: PASS Δ0.00 · I/BRL#s18: PASS Δ0.00 · I/BRL#s19: PASS Δ0.00 · I/BRL#s20: FAIL Δ2127.73 · I/BRL#s21: PASS Δ0.00 · I/BRL#s22: PASS Δ425.36 · I/BRL#s23: PASS Δ0.00 · I/BRL#s24: PASS Δ0.00 · I/BRL#s25: PASS Δ681.12 · I/BRL#s26: PASS Δ0.00</t>
        </is>
      </c>
      <c r="I1022" t="inlineStr">
        <is>
          <t>2022-12-01</t>
        </is>
      </c>
      <c r="J1022" t="inlineStr">
        <is>
          <t>BS TECNOLOGIA E SERVIÇOS LTDA</t>
        </is>
      </c>
      <c r="K1022" t="inlineStr">
        <is>
          <t>gatekeeperaj.com.br</t>
        </is>
      </c>
      <c r="L1022" s="19" t="inlineStr">
        <is>
          <t>https://gatekeeperaj.com.br/wp-content/uploads/2023/06/Relacao-de-Credores-do-art.-7o-§2o.pdf</t>
        </is>
      </c>
    </row>
    <row r="1023">
      <c r="A1023" t="inlineStr">
        <is>
          <t>056df00cb39c</t>
        </is>
      </c>
      <c r="B1023" t="inlineStr">
        <is>
          <t>5013238-95.2023.8.24.0019</t>
        </is>
      </c>
      <c r="C1023" t="inlineStr">
        <is>
          <t>AJ_LIST</t>
        </is>
      </c>
      <c r="D1023" t="inlineStr">
        <is>
          <t>QUARANTINED</t>
        </is>
      </c>
      <c r="E1023" t="n">
        <v>6</v>
      </c>
      <c r="F1023" t="inlineStr">
        <is>
          <t>TABLE</t>
        </is>
      </c>
      <c r="G1023" t="inlineStr">
        <is>
          <t>TABLE_BANDS</t>
        </is>
      </c>
      <c r="H1023" t="inlineStr">
        <is>
          <t>III/BRL#s4: FAIL Δ-20522875.06 · IV/BRL#s6: FAIL Δ-31247346.04</t>
        </is>
      </c>
      <c r="I1023" t="inlineStr">
        <is>
          <t>2024-05-27</t>
        </is>
      </c>
      <c r="J1023" t="inlineStr">
        <is>
          <t>5013238-95.2023.8.24.0019 | CB2D</t>
        </is>
      </c>
      <c r="K1023" t="inlineStr">
        <is>
          <t>cb2d.com.br</t>
        </is>
      </c>
      <c r="L1023" s="19" t="inlineStr">
        <is>
          <t>https://www.cb2d.com.br/portal/_uploads/6a6b36d4-b6c6-4f3a-ba96-7c77198334d8.pdf</t>
        </is>
      </c>
    </row>
    <row r="1024">
      <c r="A1024" t="inlineStr">
        <is>
          <t>7c11a437b1d0</t>
        </is>
      </c>
      <c r="B1024" t="inlineStr">
        <is>
          <t>5009369-87.2022.8.21.0005</t>
        </is>
      </c>
      <c r="C1024" t="inlineStr">
        <is>
          <t>AJ_LIST</t>
        </is>
      </c>
      <c r="D1024" t="inlineStr">
        <is>
          <t>QUARANTINED</t>
        </is>
      </c>
      <c r="E1024" t="n">
        <v>2</v>
      </c>
      <c r="F1024" t="inlineStr">
        <is>
          <t>TABLE</t>
        </is>
      </c>
      <c r="G1024" t="inlineStr">
        <is>
          <t>TABLE_BANDS</t>
        </is>
      </c>
      <c r="H1024" t="inlineStr">
        <is>
          <t>III/BRL#s2: FAIL Δ-197287.24 · IV/BRL#s4: FAIL Δ-18920.77</t>
        </is>
      </c>
      <c r="I1024" t="inlineStr">
        <is>
          <t>2023-09-05</t>
        </is>
      </c>
      <c r="J1024" t="inlineStr">
        <is>
          <t>5009369-87.2022.8.21.0005 | CB2D</t>
        </is>
      </c>
      <c r="K1024" t="inlineStr">
        <is>
          <t>cb2d.com.br</t>
        </is>
      </c>
      <c r="L1024" s="19" t="inlineStr">
        <is>
          <t>https://www.cb2d.com.br/portal/_uploads/b6e6d59c-7888-40a6-867c-5330e790dcfc.pdf</t>
        </is>
      </c>
    </row>
    <row r="1025">
      <c r="A1025" t="inlineStr">
        <is>
          <t>8c1bfdbefbaf</t>
        </is>
      </c>
      <c r="B1025" t="inlineStr">
        <is>
          <t>0000335-78.2024.8.26.0260</t>
        </is>
      </c>
      <c r="C1025" t="inlineStr">
        <is>
          <t>AJ_LIST</t>
        </is>
      </c>
      <c r="D1025" t="inlineStr">
        <is>
          <t>QUARANTINED</t>
        </is>
      </c>
      <c r="E1025" t="n">
        <v>2</v>
      </c>
      <c r="F1025" t="inlineStr">
        <is>
          <t>TABLE</t>
        </is>
      </c>
      <c r="G1025" t="inlineStr">
        <is>
          <t>TABLE_RULED</t>
        </is>
      </c>
      <c r="H1025" t="inlineStr">
        <is>
          <t>III/BRL#s2: PASS Δ-772261.01 · I/BRL: FAIL Δ516641.10</t>
        </is>
      </c>
      <c r="J1025" t="inlineStr">
        <is>
          <t>GateKeeper | Recuperação Judicial em São Paulo – Ética, técnica e profissionalismo na administração judicial de processos de recuperação e falência.</t>
        </is>
      </c>
      <c r="K1025" t="inlineStr">
        <is>
          <t>gatekeeperaj.com.br</t>
        </is>
      </c>
      <c r="L1025" s="19" t="inlineStr">
        <is>
          <t>https://gatekeeperaj.com.br/wp-content/uploads/2025/02/Relacao-de-credores-Wireless.pdf</t>
        </is>
      </c>
    </row>
    <row r="1026">
      <c r="A1026" t="inlineStr">
        <is>
          <t>b989ba8c2eac</t>
        </is>
      </c>
      <c r="B1026" t="inlineStr">
        <is>
          <t>5001395-52.2021.8.21.0128</t>
        </is>
      </c>
      <c r="C1026" t="inlineStr">
        <is>
          <t>AJ_LIST</t>
        </is>
      </c>
      <c r="D1026" t="inlineStr">
        <is>
          <t>QUARANTINED</t>
        </is>
      </c>
      <c r="E1026" t="n">
        <v>2</v>
      </c>
      <c r="F1026" t="inlineStr">
        <is>
          <t>TABLE</t>
        </is>
      </c>
      <c r="G1026" t="inlineStr">
        <is>
          <t>TABLE_BANDS</t>
        </is>
      </c>
      <c r="H1026" t="inlineStr">
        <is>
          <t>III/BRL#s3: FAIL Δ121517.67</t>
        </is>
      </c>
      <c r="I1026" t="inlineStr">
        <is>
          <t>2026-08-05</t>
        </is>
      </c>
      <c r="J1026" t="inlineStr">
        <is>
          <t>5001395-52.2021.8.21.0128 | CB2D</t>
        </is>
      </c>
      <c r="K1026" t="inlineStr">
        <is>
          <t>cb2d.com.br</t>
        </is>
      </c>
      <c r="L1026" s="19" t="inlineStr">
        <is>
          <t>https://www.cb2d.com.br/portal/_uploads/0f0e2ee5-d45e-4ef3-89f4-ee0df9ac86fc.pdf</t>
        </is>
      </c>
    </row>
    <row r="1027">
      <c r="A1027" t="inlineStr">
        <is>
          <t>fa60f3237f23</t>
        </is>
      </c>
      <c r="B1027" t="inlineStr">
        <is>
          <t>4054599-35.2025.8.26.0100</t>
        </is>
      </c>
      <c r="C1027" t="inlineStr">
        <is>
          <t>AJ_LIST</t>
        </is>
      </c>
      <c r="D1027" t="inlineStr">
        <is>
          <t>QUARANTINED</t>
        </is>
      </c>
      <c r="E1027" t="n">
        <v>31</v>
      </c>
      <c r="F1027" t="inlineStr">
        <is>
          <t>TABLE</t>
        </is>
      </c>
      <c r="G1027" t="inlineStr">
        <is>
          <t>TABLE_BANDS</t>
        </is>
      </c>
      <c r="H1027" t="inlineStr">
        <is>
          <t>IV/BRL: FAIL Δ-5188191.15 · I/BRL: FAIL Δ3808073.39 · III/BRL: FAIL Δ-21750220.17</t>
        </is>
      </c>
      <c r="I1027" t="inlineStr">
        <is>
          <t>2026-04-17</t>
        </is>
      </c>
      <c r="J1027" t="inlineStr">
        <is>
          <t>ATIVOS ADMINISTRAÇÃO JUDICIA</t>
        </is>
      </c>
      <c r="K1027" t="inlineStr">
        <is>
          <t>ativosajce.com.br</t>
        </is>
      </c>
      <c r="L1027" s="19" t="inlineStr">
        <is>
          <t>https://ativosajce.com.br/admin/download.php?file=files/processo_documento/processo_documento15384617042026_1_.pdf&amp;nome=Relação de Credores - art. 7º, §2º da Lei 11.101/2005 - 17/04/2026</t>
        </is>
      </c>
    </row>
    <row r="1028">
      <c r="A1028" t="inlineStr">
        <is>
          <t>bd6853d33471</t>
        </is>
      </c>
      <c r="B1028" t="inlineStr">
        <is>
          <t>1056683-07.2018.8.26.0100</t>
        </is>
      </c>
      <c r="C1028" t="inlineStr">
        <is>
          <t>AJ_LIST</t>
        </is>
      </c>
      <c r="D1028" t="inlineStr">
        <is>
          <t>QUARANTINED</t>
        </is>
      </c>
      <c r="E1028" t="n">
        <v>38</v>
      </c>
      <c r="F1028" t="inlineStr">
        <is>
          <t>TABLE</t>
        </is>
      </c>
      <c r="G1028" t="inlineStr">
        <is>
          <t>TABLE_RULED</t>
        </is>
      </c>
      <c r="H1028" t="inlineStr">
        <is>
          <t>III/BRL#s2: FAIL Δ1260285.61 · III/BRL#s3: PASS Δ0.00 · III/BRL#s20: FAIL Δ372784.79 · IV/BRL#s21: FAIL Δ3751071.57 · I/BRL: FAIL Δ35394789.60 · II/BRL: FAIL Δ-4763051.52</t>
        </is>
      </c>
      <c r="J1028" t="inlineStr">
        <is>
          <t>ALIANÇA METALÚRGICA S.A</t>
        </is>
      </c>
      <c r="K1028" t="inlineStr">
        <is>
          <t>ajruiz.com.br</t>
        </is>
      </c>
      <c r="L1028" s="19" t="inlineStr">
        <is>
          <t>https://ajruiz.com.br/sites/default/files/public/arquivos-processos/2023-10/alianca_relacao_de_credores_individualizada_1.pdf</t>
        </is>
      </c>
    </row>
    <row r="1029">
      <c r="A1029" t="inlineStr">
        <is>
          <t>9c7bb933f317</t>
        </is>
      </c>
      <c r="B1029" t="inlineStr">
        <is>
          <t>5108608-76.2022.8.21.0001</t>
        </is>
      </c>
      <c r="C1029" t="inlineStr">
        <is>
          <t>AJ_LIST</t>
        </is>
      </c>
      <c r="D1029" t="inlineStr">
        <is>
          <t>QUARANTINED</t>
        </is>
      </c>
      <c r="E1029" t="n">
        <v>2</v>
      </c>
      <c r="F1029" t="inlineStr">
        <is>
          <t>TABLE</t>
        </is>
      </c>
      <c r="G1029" t="inlineStr">
        <is>
          <t>TABLE_BANDS</t>
        </is>
      </c>
      <c r="H1029" t="inlineStr">
        <is>
          <t>I/BRL#s1: FAIL Δ249146.72 · II/BRL: FAIL Δ-269628.09</t>
        </is>
      </c>
      <c r="I1029" t="inlineStr">
        <is>
          <t>2023-11-29</t>
        </is>
      </c>
      <c r="J1029" t="inlineStr">
        <is>
          <t>5108608-76.2022.8.21.0001 | CB2D</t>
        </is>
      </c>
      <c r="K1029" t="inlineStr">
        <is>
          <t>cb2d.com.br</t>
        </is>
      </c>
      <c r="L1029" s="19" t="inlineStr">
        <is>
          <t>https://www.cb2d.com.br/portal/_uploads/50a4e9c0-8741-4295-a096-4feb0418dea9.pdf</t>
        </is>
      </c>
    </row>
    <row r="1030">
      <c r="A1030" t="inlineStr">
        <is>
          <t>500a480477ad</t>
        </is>
      </c>
      <c r="B1030" t="inlineStr">
        <is>
          <t>1000400-31.2025.8.26.0354</t>
        </is>
      </c>
      <c r="C1030" t="inlineStr">
        <is>
          <t>AJ_LIST</t>
        </is>
      </c>
      <c r="D1030" t="inlineStr">
        <is>
          <t>QUARANTINED</t>
        </is>
      </c>
      <c r="E1030" t="n">
        <v>13</v>
      </c>
      <c r="F1030" t="inlineStr">
        <is>
          <t>TABLE</t>
        </is>
      </c>
      <c r="G1030" t="inlineStr">
        <is>
          <t>TABLE_BANDS</t>
        </is>
      </c>
      <c r="H1030" t="inlineStr">
        <is>
          <t>III/BRL: FAIL Δ502267.69</t>
        </is>
      </c>
      <c r="I1030" t="inlineStr">
        <is>
          <t>2025-10-28</t>
        </is>
      </c>
      <c r="J1030" t="inlineStr">
        <is>
          <t>ATIVOS ADMINISTRAÇÃO JUDICIA</t>
        </is>
      </c>
      <c r="K1030" t="inlineStr">
        <is>
          <t>ativosajce.com.br</t>
        </is>
      </c>
      <c r="L1030" s="19" t="inlineStr">
        <is>
          <t>https://ativosajce.com.br/admin/download.php?file=files/processo_documento/processo_documento13071716122025_1_.pdf&amp;nome=Relação de Credores - art. 7º, §2º da Lei 11.101/05 - 12/12/2025</t>
        </is>
      </c>
    </row>
    <row r="1031">
      <c r="A1031" t="inlineStr">
        <is>
          <t>57288e77c26d</t>
        </is>
      </c>
      <c r="B1031" t="inlineStr">
        <is>
          <t>5001449-68.2023.8.21.0024</t>
        </is>
      </c>
      <c r="C1031" t="inlineStr">
        <is>
          <t>AJ_LIST</t>
        </is>
      </c>
      <c r="D1031" t="inlineStr">
        <is>
          <t>QUARANTINED</t>
        </is>
      </c>
      <c r="E1031" t="n">
        <v>2</v>
      </c>
      <c r="F1031" t="inlineStr">
        <is>
          <t>TABLE</t>
        </is>
      </c>
      <c r="G1031" t="inlineStr">
        <is>
          <t>TABLE_BANDS</t>
        </is>
      </c>
      <c r="H1031" t="inlineStr">
        <is>
          <t>III/BRL#s1: FAIL Δ866219.32</t>
        </is>
      </c>
      <c r="I1031" t="inlineStr">
        <is>
          <t>2023-11-29</t>
        </is>
      </c>
      <c r="J1031" t="inlineStr">
        <is>
          <t>5001449-68.2023.8.21.0024 | CB2D</t>
        </is>
      </c>
      <c r="K1031" t="inlineStr">
        <is>
          <t>cb2d.com.br</t>
        </is>
      </c>
      <c r="L1031" s="19" t="inlineStr">
        <is>
          <t>https://www.cb2d.com.br/portal/_uploads/92edcfca-5a25-43b6-b84f-6c9835be490a.pdf</t>
        </is>
      </c>
    </row>
    <row r="1032">
      <c r="A1032" t="inlineStr">
        <is>
          <t>b924a2b19cdf</t>
        </is>
      </c>
      <c r="B1032" t="inlineStr">
        <is>
          <t>1000278-43.2024.8.26.0260</t>
        </is>
      </c>
      <c r="C1032" t="inlineStr">
        <is>
          <t>AJ_LIST</t>
        </is>
      </c>
      <c r="D1032" t="inlineStr">
        <is>
          <t>QUARANTINED</t>
        </is>
      </c>
      <c r="E1032" t="n">
        <v>48</v>
      </c>
      <c r="F1032" t="inlineStr">
        <is>
          <t>TABLE</t>
        </is>
      </c>
      <c r="G1032" t="inlineStr">
        <is>
          <t>TABLE_RULED</t>
        </is>
      </c>
      <c r="H1032" t="inlineStr">
        <is>
          <t>I/BRL#s28: FAIL Δ7154.63 · I/BRL#s29: FAIL Δ-1045.53 · I/BRL#s30: FAIL Δ14161.77 · I/BRL#s31: FAIL Δ13634.97 · I/BRL#s32: FAIL Δ6501.24 · I/BRL#s33: FAIL Δ8297.88 · IV/BRL#s39: PASS Δ0.00 · IV/BRL#s40: PASS Δ0.00 · IV/BRL#s42: FAIL Δ-9036509.39 · IV/BRL#s43: PASS Δ0.00 · II/BRL: FAIL Δ22617603.25 · III/BRL: FAIL Δ26884463.39</t>
        </is>
      </c>
      <c r="I1032" t="inlineStr">
        <is>
          <t>2026-03-12</t>
        </is>
      </c>
      <c r="J1032" t="inlineStr">
        <is>
          <t>ATIVOS ADMINISTRAÇÃO JUDICIA</t>
        </is>
      </c>
      <c r="K1032" t="inlineStr">
        <is>
          <t>ativosajce.com.br</t>
        </is>
      </c>
      <c r="L1032" s="19" t="inlineStr">
        <is>
          <t>https://ativosajce.com.br/admin/download.php?file=files/processo_documento/processo_documento17052414082026_1_.pdf&amp;nome=Relação de Credores - Art. 7º, § 2º da Lei 11.101/2005 - 14/08/2026</t>
        </is>
      </c>
    </row>
    <row r="1033">
      <c r="A1033" t="inlineStr">
        <is>
          <t>19928a573828</t>
        </is>
      </c>
      <c r="B1033" t="inlineStr">
        <is>
          <t>1000278-43.2024.8.26.0260</t>
        </is>
      </c>
      <c r="C1033" t="inlineStr">
        <is>
          <t>AJ_LIST</t>
        </is>
      </c>
      <c r="D1033" t="inlineStr">
        <is>
          <t>QUARANTINED</t>
        </is>
      </c>
      <c r="E1033" t="n">
        <v>23</v>
      </c>
      <c r="F1033" t="inlineStr">
        <is>
          <t>TABLE</t>
        </is>
      </c>
      <c r="G1033" t="inlineStr">
        <is>
          <t>TABLE_RULED</t>
        </is>
      </c>
      <c r="H1033" t="inlineStr">
        <is>
          <t>III/BRL#s14: FAIL Δ1772053.49</t>
        </is>
      </c>
      <c r="I1033" t="inlineStr">
        <is>
          <t>2026-03-12</t>
        </is>
      </c>
      <c r="J1033" t="inlineStr">
        <is>
          <t>ATIVOS ADMINISTRAÇÃO JUDICIA</t>
        </is>
      </c>
      <c r="K1033" t="inlineStr">
        <is>
          <t>ativosajce.com.br</t>
        </is>
      </c>
      <c r="L1033" s="19" t="inlineStr">
        <is>
          <t>https://ativosajce.com.br/admin/download.php?file=files/processo_documento/processo_documento11175828042026_1_.pdf&amp;nome=Relação de Credores Provisória - Art. 7º, §2º da Lei 11.101/05 - 27/04/2026</t>
        </is>
      </c>
    </row>
    <row r="1034">
      <c r="A1034" t="inlineStr">
        <is>
          <t>7ed2ffbcee61</t>
        </is>
      </c>
      <c r="B1034" t="inlineStr">
        <is>
          <t>0085817-92.2023.8.17.2001</t>
        </is>
      </c>
      <c r="C1034" t="inlineStr">
        <is>
          <t>AJ_LIST</t>
        </is>
      </c>
      <c r="D1034" t="inlineStr">
        <is>
          <t>QUARANTINED</t>
        </is>
      </c>
      <c r="E1034" t="n">
        <v>3</v>
      </c>
      <c r="F1034" t="inlineStr">
        <is>
          <t>PROSE</t>
        </is>
      </c>
      <c r="G1034" t="inlineStr">
        <is>
          <t>PROSE</t>
        </is>
      </c>
      <c r="H1034" t="inlineStr">
        <is>
          <t>I/BRL#s1: FAIL Δ-257005.42 · III/BRL#s3: FAIL Δ0.00 · IV/BRL#s4: FAIL Δ0.00 · II/BRL: PASS Δ0.00</t>
        </is>
      </c>
      <c r="I1034" t="inlineStr">
        <is>
          <t>2026-04-15</t>
        </is>
      </c>
      <c r="J1034" t="inlineStr">
        <is>
          <t>empresa</t>
        </is>
      </c>
      <c r="K1034" t="inlineStr">
        <is>
          <t>recuperasolucoes.com</t>
        </is>
      </c>
      <c r="L1034" s="19" t="inlineStr">
        <is>
          <t>https://recuperasolucoes.com/wp-content/plugins/download-attachments/includes/download.php?id=1590</t>
        </is>
      </c>
    </row>
    <row r="1035">
      <c r="A1035" t="inlineStr">
        <is>
          <t>884ec31d2635</t>
        </is>
      </c>
      <c r="B1035" t="inlineStr">
        <is>
          <t>1000278-43.2024.8.26.0260</t>
        </is>
      </c>
      <c r="C1035" t="inlineStr">
        <is>
          <t>AJ_LIST</t>
        </is>
      </c>
      <c r="D1035" t="inlineStr">
        <is>
          <t>QUARANTINED</t>
        </is>
      </c>
      <c r="E1035" t="n">
        <v>3</v>
      </c>
      <c r="F1035" t="inlineStr">
        <is>
          <t>TABLE</t>
        </is>
      </c>
      <c r="G1035" t="inlineStr">
        <is>
          <t>TABLE_BANDS</t>
        </is>
      </c>
      <c r="H1035" t="inlineStr">
        <is>
          <t>I/BRL: FAIL Δ-117612.00 · II/BRL: FAIL Δ-3784147.14 · III/BRL: FAIL Δ-23032813.75</t>
        </is>
      </c>
      <c r="I1035" t="inlineStr">
        <is>
          <t>2026-05-30</t>
        </is>
      </c>
      <c r="J1035" t="inlineStr">
        <is>
          <t>Ativos</t>
        </is>
      </c>
      <c r="K1035" t="inlineStr">
        <is>
          <t>ativosajce.com.br</t>
        </is>
      </c>
      <c r="L1035" s="19" t="inlineStr">
        <is>
          <t>https://ativosajce.com.br/admin/download.php?file=files/processo_documento/processo_documento16153711122025_1_.pdf&amp;nome=Relação de Credores art. 52, §1º, da Lei 11.101/2005 - 13/11/2025</t>
        </is>
      </c>
    </row>
    <row r="1036">
      <c r="A1036" t="inlineStr">
        <is>
          <t>db34e3ad7057</t>
        </is>
      </c>
      <c r="B1036" t="inlineStr">
        <is>
          <t>1010468-75.2015.8.26.0100</t>
        </is>
      </c>
      <c r="C1036" t="inlineStr">
        <is>
          <t>AJ_LIST</t>
        </is>
      </c>
      <c r="D1036" t="inlineStr">
        <is>
          <t>QUARANTINED</t>
        </is>
      </c>
      <c r="E1036" t="n">
        <v>47</v>
      </c>
      <c r="F1036" t="inlineStr">
        <is>
          <t>TABLE</t>
        </is>
      </c>
      <c r="G1036" t="inlineStr">
        <is>
          <t>TABLE_BANDS</t>
        </is>
      </c>
      <c r="H1036" t="inlineStr">
        <is>
          <t>IV/BRL#s6: FAIL Δ84372.27 · I/BRL: FAIL Δ-7055950.55 · III/BRL: FAIL Δ-1605281.91</t>
        </is>
      </c>
      <c r="J1036" t="inlineStr">
        <is>
          <t>e da Sa</t>
        </is>
      </c>
      <c r="K1036" t="inlineStr">
        <is>
          <t>ativosajce.com.br</t>
        </is>
      </c>
      <c r="L1036" s="19" t="inlineStr">
        <is>
          <t>https://ativosajce.com.br/admin/download.php?file=files/processo_documento/processo_documento12044029012026_1_.pdf&amp;nome=Relação de Credores - Art. 7º § 2º, da Lei nº 11.101/2005 - 30/07/2015</t>
        </is>
      </c>
    </row>
    <row r="1037">
      <c r="A1037" t="inlineStr">
        <is>
          <t>cf461246070d</t>
        </is>
      </c>
      <c r="B1037" t="inlineStr">
        <is>
          <t>0103400-72.2024.8.16.0000</t>
        </is>
      </c>
      <c r="C1037" t="inlineStr">
        <is>
          <t>AJ_LIST</t>
        </is>
      </c>
      <c r="D1037" t="inlineStr">
        <is>
          <t>QUARANTINED</t>
        </is>
      </c>
      <c r="E1037" t="n">
        <v>4</v>
      </c>
      <c r="F1037" t="inlineStr">
        <is>
          <t>TABLE</t>
        </is>
      </c>
      <c r="G1037" t="inlineStr">
        <is>
          <t>TABLE_RULED</t>
        </is>
      </c>
      <c r="H1037" t="inlineStr">
        <is>
          <t>I/BRL#s3: FAIL Δ-100119.91 · I/BRL#s4: PASS Δ-6000.00</t>
        </is>
      </c>
      <c r="I1037" t="inlineStr">
        <is>
          <t>2023-04-18</t>
        </is>
      </c>
      <c r="J1037" t="inlineStr">
        <is>
          <t>GROSSA</t>
        </is>
      </c>
      <c r="K1037" t="inlineStr">
        <is>
          <t>bbsadvogados.com.br</t>
        </is>
      </c>
      <c r="L1037" s="19" t="inlineStr">
        <is>
          <t>https://bbsadvogados.com.br/wp-content/uploads/2025/05/buturi-Edital-contendo-a-integra-da-decisao-que-decretou-a-falencia-e-relacao-de-credores-apresentada-pelo-falido-art.-99-1-da-LRF-buturi.pdf</t>
        </is>
      </c>
    </row>
    <row r="1038">
      <c r="A1038" t="inlineStr">
        <is>
          <t>1b13e9761a26</t>
        </is>
      </c>
      <c r="B1038" t="inlineStr">
        <is>
          <t>4000167-23.2025.8.26.0373</t>
        </is>
      </c>
      <c r="C1038" t="inlineStr">
        <is>
          <t>AJ_LIST</t>
        </is>
      </c>
      <c r="D1038" t="inlineStr">
        <is>
          <t>QUARANTINED</t>
        </is>
      </c>
      <c r="E1038" t="n">
        <v>2</v>
      </c>
      <c r="F1038" t="inlineStr">
        <is>
          <t>TABLE</t>
        </is>
      </c>
      <c r="G1038" t="inlineStr">
        <is>
          <t>TABLE_BANDS</t>
        </is>
      </c>
      <c r="H1038" t="inlineStr">
        <is>
          <t>III/BRL#s4: FAIL Δ-122805.87</t>
        </is>
      </c>
      <c r="I1038" t="inlineStr">
        <is>
          <t>2026-07-23</t>
        </is>
      </c>
      <c r="J1038" t="inlineStr">
        <is>
          <t>Cerealista Sa</t>
        </is>
      </c>
      <c r="K1038" t="inlineStr">
        <is>
          <t>ajruiz.com.br</t>
        </is>
      </c>
      <c r="L1038" s="19" t="inlineStr">
        <is>
          <t>https://ajruiz.com.br/sites/default/files/public/arquivos-processos/2026-08/safrasul_relacao_aj_s._total.pdf</t>
        </is>
      </c>
    </row>
    <row r="1039">
      <c r="A1039" t="inlineStr">
        <is>
          <t>6f5d5c5eea1e</t>
        </is>
      </c>
      <c r="B1039" t="inlineStr">
        <is>
          <t>5028800-87.2023.8.24.0038</t>
        </is>
      </c>
      <c r="C1039" t="inlineStr">
        <is>
          <t>AJ_LIST</t>
        </is>
      </c>
      <c r="D1039" t="inlineStr">
        <is>
          <t>QUARANTINED</t>
        </is>
      </c>
      <c r="E1039" t="n">
        <v>2</v>
      </c>
      <c r="F1039" t="inlineStr">
        <is>
          <t>TABLE</t>
        </is>
      </c>
      <c r="G1039" t="inlineStr">
        <is>
          <t>TABLE_BANDS</t>
        </is>
      </c>
      <c r="H1039" t="inlineStr">
        <is>
          <t>I/BRL: FAIL Δ-40770.16</t>
        </is>
      </c>
      <c r="I1039" t="inlineStr">
        <is>
          <t>2025-07-03</t>
        </is>
      </c>
      <c r="J1039" t="inlineStr">
        <is>
          <t>e Extrajudicia</t>
        </is>
      </c>
      <c r="K1039" t="inlineStr">
        <is>
          <t>bbsadvogados.com.br</t>
        </is>
      </c>
      <c r="L1039" s="19" t="inlineStr">
        <is>
          <t>https://bbsadvogados.com.br/wp-content/uploads/2025/07/Evento-342-EDITAL1-Delicatesse-Relacao-de-Credores-da-Administradora-Judicial-art.-7o-2o-LRF.pdf</t>
        </is>
      </c>
    </row>
    <row r="1040">
      <c r="A1040" t="inlineStr">
        <is>
          <t>83fc91f80744</t>
        </is>
      </c>
      <c r="B1040" t="inlineStr">
        <is>
          <t>1039842-97.2019.8.26.0100</t>
        </is>
      </c>
      <c r="C1040" t="inlineStr">
        <is>
          <t>AJ_LIST</t>
        </is>
      </c>
      <c r="D1040" t="inlineStr">
        <is>
          <t>QUARANTINED</t>
        </is>
      </c>
      <c r="E1040" t="n">
        <v>38</v>
      </c>
      <c r="F1040" t="inlineStr">
        <is>
          <t>TABLE</t>
        </is>
      </c>
      <c r="G1040" t="inlineStr">
        <is>
          <t>TABLE_BANDS</t>
        </is>
      </c>
      <c r="H1040" t="inlineStr">
        <is>
          <t>I/BRL#s1: FAIL Δ306950.58 · IV/BRL#s7: FAIL Δ1661043.05 · III/BRL: FAIL Δ-12496671.69</t>
        </is>
      </c>
      <c r="J1040" t="inlineStr">
        <is>
          <t>AJ RUIZ CONSULTORIA EMPRESA</t>
        </is>
      </c>
      <c r="K1040" t="inlineStr">
        <is>
          <t>ajruiz.com.br</t>
        </is>
      </c>
      <c r="L1040" s="19" t="inlineStr">
        <is>
          <t>https://ajruiz.com.br/sites/default/files/public/arquivos-processos/2023-09/relacao-de-credores-aj-art.-7o-a7-2o-da-lre-concreserv-concreto-sa.pdf</t>
        </is>
      </c>
    </row>
    <row r="1041">
      <c r="A1041" t="inlineStr">
        <is>
          <t>4046ce293d48</t>
        </is>
      </c>
      <c r="B1041" t="inlineStr">
        <is>
          <t>1036403-05.2024.8.26.0100</t>
        </is>
      </c>
      <c r="C1041" t="inlineStr">
        <is>
          <t>AJ_LIST</t>
        </is>
      </c>
      <c r="D1041" t="inlineStr">
        <is>
          <t>QUARANTINED</t>
        </is>
      </c>
      <c r="E1041" t="n">
        <v>9</v>
      </c>
      <c r="F1041" t="inlineStr">
        <is>
          <t>TABLE</t>
        </is>
      </c>
      <c r="G1041" t="inlineStr">
        <is>
          <t>TABLE_RULED</t>
        </is>
      </c>
      <c r="H1041" t="inlineStr">
        <is>
          <t>I/BRL#s3: PASS Δ0.00 · III/BRL#s5: PASS Δ0.00 · I/BRL#s9: FAIL Δ33088.17</t>
        </is>
      </c>
      <c r="I1041" t="inlineStr">
        <is>
          <t>2025-04-15</t>
        </is>
      </c>
      <c r="J1041" t="inlineStr">
        <is>
          <t>e Falência</t>
        </is>
      </c>
      <c r="K1041" t="inlineStr">
        <is>
          <t>bbsadvogados.com.br</t>
        </is>
      </c>
      <c r="L1041" s="19" t="inlineStr">
        <is>
          <t>https://bbsadvogados.com.br/wp-content/uploads/2026/03/Edital-contendo-a-relacao-de-credores-apresentada-pelo-Falido-§1o-do-art.-99-da-LRF-1.pdf</t>
        </is>
      </c>
    </row>
    <row r="1042">
      <c r="A1042" t="inlineStr">
        <is>
          <t>8dc2218bfb07</t>
        </is>
      </c>
      <c r="B1042" t="inlineStr">
        <is>
          <t>1000166-31.2025.8.26.0554</t>
        </is>
      </c>
      <c r="C1042" t="inlineStr">
        <is>
          <t>AJ_LIST</t>
        </is>
      </c>
      <c r="D1042" t="inlineStr">
        <is>
          <t>QUARANTINED</t>
        </is>
      </c>
      <c r="E1042" t="n">
        <v>8</v>
      </c>
      <c r="F1042" t="inlineStr">
        <is>
          <t>TABLE</t>
        </is>
      </c>
      <c r="G1042" t="inlineStr">
        <is>
          <t>TABLE_BANDS</t>
        </is>
      </c>
      <c r="H1042" t="inlineStr">
        <is>
          <t>II/BRL: FAIL Δ-1251797.14 · III/BRL: FAIL Δ2700948.32</t>
        </is>
      </c>
      <c r="I1042" t="inlineStr">
        <is>
          <t>2025-05-30</t>
        </is>
      </c>
      <c r="J1042" t="inlineStr">
        <is>
          <t>ATIVOS ADMINISTRAÇÃO JUDICIA</t>
        </is>
      </c>
      <c r="K1042" t="inlineStr">
        <is>
          <t>ativosajce.com.br</t>
        </is>
      </c>
      <c r="L1042" s="19" t="inlineStr">
        <is>
          <t>https://ativosajce.com.br/admin/download.php?file=files/processo_documento/processo_documento11510315072025_1_.pdf&amp;nome=Relação de Credores - Art. 7º § 2º, da Lei nº 11.101/2005 - 14/07/2025</t>
        </is>
      </c>
    </row>
    <row r="1043">
      <c r="A1043" t="inlineStr">
        <is>
          <t>e11fd7188c3f</t>
        </is>
      </c>
      <c r="B1043" t="inlineStr">
        <is>
          <t>1001174-80.2024.8.26.0359</t>
        </is>
      </c>
      <c r="C1043" t="inlineStr">
        <is>
          <t>AJ_LIST</t>
        </is>
      </c>
      <c r="D1043" t="inlineStr">
        <is>
          <t>QUARANTINED</t>
        </is>
      </c>
      <c r="E1043" t="n">
        <v>11</v>
      </c>
      <c r="F1043" t="inlineStr">
        <is>
          <t>TABLE</t>
        </is>
      </c>
      <c r="G1043" t="inlineStr">
        <is>
          <t>TABLE_BANDS</t>
        </is>
      </c>
      <c r="H1043" t="inlineStr">
        <is>
          <t>IV/BRL: FAIL Δ-5577636.68 · III/BRL: FAIL Δ2940349.86</t>
        </is>
      </c>
      <c r="I1043" t="inlineStr">
        <is>
          <t>2025-06-07</t>
        </is>
      </c>
      <c r="J1043" t="inlineStr">
        <is>
          <t>ATIVOS ADMINISTRAÇÃO JUDICIA</t>
        </is>
      </c>
      <c r="K1043" t="inlineStr">
        <is>
          <t>ativosajce.com.br</t>
        </is>
      </c>
      <c r="L1043" s="19" t="inlineStr">
        <is>
          <t>https://ativosajce.com.br/admin/download.php?file=files/processo_documento/processo_documento18120225072025_1_.pdf&amp;nome=Relação de Credores - Art. 7º, § 2º da Lei 11.101/2005 - 22/07/2025</t>
        </is>
      </c>
    </row>
    <row r="1044">
      <c r="A1044" t="inlineStr">
        <is>
          <t>449e13576783</t>
        </is>
      </c>
      <c r="B1044" t="inlineStr">
        <is>
          <t>1000197-12.2025.8.26.0373</t>
        </is>
      </c>
      <c r="C1044" t="inlineStr">
        <is>
          <t>AJ_LIST</t>
        </is>
      </c>
      <c r="D1044" t="inlineStr">
        <is>
          <t>QUARANTINED</t>
        </is>
      </c>
      <c r="E1044" t="n">
        <v>11</v>
      </c>
      <c r="F1044" t="inlineStr">
        <is>
          <t>TABLE</t>
        </is>
      </c>
      <c r="G1044" t="inlineStr">
        <is>
          <t>TABLE_BANDS</t>
        </is>
      </c>
      <c r="H1044" t="inlineStr">
        <is>
          <t>IV/BRL#s11: FAIL Δ1621746.27 · III/BRL#s23: PASS Δ0.00 · III/BRL#s25: FAIL Δ-8869312.25 · III/BRL#s26: PASS Δ0.00 · I/BRL: FAIL Δ-96767.04</t>
        </is>
      </c>
      <c r="I1044" t="inlineStr">
        <is>
          <t>2025-06-03</t>
        </is>
      </c>
      <c r="J1044" t="inlineStr">
        <is>
          <t>ATIVOS ADMINISTRAÇÃO JUDICIA</t>
        </is>
      </c>
      <c r="K1044" t="inlineStr">
        <is>
          <t>ativosajce.com.br</t>
        </is>
      </c>
      <c r="L1044" s="19" t="inlineStr">
        <is>
          <t>https://ativosajce.com.br/admin/download.php?file=files/processo_documento/processo_documento10452918072025_1_.pdf&amp;nome=Relação de Credores - Art. 7º, §2º da Lei 11.101/05 - 17/07/2025</t>
        </is>
      </c>
    </row>
    <row r="1045">
      <c r="A1045" t="inlineStr">
        <is>
          <t>d485ce14d398</t>
        </is>
      </c>
      <c r="B1045" t="inlineStr">
        <is>
          <t>1059817-42.2018.8.26.0100</t>
        </is>
      </c>
      <c r="C1045" t="inlineStr">
        <is>
          <t>AJ_LIST</t>
        </is>
      </c>
      <c r="D1045" t="inlineStr">
        <is>
          <t>QUARANTINED</t>
        </is>
      </c>
      <c r="E1045" t="n">
        <v>16</v>
      </c>
      <c r="F1045" t="inlineStr">
        <is>
          <t>TABLE</t>
        </is>
      </c>
      <c r="G1045" t="inlineStr">
        <is>
          <t>TABLE_RULED</t>
        </is>
      </c>
      <c r="H1045" t="inlineStr">
        <is>
          <t>I/BRL#s5: PASS Δ0.00 · III/BRL#s7: PASS Δ0.00 · IV/BRL#s9: PASS Δ0.00 · III/BRL#s15: FAIL Δ77384.74 · III/BRL#s27: FAIL Δ-497304.14 · III/BRL#s28: FAIL Δ1920501.34 · III/BRL#s29: FAIL Δ53447.82 · I/BRL#s31: PASS Δ0.00</t>
        </is>
      </c>
      <c r="J1045" t="inlineStr">
        <is>
          <t>AJ RUIZ CONSULTORIA EMPRESA</t>
        </is>
      </c>
      <c r="K1045" t="inlineStr">
        <is>
          <t>ajruiz.com.br</t>
        </is>
      </c>
      <c r="L1045" s="19" t="inlineStr">
        <is>
          <t>https://ajruiz.com.br/sites/default/files/public/arquivos-processos/2023-11/6_relacao_de_credores_aj_art.-7o_parag_2o_da_lre.pdf</t>
        </is>
      </c>
    </row>
    <row r="1046">
      <c r="A1046" t="inlineStr">
        <is>
          <t>300527a02f3b</t>
        </is>
      </c>
      <c r="B1046" t="inlineStr">
        <is>
          <t>1001781-65.2025.8.26.0260</t>
        </is>
      </c>
      <c r="C1046" t="inlineStr">
        <is>
          <t>AJ_LIST</t>
        </is>
      </c>
      <c r="D1046" t="inlineStr">
        <is>
          <t>QUARANTINED</t>
        </is>
      </c>
      <c r="E1046" t="n">
        <v>2</v>
      </c>
      <c r="F1046" t="inlineStr">
        <is>
          <t>TABLE</t>
        </is>
      </c>
      <c r="G1046" t="inlineStr">
        <is>
          <t>TABLE_BANDS</t>
        </is>
      </c>
      <c r="H1046" t="inlineStr">
        <is>
          <t>I/BRL#s1: FAIL Δ-843514.35 · III/BRL: FAIL Δ-8053220.04</t>
        </is>
      </c>
      <c r="J1046" t="inlineStr">
        <is>
          <t>FVB Locadora de Veículos e Serviços Ltda</t>
        </is>
      </c>
      <c r="K1046" t="inlineStr">
        <is>
          <t>ajruiz.com.br</t>
        </is>
      </c>
      <c r="L1046" s="19" t="inlineStr">
        <is>
          <t>https://ajruiz.com.br/sites/default/files/public/arquivos-processos/2025-11/relacao_de_credores_art._7o_ss_2o.pdf</t>
        </is>
      </c>
    </row>
    <row r="1047">
      <c r="A1047" t="inlineStr">
        <is>
          <t>db456c585d89</t>
        </is>
      </c>
      <c r="B1047" t="inlineStr">
        <is>
          <t>1000119-75.2025.8.26.0354</t>
        </is>
      </c>
      <c r="C1047" t="inlineStr">
        <is>
          <t>AJ_LIST</t>
        </is>
      </c>
      <c r="D1047" t="inlineStr">
        <is>
          <t>QUARANTINED</t>
        </is>
      </c>
      <c r="E1047" t="n">
        <v>11</v>
      </c>
      <c r="F1047" t="inlineStr">
        <is>
          <t>TABLE</t>
        </is>
      </c>
      <c r="G1047" t="inlineStr">
        <is>
          <t>TABLE_BANDS</t>
        </is>
      </c>
      <c r="H1047" t="inlineStr">
        <is>
          <t>IV/BRL#s9: PASS Δ0.00 · IV/BRL#s10: PASS Δ0.00 · III/BRL: FAIL Δ4211459.93 · I/BRL: FAIL Δ-418657.52</t>
        </is>
      </c>
      <c r="I1047" t="inlineStr">
        <is>
          <t>2025-04-22</t>
        </is>
      </c>
      <c r="J1047" t="inlineStr">
        <is>
          <t>ATIVOS ADMINISTRAÇÃO JUDICIA</t>
        </is>
      </c>
      <c r="K1047" t="inlineStr">
        <is>
          <t>ativosajce.com.br</t>
        </is>
      </c>
      <c r="L1047" s="19" t="inlineStr">
        <is>
          <t>https://ativosajce.com.br/admin/download.php?file=files/processo_documento/processo_documento11095927062025_1_.pdf&amp;nome=Relação de Credores - Art. 7º da Lei 11.101/2005 - 25/06/2025</t>
        </is>
      </c>
    </row>
    <row r="1048">
      <c r="A1048" t="inlineStr">
        <is>
          <t>05880af2d8c0</t>
        </is>
      </c>
      <c r="B1048" t="inlineStr">
        <is>
          <t>1189223-09.2024.8.26.0100</t>
        </is>
      </c>
      <c r="C1048" t="inlineStr">
        <is>
          <t>AJ_LIST</t>
        </is>
      </c>
      <c r="D1048" t="inlineStr">
        <is>
          <t>QUARANTINED</t>
        </is>
      </c>
      <c r="E1048" t="n">
        <v>7</v>
      </c>
      <c r="F1048" t="inlineStr">
        <is>
          <t>TABLE</t>
        </is>
      </c>
      <c r="G1048" t="inlineStr">
        <is>
          <t>TABLE_BANDS</t>
        </is>
      </c>
      <c r="H1048" t="inlineStr">
        <is>
          <t>I/BRL: FAIL Δ-3072370.13 · III/BRL: FAIL Δ-41319383.98</t>
        </is>
      </c>
      <c r="J1048" t="inlineStr">
        <is>
          <t>Ativos</t>
        </is>
      </c>
      <c r="K1048" t="inlineStr">
        <is>
          <t>ativosajce.com.br</t>
        </is>
      </c>
      <c r="L1048" s="19" t="inlineStr">
        <is>
          <t>https://ativosajce.com.br/admin/download.php?file=files/processo_documento/processo_documento12205627062025_1_.pdf&amp;nome=Relação de Credores Retificada - Art. 7º, §2º da Lei 11.101/05 - 04/06/2025</t>
        </is>
      </c>
    </row>
    <row r="1049">
      <c r="A1049" t="inlineStr">
        <is>
          <t>9d57116a72d8</t>
        </is>
      </c>
      <c r="B1049" t="inlineStr">
        <is>
          <t>1000203-38.2023.8.26.0260</t>
        </is>
      </c>
      <c r="C1049" t="inlineStr">
        <is>
          <t>AJ_LIST</t>
        </is>
      </c>
      <c r="D1049" t="inlineStr">
        <is>
          <t>QUARANTINED</t>
        </is>
      </c>
      <c r="E1049" t="n">
        <v>3</v>
      </c>
      <c r="F1049" t="inlineStr">
        <is>
          <t>TABLE</t>
        </is>
      </c>
      <c r="G1049" t="inlineStr">
        <is>
          <t>TABLE_BANDS</t>
        </is>
      </c>
      <c r="H1049" t="inlineStr">
        <is>
          <t>IV/BRL#s1: FAIL Δ85294.05 · III/BRL: FAIL Δ-4675207.40</t>
        </is>
      </c>
      <c r="J1049" t="inlineStr">
        <is>
          <t>ANIN INDÚSTRIA E COMÉRCIO DE PAPEL LTDA</t>
        </is>
      </c>
      <c r="K1049" t="inlineStr">
        <is>
          <t>ajruiz.com.br</t>
        </is>
      </c>
      <c r="L1049" s="19" t="inlineStr">
        <is>
          <t>https://ajruiz.com.br/sites/default/files/public/arquivos-processos/2023-11/9_edital_relacao_de_credores_art._7o_parag._2o_da_lre_e_aviso_sobre_o_plano_de_recuperacao_judicial.pdf</t>
        </is>
      </c>
    </row>
    <row r="1050">
      <c r="A1050" t="inlineStr">
        <is>
          <t>7f8a0c606efc</t>
        </is>
      </c>
      <c r="B1050" t="inlineStr">
        <is>
          <t>1189223-09.2024.8.26.0100</t>
        </is>
      </c>
      <c r="C1050" t="inlineStr">
        <is>
          <t>AJ_LIST</t>
        </is>
      </c>
      <c r="D1050" t="inlineStr">
        <is>
          <t>QUARANTINED</t>
        </is>
      </c>
      <c r="E1050" t="n">
        <v>19</v>
      </c>
      <c r="F1050" t="inlineStr">
        <is>
          <t>TABLE</t>
        </is>
      </c>
      <c r="G1050" t="inlineStr">
        <is>
          <t>TABLE_BANDS</t>
        </is>
      </c>
      <c r="H1050" t="inlineStr">
        <is>
          <t>IV/BRL#s24: FAIL Δ-3019238.62 · IV/BRL#s26: FAIL Δ-18169986.38 · I/BRL: FAIL Δ81126.20 · III/BRL: FAIL Δ13321389.84</t>
        </is>
      </c>
      <c r="I1050" t="inlineStr">
        <is>
          <t>2025-02-18</t>
        </is>
      </c>
      <c r="J1050" t="inlineStr">
        <is>
          <t>ATIVOS ADMINISTRAÇÃO JUDICIA</t>
        </is>
      </c>
      <c r="K1050" t="inlineStr">
        <is>
          <t>ativosajce.com.br</t>
        </is>
      </c>
      <c r="L1050" s="19" t="inlineStr">
        <is>
          <t>https://ativosajce.com.br/admin/download.php?file=files/processo_documento/processo_documento12291327062025_1_.pdf&amp;nome=Relação de Credores - Art. 7º, §2º da Lei 11.101/05 - 04/04/2025</t>
        </is>
      </c>
    </row>
    <row r="1051">
      <c r="A1051" t="inlineStr">
        <is>
          <t>24566ba7dfe4</t>
        </is>
      </c>
      <c r="B1051" t="inlineStr">
        <is>
          <t>0068535-07.2024.8.17.2001</t>
        </is>
      </c>
      <c r="C1051" t="inlineStr">
        <is>
          <t>AJ_LIST</t>
        </is>
      </c>
      <c r="D1051" t="inlineStr">
        <is>
          <t>QUARANTINED</t>
        </is>
      </c>
      <c r="E1051" t="n">
        <v>20</v>
      </c>
      <c r="F1051" t="inlineStr">
        <is>
          <t>PROSE</t>
        </is>
      </c>
      <c r="G1051" t="inlineStr">
        <is>
          <t>PROSE</t>
        </is>
      </c>
      <c r="H1051" t="inlineStr">
        <is>
          <t>III/BRL#s3: FAIL Δ0.00 · I/BRL: PASS Δ0.00 · II/BRL: PASS Δ0.00</t>
        </is>
      </c>
      <c r="I1051" t="inlineStr">
        <is>
          <t>2025-07-11</t>
        </is>
      </c>
      <c r="J1051" t="inlineStr">
        <is>
          <t>BRN e INFOTECK - Recupera Soluções Empresariais</t>
        </is>
      </c>
      <c r="K1051" t="inlineStr">
        <is>
          <t>recuperasolucoes.com</t>
        </is>
      </c>
      <c r="L1051" s="19" t="inlineStr">
        <is>
          <t>https://recuperasolucoes.com/wp-content/plugins/download-attachments/includes/download.php?id=1470</t>
        </is>
      </c>
    </row>
    <row r="1052">
      <c r="A1052" t="inlineStr">
        <is>
          <t>a485636834b1</t>
        </is>
      </c>
      <c r="B1052" t="inlineStr">
        <is>
          <t>0068535-07.2024.8.17.2001</t>
        </is>
      </c>
      <c r="C1052" t="inlineStr">
        <is>
          <t>AJ_LIST</t>
        </is>
      </c>
      <c r="D1052" t="inlineStr">
        <is>
          <t>QUARANTINED</t>
        </is>
      </c>
      <c r="E1052" t="n">
        <v>3</v>
      </c>
      <c r="F1052" t="inlineStr">
        <is>
          <t>PROSE</t>
        </is>
      </c>
      <c r="G1052" t="inlineStr">
        <is>
          <t>PROSE</t>
        </is>
      </c>
      <c r="H1052" t="inlineStr">
        <is>
          <t>III/BRL#s3: FAIL Δ0.00 · I/BRL: PASS Δ0.00 · II/BRL: PASS Δ0.00</t>
        </is>
      </c>
      <c r="I1052" t="inlineStr">
        <is>
          <t>2025-10-06</t>
        </is>
      </c>
      <c r="J1052" t="inlineStr">
        <is>
          <t>BRN e INFOTECK - Recupera Soluções Empresariais</t>
        </is>
      </c>
      <c r="K1052" t="inlineStr">
        <is>
          <t>recuperasolucoes.com</t>
        </is>
      </c>
      <c r="L1052" s="19" t="inlineStr">
        <is>
          <t>https://recuperasolucoes.com/wp-content/plugins/download-attachments/includes/download.php?id=1506</t>
        </is>
      </c>
    </row>
    <row r="1053">
      <c r="A1053" t="inlineStr">
        <is>
          <t>aa02843210a6</t>
        </is>
      </c>
      <c r="B1053" t="inlineStr">
        <is>
          <t>1002360-47.2024.8.26.0260</t>
        </is>
      </c>
      <c r="C1053" t="inlineStr">
        <is>
          <t>AJ_LIST</t>
        </is>
      </c>
      <c r="D1053" t="inlineStr">
        <is>
          <t>QUARANTINED</t>
        </is>
      </c>
      <c r="E1053" t="n">
        <v>5</v>
      </c>
      <c r="F1053" t="inlineStr">
        <is>
          <t>TABLE</t>
        </is>
      </c>
      <c r="G1053" t="inlineStr">
        <is>
          <t>TABLE_RULED</t>
        </is>
      </c>
      <c r="H1053" t="inlineStr">
        <is>
          <t>I/BRL: FAIL Δ1958350.52 · II/BRL: FAIL Δ13578813.83 · III/BRL: FAIL Δ-1478509.50 · IV/BRL: FAIL Δ-2561490.50</t>
        </is>
      </c>
      <c r="J1053" t="inlineStr">
        <is>
          <t>Ativos</t>
        </is>
      </c>
      <c r="K1053" t="inlineStr">
        <is>
          <t>ativosajce.com.br</t>
        </is>
      </c>
      <c r="L1053" s="19" t="inlineStr">
        <is>
          <t>https://ativosajce.com.br/admin/download.php?file=files/processo_documento/processo_documento14530931032026_1_.pdf&amp;nome=Quadro Geral de Credores Atualizado - 23/03/2026</t>
        </is>
      </c>
    </row>
    <row r="1054">
      <c r="A1054" t="inlineStr">
        <is>
          <t>3194036a7923</t>
        </is>
      </c>
      <c r="B1054" t="inlineStr">
        <is>
          <t>1025532-14.2021.8.26.0554</t>
        </is>
      </c>
      <c r="C1054" t="inlineStr">
        <is>
          <t>AJ_LIST</t>
        </is>
      </c>
      <c r="D1054" t="inlineStr">
        <is>
          <t>QUARANTINED</t>
        </is>
      </c>
      <c r="E1054" t="n">
        <v>5</v>
      </c>
      <c r="F1054" t="inlineStr">
        <is>
          <t>TABLE</t>
        </is>
      </c>
      <c r="G1054" t="inlineStr">
        <is>
          <t>TABLE_BANDS</t>
        </is>
      </c>
      <c r="H1054" t="inlineStr">
        <is>
          <t>I/BRL: FAIL Δ-1491878.29 · III/BRL: FAIL Δ-20957251.43</t>
        </is>
      </c>
      <c r="I1054" t="inlineStr">
        <is>
          <t>2023-03-21</t>
        </is>
      </c>
      <c r="J1054" t="inlineStr">
        <is>
          <t>FERRAMENTARIA GASPEC LTDA</t>
        </is>
      </c>
      <c r="K1054" t="inlineStr">
        <is>
          <t>ativosajce.com.br</t>
        </is>
      </c>
      <c r="L1054" s="19" t="inlineStr">
        <is>
          <t>https://ativosajce.com.br/admin/download.php?file=files/processo_documento/processo_documento14350027032023_1_.pdf&amp;nome=Edital e Relação de credores do Art. 7º, §2º da Lei 11.101/2005 - 24/03/2023</t>
        </is>
      </c>
    </row>
    <row r="1055">
      <c r="A1055" t="inlineStr">
        <is>
          <t>bed5dc333ecf</t>
        </is>
      </c>
      <c r="B1055" t="inlineStr">
        <is>
          <t>0085817-92.2023.8.17.2001</t>
        </is>
      </c>
      <c r="C1055" t="inlineStr">
        <is>
          <t>AJ_LIST</t>
        </is>
      </c>
      <c r="D1055" t="inlineStr">
        <is>
          <t>QUARANTINED</t>
        </is>
      </c>
      <c r="E1055" t="n">
        <v>20</v>
      </c>
      <c r="F1055" t="inlineStr">
        <is>
          <t>PROSE</t>
        </is>
      </c>
      <c r="G1055" t="inlineStr">
        <is>
          <t>PROSE</t>
        </is>
      </c>
      <c r="H1055" t="inlineStr">
        <is>
          <t>I/BRL#s1: FAIL Δ-257005.42 · III/BRL#s3: FAIL Δ0.00 · IV/BRL#s4: FAIL Δ0.00 · II/BRL: PASS Δ0.00</t>
        </is>
      </c>
      <c r="I1055" t="inlineStr">
        <is>
          <t>2025-07-23</t>
        </is>
      </c>
      <c r="J1055" t="inlineStr">
        <is>
          <t>empresa</t>
        </is>
      </c>
      <c r="K1055" t="inlineStr">
        <is>
          <t>recuperasolucoes.com</t>
        </is>
      </c>
      <c r="L1055" s="19" t="inlineStr">
        <is>
          <t>https://recuperasolucoes.com/wp-content/plugins/download-attachments/includes/download.php?id=1474</t>
        </is>
      </c>
    </row>
    <row r="1056">
      <c r="A1056" t="inlineStr">
        <is>
          <t>fe8c5f1b0eca</t>
        </is>
      </c>
      <c r="B1056" t="inlineStr">
        <is>
          <t>0871065-72.2024.8.12.0001</t>
        </is>
      </c>
      <c r="C1056" t="inlineStr">
        <is>
          <t>DEBTOR_LIST</t>
        </is>
      </c>
      <c r="D1056" t="inlineStr">
        <is>
          <t>QUARANTINED</t>
        </is>
      </c>
      <c r="E1056" t="n">
        <v>4</v>
      </c>
      <c r="F1056" t="inlineStr">
        <is>
          <t>TABLE</t>
        </is>
      </c>
      <c r="G1056" t="inlineStr">
        <is>
          <t>TABLE_BANDS</t>
        </is>
      </c>
      <c r="H1056" t="inlineStr">
        <is>
          <t>II/BRL: FAIL Δ-269952.28</t>
        </is>
      </c>
      <c r="J1056" t="inlineStr">
        <is>
          <t>interessa</t>
        </is>
      </c>
      <c r="K1056" t="inlineStr">
        <is>
          <t>csh.adv.br</t>
        </is>
      </c>
      <c r="L1056" s="19" t="inlineStr">
        <is>
          <t>https://csh.adv.br/wp-content/uploads/2025/03/Edital-Art.-52-1.pdf</t>
        </is>
      </c>
    </row>
    <row r="1057">
      <c r="A1057" t="inlineStr">
        <is>
          <t>fe555f1f16f4</t>
        </is>
      </c>
      <c r="B1057" t="inlineStr">
        <is>
          <t>0807423-41.2024.8.20.5001</t>
        </is>
      </c>
      <c r="C1057" t="inlineStr">
        <is>
          <t>DEBTOR_LIST</t>
        </is>
      </c>
      <c r="D1057" t="inlineStr">
        <is>
          <t>QUARANTINED</t>
        </is>
      </c>
      <c r="E1057" t="n">
        <v>5</v>
      </c>
      <c r="F1057" t="inlineStr">
        <is>
          <t>PROSE</t>
        </is>
      </c>
      <c r="G1057" t="inlineStr">
        <is>
          <t>PROSE</t>
        </is>
      </c>
      <c r="H1057" t="inlineStr">
        <is>
          <t>I/BRL#s1: FAIL ΔNone · III/BRL#s2: FAIL Δ-1280.00</t>
        </is>
      </c>
      <c r="I1057" t="inlineStr">
        <is>
          <t>2025-09-01</t>
        </is>
      </c>
      <c r="J1057" t="inlineStr">
        <is>
          <t>e Falência</t>
        </is>
      </c>
      <c r="K1057" t="inlineStr">
        <is>
          <t>vivanteaj.com.br</t>
        </is>
      </c>
      <c r="L1057" s="19" t="inlineStr">
        <is>
          <t>https://vivanteaj.com.br/wp-content/uploads/2024/11/Edital-1.pdf</t>
        </is>
      </c>
    </row>
    <row r="1058">
      <c r="A1058" t="inlineStr">
        <is>
          <t>7f03f38933a6</t>
        </is>
      </c>
      <c r="B1058" t="inlineStr">
        <is>
          <t>0108923-15.2025.8.17.2001</t>
        </is>
      </c>
      <c r="C1058" t="inlineStr">
        <is>
          <t>DEBTOR_LIST</t>
        </is>
      </c>
      <c r="D1058" t="inlineStr">
        <is>
          <t>QUARANTINED</t>
        </is>
      </c>
      <c r="E1058" t="n">
        <v>14</v>
      </c>
      <c r="F1058" t="inlineStr">
        <is>
          <t>PROSE</t>
        </is>
      </c>
      <c r="G1058" t="inlineStr">
        <is>
          <t>PROSE</t>
        </is>
      </c>
      <c r="H1058" t="inlineStr">
        <is>
          <t>I/BRL#s1: FAIL Δ-2429.76 · III/BRL#s2: PASS ΔNone · IV/BRL#s3: PASS Δ0.00 · I/BRL#s5: PASS Δ-0.02 · III/BRL#s6: FAIL ΔNone · IV/BRL#s7: FAIL Δ-16845.51</t>
        </is>
      </c>
      <c r="I1058" t="inlineStr">
        <is>
          <t>2026-03-11</t>
        </is>
      </c>
      <c r="J1058" t="inlineStr">
        <is>
          <t>formulado pelas empresa</t>
        </is>
      </c>
      <c r="K1058" t="inlineStr">
        <is>
          <t>diligence.adm.br</t>
        </is>
      </c>
      <c r="L1058" s="19" t="inlineStr">
        <is>
          <t>https://diligence.adm.br/wp-content/plugins/download-attachments/includes/download.php?id=6204</t>
        </is>
      </c>
    </row>
    <row r="1059">
      <c r="A1059" t="inlineStr">
        <is>
          <t>becfeadaba48</t>
        </is>
      </c>
      <c r="B1059" t="inlineStr">
        <is>
          <t>0720420-24.2018.8.02.0001</t>
        </is>
      </c>
      <c r="C1059" t="inlineStr">
        <is>
          <t>DEBTOR_LIST</t>
        </is>
      </c>
      <c r="D1059" t="inlineStr">
        <is>
          <t>QUARANTINED</t>
        </is>
      </c>
      <c r="E1059" t="n">
        <v>3</v>
      </c>
      <c r="F1059" t="inlineStr">
        <is>
          <t>PROSE</t>
        </is>
      </c>
      <c r="G1059" t="inlineStr">
        <is>
          <t>PROSE</t>
        </is>
      </c>
      <c r="H1059" t="inlineStr">
        <is>
          <t>I/BRL#s7: FAIL ΔNone · II/BRL#s8: PASS ΔNone · III/BRL#s9: FAIL ΔNone · IV/BRL: FAIL ΔNone</t>
        </is>
      </c>
      <c r="J1059" t="inlineStr">
        <is>
          <t>Construtora Humberto Lôbo Ltda</t>
        </is>
      </c>
      <c r="K1059" t="inlineStr">
        <is>
          <t>recuperacaojudicial.squarespace.com</t>
        </is>
      </c>
      <c r="L1059" s="19" t="inlineStr">
        <is>
          <t>https://recuperacaojudicial.squarespace.com/s/Edital-1a-lista-publicado-4zf5.pdf</t>
        </is>
      </c>
    </row>
    <row r="1060">
      <c r="A1060" t="inlineStr">
        <is>
          <t>8ec4d41971bd</t>
        </is>
      </c>
      <c r="B1060" t="inlineStr">
        <is>
          <t>0700256-03.2019.8.02.0066</t>
        </is>
      </c>
      <c r="C1060" t="inlineStr">
        <is>
          <t>DEBTOR_LIST</t>
        </is>
      </c>
      <c r="D1060" t="inlineStr">
        <is>
          <t>QUARANTINED</t>
        </is>
      </c>
      <c r="E1060" t="n">
        <v>4</v>
      </c>
      <c r="F1060" t="inlineStr">
        <is>
          <t>PROSE</t>
        </is>
      </c>
      <c r="G1060" t="inlineStr">
        <is>
          <t>PROSE</t>
        </is>
      </c>
      <c r="H1060" t="inlineStr">
        <is>
          <t>I/BRL#s4: FAIL ΔNone · III/BRL#s5: FAIL ΔNone · IV/BRL#s6: FAIL ΔNone</t>
        </is>
      </c>
      <c r="I1060" t="inlineStr">
        <is>
          <t>2018-10-31</t>
        </is>
      </c>
      <c r="J1060" t="inlineStr">
        <is>
          <t>Grupo Arnon de Mello — Lindoso e Araujo</t>
        </is>
      </c>
      <c r="K1060" t="inlineStr">
        <is>
          <t>recuperacaojudicial.squarespace.com</t>
        </is>
      </c>
      <c r="L1060" s="19" t="inlineStr">
        <is>
          <t>https://recuperacaojudicial.squarespace.com/s/Edital-1a-lista-publicado-tes5.pdf</t>
        </is>
      </c>
    </row>
    <row r="1061">
      <c r="A1061" t="inlineStr">
        <is>
          <t>ea386fdc2c44</t>
        </is>
      </c>
      <c r="B1061" t="inlineStr">
        <is>
          <t>0700707-87.2025.8.02.0043</t>
        </is>
      </c>
      <c r="C1061" t="inlineStr">
        <is>
          <t>DEBTOR_LIST</t>
        </is>
      </c>
      <c r="D1061" t="inlineStr">
        <is>
          <t>QUARANTINED</t>
        </is>
      </c>
      <c r="E1061" t="n">
        <v>3</v>
      </c>
      <c r="F1061" t="inlineStr">
        <is>
          <t>TABLE</t>
        </is>
      </c>
      <c r="G1061" t="inlineStr">
        <is>
          <t>TABLE_BANDS</t>
        </is>
      </c>
      <c r="H1061" t="inlineStr">
        <is>
          <t>II/BRL#s2: FAIL Δ569687.40</t>
        </is>
      </c>
      <c r="I1061" t="inlineStr">
        <is>
          <t>2025-06-11</t>
        </is>
      </c>
      <c r="J1061" t="inlineStr">
        <is>
          <t>EMPRESA</t>
        </is>
      </c>
      <c r="K1061" t="inlineStr">
        <is>
          <t>recuperacaojudicial.squarespace.com</t>
        </is>
      </c>
      <c r="L1061" s="19" t="inlineStr">
        <is>
          <t>https://recuperacaojudicial.squarespace.com/s/PUBLICACO-DO-EDITAL-COM-A-1-LISTA-DE-CREDORES_1305.pdf</t>
        </is>
      </c>
    </row>
    <row r="1062">
      <c r="A1062" t="inlineStr">
        <is>
          <t>1807fa161026</t>
        </is>
      </c>
      <c r="B1062" t="inlineStr">
        <is>
          <t>0706250-76.2020.8.02.0001</t>
        </is>
      </c>
      <c r="C1062" t="inlineStr">
        <is>
          <t>DEBTOR_LIST</t>
        </is>
      </c>
      <c r="D1062" t="inlineStr">
        <is>
          <t>QUARANTINED</t>
        </is>
      </c>
      <c r="E1062" t="n">
        <v>7</v>
      </c>
      <c r="F1062" t="inlineStr">
        <is>
          <t>PROSE</t>
        </is>
      </c>
      <c r="G1062" t="inlineStr">
        <is>
          <t>PROSE</t>
        </is>
      </c>
      <c r="H1062" t="inlineStr">
        <is>
          <t>I/BRL#s6: FAIL Δ-5052.00 · III/BRL#s7: PASS Δ0.00 · IV/BRL#s8: FAIL Δ-6520.00</t>
        </is>
      </c>
      <c r="J1062" t="inlineStr">
        <is>
          <t>empresa</t>
        </is>
      </c>
      <c r="K1062" t="inlineStr">
        <is>
          <t>recuperacaojudicial.squarespace.com</t>
        </is>
      </c>
      <c r="L1062" s="19" t="inlineStr">
        <is>
          <t>https://recuperacaojudicial.squarespace.com/s/03-RJ-Sampaio-Construces-Edital-com-a-1-relaco-de-credores.pdf</t>
        </is>
      </c>
    </row>
    <row r="1063">
      <c r="A1063" t="inlineStr">
        <is>
          <t>fd56b1b49916</t>
        </is>
      </c>
      <c r="B1063" t="inlineStr">
        <is>
          <t>0009339-09.2024.8.17.2001</t>
        </is>
      </c>
      <c r="C1063" t="inlineStr">
        <is>
          <t>DEBTOR_LIST</t>
        </is>
      </c>
      <c r="D1063" t="inlineStr">
        <is>
          <t>QUARANTINED</t>
        </is>
      </c>
      <c r="E1063" t="n">
        <v>16</v>
      </c>
      <c r="F1063" t="inlineStr">
        <is>
          <t>PROSE</t>
        </is>
      </c>
      <c r="G1063" t="inlineStr">
        <is>
          <t>PROSE</t>
        </is>
      </c>
      <c r="H1063" t="inlineStr">
        <is>
          <t>I/BRL#s2: FAIL Δ-4317.43 · III/BRL#s3: FAIL Δ-1233.01 · IV/BRL#s4: FAIL Δ-134.00 · I/BRL#s7: FAIL Δ-198179.18 · III/BRL#s8: FAIL Δ-24963.76 · IV/BRL#s9: FAIL Δ-24250.00</t>
        </is>
      </c>
      <c r="I1063" t="inlineStr">
        <is>
          <t>2024-02-19</t>
        </is>
      </c>
      <c r="J1063" t="inlineStr">
        <is>
          <t>Cuida-se de pedido de recuperação judicia</t>
        </is>
      </c>
      <c r="K1063" t="inlineStr">
        <is>
          <t>lrflideres.com.br</t>
        </is>
      </c>
      <c r="L1063" s="19" t="inlineStr">
        <is>
          <t>https://lrflideres.com.br/wp-content/plugins/download-attachments/includes/download.php?id=5700</t>
        </is>
      </c>
    </row>
    <row r="1064">
      <c r="A1064" t="inlineStr">
        <is>
          <t>5f7f0a40592f</t>
        </is>
      </c>
      <c r="B1064" t="inlineStr">
        <is>
          <t>0011283-80.2023.8.17.2001</t>
        </is>
      </c>
      <c r="C1064" t="inlineStr">
        <is>
          <t>DEBTOR_LIST</t>
        </is>
      </c>
      <c r="D1064" t="inlineStr">
        <is>
          <t>QUARANTINED</t>
        </is>
      </c>
      <c r="E1064" t="n">
        <v>10</v>
      </c>
      <c r="F1064" t="inlineStr">
        <is>
          <t>PROSE</t>
        </is>
      </c>
      <c r="G1064" t="inlineStr">
        <is>
          <t>PROSE</t>
        </is>
      </c>
      <c r="H1064" t="inlineStr">
        <is>
          <t>I/BRL#s1: PASS Δ0.00 · III/BRL#s2: PASS Δ0.00 · IV/BRL#s3: FAIL Δ228002100.00</t>
        </is>
      </c>
      <c r="J1064" t="inlineStr">
        <is>
          <t>e a concretização de uma etapa no processo, visa</t>
        </is>
      </c>
      <c r="K1064" t="inlineStr">
        <is>
          <t>lrflideres.com.br</t>
        </is>
      </c>
      <c r="L1064" s="19" t="inlineStr">
        <is>
          <t>https://lrflideres.com.br/wp-content/plugins/download-attachments/includes/download.php?id=5137</t>
        </is>
      </c>
    </row>
    <row r="1065">
      <c r="A1065" t="inlineStr">
        <is>
          <t>fd5db755f9d6</t>
        </is>
      </c>
      <c r="B1065" t="inlineStr">
        <is>
          <t>0015488-29.2018.8.17.2810</t>
        </is>
      </c>
      <c r="C1065" t="inlineStr">
        <is>
          <t>DEBTOR_LIST</t>
        </is>
      </c>
      <c r="D1065" t="inlineStr">
        <is>
          <t>QUARANTINED</t>
        </is>
      </c>
      <c r="E1065" t="n">
        <v>5</v>
      </c>
      <c r="F1065" t="inlineStr">
        <is>
          <t>PROSE</t>
        </is>
      </c>
      <c r="G1065" t="inlineStr">
        <is>
          <t>PROSE</t>
        </is>
      </c>
      <c r="H1065" t="inlineStr">
        <is>
          <t>I/BRL#s4: FAIL ΔNone · III/BRL#s5: PASS ΔNone · IV/BRL#s6: FAIL ΔNone</t>
        </is>
      </c>
      <c r="I1065" t="inlineStr">
        <is>
          <t>2018-11-19</t>
        </is>
      </c>
      <c r="J1065" t="inlineStr">
        <is>
          <t>CENTRO DE TRATAMENTO RENAL ZONA SUL LTDA</t>
        </is>
      </c>
      <c r="K1065" t="inlineStr">
        <is>
          <t>recuperacaojudicial.squarespace.com</t>
        </is>
      </c>
      <c r="L1065" s="19" t="inlineStr">
        <is>
          <t>https://recuperacaojudicial.squarespace.com/s/3-RJ-CTR-Edital-da-1-Lista-de-Credores-abril-2019.pdf</t>
        </is>
      </c>
    </row>
    <row r="1066">
      <c r="A1066" t="inlineStr">
        <is>
          <t>088be5223af3</t>
        </is>
      </c>
      <c r="B1066" t="inlineStr">
        <is>
          <t>0822279-56.2026.8.15.2001</t>
        </is>
      </c>
      <c r="C1066" t="inlineStr">
        <is>
          <t>DEBTOR_LIST</t>
        </is>
      </c>
      <c r="D1066" t="inlineStr">
        <is>
          <t>QUARANTINED</t>
        </is>
      </c>
      <c r="E1066" t="n">
        <v>4</v>
      </c>
      <c r="F1066" t="inlineStr">
        <is>
          <t>PROSE</t>
        </is>
      </c>
      <c r="G1066" t="inlineStr">
        <is>
          <t>PROSE</t>
        </is>
      </c>
      <c r="H1066" t="inlineStr">
        <is>
          <t>I/BRL#s1: FAIL Δ-1938.10 · III/BRL#s2: PASS Δ-10320.00</t>
        </is>
      </c>
      <c r="I1066" t="inlineStr">
        <is>
          <t>2026-07-28</t>
        </is>
      </c>
      <c r="J1066" t="inlineStr">
        <is>
          <t>DIAGSON DIAGNOSTICO EM ULTRA SONOGRAFIA MED FETAL LTDA – EPP – LRF Líderes em Recuperação Judicial e Falência</t>
        </is>
      </c>
      <c r="K1066" t="inlineStr">
        <is>
          <t>lrflideres.com.br</t>
        </is>
      </c>
      <c r="L1066" s="19" t="inlineStr">
        <is>
          <t>https://lrflideres.com.br/wp-content/plugins/download-attachments/includes/download.php?id=7418</t>
        </is>
      </c>
    </row>
    <row r="1067">
      <c r="A1067" t="inlineStr">
        <is>
          <t>623782b81a85</t>
        </is>
      </c>
      <c r="B1067" t="inlineStr">
        <is>
          <t>0077403-37.2025.8.17.2001</t>
        </is>
      </c>
      <c r="C1067" t="inlineStr">
        <is>
          <t>DEBTOR_LIST</t>
        </is>
      </c>
      <c r="D1067" t="inlineStr">
        <is>
          <t>QUARANTINED</t>
        </is>
      </c>
      <c r="E1067" t="n">
        <v>8</v>
      </c>
      <c r="F1067" t="inlineStr">
        <is>
          <t>PROSE</t>
        </is>
      </c>
      <c r="G1067" t="inlineStr">
        <is>
          <t>PROSE</t>
        </is>
      </c>
      <c r="H1067" t="inlineStr">
        <is>
          <t>III/BRL#s4: FAIL ΔNone · IV/BRL#s5: FAIL ΔNone · I/BRL: FAIL ΔNone</t>
        </is>
      </c>
      <c r="I1067" t="inlineStr">
        <is>
          <t>2026-07-22</t>
        </is>
      </c>
      <c r="J1067" t="inlineStr">
        <is>
          <t>E FALENCIA</t>
        </is>
      </c>
      <c r="K1067" t="inlineStr">
        <is>
          <t>diligence.adm.br</t>
        </is>
      </c>
      <c r="L1067" s="19" t="inlineStr">
        <is>
          <t>https://diligence.adm.br/wp-content/plugins/download-attachments/includes/download.php?id=6281</t>
        </is>
      </c>
    </row>
    <row r="1068">
      <c r="A1068" t="inlineStr">
        <is>
          <t>df10484b8676</t>
        </is>
      </c>
      <c r="B1068" t="inlineStr">
        <is>
          <t>0862875-63.2018.8.15.2001</t>
        </is>
      </c>
      <c r="C1068" t="inlineStr">
        <is>
          <t>DEBTOR_LIST</t>
        </is>
      </c>
      <c r="D1068" t="inlineStr">
        <is>
          <t>QUARANTINED</t>
        </is>
      </c>
      <c r="E1068" t="n">
        <v>1</v>
      </c>
      <c r="F1068" t="inlineStr">
        <is>
          <t>PROSE</t>
        </is>
      </c>
      <c r="G1068" t="inlineStr">
        <is>
          <t>PROSE</t>
        </is>
      </c>
      <c r="H1068" t="inlineStr">
        <is>
          <t>II/BRL#s1: PASS ΔNone · III/BRL#s2: FAIL ΔNone · IV/BRL#s3: FAIL Δ514021.44 · I/BRL#s4: FAIL Δ-8721.68</t>
        </is>
      </c>
      <c r="J1068" t="inlineStr">
        <is>
          <t>e sua posterior aprovação,mesmo em caso de discordância</t>
        </is>
      </c>
      <c r="K1068" t="inlineStr">
        <is>
          <t>lrflideres.com.br</t>
        </is>
      </c>
      <c r="L1068" s="19" t="inlineStr">
        <is>
          <t>https://lrflideres.com.br/wp-content/plugins/download-attachments/includes/download.php?id=3975</t>
        </is>
      </c>
    </row>
    <row r="1069">
      <c r="A1069" t="inlineStr">
        <is>
          <t>ccc1278999b1</t>
        </is>
      </c>
      <c r="B1069" t="inlineStr">
        <is>
          <t>0019761-43.2024.8.17.2001</t>
        </is>
      </c>
      <c r="C1069" t="inlineStr">
        <is>
          <t>DEBTOR_LIST</t>
        </is>
      </c>
      <c r="D1069" t="inlineStr">
        <is>
          <t>QUARANTINED</t>
        </is>
      </c>
      <c r="E1069" t="n">
        <v>51</v>
      </c>
      <c r="F1069" t="inlineStr">
        <is>
          <t>PROSE</t>
        </is>
      </c>
      <c r="G1069" t="inlineStr">
        <is>
          <t>PROSE</t>
        </is>
      </c>
      <c r="H1069" t="inlineStr">
        <is>
          <t>I/BRL#s1: FAIL Δ-34098.85 · III/BRL#s2: PASS Δ0.00 · IV/BRL#s3: PASS Δ0.00 · I/BRL#s4: FAIL Δ-2254.06 · III/BRL#s5: PASS Δ0.00 · IV/BRL#s6: PASS Δ0.00 · I/BRL#s7: FAIL Δ-7309.84 · III/BRL#s8: FAIL Δ34273161.42</t>
        </is>
      </c>
      <c r="I1069" t="inlineStr">
        <is>
          <t>2024-03-14</t>
        </is>
      </c>
      <c r="J1069" t="inlineStr">
        <is>
          <t>Requerentes, mantendo seus atuais administradores na condução da atividade empresa</t>
        </is>
      </c>
      <c r="K1069" t="inlineStr">
        <is>
          <t>lrflideres.com.br</t>
        </is>
      </c>
      <c r="L1069" s="19" t="inlineStr">
        <is>
          <t>https://lrflideres.com.br/wp-content/plugins/download-attachments/includes/download.php?id=5817</t>
        </is>
      </c>
    </row>
    <row r="1070">
      <c r="A1070" t="inlineStr">
        <is>
          <t>67c07a6a190c</t>
        </is>
      </c>
      <c r="B1070" t="inlineStr">
        <is>
          <t>0011441-85.2025.8.17.2480</t>
        </is>
      </c>
      <c r="C1070" t="inlineStr">
        <is>
          <t>DEBTOR_LIST</t>
        </is>
      </c>
      <c r="D1070" t="inlineStr">
        <is>
          <t>QUARANTINED</t>
        </is>
      </c>
      <c r="E1070" t="n">
        <v>7</v>
      </c>
      <c r="F1070" t="inlineStr">
        <is>
          <t>PROSE</t>
        </is>
      </c>
      <c r="G1070" t="inlineStr">
        <is>
          <t>PROSE</t>
        </is>
      </c>
      <c r="H1070" t="inlineStr">
        <is>
          <t>I/BRL#s2: PASS Δ0.00 · II/BRL#s3: PASS Δ0.00 · III/BRL#s4: FAIL Δ-13356.00 · IV/BRL#s5: PASS Δ0.00</t>
        </is>
      </c>
      <c r="I1070" t="inlineStr">
        <is>
          <t>2026-03-11</t>
        </is>
      </c>
      <c r="J1070" t="inlineStr">
        <is>
          <t>E FALENCIA</t>
        </is>
      </c>
      <c r="K1070" t="inlineStr">
        <is>
          <t>diligence.adm.br</t>
        </is>
      </c>
      <c r="L1070" s="19" t="inlineStr">
        <is>
          <t>https://diligence.adm.br/wp-content/plugins/download-attachments/includes/download.php?id=6195</t>
        </is>
      </c>
    </row>
    <row r="1071">
      <c r="A1071" t="inlineStr">
        <is>
          <t>f3b6182e3aa2</t>
        </is>
      </c>
      <c r="B1071" t="inlineStr">
        <is>
          <t>0002484-82.2022.8.17.2001</t>
        </is>
      </c>
      <c r="C1071" t="inlineStr">
        <is>
          <t>DEBTOR_LIST</t>
        </is>
      </c>
      <c r="D1071" t="inlineStr">
        <is>
          <t>QUARANTINED</t>
        </is>
      </c>
      <c r="E1071" t="n">
        <v>10</v>
      </c>
      <c r="F1071" t="inlineStr">
        <is>
          <t>PROSE</t>
        </is>
      </c>
      <c r="G1071" t="inlineStr">
        <is>
          <t>PROSE</t>
        </is>
      </c>
      <c r="H1071" t="inlineStr">
        <is>
          <t>I/BRL#s1: PASS Δ0.03 · III/BRL#s2: PASS Δ0.01 · IV/BRL#s3: PASS Δ0.00 · I/BRL#s5: PASS Δ-0.08 · III/BRL#s6: PASS Δ0.01 · IV/BRL#s7: PASS Δ0.00 · I/BRL#s9: PASS Δ-0.01 · III/BRL#s10: PASS Δ0.00 · IV/BRL#s11: PASS Δ0.00 · I/BRL#s13: FAIL Δ-1405.58 · III/BRL#s14: PASS Δ0.00 · IV/BRL#s15: PASS Δ0.00</t>
        </is>
      </c>
      <c r="J1071" t="inlineStr">
        <is>
          <t>em que figuram como demandantes CATÃO &amp; CIA</t>
        </is>
      </c>
      <c r="K1071" t="inlineStr">
        <is>
          <t>lrflideres.com.br</t>
        </is>
      </c>
      <c r="L1071" s="19" t="inlineStr">
        <is>
          <t>https://lrflideres.com.br/wp-content/plugins/download-attachments/includes/download.php?id=4023</t>
        </is>
      </c>
    </row>
    <row r="1072">
      <c r="A1072" t="inlineStr">
        <is>
          <t>15fe618eb5c4</t>
        </is>
      </c>
      <c r="B1072" t="inlineStr">
        <is>
          <t>0074500-63.2024.8.17.2001</t>
        </is>
      </c>
      <c r="C1072" t="inlineStr">
        <is>
          <t>DEBTOR_LIST</t>
        </is>
      </c>
      <c r="D1072" t="inlineStr">
        <is>
          <t>QUARANTINED</t>
        </is>
      </c>
      <c r="E1072" t="n">
        <v>10</v>
      </c>
      <c r="F1072" t="inlineStr">
        <is>
          <t>PROSE</t>
        </is>
      </c>
      <c r="G1072" t="inlineStr">
        <is>
          <t>PROSE</t>
        </is>
      </c>
      <c r="H1072" t="inlineStr">
        <is>
          <t>I/BRL#s1: PASS Δ-0.01 · III/BRL#s2: PASS Δ0.00 · IV/BRL#s3: PASS Δ0.00 · I/BRL#s4: PASS Δ0.00 · III/BRL#s5: PASS Δ0.00 · IV/BRL#s6: FAIL Δ207679.62 · III/BRL#s7: FAIL Δ1047244.59 · I/BRL#s8: PASS Δ0.01 · III/BRL#s9: PASS Δ0.00 · IV/BRL#s10: PASS Δ0.00 · III/BRL#s11: PASS Δ0.00 · IV/BRL#s12: FAIL Δ1046587.73 · I/BRL#s13: PASS Δ0.00 · III/BRL#s14: PASS Δ0.00 · I/BRL#s15: PASS Δ0.00 · III/BRL#s16: FAIL Δ1288845.27</t>
        </is>
      </c>
      <c r="I1072" t="inlineStr">
        <is>
          <t>2024-08-12</t>
        </is>
      </c>
      <c r="J1072" t="inlineStr">
        <is>
          <t>requerida pelas empresa</t>
        </is>
      </c>
      <c r="K1072" t="inlineStr">
        <is>
          <t>lrflideres.com.br</t>
        </is>
      </c>
      <c r="L1072" s="19" t="inlineStr">
        <is>
          <t>https://lrflideres.com.br/wp-content/plugins/download-attachments/includes/download.php?id=6054</t>
        </is>
      </c>
    </row>
    <row r="1073">
      <c r="A1073" t="inlineStr">
        <is>
          <t>9fa90837505c</t>
        </is>
      </c>
      <c r="B1073" t="inlineStr">
        <is>
          <t>0809655-58.2026.8.15.0001</t>
        </is>
      </c>
      <c r="C1073" t="inlineStr">
        <is>
          <t>DEBTOR_LIST</t>
        </is>
      </c>
      <c r="D1073" t="inlineStr">
        <is>
          <t>QUARANTINED</t>
        </is>
      </c>
      <c r="E1073" t="n">
        <v>14</v>
      </c>
      <c r="F1073" t="inlineStr">
        <is>
          <t>PROSE</t>
        </is>
      </c>
      <c r="G1073" t="inlineStr">
        <is>
          <t>PROSE</t>
        </is>
      </c>
      <c r="H1073" t="inlineStr">
        <is>
          <t>IV/BRL#s4: FAIL Δ2451502.44</t>
        </is>
      </c>
      <c r="I1073" t="inlineStr">
        <is>
          <t>2026-02-01</t>
        </is>
      </c>
      <c r="J1073" t="inlineStr">
        <is>
          <t>GRUPO IPP – INDUSTRIA DE PAPEL DA PARAIBA – LRF Líderes em Recuperação Judicial e Falência</t>
        </is>
      </c>
      <c r="K1073" t="inlineStr">
        <is>
          <t>lrflideres.com.br</t>
        </is>
      </c>
      <c r="L1073" s="19" t="inlineStr">
        <is>
          <t>https://lrflideres.com.br/wp-content/plugins/download-attachments/includes/download.php?id=7101</t>
        </is>
      </c>
    </row>
    <row r="1074">
      <c r="A1074" t="inlineStr">
        <is>
          <t>fcb77411c906</t>
        </is>
      </c>
      <c r="B1074" t="inlineStr">
        <is>
          <t>0810226-31.2023.8.20.5001</t>
        </is>
      </c>
      <c r="C1074" t="inlineStr">
        <is>
          <t>DEBTOR_LIST</t>
        </is>
      </c>
      <c r="D1074" t="inlineStr">
        <is>
          <t>QUARANTINED</t>
        </is>
      </c>
      <c r="E1074" t="n">
        <v>9</v>
      </c>
      <c r="F1074" t="inlineStr">
        <is>
          <t>PROSE</t>
        </is>
      </c>
      <c r="G1074" t="inlineStr">
        <is>
          <t>PROSE</t>
        </is>
      </c>
      <c r="H1074" t="inlineStr">
        <is>
          <t>I/BRL#s1: FAIL Δ-18981.30 · III/BRL#s2: FAIL Δ-2546143.07</t>
        </is>
      </c>
      <c r="I1074" t="inlineStr">
        <is>
          <t>2023-06-02</t>
        </is>
      </c>
      <c r="J1074" t="inlineStr">
        <is>
          <t>SOFÁ DESIGN LTDA</t>
        </is>
      </c>
      <c r="K1074" t="inlineStr">
        <is>
          <t>vivanteaj.com.br</t>
        </is>
      </c>
      <c r="L1074" s="19" t="inlineStr">
        <is>
          <t>https://vivanteaj.com.br/wp-content/uploads/2023/06/1o-Edital-de-Credores-1.pdf</t>
        </is>
      </c>
    </row>
    <row r="1075">
      <c r="A1075" t="inlineStr">
        <is>
          <t>f9c37bb04073</t>
        </is>
      </c>
      <c r="B1075" t="inlineStr">
        <is>
          <t>0270804-61.2023.8.06.0001</t>
        </is>
      </c>
      <c r="C1075" t="inlineStr">
        <is>
          <t>DEBTOR_LIST</t>
        </is>
      </c>
      <c r="D1075" t="inlineStr">
        <is>
          <t>QUARANTINED</t>
        </is>
      </c>
      <c r="E1075" t="n">
        <v>18</v>
      </c>
      <c r="F1075" t="inlineStr">
        <is>
          <t>TABLE</t>
        </is>
      </c>
      <c r="G1075" t="inlineStr">
        <is>
          <t>TABLE_BANDS</t>
        </is>
      </c>
      <c r="H1075" t="inlineStr">
        <is>
          <t>IV/BRL#s15: FAIL Δ2118855.51 · I/BRL: PASS Δ0.00</t>
        </is>
      </c>
      <c r="J1075" t="inlineStr">
        <is>
          <t>Assunto Concurso de Credores Requerente Rita Farias Martins &amp; Cia</t>
        </is>
      </c>
      <c r="K1075" t="inlineStr">
        <is>
          <t>bugarimecoelho.com.br</t>
        </is>
      </c>
      <c r="L1075" s="19" t="inlineStr">
        <is>
          <t>https://bugarimecoelho.com.br/ws/media-library/b0d2f331ba9545028b824c8bb0a68d7e/3.-edital-de-processamento-da-rj.pdf</t>
        </is>
      </c>
    </row>
    <row r="1076">
      <c r="A1076" t="inlineStr">
        <is>
          <t>09aaed7e1d03</t>
        </is>
      </c>
      <c r="B1076" t="inlineStr">
        <is>
          <t>1000647-12.2025.8.26.0354</t>
        </is>
      </c>
      <c r="C1076" t="inlineStr">
        <is>
          <t>DEBTOR_LIST</t>
        </is>
      </c>
      <c r="D1076" t="inlineStr">
        <is>
          <t>QUARANTINED</t>
        </is>
      </c>
      <c r="E1076" t="n">
        <v>22</v>
      </c>
      <c r="F1076" t="inlineStr">
        <is>
          <t>TABLE</t>
        </is>
      </c>
      <c r="G1076" t="inlineStr">
        <is>
          <t>TABLE_RULED</t>
        </is>
      </c>
      <c r="H1076" t="inlineStr">
        <is>
          <t>I/BRL#s1: PASS Δ0.00 · III/BRL#s3: FAIL Δ113661964.82 · III/BRL#s8: FAIL Δ81669104.33 · IV/BRL#s12: PASS Δ0.00 · IV/BRL#s13: PASS Δ0.00 · II/BRL: PASS Δ0.00</t>
        </is>
      </c>
      <c r="I1076" t="inlineStr">
        <is>
          <t>2025-05-16</t>
        </is>
      </c>
      <c r="J1076" t="inlineStr">
        <is>
          <t>Meqso Distribuição S.A. e outros – VTL</t>
        </is>
      </c>
      <c r="K1076" t="inlineStr">
        <is>
          <t>vtladm.com.br</t>
        </is>
      </c>
      <c r="L1076" s="19" t="inlineStr">
        <is>
          <t>https://vtladm.com.br/wp-content/uploads/2025/07/02-–-Primeira-Relacao-de-Credores-–-Meqso-Distribuicao-S.A.-e-outros.pdf</t>
        </is>
      </c>
    </row>
    <row r="1077">
      <c r="A1077" t="inlineStr">
        <is>
          <t>82e7722264b9</t>
        </is>
      </c>
      <c r="B1077" t="inlineStr">
        <is>
          <t>0004387-24.2024.8.16.0090</t>
        </is>
      </c>
      <c r="C1077" t="inlineStr">
        <is>
          <t>DEBTOR_LIST</t>
        </is>
      </c>
      <c r="D1077" t="inlineStr">
        <is>
          <t>QUARANTINED</t>
        </is>
      </c>
      <c r="E1077" t="n">
        <v>3</v>
      </c>
      <c r="F1077" t="inlineStr">
        <is>
          <t>TABLE</t>
        </is>
      </c>
      <c r="G1077" t="inlineStr">
        <is>
          <t>TABLE_BANDS</t>
        </is>
      </c>
      <c r="H1077" t="inlineStr">
        <is>
          <t>I/BRL#s1: FAIL Δ13712.75 · I/BRL#s2: PASS Δ0.00</t>
        </is>
      </c>
      <c r="I1077" t="inlineStr">
        <is>
          <t>2024-10-01</t>
        </is>
      </c>
      <c r="J1077" t="inlineStr">
        <is>
          <t>Marques Administrações Judiciais</t>
        </is>
      </c>
      <c r="K1077" t="inlineStr">
        <is>
          <t>marquesadmjudicial.com.br</t>
        </is>
      </c>
      <c r="L1077" s="19" t="inlineStr">
        <is>
          <t>https://marquesadmjudicial.com.br/sgc/download.php?file=files/processo_documento/processo_documento11131527032026_1_.pdf&amp;nome=Relação de credores - Recuperanda</t>
        </is>
      </c>
    </row>
    <row r="1078">
      <c r="A1078" t="inlineStr">
        <is>
          <t>2fe8bf8886c0</t>
        </is>
      </c>
      <c r="B1078" t="inlineStr">
        <is>
          <t>0055090-53.2021.8.19.0001</t>
        </is>
      </c>
      <c r="C1078" t="inlineStr">
        <is>
          <t>DEBTOR_LIST</t>
        </is>
      </c>
      <c r="D1078" t="inlineStr">
        <is>
          <t>QUARANTINED</t>
        </is>
      </c>
      <c r="E1078" t="n">
        <v>32</v>
      </c>
      <c r="F1078" t="inlineStr">
        <is>
          <t>TABLE</t>
        </is>
      </c>
      <c r="G1078" t="inlineStr">
        <is>
          <t>TABLE_RULED</t>
        </is>
      </c>
      <c r="H1078" t="inlineStr">
        <is>
          <t>IV/BRL#s8: PASS Δ89.07 · IV/BRL#s9: PASS Δ-374.00 · IV/BRL#s10: PASS Δ-487.50 · IV/BRL#s11: PASS Δ520.00 · IV/BRL#s12: PASS Δ529.85 · IV/BRL#s13: PASS Δ-199.90 · IV/BRL#s14: PASS Δ35.00 · III/BRL#s18: FAIL Δ3146194870.12 · I/BRL: PASS Δ-2.25 · II/BRL: FAIL Δ-6107309.22</t>
        </is>
      </c>
      <c r="J1078" t="inlineStr">
        <is>
          <t>SOCIEDADE CIMENTO TUPI S/A</t>
        </is>
      </c>
      <c r="K1078" t="inlineStr">
        <is>
          <t>inova-aj.com.br</t>
        </is>
      </c>
      <c r="L1078" s="19" t="inlineStr">
        <is>
          <t>https://inova-aj.com.br/wp-content/uploads/2021/02/Relacao-de-credores-Art.-52§1o-LRE-Cimento-Tupi-Atualizada-01.02.2021.pdf</t>
        </is>
      </c>
    </row>
    <row r="1079">
      <c r="A1079" t="inlineStr">
        <is>
          <t>a9601c1a7fef</t>
        </is>
      </c>
      <c r="B1079" t="inlineStr">
        <is>
          <t>5011460-76.2025.8.21.0028</t>
        </is>
      </c>
      <c r="C1079" t="inlineStr">
        <is>
          <t>DEBTOR_LIST</t>
        </is>
      </c>
      <c r="D1079" t="inlineStr">
        <is>
          <t>QUARANTINED</t>
        </is>
      </c>
      <c r="E1079" t="n">
        <v>6</v>
      </c>
      <c r="F1079" t="inlineStr">
        <is>
          <t>TABLE</t>
        </is>
      </c>
      <c r="G1079" t="inlineStr">
        <is>
          <t>TABLE_RULED</t>
        </is>
      </c>
      <c r="H1079" t="inlineStr">
        <is>
          <t>II/BRL#s5: FAIL Δ14238697.39 · I/BRL: PASS Δ0.00 · III/BRL: FAIL Δ-2199227.54 · IV/BRL: FAIL Δ-90000.00</t>
        </is>
      </c>
      <c r="J1079" t="inlineStr">
        <is>
          <t>Agropecuária Pfeifer - RLG-AJ</t>
        </is>
      </c>
      <c r="K1079" t="inlineStr">
        <is>
          <t>rlg-aj.com.br</t>
        </is>
      </c>
      <c r="L1079" s="19" t="inlineStr">
        <is>
          <t>https://rlg-aj.com.br/wp-content/uploads/2025/11/2.-Relacao-de-Credores-3.pdf</t>
        </is>
      </c>
    </row>
    <row r="1080">
      <c r="A1080" t="inlineStr">
        <is>
          <t>d77526868de5</t>
        </is>
      </c>
      <c r="B1080" t="inlineStr">
        <is>
          <t>0047010-37.2020.8.19.0001</t>
        </is>
      </c>
      <c r="C1080" t="inlineStr">
        <is>
          <t>DEBTOR_LIST</t>
        </is>
      </c>
      <c r="D1080" t="inlineStr">
        <is>
          <t>QUARANTINED</t>
        </is>
      </c>
      <c r="E1080" t="n">
        <v>157</v>
      </c>
      <c r="F1080" t="inlineStr">
        <is>
          <t>TABLE</t>
        </is>
      </c>
      <c r="G1080" t="inlineStr">
        <is>
          <t>TABLE_BANDS</t>
        </is>
      </c>
      <c r="H1080" t="inlineStr">
        <is>
          <t>I/BRL#s1: FAIL Δ36846.38 · I/BRL#s2: FAIL Δ54955.48 · I/BRL#s3: FAIL Δ3328.47 · I/BRL#s4: FAIL Δ6552.61 · I/BRL#s5: PASS Δ231.30 · I/BRL#s6: FAIL Δ-1763.03 · I/BRL#s7: PASS Δ138.04 · I/BRL#s8: FAIL Δ1721.29 · I/BRL#s9: PASS Δ-0.27 · I/BRL#s10: FAIL Δ96582.89 · I/BRL#s11: FAIL Δ13300.70 · I/BRL#s12: FAIL Δ120475.08 · I/BRL#s13: FAIL Δ21651.44 · I/BRL#s14: FAIL Δ10445.60 · I/BRL#s15: FAIL Δ317177.67 · I/BRL#s16: PASS Δ514.73 · I/BRL#s17: FAIL Δ33933.33 · I/BRL#s18: FAIL Δ91899.09 · I/BRL#s19: FAIL Δ14496.45 · I/BRL#s20: FAIL Δ26022.46 · I/BRL#s21: PASS Δ71.75 · I/BRL#s22: FAIL Δ150215.34 · I/BRL#s23: FAIL Δ-1701.04 · I/BRL#s24: FAIL Δ116721.55 · I/BRL#s25: FAIL Δ20620.60 · I/BRL#s26: PASS Δ-46.41 · I/BRL#s27: FAIL Δ132843.62 · I/BRL#s28: FAIL Δ230806.47 · I/BRL#s29: FAIL Δ134499.91 · I/BRL#s30: FAIL Δ13050.15 · I/BRL#s31: FAIL Δ154738.57 · I/BRL#s32: FAIL Δ6787.46 · I/BRL#s33: PASS Δ325.62 · I/BRL#s34: FAIL Δ70513.85 · I/BRL#s35: PASS Δ-115.90 · I/BRL#s36: FAIL Δ17733.33 · I/BRL#s37: FAIL Δ11975.45 · I/BRL#s38: FAIL Δ14771.10 · I/BRL#s39: FAIL Δ28833.71 · I/BRL#s40: PASS Δ583.32 · I/BRL#s41: PASS Δ-107.57 · I/BRL#s42: FAIL Δ6657.23 · I/BRL#s43: FAIL Δ1131.96 · I/BRL#s44: FAIL Δ173570.83 · I/BRL#s45: FAIL Δ1344.57 · I/BRL#s46: FAIL Δ2151.95 · I/BRL#s47: FAIL Δ3006.93 · I/BRL#s48: FAIL Δ11908.75 · I/BRL#s49: FAIL Δ1869.53 · I/BRL#s50: FAIL Δ12953.17 · I/BRL#s51: FAIL Δ9643.09 · I/BRL#s52: FAIL Δ122774.34 · I/BRL#s53: FAIL Δ71907.13 · I/BRL#s54: FAIL Δ28876.40 · I/BRL#s55: FAIL Δ17461.60 · I/BRL#s56: FAIL Δ1909.84 · I/BRL#s57: FAIL Δ26993.10 · I/BRL#s58: FAIL Δ53147.11 · I/BRL#s59: FAIL Δ160103.85 · I/BRL#s60: FAIL Δ113479.26 · I/BRL#s61: FAIL Δ3080.93 · I/BRL#s62: PASS Δ-73.58 · I/BRL#s63: FAIL Δ142746.30 · I/BRL#s64: FAIL Δ13469.98 · I/BRL#s65: PASS Δ88.74 · I/BRL#s66: PASS Δ695.21 · I/BRL#s67: FAIL Δ-8005.90 · I/BRL#s68: FAIL Δ310164.44 · I/BRL#s69: FAIL Δ4704.41 · I/BRL#s70: FAIL Δ14883.14 · I/BRL#s71: FAIL Δ26540.64 · I/BRL#s72: FAIL Δ4450.52 · I/BRL#s73: FAIL Δ27360.97 · I/BRL#s74: FAIL Δ5609.92 · I/BRL#s75: FAIL Δ13852.04 · I/BRL#s76: FAIL Δ75257.30 · I/BRL#s77: FAIL Δ51834.89 · I/BRL#s78: FAIL Δ87939.94 · I/BRL#s79: FAIL Δ5440.83 · I/BRL#s80: FAIL Δ116942.87 · I/BRL#s81: FAIL Δ618619.45 · I/BRL#s82: FAIL Δ5861.07 · I/BRL#s83: FAIL Δ3078.53 · I/BRL#s84: PASS Δ146.13 · I/BRL#s85: FAIL Δ10097.40 · I/BRL#s86: FAIL Δ3702.39 · I/BRL#s87: FAIL Δ18291.55 · I/BRL#s88: FAIL Δ7558.56 · I/BRL#s89: FAIL Δ5994.65 · I/BRL#s90: FAIL Δ161738.26 · I/BRL#s91: FAIL Δ42461.27 · I/BRL#s92: FAIL Δ27645.59 · I/BRL#s93: PASS Δ0.33 · I/BRL#s94: FAIL Δ1940.86 · I/BRL#s95: FAIL Δ40659.83 · I/BRL#s96: FAIL Δ3323.69 · I/BRL#s97: FAIL Δ84887.07 · I/BRL#s98: FAIL Δ14098.18 · I/BRL#s99: FAIL Δ11616.26 · I/BRL#s100: FAIL Δ6835.98 · I/BRL#s101: FAIL Δ177411.23 · I/BRL#s102: FAIL Δ12158.20 · I/BRL#s103: PASS Δ-75.93 · I/BRL#s104: FAIL Δ183008.43 · I/BRL#s105: FAIL Δ7297.03 · I/BRL#s106: FAIL Δ248614.27 · I/BRL#s107: FAIL Δ166422.45 · I/BRL#s108: FAIL Δ174188.17 · I/BRL#s109: PASS Δ189.69 · I/BRL#s110: PASS Δ17.44 · I/BRL#s111: FAIL Δ12653.67 · I/BRL#s112: FAIL Δ5093.59 · I/BRL#s113: FAIL Δ11330.59 · I/BRL#s114: FAIL Δ35858.63 · III/BRL: PASS Δ-0.58 · IV/BRL: PASS Δ-78.40</t>
        </is>
      </c>
      <c r="J1080" t="inlineStr">
        <is>
          <t>SOCIEDADES UNIÃO DE LOJAS LEADER S/A</t>
        </is>
      </c>
      <c r="K1080" t="inlineStr">
        <is>
          <t>inova-aj.com.br</t>
        </is>
      </c>
      <c r="L1080" s="19" t="inlineStr">
        <is>
          <t>https://inova-aj.com.br/wp-content/uploads/2020/03/Relação-de-Credores-Art.-52-§1º-LRE-Grupo-Leader.pdf</t>
        </is>
      </c>
    </row>
    <row r="1081">
      <c r="A1081" t="inlineStr">
        <is>
          <t>b0d726009e1b</t>
        </is>
      </c>
      <c r="B1081" t="inlineStr">
        <is>
          <t>5005840-92.2026.8.24.0019</t>
        </is>
      </c>
      <c r="C1081" t="inlineStr">
        <is>
          <t>DEBTOR_LIST</t>
        </is>
      </c>
      <c r="D1081" t="inlineStr">
        <is>
          <t>QUARANTINED</t>
        </is>
      </c>
      <c r="E1081" t="n">
        <v>19</v>
      </c>
      <c r="F1081" t="inlineStr">
        <is>
          <t>TABLE</t>
        </is>
      </c>
      <c r="G1081" t="inlineStr">
        <is>
          <t>TABLE_BANDS</t>
        </is>
      </c>
      <c r="H1081" t="inlineStr">
        <is>
          <t>III/BRL#s3: FAIL Δ-21789863.50 · IV/BRL#s5: FAIL Δ-23060794.85 · I/BRL: FAIL Δ-841576.41</t>
        </is>
      </c>
      <c r="I1081" t="inlineStr">
        <is>
          <t>2026-06-29</t>
        </is>
      </c>
      <c r="J1081" t="inlineStr">
        <is>
          <t>DAL SA</t>
        </is>
      </c>
      <c r="K1081" t="inlineStr">
        <is>
          <t>rlg-aj.com.br</t>
        </is>
      </c>
      <c r="L1081" s="19" t="inlineStr">
        <is>
          <t>https://rlg-aj.com.br/wp-content/uploads/2026/07/Publicacao-Edital-Artigo-52.-Paragrafo-1.-Primeira-Lista-de-Credores-Dal-Santo-1.pdf</t>
        </is>
      </c>
    </row>
    <row r="1082">
      <c r="A1082" t="inlineStr">
        <is>
          <t>aa2a5a37eb93</t>
        </is>
      </c>
      <c r="B1082" t="inlineStr">
        <is>
          <t>0020395-10.2020.8.19.0001</t>
        </is>
      </c>
      <c r="C1082" t="inlineStr">
        <is>
          <t>DEBTOR_LIST</t>
        </is>
      </c>
      <c r="D1082" t="inlineStr">
        <is>
          <t>QUARANTINED</t>
        </is>
      </c>
      <c r="E1082" t="n">
        <v>25</v>
      </c>
      <c r="F1082" t="inlineStr">
        <is>
          <t>TABLE</t>
        </is>
      </c>
      <c r="G1082" t="inlineStr">
        <is>
          <t>TABLE_RULED</t>
        </is>
      </c>
      <c r="H1082" t="inlineStr">
        <is>
          <t>III/BRL#s4: FAIL Δ-711186.06 · III/BRL#s5: PASS Δ0.00 · IV/BRL#s7: PASS Δ0.00 · I/BRL#s9: PASS Δ0.00 · III/BRL#s11: PASS Δ0.00 · I/BRL#s13: PASS Δ0.00 · III/BRL#s15: PASS Δ0.00 · IV/BRL#s17: PASS Δ0.00 · I/BRL#s19: PASS Δ0.00 · III/BRL#s21: PASS Δ0.00 · I/BRL#s25: FAIL Δ-65359.39 · III/BRL#s28: FAIL Δ-1059666.79 · IV/BRL#s30: PASS Δ0.00</t>
        </is>
      </c>
      <c r="J1082" t="inlineStr">
        <is>
          <t>SOCIEDADES COLÉGIO MIGUEL COUTO LTDA</t>
        </is>
      </c>
      <c r="K1082" t="inlineStr">
        <is>
          <t>inova-aj.com.br</t>
        </is>
      </c>
      <c r="L1082" s="19" t="inlineStr">
        <is>
          <t>https://inova-aj.com.br/wp-content/uploads/2020/02/Relação-de-credores-Grupo-Miguel-Couto-1.pdf</t>
        </is>
      </c>
    </row>
    <row r="1083">
      <c r="A1083" t="inlineStr">
        <is>
          <t>cd681b19657b</t>
        </is>
      </c>
      <c r="B1083" t="inlineStr">
        <is>
          <t>0194044-84.2018.8.19.0001</t>
        </is>
      </c>
      <c r="C1083" t="inlineStr">
        <is>
          <t>DEBTOR_LIST</t>
        </is>
      </c>
      <c r="D1083" t="inlineStr">
        <is>
          <t>QUARANTINED</t>
        </is>
      </c>
      <c r="E1083" t="n">
        <v>24</v>
      </c>
      <c r="F1083" t="inlineStr">
        <is>
          <t>TABLE</t>
        </is>
      </c>
      <c r="G1083" t="inlineStr">
        <is>
          <t>TABLE_RULED</t>
        </is>
      </c>
      <c r="H1083" t="inlineStr">
        <is>
          <t>I/BRL#s1: PASS Δ22015.77 · III/BRL#s3: FAIL Δ-50564520.40 · IV/BRL#s5: PASS Δ0.00</t>
        </is>
      </c>
      <c r="J1083" t="inlineStr">
        <is>
          <t>SOCIEDADE SINOPEC PETROLEUM DO BRASIL LTDA</t>
        </is>
      </c>
      <c r="K1083" t="inlineStr">
        <is>
          <t>inova-aj.com.br</t>
        </is>
      </c>
      <c r="L1083" s="19" t="inlineStr">
        <is>
          <t>https://inova-aj.com.br/wp-content/uploads/2018/09/Relacao-de-Credores-Sinopec-art.-52-§1o-LRE-1.pdf</t>
        </is>
      </c>
    </row>
    <row r="1084">
      <c r="A1084" t="inlineStr">
        <is>
          <t>6c6ecb84247f</t>
        </is>
      </c>
      <c r="B1084" t="inlineStr">
        <is>
          <t>5009149-92.2024.8.24.0019</t>
        </is>
      </c>
      <c r="C1084" t="inlineStr">
        <is>
          <t>DEBTOR_LIST</t>
        </is>
      </c>
      <c r="D1084" t="inlineStr">
        <is>
          <t>QUARANTINED</t>
        </is>
      </c>
      <c r="E1084" t="n">
        <v>6</v>
      </c>
      <c r="F1084" t="inlineStr">
        <is>
          <t>TABLE</t>
        </is>
      </c>
      <c r="G1084" t="inlineStr">
        <is>
          <t>TABLE_BANDS</t>
        </is>
      </c>
      <c r="H1084" t="inlineStr">
        <is>
          <t>IV/BRL: FAIL Δ-824792.81</t>
        </is>
      </c>
      <c r="I1084" t="inlineStr">
        <is>
          <t>2025-06-30</t>
        </is>
      </c>
      <c r="J1084" t="inlineStr">
        <is>
          <t>e de Falência</t>
        </is>
      </c>
      <c r="K1084" t="inlineStr">
        <is>
          <t>rlg-aj.com.br</t>
        </is>
      </c>
      <c r="L1084" s="19" t="inlineStr">
        <is>
          <t>https://rlg-aj.com.br/wp-content/uploads/2024/11/edital_52_lista_credores.pdf</t>
        </is>
      </c>
    </row>
    <row r="1085">
      <c r="A1085" t="inlineStr">
        <is>
          <t>eb0a94ffe21d</t>
        </is>
      </c>
      <c r="B1085" t="inlineStr">
        <is>
          <t>4087055-04.2026.8.26.0100</t>
        </is>
      </c>
      <c r="C1085" t="inlineStr">
        <is>
          <t>DEBTOR_LIST</t>
        </is>
      </c>
      <c r="D1085" t="inlineStr">
        <is>
          <t>QUARANTINED</t>
        </is>
      </c>
      <c r="E1085" t="n">
        <v>7</v>
      </c>
      <c r="F1085" t="inlineStr">
        <is>
          <t>TABLE</t>
        </is>
      </c>
      <c r="G1085" t="inlineStr">
        <is>
          <t>TABLE_RULED</t>
        </is>
      </c>
      <c r="H1085" t="inlineStr">
        <is>
          <t>I/BRL#s8: PASS Δ0.00 · III/BRL#s10: PASS Δ0.00 · II/BRL: PASS Δ0.00 · IV/BRL: FAIL Δ45196.28</t>
        </is>
      </c>
      <c r="I1085" t="inlineStr">
        <is>
          <t>2026-05-20</t>
        </is>
      </c>
      <c r="J1085" t="inlineStr">
        <is>
          <t>Ativos</t>
        </is>
      </c>
      <c r="K1085" t="inlineStr">
        <is>
          <t>ativosajce.com.br</t>
        </is>
      </c>
      <c r="L1085" s="19" t="inlineStr">
        <is>
          <t>https://ativosajce.com.br/admin/download.php?file=files/processo_documento/processo_documento14170815062026_1_.pdf&amp;nome=Relação de Credores - Art. 52º § 1º, da Lei nº 11.101/2005 - 20/05/2026</t>
        </is>
      </c>
    </row>
    <row r="1086">
      <c r="A1086" t="inlineStr">
        <is>
          <t>363f13a9f11b</t>
        </is>
      </c>
      <c r="B1086" t="inlineStr">
        <is>
          <t>0009971-62.2026.8.17.2810</t>
        </is>
      </c>
      <c r="C1086" t="inlineStr">
        <is>
          <t>DEBTOR_LIST</t>
        </is>
      </c>
      <c r="D1086" t="inlineStr">
        <is>
          <t>QUARANTINED</t>
        </is>
      </c>
      <c r="E1086" t="n">
        <v>5</v>
      </c>
      <c r="F1086" t="inlineStr">
        <is>
          <t>PROSE</t>
        </is>
      </c>
      <c r="G1086" t="inlineStr">
        <is>
          <t>PROSE</t>
        </is>
      </c>
      <c r="H1086" t="inlineStr">
        <is>
          <t>I/BRL#s1: PASS Δ0.00 · III/BRL#s2: FAIL Δ-4629797.93 · III/BRL#s3: PASS Δ0.00 · IV/BRL#s4: PASS Δ0.00 · IV/BRL#s5: PASS Δ0.00</t>
        </is>
      </c>
      <c r="I1086" t="inlineStr">
        <is>
          <t>2026-06-10</t>
        </is>
      </c>
      <c r="J1086" t="inlineStr">
        <is>
          <t>formulado por GOLD MEGAÓ INDÚSTRIA DE TINTAS LTDA</t>
        </is>
      </c>
      <c r="K1086" t="inlineStr">
        <is>
          <t>recuperasolucoes.com</t>
        </is>
      </c>
      <c r="L1086" s="19" t="inlineStr">
        <is>
          <t>https://recuperasolucoes.com/wp-content/plugins/download-attachments/includes/download.php?id=1654</t>
        </is>
      </c>
    </row>
    <row r="1087">
      <c r="A1087" t="inlineStr">
        <is>
          <t>b66baafd022f</t>
        </is>
      </c>
      <c r="B1087" t="inlineStr">
        <is>
          <t>1039842-97.2019.8.26.0100</t>
        </is>
      </c>
      <c r="C1087" t="inlineStr">
        <is>
          <t>DEBTOR_LIST</t>
        </is>
      </c>
      <c r="D1087" t="inlineStr">
        <is>
          <t>QUARANTINED</t>
        </is>
      </c>
      <c r="E1087" t="n">
        <v>44</v>
      </c>
      <c r="F1087" t="inlineStr">
        <is>
          <t>TABLE</t>
        </is>
      </c>
      <c r="G1087" t="inlineStr">
        <is>
          <t>TABLE_RULED</t>
        </is>
      </c>
      <c r="H1087" t="inlineStr">
        <is>
          <t>I/BRL#s1: PASS Δ0.01 · III/BRL#s3: FAIL Δ1176952.39 · IV/BRL#s5: FAIL Δ-15039.53</t>
        </is>
      </c>
      <c r="J1087" t="inlineStr">
        <is>
          <t>Base | AJ RUIZ - Administração Judicial</t>
        </is>
      </c>
      <c r="K1087" t="inlineStr">
        <is>
          <t>ajruiz.com.br</t>
        </is>
      </c>
      <c r="L1087" s="19" t="inlineStr">
        <is>
          <t>https://ajruiz.com.br/sites/default/files/public/arquivos-processos/2023-09/relacao-de-credores-sintetica-art.-51-iii-da-lre-concreserv-concreto-sa.pdf</t>
        </is>
      </c>
    </row>
    <row r="1088">
      <c r="A1088" t="inlineStr">
        <is>
          <t>2b8cc7f6c735</t>
        </is>
      </c>
      <c r="B1088" t="inlineStr">
        <is>
          <t>1039842-97.2019.8.26.0100</t>
        </is>
      </c>
      <c r="C1088" t="inlineStr">
        <is>
          <t>DEBTOR_LIST</t>
        </is>
      </c>
      <c r="D1088" t="inlineStr">
        <is>
          <t>QUARANTINED</t>
        </is>
      </c>
      <c r="E1088" t="n">
        <v>57</v>
      </c>
      <c r="F1088" t="inlineStr">
        <is>
          <t>TABLE</t>
        </is>
      </c>
      <c r="G1088" t="inlineStr">
        <is>
          <t>TABLE_BANDS</t>
        </is>
      </c>
      <c r="H1088" t="inlineStr">
        <is>
          <t>IV/BRL#s22: FAIL Δ3104938.51</t>
        </is>
      </c>
      <c r="I1088" t="inlineStr">
        <is>
          <t>2019-04-30</t>
        </is>
      </c>
      <c r="J1088" t="inlineStr">
        <is>
          <t>Concreserv Concreto S/A</t>
        </is>
      </c>
      <c r="K1088" t="inlineStr">
        <is>
          <t>ajruiz.com.br</t>
        </is>
      </c>
      <c r="L1088" s="19" t="inlineStr">
        <is>
          <t>https://ajruiz.com.br/sites/default/files/public/arquivos-processos/2023-10/1_edital_de_convocacao_de_credores_art._52_parag._1o_da_lre.pdf</t>
        </is>
      </c>
    </row>
    <row r="1089">
      <c r="A1089" t="inlineStr">
        <is>
          <t>c5f0c6b6a194</t>
        </is>
      </c>
      <c r="B1089" t="inlineStr">
        <is>
          <t>0068535-07.2024.8.17.2001</t>
        </is>
      </c>
      <c r="C1089" t="inlineStr">
        <is>
          <t>DEBTOR_LIST</t>
        </is>
      </c>
      <c r="D1089" t="inlineStr">
        <is>
          <t>QUARANTINED</t>
        </is>
      </c>
      <c r="E1089" t="n">
        <v>5</v>
      </c>
      <c r="F1089" t="inlineStr">
        <is>
          <t>PROSE</t>
        </is>
      </c>
      <c r="G1089" t="inlineStr">
        <is>
          <t>PROSE</t>
        </is>
      </c>
      <c r="H1089" t="inlineStr">
        <is>
          <t>III/BRL#s4: FAIL Δ0.00 · I/BRL: PASS Δ0.00 · II/BRL: PASS Δ0.00</t>
        </is>
      </c>
      <c r="I1089" t="inlineStr">
        <is>
          <t>2025-05-14</t>
        </is>
      </c>
      <c r="J1089" t="inlineStr">
        <is>
          <t>é instrumento destinado a proporcionar a preservação da empresa</t>
        </is>
      </c>
      <c r="K1089" t="inlineStr">
        <is>
          <t>recuperasolucoes.com</t>
        </is>
      </c>
      <c r="L1089" s="19" t="inlineStr">
        <is>
          <t>https://recuperasolucoes.com/wp-content/plugins/download-attachments/includes/download.php?id=1469</t>
        </is>
      </c>
    </row>
    <row r="1090">
      <c r="A1090" t="inlineStr">
        <is>
          <t>19975b16e29b</t>
        </is>
      </c>
      <c r="B1090" t="inlineStr">
        <is>
          <t>0085817-92.2023.8.17.2001</t>
        </is>
      </c>
      <c r="C1090" t="inlineStr">
        <is>
          <t>DEBTOR_LIST</t>
        </is>
      </c>
      <c r="D1090" t="inlineStr">
        <is>
          <t>QUARANTINED</t>
        </is>
      </c>
      <c r="E1090" t="n">
        <v>5</v>
      </c>
      <c r="F1090" t="inlineStr">
        <is>
          <t>PROSE</t>
        </is>
      </c>
      <c r="G1090" t="inlineStr">
        <is>
          <t>PROSE</t>
        </is>
      </c>
      <c r="H1090" t="inlineStr">
        <is>
          <t>I/BRL#s2: PASS Δ0.00 · III/BRL#s4: FAIL Δ-97333.47 · IV/BRL#s5: FAIL Δ0.00 · II/BRL: PASS Δ0.00</t>
        </is>
      </c>
      <c r="I1090" t="inlineStr">
        <is>
          <t>2025-07-01</t>
        </is>
      </c>
      <c r="J1090" t="inlineStr">
        <is>
          <t>ou à falência</t>
        </is>
      </c>
      <c r="K1090" t="inlineStr">
        <is>
          <t>recuperasolucoes.com</t>
        </is>
      </c>
      <c r="L1090" s="19" t="inlineStr">
        <is>
          <t>https://recuperasolucoes.com/wp-content/plugins/download-attachments/includes/download.php?id=1473</t>
        </is>
      </c>
    </row>
    <row r="1091">
      <c r="A1091" t="inlineStr">
        <is>
          <t>c98e8488866d</t>
        </is>
      </c>
      <c r="B1091" t="inlineStr">
        <is>
          <t>5009367-03.2021.8.21.0022</t>
        </is>
      </c>
      <c r="C1091" t="inlineStr">
        <is>
          <t>PLAN</t>
        </is>
      </c>
      <c r="D1091" t="inlineStr">
        <is>
          <t>QUARANTINED</t>
        </is>
      </c>
      <c r="E1091" t="n">
        <v>44</v>
      </c>
      <c r="F1091" t="inlineStr">
        <is>
          <t>TABLE</t>
        </is>
      </c>
      <c r="G1091" t="inlineStr">
        <is>
          <t>TABLE_RULED</t>
        </is>
      </c>
      <c r="H1091" t="inlineStr">
        <is>
          <t>III/BRL#s31: FAIL Δ1820453.79 · III/BRL#s32: PASS Δ0.00 · III/BRL#s33: PASS Δ0.00 · III/BRL#s34: PASS Δ0.00 · III/BRL#s35: PASS Δ0.00 · III/BRL#s36: PASS Δ0.00 · III/BRL#s37: PASS Δ0.00 · III/BRL#s38: PASS Δ0.00 · III/BRL#s39: FAIL Δ8564.10 · III/BRL#s40: PASS Δ-0.01 · III/BRL#s41: PASS Δ0.00 · III/BRL#s42: PASS Δ0.00 · III/BRL#s43: PASS Δ0.00 · III/BRL#s44: PASS Δ0.00 · III/BRL#s45: PASS Δ0.00 · III/BRL#s46: PASS Δ0.00</t>
        </is>
      </c>
      <c r="J1091" t="inlineStr">
        <is>
          <t>Catalise Administração Judicial</t>
        </is>
      </c>
      <c r="K1091" t="inlineStr">
        <is>
          <t>cataliseaj.com.br</t>
        </is>
      </c>
      <c r="L1091" s="19" t="inlineStr">
        <is>
          <t>https://cataliseaj.com.br/sgc/download.php?file=files/processo_documento/processo_documento16344704102024_1_.pdf&amp;nome=07. PLANO DE RECUPERAÇÃO JUDICIAL</t>
        </is>
      </c>
    </row>
    <row r="1092">
      <c r="A1092" t="inlineStr">
        <is>
          <t>961ad94c5cbc</t>
        </is>
      </c>
      <c r="B1092" t="inlineStr">
        <is>
          <t>1003919-39.2024.8.26.0260</t>
        </is>
      </c>
      <c r="C1092" t="inlineStr">
        <is>
          <t>PLAN</t>
        </is>
      </c>
      <c r="D1092" t="inlineStr">
        <is>
          <t>QUARANTINED</t>
        </is>
      </c>
      <c r="E1092" t="n">
        <v>57</v>
      </c>
      <c r="F1092" t="inlineStr">
        <is>
          <t>TABLE</t>
        </is>
      </c>
      <c r="G1092" t="inlineStr">
        <is>
          <t>TABLE_RULED</t>
        </is>
      </c>
      <c r="H1092" t="inlineStr">
        <is>
          <t>III/BRL#s3: FAIL Δ-10338621.86 · III/BRL#s18: FAIL Δ20828914.00 · I/BRL: FAIL Δ-7397.12 · II/BRL: PASS Δ0.00</t>
        </is>
      </c>
      <c r="J1092" t="inlineStr">
        <is>
          <t>MFC INDUSTRIA E COMÉRCIO LTDA - Vivante Gestão e Administração Judicial</t>
        </is>
      </c>
      <c r="K1092" t="inlineStr">
        <is>
          <t>vivanteaj.com.br</t>
        </is>
      </c>
      <c r="L1092" s="19" t="inlineStr">
        <is>
          <t>https://vivanteaj.com.br/wp-content/uploads/2025/02/Plano-de-Recuperacao-Judicial-MFC-Industria.pdf</t>
        </is>
      </c>
    </row>
    <row r="1093">
      <c r="A1093" t="inlineStr">
        <is>
          <t>1b4d3c34dc15</t>
        </is>
      </c>
      <c r="B1093" t="inlineStr">
        <is>
          <t>1018313-46.2024.8.26.0100</t>
        </is>
      </c>
      <c r="C1093" t="inlineStr">
        <is>
          <t>PLAN</t>
        </is>
      </c>
      <c r="D1093" t="inlineStr">
        <is>
          <t>QUARANTINED</t>
        </is>
      </c>
      <c r="E1093" t="n">
        <v>24</v>
      </c>
      <c r="F1093" t="inlineStr">
        <is>
          <t>TABLE</t>
        </is>
      </c>
      <c r="G1093" t="inlineStr">
        <is>
          <t>TABLE_RULED</t>
        </is>
      </c>
      <c r="H1093" t="inlineStr">
        <is>
          <t>I/BRL: FAIL Δ-12500.00 · III/BRL: FAIL Δ12851934.13 · IV/BRL: FAIL Δ-7100.00</t>
        </is>
      </c>
      <c r="J1093" t="inlineStr">
        <is>
          <t>JA SANTOS IMPORTAÇÃO E EXPORTAÇÃO DE FERRAMENTAS LTDA. (CONCEPT FERRAMENTAS) - Vivante Gestão e Administração Judicial</t>
        </is>
      </c>
      <c r="K1093" t="inlineStr">
        <is>
          <t>vivanteaj.com.br</t>
        </is>
      </c>
      <c r="L1093" s="19" t="inlineStr">
        <is>
          <t>https://vivanteaj.com.br/wp-content/uploads/2024/11/PRJ-JA.pdf</t>
        </is>
      </c>
    </row>
    <row r="1094">
      <c r="A1094" t="inlineStr">
        <is>
          <t>a88903e50643</t>
        </is>
      </c>
      <c r="B1094" t="inlineStr">
        <is>
          <t>5341375-33.2026.8.09.0049</t>
        </is>
      </c>
      <c r="C1094" t="inlineStr">
        <is>
          <t>PLAN</t>
        </is>
      </c>
      <c r="D1094" t="inlineStr">
        <is>
          <t>QUARANTINED</t>
        </is>
      </c>
      <c r="E1094" t="n">
        <v>35</v>
      </c>
      <c r="F1094" t="inlineStr">
        <is>
          <t>TABLE</t>
        </is>
      </c>
      <c r="G1094" t="inlineStr">
        <is>
          <t>TABLE_RULED</t>
        </is>
      </c>
      <c r="H1094" t="inlineStr">
        <is>
          <t>III/BRL#s14: PASS Δ0.00 · I/BRL#s27: PASS Δ0.00 · II/BRL: PASS Δ0.00 · IV/BRL: FAIL Δ-242425.86</t>
        </is>
      </c>
      <c r="I1094" t="inlineStr">
        <is>
          <t>2026-07-28</t>
        </is>
      </c>
      <c r="J1094" t="inlineStr">
        <is>
          <t>RJ Grupo 3E - Stenius</t>
        </is>
      </c>
      <c r="K1094" t="inlineStr">
        <is>
          <t>stenius.com.br</t>
        </is>
      </c>
      <c r="L1094" s="19" t="inlineStr">
        <is>
          <t>https://stenius.com.br/wp-content/uploads/2026/07/Plano-de-Recuperacao-Judicial-GRUPO-3E.pdf</t>
        </is>
      </c>
    </row>
    <row r="1095">
      <c r="A1095" t="inlineStr">
        <is>
          <t>b58e7ce614ff</t>
        </is>
      </c>
      <c r="B1095" t="inlineStr">
        <is>
          <t>5677250-87.2023.8.09.0051</t>
        </is>
      </c>
      <c r="C1095" t="inlineStr">
        <is>
          <t>PLAN</t>
        </is>
      </c>
      <c r="D1095" t="inlineStr">
        <is>
          <t>QUARANTINED</t>
        </is>
      </c>
      <c r="E1095" t="n">
        <v>30</v>
      </c>
      <c r="F1095" t="inlineStr">
        <is>
          <t>TABLE</t>
        </is>
      </c>
      <c r="G1095" t="inlineStr">
        <is>
          <t>TABLE_RULED</t>
        </is>
      </c>
      <c r="H1095" t="inlineStr">
        <is>
          <t>I/BRL: FAIL Δ-61679101.31 · II/BRL: FAIL Δ-12999575.90 · III/BRL: FAIL Δ-20474998.05 · IV/BRL: FAIL Δ10000.00</t>
        </is>
      </c>
      <c r="J1095" t="inlineStr">
        <is>
          <t>RJ Unibras - Stenius</t>
        </is>
      </c>
      <c r="K1095" t="inlineStr">
        <is>
          <t>stenius.com.br</t>
        </is>
      </c>
      <c r="L1095" s="19" t="inlineStr">
        <is>
          <t>https://stenius.com.br/wp-content/uploads/2026/03/PRJ-UNIBRAS-PARTE-2.pdf</t>
        </is>
      </c>
    </row>
    <row r="1096">
      <c r="A1096" t="inlineStr">
        <is>
          <t>1b6488259b42</t>
        </is>
      </c>
      <c r="B1096" t="inlineStr">
        <is>
          <t>1007952-96.2026.8.11.0041</t>
        </is>
      </c>
      <c r="C1096" t="inlineStr">
        <is>
          <t>PLAN</t>
        </is>
      </c>
      <c r="D1096" t="inlineStr">
        <is>
          <t>QUARANTINED</t>
        </is>
      </c>
      <c r="E1096" t="n">
        <v>56</v>
      </c>
      <c r="F1096" t="inlineStr">
        <is>
          <t>TABLE</t>
        </is>
      </c>
      <c r="G1096" t="inlineStr">
        <is>
          <t>TABLE_RULED</t>
        </is>
      </c>
      <c r="H1096" t="inlineStr">
        <is>
          <t>IV/BRL#s6: FAIL Δ-3779469.58 · IV/BRL#s7: PASS Δ0.00 · II/BRL#s9: FAIL Δ9651024.54 · III/BRL: FAIL Δ36629974.71</t>
        </is>
      </c>
      <c r="J1096" t="inlineStr">
        <is>
          <t>E FALÊNCIA</t>
        </is>
      </c>
      <c r="K1096" t="inlineStr">
        <is>
          <t>mpbadmjudicial.com.br</t>
        </is>
      </c>
      <c r="L1096" s="19" t="inlineStr">
        <is>
          <t>https://mpbadmjudicial.com.br/sgc/download.php?file=files/processo_documento/processo_documento16354517072026_1_.pdf&amp;nome=Plano de Recuperação Judicial e Anexos</t>
        </is>
      </c>
    </row>
    <row r="1097">
      <c r="A1097" t="inlineStr">
        <is>
          <t>f95a2d6addf1</t>
        </is>
      </c>
      <c r="B1097" t="inlineStr">
        <is>
          <t>5008465-92.2023.8.24.0023</t>
        </is>
      </c>
      <c r="C1097" t="inlineStr">
        <is>
          <t>PLAN</t>
        </is>
      </c>
      <c r="D1097" t="inlineStr">
        <is>
          <t>QUARANTINED</t>
        </is>
      </c>
      <c r="E1097" t="n">
        <v>38</v>
      </c>
      <c r="F1097" t="inlineStr">
        <is>
          <t>TABLE</t>
        </is>
      </c>
      <c r="G1097" t="inlineStr">
        <is>
          <t>TABLE_BANDS</t>
        </is>
      </c>
      <c r="H1097" t="inlineStr">
        <is>
          <t>III/BRL: FAIL Δ-157469416.30</t>
        </is>
      </c>
      <c r="J1097" t="inlineStr">
        <is>
          <t>FLORIPARK ENERGIA LTDA</t>
        </is>
      </c>
      <c r="K1097" t="inlineStr">
        <is>
          <t>credibilita.com.br</t>
        </is>
      </c>
      <c r="L1097" s="19" t="inlineStr">
        <is>
          <t>https://credibilita.com.br/wp-content/uploads/2023/12/11.-Plano-de-Recuperacao-Judicial.pdf</t>
        </is>
      </c>
    </row>
    <row r="1098">
      <c r="A1098" t="inlineStr">
        <is>
          <t>50e10e25bb6a</t>
        </is>
      </c>
      <c r="B1098" t="inlineStr">
        <is>
          <t>5008630-83.2025.8.24.0019</t>
        </is>
      </c>
      <c r="C1098" t="inlineStr">
        <is>
          <t>PLAN</t>
        </is>
      </c>
      <c r="D1098" t="inlineStr">
        <is>
          <t>QUARANTINED</t>
        </is>
      </c>
      <c r="E1098" t="n">
        <v>79</v>
      </c>
      <c r="F1098" t="inlineStr">
        <is>
          <t>TABLE</t>
        </is>
      </c>
      <c r="G1098" t="inlineStr">
        <is>
          <t>TABLE_BANDS</t>
        </is>
      </c>
      <c r="H1098" t="inlineStr">
        <is>
          <t>III/BRL: FAIL Δ-23180244.04</t>
        </is>
      </c>
      <c r="I1098" t="inlineStr">
        <is>
          <t>2026-03-13</t>
        </is>
      </c>
      <c r="J1098" t="inlineStr">
        <is>
          <t>MADEIREIRA MADEFUS LTDA</t>
        </is>
      </c>
      <c r="K1098" t="inlineStr">
        <is>
          <t>rlg-aj.com.br</t>
        </is>
      </c>
      <c r="L1098" s="19" t="inlineStr">
        <is>
          <t>https://rlg-aj.com.br/wp-content/uploads/2026/02/20260313-Plano-de-Recuperacao-Judicial-Madefus.pdf</t>
        </is>
      </c>
    </row>
    <row r="1099">
      <c r="A1099" t="inlineStr">
        <is>
          <t>629a5bb37f98</t>
        </is>
      </c>
      <c r="B1099" t="inlineStr">
        <is>
          <t>5022382-25.2023.8.08.0024</t>
        </is>
      </c>
      <c r="C1099" t="inlineStr">
        <is>
          <t>PLAN</t>
        </is>
      </c>
      <c r="D1099" t="inlineStr">
        <is>
          <t>QUARANTINED</t>
        </is>
      </c>
      <c r="E1099" t="n">
        <v>34</v>
      </c>
      <c r="F1099" t="inlineStr">
        <is>
          <t>TABLE</t>
        </is>
      </c>
      <c r="G1099" t="inlineStr">
        <is>
          <t>TABLE_BANDS</t>
        </is>
      </c>
      <c r="H1099" t="inlineStr">
        <is>
          <t>I/BRL: FAIL Δ-546323.54 · III/BRL: FAIL Δ-11779185.91</t>
        </is>
      </c>
      <c r="I1099" t="inlineStr">
        <is>
          <t>2023-09-30</t>
        </is>
      </c>
      <c r="J1099" t="inlineStr">
        <is>
          <t>CLÍNICA DE ACIDENTADOS DE VITÓRIA LTDA</t>
        </is>
      </c>
      <c r="K1099" t="inlineStr">
        <is>
          <t>rlg-aj.com.br</t>
        </is>
      </c>
      <c r="L1099" s="19" t="inlineStr">
        <is>
          <t>https://rlg-aj.com.br/wp-content/uploads/2023/08/Plano-de-Recuperacao-Judicial-Instituto-CAV.pdf</t>
        </is>
      </c>
    </row>
    <row r="1100">
      <c r="A1100" t="inlineStr">
        <is>
          <t>e10381e6ac9c</t>
        </is>
      </c>
      <c r="B1100" t="inlineStr">
        <is>
          <t>0214287-36.2023.8.06.0001</t>
        </is>
      </c>
      <c r="C1100" t="inlineStr">
        <is>
          <t>QGC</t>
        </is>
      </c>
      <c r="D1100" t="inlineStr">
        <is>
          <t>QUARANTINED</t>
        </is>
      </c>
      <c r="E1100" t="n">
        <v>3</v>
      </c>
      <c r="F1100" t="inlineStr">
        <is>
          <t>TABLE</t>
        </is>
      </c>
      <c r="G1100" t="inlineStr">
        <is>
          <t>TABLE_BANDS</t>
        </is>
      </c>
      <c r="H1100" t="inlineStr">
        <is>
          <t>IV/BRL#s4: FAIL Δ13820.70 · IV/BRL#s8: PASS Δ0.00</t>
        </is>
      </c>
      <c r="J1100" t="inlineStr">
        <is>
          <t>Assunto Concurso de Credores Requerente Pminas Brasil Construção Civil e Serviços Ltda</t>
        </is>
      </c>
      <c r="K1100" t="inlineStr">
        <is>
          <t>bugarimecoelho.com.br</t>
        </is>
      </c>
      <c r="L1100" s="19" t="inlineStr">
        <is>
          <t>https://bugarimecoelho.com.br/ws/media-library/5637e4df77a44cee9a27c6fa2c0a9d96/15.2--edital-01o-aditivo-qgc.pdf</t>
        </is>
      </c>
    </row>
    <row r="1101">
      <c r="A1101" t="inlineStr">
        <is>
          <t>1aeb10c3e145</t>
        </is>
      </c>
      <c r="B1101" t="inlineStr">
        <is>
          <t>0016474-19.2022.8.03.0001</t>
        </is>
      </c>
      <c r="C1101" t="inlineStr">
        <is>
          <t>QGC</t>
        </is>
      </c>
      <c r="D1101" t="inlineStr">
        <is>
          <t>QUARANTINED</t>
        </is>
      </c>
      <c r="E1101" t="n">
        <v>24</v>
      </c>
      <c r="F1101" t="inlineStr">
        <is>
          <t>TABLE</t>
        </is>
      </c>
      <c r="G1101" t="inlineStr">
        <is>
          <t>TABLE_BANDS</t>
        </is>
      </c>
      <c r="H1101" t="inlineStr">
        <is>
          <t>III/BRL#s13: FAIL Δ-224860.05</t>
        </is>
      </c>
      <c r="I1101" t="inlineStr">
        <is>
          <t>2024-09-05</t>
        </is>
      </c>
      <c r="J1101" t="inlineStr">
        <is>
          <t>Empresa</t>
        </is>
      </c>
      <c r="K1101" t="inlineStr">
        <is>
          <t>realbrasil.com.br</t>
        </is>
      </c>
      <c r="L1101" s="19" t="inlineStr">
        <is>
          <t>https://realbrasil.com.br/wp-content/uploads/2024/10/2.QUADRO-DE-CREDORES-DO-AJ.pdf</t>
        </is>
      </c>
    </row>
    <row r="1102">
      <c r="A1102" t="inlineStr">
        <is>
          <t>98da96c9ca43</t>
        </is>
      </c>
      <c r="B1102" t="inlineStr">
        <is>
          <t>1056931-09.1998.8.08.0024</t>
        </is>
      </c>
      <c r="C1102" t="inlineStr">
        <is>
          <t>QGC</t>
        </is>
      </c>
      <c r="D1102" t="inlineStr">
        <is>
          <t>QUARANTINED</t>
        </is>
      </c>
      <c r="E1102" t="n">
        <v>2</v>
      </c>
      <c r="F1102" t="inlineStr">
        <is>
          <t>TABLE</t>
        </is>
      </c>
      <c r="G1102" t="inlineStr">
        <is>
          <t>TABLE_BANDS</t>
        </is>
      </c>
      <c r="H1102" t="inlineStr">
        <is>
          <t>I/BRL: FAIL Δ-8022.43</t>
        </is>
      </c>
      <c r="I1102" t="inlineStr">
        <is>
          <t>2008-05-16</t>
        </is>
      </c>
      <c r="K1102" t="inlineStr">
        <is>
          <t>ricardobiancardi.com.br</t>
        </is>
      </c>
      <c r="L1102" s="19" t="inlineStr">
        <is>
          <t>https://ricardobiancardi.com.br/wp-content/uploads/2020/10/Edital-de-Credores-TM-publicado-11.06.15.pdf</t>
        </is>
      </c>
    </row>
    <row r="1103">
      <c r="A1103" t="inlineStr">
        <is>
          <t>b7f5f14de64b</t>
        </is>
      </c>
      <c r="B1103" t="inlineStr">
        <is>
          <t>0720420-24.2018.8.02.0001</t>
        </is>
      </c>
      <c r="C1103" t="inlineStr">
        <is>
          <t>QGC</t>
        </is>
      </c>
      <c r="D1103" t="inlineStr">
        <is>
          <t>QUARANTINED</t>
        </is>
      </c>
      <c r="E1103" t="n">
        <v>9</v>
      </c>
      <c r="F1103" t="inlineStr">
        <is>
          <t>TABLE</t>
        </is>
      </c>
      <c r="G1103" t="inlineStr">
        <is>
          <t>TABLE_RULED</t>
        </is>
      </c>
      <c r="H1103" t="inlineStr">
        <is>
          <t>II/BRL#s6: PASS Δ0.00 · III/BRL#s7: FAIL Δ-4572979.54 · I/BRL: PASS Δ0.00 · IV/BRL: PASS Δ0.00</t>
        </is>
      </c>
      <c r="I1103" t="inlineStr">
        <is>
          <t>2022-08-15</t>
        </is>
      </c>
      <c r="J1103" t="inlineStr">
        <is>
          <t>CONSTRUTORA HUMBERTO LÔBO LTDA</t>
        </is>
      </c>
      <c r="K1103" t="inlineStr">
        <is>
          <t>recuperacaojudicial.squarespace.com</t>
        </is>
      </c>
      <c r="L1103" s="19" t="inlineStr">
        <is>
          <t>https://recuperacaojudicial.squarespace.com/s/QGC-CHL-CONSOLIDADO-FEV2025.pdf</t>
        </is>
      </c>
    </row>
    <row r="1104">
      <c r="A1104" t="inlineStr">
        <is>
          <t>9c8a0050fb58</t>
        </is>
      </c>
      <c r="B1104" t="inlineStr">
        <is>
          <t>0705411-79.2017.8.02.0058</t>
        </is>
      </c>
      <c r="C1104" t="inlineStr">
        <is>
          <t>QGC</t>
        </is>
      </c>
      <c r="D1104" t="inlineStr">
        <is>
          <t>QUARANTINED</t>
        </is>
      </c>
      <c r="E1104" t="n">
        <v>7</v>
      </c>
      <c r="F1104" t="inlineStr">
        <is>
          <t>PROSE</t>
        </is>
      </c>
      <c r="G1104" t="inlineStr">
        <is>
          <t>PROSE</t>
        </is>
      </c>
      <c r="H1104" t="inlineStr">
        <is>
          <t>I/BRL#s4: PASS ΔNone · III/BRL#s5: FAIL ΔNone · IV/BRL#s6: FAIL ΔNone</t>
        </is>
      </c>
      <c r="J1104" t="inlineStr">
        <is>
          <t>inevitável, não vislumbrando a empresa</t>
        </is>
      </c>
      <c r="K1104" t="inlineStr">
        <is>
          <t>recuperacaojudicial.squarespace.com</t>
        </is>
      </c>
      <c r="L1104" s="19" t="inlineStr">
        <is>
          <t>https://recuperacaojudicial.squarespace.com/s/doc_36593341.pdf</t>
        </is>
      </c>
    </row>
    <row r="1105">
      <c r="A1105" t="inlineStr">
        <is>
          <t>68d56a800e58</t>
        </is>
      </c>
      <c r="B1105" t="inlineStr">
        <is>
          <t>5004775-33.2024.8.24.0019</t>
        </is>
      </c>
      <c r="C1105" t="inlineStr">
        <is>
          <t>QGC</t>
        </is>
      </c>
      <c r="D1105" t="inlineStr">
        <is>
          <t>QUARANTINED</t>
        </is>
      </c>
      <c r="E1105" t="n">
        <v>19</v>
      </c>
      <c r="F1105" t="inlineStr">
        <is>
          <t>TABLE</t>
        </is>
      </c>
      <c r="G1105" t="inlineStr">
        <is>
          <t>TABLE_BANDS</t>
        </is>
      </c>
      <c r="H1105" t="inlineStr">
        <is>
          <t>I/BRL#s1: FAIL Δ-35984.18 · I/BRL#s2: FAIL Δ-7000.00 · I/BRL#s3: FAIL Δ-1328.00 · III/BRL#s5: FAIL Δ-3284440.75 · I/BRL#s9: FAIL Δ1381758.95 · I/BRL#s10: FAIL Δ100799.59 · I/BRL#s11: PASS Δ-480.16 · I/BRL#s12: PASS Δ-256.70 · I/BRL#s13: FAIL Δ1762325.92 · I/BRL#s14: FAIL Δ16208.06 · I/BRL#s15: FAIL Δ576346.35 · I/BRL#s16: FAIL Δ3702.06 · I/BRL#s17: FAIL Δ4236.35 · I/BRL#s18: FAIL Δ-2154.30 · III/BRL#s20: FAIL Δ19375231.85 · III/BRL#s21: FAIL Δ24778787.34 · III/BRL#s22: FAIL Δ365849.01 · III/BRL#s23: FAIL Δ22126737.16 · III/BRL#s24: FAIL Δ-66682171.22 · IV/BRL#s32: FAIL Δ-2626724.30</t>
        </is>
      </c>
      <c r="I1105" t="inlineStr">
        <is>
          <t>2024-07-19</t>
        </is>
      </c>
      <c r="J1105" t="inlineStr">
        <is>
          <t>SCHUMANN MOVEIS E ELETRODOMESTICOS LTDA</t>
        </is>
      </c>
      <c r="K1105" t="inlineStr">
        <is>
          <t>scalzilliaj.com.br</t>
        </is>
      </c>
      <c r="L1105" s="19" t="inlineStr">
        <is>
          <t>https://scalzilliaj.com.br/sgc/download.php?file=files/processo_documento/processo_documento20371127072024_1_.pdf&amp;nome=06 - Edital do art. 7º, §2º da Lei 11.101/2005 (segunda lista de credores)</t>
        </is>
      </c>
    </row>
    <row r="1106">
      <c r="A1106" t="inlineStr">
        <is>
          <t>2af41e113613</t>
        </is>
      </c>
      <c r="B1106" t="inlineStr">
        <is>
          <t>0301494-08.2016.8.24.0037</t>
        </is>
      </c>
      <c r="C1106" t="inlineStr">
        <is>
          <t>QGC</t>
        </is>
      </c>
      <c r="D1106" t="inlineStr">
        <is>
          <t>QUARANTINED</t>
        </is>
      </c>
      <c r="E1106" t="n">
        <v>40</v>
      </c>
      <c r="F1106" t="inlineStr">
        <is>
          <t>TABLE</t>
        </is>
      </c>
      <c r="G1106" t="inlineStr">
        <is>
          <t>TABLE_RULED</t>
        </is>
      </c>
      <c r="H1106" t="inlineStr">
        <is>
          <t>III/BRL#s4: FAIL Δ8798560.99 · I/BRL: FAIL Δ-475557.87 · II/BRL: FAIL Δ-8323003.12</t>
        </is>
      </c>
      <c r="J1106" t="inlineStr">
        <is>
          <t>EMPRESA</t>
        </is>
      </c>
      <c r="K1106" t="inlineStr">
        <is>
          <t>cataliseaj.com.br</t>
        </is>
      </c>
      <c r="L1106" s="19" t="inlineStr">
        <is>
          <t>https://cataliseaj.com.br/sgc/download.php?file=files/processo_documento/processo_documento10324122042025_1_.pdf&amp;nome=5. PLANO DE RECUPERAÇÃO JUDICIAL</t>
        </is>
      </c>
    </row>
    <row r="1107">
      <c r="A1107" t="inlineStr">
        <is>
          <t>27ebe35b5ebc</t>
        </is>
      </c>
      <c r="B1107" t="inlineStr">
        <is>
          <t>0075105-48.2020.8.17.2001</t>
        </is>
      </c>
      <c r="C1107" t="inlineStr">
        <is>
          <t>QGC</t>
        </is>
      </c>
      <c r="D1107" t="inlineStr">
        <is>
          <t>QUARANTINED</t>
        </is>
      </c>
      <c r="E1107" t="n">
        <v>5</v>
      </c>
      <c r="F1107" t="inlineStr">
        <is>
          <t>PROSE</t>
        </is>
      </c>
      <c r="G1107" t="inlineStr">
        <is>
          <t>PROSE</t>
        </is>
      </c>
      <c r="H1107" t="inlineStr">
        <is>
          <t>I/BRL#s1: PASS Δ0.00 · II/BRL#s2: PASS Δ0.00 · III/BRL#s3: PASS Δ0.00 · IV/BRL#s4: FAIL Δ-19000.00</t>
        </is>
      </c>
      <c r="J1107" t="inlineStr">
        <is>
          <t>e sua posterior aprovação, mesmo em caso de discordância</t>
        </is>
      </c>
      <c r="K1107" t="inlineStr">
        <is>
          <t>lrflideres.com.br</t>
        </is>
      </c>
      <c r="L1107" s="19" t="inlineStr">
        <is>
          <t>https://lrflideres.com.br/wp-content/plugins/download-attachments/includes/download.php?id=6026</t>
        </is>
      </c>
    </row>
    <row r="1108">
      <c r="A1108" t="inlineStr">
        <is>
          <t>71ad3eed4361</t>
        </is>
      </c>
      <c r="B1108" t="inlineStr">
        <is>
          <t>0276159-86.2022.8.06.0001</t>
        </is>
      </c>
      <c r="C1108" t="inlineStr">
        <is>
          <t>QGC</t>
        </is>
      </c>
      <c r="D1108" t="inlineStr">
        <is>
          <t>QUARANTINED</t>
        </is>
      </c>
      <c r="E1108" t="n">
        <v>18</v>
      </c>
      <c r="F1108" t="inlineStr">
        <is>
          <t>TABLE</t>
        </is>
      </c>
      <c r="G1108" t="inlineStr">
        <is>
          <t>TABLE_BANDS</t>
        </is>
      </c>
      <c r="H1108" t="inlineStr">
        <is>
          <t>III/BRL#s3: PASS Δ0.00 · IV/BRL: PASS Δ-250.00 · I/BRL: FAIL Δ19484735.37 · II/BRL: FAIL Δ-2885945.14</t>
        </is>
      </c>
      <c r="J1108" t="inlineStr">
        <is>
          <t>PÃ¡gina inicial</t>
        </is>
      </c>
      <c r="K1108" t="inlineStr">
        <is>
          <t>bugarimecoelho.com.br</t>
        </is>
      </c>
      <c r="L1108" s="19" t="inlineStr">
        <is>
          <t>https://bugarimecoelho.com.br/ws/media-library/694d18d944e900685b0179b4fafb1bf5/34---04deg-aditivo-relacao-de-credores.pdf</t>
        </is>
      </c>
    </row>
    <row r="1109">
      <c r="A1109" t="inlineStr">
        <is>
          <t>52ed13987a92</t>
        </is>
      </c>
      <c r="B1109" t="inlineStr">
        <is>
          <t>0035526-54.2024.8.17.2001</t>
        </is>
      </c>
      <c r="C1109" t="inlineStr">
        <is>
          <t>QGC</t>
        </is>
      </c>
      <c r="D1109" t="inlineStr">
        <is>
          <t>QUARANTINED</t>
        </is>
      </c>
      <c r="E1109" t="n">
        <v>10</v>
      </c>
      <c r="F1109" t="inlineStr">
        <is>
          <t>PROSE</t>
        </is>
      </c>
      <c r="G1109" t="inlineStr">
        <is>
          <t>PROSE</t>
        </is>
      </c>
      <c r="H1109" t="inlineStr">
        <is>
          <t>III/BRL#s1: FAIL ΔNone</t>
        </is>
      </c>
      <c r="I1109" t="inlineStr">
        <is>
          <t>2024-12-06</t>
        </is>
      </c>
      <c r="J1109" t="inlineStr">
        <is>
          <t>IMPÉRIO ATACADISTA DE ESTIVAS E CEREAIS LTDA</t>
        </is>
      </c>
      <c r="K1109" t="inlineStr">
        <is>
          <t>vivanteaj.com.br</t>
        </is>
      </c>
      <c r="L1109" s="19" t="inlineStr">
        <is>
          <t>https://vivanteaj.com.br/wp-content/uploads/2024/11/1o-edital-de-credores.pdf</t>
        </is>
      </c>
    </row>
    <row r="1110">
      <c r="A1110" t="inlineStr">
        <is>
          <t>200afc9e12c1</t>
        </is>
      </c>
      <c r="B1110" t="inlineStr">
        <is>
          <t>0031120-52.2024.8.16.0017</t>
        </is>
      </c>
      <c r="C1110" t="inlineStr">
        <is>
          <t>QGC</t>
        </is>
      </c>
      <c r="D1110" t="inlineStr">
        <is>
          <t>QUARANTINED</t>
        </is>
      </c>
      <c r="E1110" t="n">
        <v>2</v>
      </c>
      <c r="F1110" t="inlineStr">
        <is>
          <t>TABLE</t>
        </is>
      </c>
      <c r="G1110" t="inlineStr">
        <is>
          <t>TABLE_BANDS</t>
        </is>
      </c>
      <c r="H1110" t="inlineStr">
        <is>
          <t>I/BRL#s1: PASS Δ0.00 · II/BRL#s3: PASS Δ0.00 · III/BRL#s5: PASS Δ0.00 · IV/BRL: FAIL Δ-1011998.56</t>
        </is>
      </c>
      <c r="I1110" t="inlineStr">
        <is>
          <t>2025-09-22</t>
        </is>
      </c>
      <c r="J1110" t="inlineStr">
        <is>
          <t>Marques Administrações Judiciais</t>
        </is>
      </c>
      <c r="K1110" t="inlineStr">
        <is>
          <t>marquesadmjudicial.com.br</t>
        </is>
      </c>
      <c r="L1110" s="19" t="inlineStr">
        <is>
          <t>https://marquesadmjudicial.com.br/sgc/download.php?file=files/processo_documento/processo_documento11370527032026_1_.pdf&amp;nome=Quadro Geral de Credores (QGC) -AJ Anterior</t>
        </is>
      </c>
    </row>
    <row r="1111">
      <c r="A1111" t="inlineStr">
        <is>
          <t>c35c55df849c</t>
        </is>
      </c>
      <c r="B1111" t="inlineStr">
        <is>
          <t>0704506-58.2023.8.07.0015</t>
        </is>
      </c>
      <c r="C1111" t="inlineStr">
        <is>
          <t>QGC</t>
        </is>
      </c>
      <c r="D1111" t="inlineStr">
        <is>
          <t>QUARANTINED</t>
        </is>
      </c>
      <c r="E1111" t="n">
        <v>17</v>
      </c>
      <c r="F1111" t="inlineStr">
        <is>
          <t>TABLE</t>
        </is>
      </c>
      <c r="G1111" t="inlineStr">
        <is>
          <t>TABLE_RULED</t>
        </is>
      </c>
      <c r="H1111" t="inlineStr">
        <is>
          <t>III/BRL#s1: FAIL Δ81190.00</t>
        </is>
      </c>
      <c r="J1111" t="inlineStr">
        <is>
          <t>Massa Falida de Xadi Serviços de Odontologia Ltda. – VTL</t>
        </is>
      </c>
      <c r="K1111" t="inlineStr">
        <is>
          <t>vtladm.com.br</t>
        </is>
      </c>
      <c r="L1111" s="19" t="inlineStr">
        <is>
          <t>https://vtladm.com.br/wp-content/uploads/2024/07/05-–-Arrecadacao-e-Quadro-Geral-de-Credores-–-Massa-Falida-de-Xadi-Servicos-de-Odontologia-Ltda.pdf</t>
        </is>
      </c>
    </row>
    <row r="1112">
      <c r="A1112" t="inlineStr">
        <is>
          <t>5f5fcdbf1192</t>
        </is>
      </c>
      <c r="B1112" t="inlineStr">
        <is>
          <t>0841699-85.2024.8.12.0001</t>
        </is>
      </c>
      <c r="C1112" t="inlineStr">
        <is>
          <t>QGC</t>
        </is>
      </c>
      <c r="D1112" t="inlineStr">
        <is>
          <t>QUARANTINED</t>
        </is>
      </c>
      <c r="E1112" t="n">
        <v>31</v>
      </c>
      <c r="F1112" t="inlineStr">
        <is>
          <t>TABLE</t>
        </is>
      </c>
      <c r="G1112" t="inlineStr">
        <is>
          <t>TABLE_RULED</t>
        </is>
      </c>
      <c r="H1112" t="inlineStr">
        <is>
          <t>III/BRL#s18: FAIL Δ339097.30 · I/BRL: PASS Δ0.00</t>
        </is>
      </c>
      <c r="J1112" t="inlineStr">
        <is>
          <t>Empresa</t>
        </is>
      </c>
      <c r="K1112" t="inlineStr">
        <is>
          <t>realbrasil.com.br</t>
        </is>
      </c>
      <c r="L1112" s="19" t="inlineStr">
        <is>
          <t>https://realbrasil.com.br/wp-content/uploads/2025/07/QUADRO-GERAL-DE-CREDORES-DO-AJ.pdf</t>
        </is>
      </c>
    </row>
    <row r="1113">
      <c r="A1113" t="inlineStr">
        <is>
          <t>070704f09c8c</t>
        </is>
      </c>
      <c r="B1113" t="inlineStr">
        <is>
          <t>5048671-58.2024.8.08.0024</t>
        </is>
      </c>
      <c r="C1113" t="inlineStr">
        <is>
          <t>QGC</t>
        </is>
      </c>
      <c r="D1113" t="inlineStr">
        <is>
          <t>QUARANTINED</t>
        </is>
      </c>
      <c r="E1113" t="n">
        <v>25</v>
      </c>
      <c r="F1113" t="inlineStr">
        <is>
          <t>TABLE</t>
        </is>
      </c>
      <c r="G1113" t="inlineStr">
        <is>
          <t>TABLE_RULED</t>
        </is>
      </c>
      <c r="H1113" t="inlineStr">
        <is>
          <t>IV/BRL#s14: PASS Δ0.00 · I/BRL: FAIL Δ-240056.02 · III/BRL: FAIL Δ-4939251.63</t>
        </is>
      </c>
      <c r="J1113" t="inlineStr">
        <is>
          <t>e Falência</t>
        </is>
      </c>
      <c r="K1113" t="inlineStr">
        <is>
          <t>ricardobiancardi.com.br</t>
        </is>
      </c>
      <c r="L1113" s="19" t="inlineStr">
        <is>
          <t>https://ricardobiancardi.com.br/wp-content/uploads/2025/01/Plano-de-Recuperacao-Judicial-1a-versao-Assinado.pdf</t>
        </is>
      </c>
    </row>
    <row r="1114">
      <c r="A1114" t="inlineStr">
        <is>
          <t>e3f812ef8683</t>
        </is>
      </c>
      <c r="B1114" t="inlineStr">
        <is>
          <t>0841357-55.2016.8.12.0001</t>
        </is>
      </c>
      <c r="C1114" t="inlineStr">
        <is>
          <t>QGC</t>
        </is>
      </c>
      <c r="D1114" t="inlineStr">
        <is>
          <t>QUARANTINED</t>
        </is>
      </c>
      <c r="E1114" t="n">
        <v>25</v>
      </c>
      <c r="F1114" t="inlineStr">
        <is>
          <t>TABLE</t>
        </is>
      </c>
      <c r="G1114" t="inlineStr">
        <is>
          <t>TABLE_RULED</t>
        </is>
      </c>
      <c r="H1114" t="inlineStr">
        <is>
          <t>IV/BRL#s7: FAIL Δ2162.50 · IV/BRL#s8: FAIL Δ-2612.82</t>
        </is>
      </c>
      <c r="J1114" t="inlineStr">
        <is>
          <t>Pozzomat - Real Brasil Consultoria</t>
        </is>
      </c>
      <c r="K1114" t="inlineStr">
        <is>
          <t>realbrasil.com.br</t>
        </is>
      </c>
      <c r="L1114" s="19" t="inlineStr">
        <is>
          <t>https://realbrasil.com.br/wp-content/uploads/2018/08/QUADRO-GERAL-DE-CREDORES-DO-ADMINISTRADOR-JUDICIAL.pdf</t>
        </is>
      </c>
    </row>
    <row r="1115">
      <c r="A1115" t="inlineStr">
        <is>
          <t>fe88f4396613</t>
        </is>
      </c>
      <c r="B1115" t="inlineStr">
        <is>
          <t>0815679-24.2018.8.10.0001</t>
        </is>
      </c>
      <c r="C1115" t="inlineStr">
        <is>
          <t>QGC</t>
        </is>
      </c>
      <c r="D1115" t="inlineStr">
        <is>
          <t>QUARANTINED</t>
        </is>
      </c>
      <c r="E1115" t="n">
        <v>104</v>
      </c>
      <c r="F1115" t="inlineStr">
        <is>
          <t>TABLE</t>
        </is>
      </c>
      <c r="G1115" t="inlineStr">
        <is>
          <t>TABLE_RULED</t>
        </is>
      </c>
      <c r="H1115" t="inlineStr">
        <is>
          <t>III/BRL#s22: FAIL Δ6970993.00 · III/BRL#s23: FAIL Δ72971.23 · IV/BRL: PASS Δ0.00 · II/BRL: FAIL Δ-2303866.20 · I/BRL: PASS Δ0.00</t>
        </is>
      </c>
      <c r="J1115" t="inlineStr">
        <is>
          <t>Empresa</t>
        </is>
      </c>
      <c r="K1115" t="inlineStr">
        <is>
          <t>realbrasil.com.br</t>
        </is>
      </c>
      <c r="L1115" s="19" t="inlineStr">
        <is>
          <t>https://realbrasil.com.br/wp-content/uploads/2018/08/QUADRO-DE-CREDORES-DO-AJ.pdf</t>
        </is>
      </c>
    </row>
    <row r="1116">
      <c r="A1116" t="inlineStr">
        <is>
          <t>68643bdcd1dc</t>
        </is>
      </c>
      <c r="C1116" t="inlineStr">
        <is>
          <t>QGC</t>
        </is>
      </c>
      <c r="D1116" t="inlineStr">
        <is>
          <t>QUARANTINED</t>
        </is>
      </c>
      <c r="E1116" t="n">
        <v>30</v>
      </c>
      <c r="F1116" t="inlineStr">
        <is>
          <t>TABLE</t>
        </is>
      </c>
      <c r="G1116" t="inlineStr">
        <is>
          <t>TABLE_RULED</t>
        </is>
      </c>
      <c r="H1116" t="inlineStr">
        <is>
          <t>III/BRL#s26: FAIL Δ355863.65 · I/BRL: FAIL Δ1960000.00 · II/BRL: PASS Δ0.00</t>
        </is>
      </c>
      <c r="J1116" t="inlineStr">
        <is>
          <t>Sólida Insumos e Implementos Agrícolas - Real Brasil Consultoria</t>
        </is>
      </c>
      <c r="K1116" t="inlineStr">
        <is>
          <t>realbrasil.com.br</t>
        </is>
      </c>
      <c r="L1116" s="19" t="inlineStr">
        <is>
          <t>https://realbrasil.com.br/wp-content/uploads/2018/06/QUADRO-DE-CREDORES-DO-AJ_SÓLIDA.pdf</t>
        </is>
      </c>
    </row>
    <row r="1117">
      <c r="A1117" t="inlineStr">
        <is>
          <t>f5ff5a60a36e</t>
        </is>
      </c>
      <c r="B1117" t="inlineStr">
        <is>
          <t>0303781-85.2017.8.24.0011</t>
        </is>
      </c>
      <c r="C1117" t="inlineStr">
        <is>
          <t>QGC</t>
        </is>
      </c>
      <c r="D1117" t="inlineStr">
        <is>
          <t>QUARANTINED</t>
        </is>
      </c>
      <c r="E1117" t="n">
        <v>65</v>
      </c>
      <c r="F1117" t="inlineStr">
        <is>
          <t>TABLE</t>
        </is>
      </c>
      <c r="G1117" t="inlineStr">
        <is>
          <t>TABLE_BANDS</t>
        </is>
      </c>
      <c r="H1117" t="inlineStr">
        <is>
          <t>I/BRL#s20: PASS Δ-151.71 · I/BRL#s21: FAIL Δ129889.11 · I/BRL#s22: FAIL Δ2606885.76 · I/BRL#s23: FAIL Δ47931.05 · I/BRL#s24: FAIL Δ21128.00 · I/BRL#s25: FAIL Δ39121.92 · I/BRL#s26: FAIL Δ3292.56 · I/BRL#s27: FAIL Δ2469198.08 · I/BRL#s33: FAIL Δ195487.68 · II/BRL: FAIL Δ-1436392.84 · III/BRL: PASS Δ-114.65 · IV/BRL: PASS Δ-54.54</t>
        </is>
      </c>
      <c r="J1117" t="inlineStr">
        <is>
          <t>Terraplanagem Transportes AZZA Eireli - Real Brasil Consultoria</t>
        </is>
      </c>
      <c r="K1117" t="inlineStr">
        <is>
          <t>realbrasil.com.br</t>
        </is>
      </c>
      <c r="L1117" s="19" t="inlineStr">
        <is>
          <t>https://realbrasil.com.br/wp-content/uploads/2017/09/Quadro-de-Credores.pdf</t>
        </is>
      </c>
    </row>
    <row r="1118">
      <c r="A1118" t="inlineStr">
        <is>
          <t>5f9795324481</t>
        </is>
      </c>
      <c r="B1118" t="inlineStr">
        <is>
          <t>1000201-93.2017.8.11.0002</t>
        </is>
      </c>
      <c r="C1118" t="inlineStr">
        <is>
          <t>QGC</t>
        </is>
      </c>
      <c r="D1118" t="inlineStr">
        <is>
          <t>QUARANTINED</t>
        </is>
      </c>
      <c r="E1118" t="n">
        <v>13</v>
      </c>
      <c r="F1118" t="inlineStr">
        <is>
          <t>TABLE</t>
        </is>
      </c>
      <c r="G1118" t="inlineStr">
        <is>
          <t>TABLE_BANDS</t>
        </is>
      </c>
      <c r="H1118" t="inlineStr">
        <is>
          <t>III/BRL#s9: FAIL Δ-1864027.53</t>
        </is>
      </c>
      <c r="J1118" t="inlineStr">
        <is>
          <t>empresa</t>
        </is>
      </c>
      <c r="K1118" t="inlineStr">
        <is>
          <t>realbrasil.com.br</t>
        </is>
      </c>
      <c r="L1118" s="19" t="inlineStr">
        <is>
          <t>https://realbrasil.com.br/wp-content/uploads/2017/07/LISTA-DE-CREDORES-IMPERATRIZ.pdf</t>
        </is>
      </c>
    </row>
    <row r="1119">
      <c r="A1119" t="inlineStr">
        <is>
          <t>2b5d1bf7a00a</t>
        </is>
      </c>
      <c r="B1119" t="inlineStr">
        <is>
          <t>1000201-93.2017.8.11.0002</t>
        </is>
      </c>
      <c r="C1119" t="inlineStr">
        <is>
          <t>QGC</t>
        </is>
      </c>
      <c r="D1119" t="inlineStr">
        <is>
          <t>QUARANTINED</t>
        </is>
      </c>
      <c r="E1119" t="n">
        <v>19</v>
      </c>
      <c r="F1119" t="inlineStr">
        <is>
          <t>TABLE</t>
        </is>
      </c>
      <c r="G1119" t="inlineStr">
        <is>
          <t>TABLE_RULED</t>
        </is>
      </c>
      <c r="H1119" t="inlineStr">
        <is>
          <t>I/BRL#s8: FAIL Δ-6455987.40 · III/BRL: FAIL Δ-2583614.79</t>
        </is>
      </c>
      <c r="J1119" t="inlineStr">
        <is>
          <t>empresa</t>
        </is>
      </c>
      <c r="K1119" t="inlineStr">
        <is>
          <t>realbrasil.com.br</t>
        </is>
      </c>
      <c r="L1119" s="19" t="inlineStr">
        <is>
          <t>https://realbrasil.com.br/wp-content/uploads/2017/06/Quadro-de-Credores-Radar.pdf</t>
        </is>
      </c>
    </row>
    <row r="1120">
      <c r="A1120" t="inlineStr">
        <is>
          <t>cae41f4b36f3</t>
        </is>
      </c>
      <c r="B1120" t="inlineStr">
        <is>
          <t>0800158-20.2017.8.12.0033</t>
        </is>
      </c>
      <c r="C1120" t="inlineStr">
        <is>
          <t>QGC</t>
        </is>
      </c>
      <c r="D1120" t="inlineStr">
        <is>
          <t>QUARANTINED</t>
        </is>
      </c>
      <c r="E1120" t="n">
        <v>18</v>
      </c>
      <c r="F1120" t="inlineStr">
        <is>
          <t>TABLE</t>
        </is>
      </c>
      <c r="G1120" t="inlineStr">
        <is>
          <t>TABLE_RULED</t>
        </is>
      </c>
      <c r="H1120" t="inlineStr">
        <is>
          <t>I/BRL: FAIL Δ-5427.23 · III/BRL: PASS Δ-1695.15 · IV/BRL: PASS Δ538.79</t>
        </is>
      </c>
      <c r="J1120" t="inlineStr">
        <is>
          <t>empresa</t>
        </is>
      </c>
      <c r="K1120" t="inlineStr">
        <is>
          <t>realbrasil.com.br</t>
        </is>
      </c>
      <c r="L1120" s="19" t="inlineStr">
        <is>
          <t>https://realbrasil.com.br/wp-content/uploads/2017/07/QGC-AJ.pdf</t>
        </is>
      </c>
    </row>
    <row r="1121">
      <c r="A1121" t="inlineStr">
        <is>
          <t>51d102c725cc</t>
        </is>
      </c>
      <c r="B1121" t="inlineStr">
        <is>
          <t>0801893-91.2016.8.12.0011</t>
        </is>
      </c>
      <c r="C1121" t="inlineStr">
        <is>
          <t>QGC</t>
        </is>
      </c>
      <c r="D1121" t="inlineStr">
        <is>
          <t>QUARANTINED</t>
        </is>
      </c>
      <c r="E1121" t="n">
        <v>21</v>
      </c>
      <c r="F1121" t="inlineStr">
        <is>
          <t>TABLE</t>
        </is>
      </c>
      <c r="G1121" t="inlineStr">
        <is>
          <t>TABLE_RULED</t>
        </is>
      </c>
      <c r="H1121" t="inlineStr">
        <is>
          <t>II/BRL#s17: PASS Δ0.00 · II/BRL#s18: FAIL Δ-348355.81 · II/BRL#s19: FAIL Δ-7111883.56 · III/BRL: FAIL Δ-3076157.39</t>
        </is>
      </c>
      <c r="J1121" t="inlineStr">
        <is>
          <t>empresa</t>
        </is>
      </c>
      <c r="K1121" t="inlineStr">
        <is>
          <t>realbrasil.com.br</t>
        </is>
      </c>
      <c r="L1121" s="19" t="inlineStr">
        <is>
          <t>https://realbrasil.com.br/wp-content/uploads/2017/08/QUADRO-DE-CREDORES-MASTTER.pdf</t>
        </is>
      </c>
    </row>
    <row r="1122">
      <c r="A1122" t="inlineStr">
        <is>
          <t>4cc8d45b9aae</t>
        </is>
      </c>
      <c r="B1122" t="inlineStr">
        <is>
          <t>0025258-69.2016.8.16.0021</t>
        </is>
      </c>
      <c r="C1122" t="inlineStr">
        <is>
          <t>QGC</t>
        </is>
      </c>
      <c r="D1122" t="inlineStr">
        <is>
          <t>QUARANTINED</t>
        </is>
      </c>
      <c r="E1122" t="n">
        <v>57</v>
      </c>
      <c r="F1122" t="inlineStr">
        <is>
          <t>TABLE</t>
        </is>
      </c>
      <c r="G1122" t="inlineStr">
        <is>
          <t>TABLE_BANDS</t>
        </is>
      </c>
      <c r="H1122" t="inlineStr">
        <is>
          <t>I/BRL#s1: PASS Δ86.56 · III/BRL#s4: PASS Δ-57.06 · III/BRL#s5: PASS Δ350.00 · III/BRL#s6: PASS Δ74.57 · III/BRL#s7: PASS Δ-253.76 · III/BRL#s8: PASS Δ17.72 · III/BRL#s9: PASS Δ253.34 · III/BRL#s10: PASS Δ20.20 · III/BRL#s11: PASS Δ356.33 · III/BRL#s12: PASS Δ-133.80 · III/BRL#s13: PASS Δ-104.24 · III/BRL#s14: FAIL Δ4051.95 · III/BRL#s15: FAIL Δ-1487.62 · III/BRL#s16: PASS Δ465.00 · III/BRL#s17: FAIL Δ2309.20 · III/BRL#s18: FAIL Δ-2160.93 · III/BRL#s19: FAIL Δ1514.63 · III/BRL#s20: FAIL Δ-3952.39 · III/BRL#s21: PASS Δ-5.00 · III/BRL#s22: PASS Δ1.54 · III/BRL#s23: PASS Δ-17.21 · IV/BRL#s25: FAIL Δ1062.54 · IV/BRL#s26: PASS Δ-220.00 · IV/BRL#s27: FAIL Δ4932.46 · IV/BRL#s28: PASS Δ-4.00 · IV/BRL#s29: PASS Δ-52.50 · IV/BRL#s30: PASS Δ-21.47 · IV/BRL#s31: PASS Δ63.00 · II/BRL: FAIL Δ-898949.59</t>
        </is>
      </c>
      <c r="I1122" t="inlineStr">
        <is>
          <t>2023-10-25</t>
        </is>
      </c>
      <c r="J1122" t="inlineStr">
        <is>
          <t>Grupo Globoaves | Administração Judicial - Credibilità</t>
        </is>
      </c>
      <c r="K1122" t="inlineStr">
        <is>
          <t>credibilita.com.br</t>
        </is>
      </c>
      <c r="L1122" s="19" t="inlineStr">
        <is>
          <t>https://credibilita.com.br/wp-content/uploads/2023/08/93692.1-qgc.pdf</t>
        </is>
      </c>
    </row>
    <row r="1123">
      <c r="A1123" t="inlineStr">
        <is>
          <t>ea620902508c</t>
        </is>
      </c>
      <c r="B1123" t="inlineStr">
        <is>
          <t>0006015-27.2016.8.16.0026</t>
        </is>
      </c>
      <c r="C1123" t="inlineStr">
        <is>
          <t>QGC</t>
        </is>
      </c>
      <c r="D1123" t="inlineStr">
        <is>
          <t>QUARANTINED</t>
        </is>
      </c>
      <c r="E1123" t="n">
        <v>69</v>
      </c>
      <c r="F1123" t="inlineStr">
        <is>
          <t>TABLE</t>
        </is>
      </c>
      <c r="G1123" t="inlineStr">
        <is>
          <t>TABLE_BANDS</t>
        </is>
      </c>
      <c r="H1123" t="inlineStr">
        <is>
          <t>I/BRL#s6: PASS Δ0.00 · IV/BRL#s10: FAIL Δ2058130.65 · II/BRL: FAIL Δ1492453.02 · III/BRL: FAIL Δ52864205.60</t>
        </is>
      </c>
      <c r="I1123" t="inlineStr">
        <is>
          <t>2017-09-28</t>
        </is>
      </c>
      <c r="J1123" t="inlineStr">
        <is>
          <t>deve seguir o disposto no plano de recuperação judicia</t>
        </is>
      </c>
      <c r="K1123" t="inlineStr">
        <is>
          <t>credibilita.com.br</t>
        </is>
      </c>
      <c r="L1123" s="19" t="inlineStr">
        <is>
          <t>https://credibilita.com.br/wp-content/uploads/2023/08/SCHMIDT-MOV-431-RELACAO-DE-CREDORES-RETIFICADA-28-09-2017.pdf</t>
        </is>
      </c>
    </row>
    <row r="1124">
      <c r="A1124" t="inlineStr">
        <is>
          <t>2539fa839b2e</t>
        </is>
      </c>
      <c r="B1124" t="inlineStr">
        <is>
          <t>1014708-31.2016.8.26.0114</t>
        </is>
      </c>
      <c r="C1124" t="inlineStr">
        <is>
          <t>QGC</t>
        </is>
      </c>
      <c r="D1124" t="inlineStr">
        <is>
          <t>QUARANTINED</t>
        </is>
      </c>
      <c r="E1124" t="n">
        <v>2</v>
      </c>
      <c r="F1124" t="inlineStr">
        <is>
          <t>TABLE</t>
        </is>
      </c>
      <c r="G1124" t="inlineStr">
        <is>
          <t>TABLE_BANDS</t>
        </is>
      </c>
      <c r="H1124" t="inlineStr">
        <is>
          <t>I/BRL#s1: FAIL Δ115775.37 · III/BRL#s3: FAIL Δ657824.71 · IV/BRL: FAIL Δ-1140760.33</t>
        </is>
      </c>
      <c r="I1124" t="inlineStr">
        <is>
          <t>2021-02-28</t>
        </is>
      </c>
      <c r="J1124" t="inlineStr">
        <is>
          <t>Recuperação judicia</t>
        </is>
      </c>
      <c r="K1124" t="inlineStr">
        <is>
          <t>brasiltrustee.com.br</t>
        </is>
      </c>
      <c r="L1124" s="19" t="inlineStr">
        <is>
          <t>https://violet-wolf-754008.hostingersite.com/wp-content/uploads/recuperacoes-judiciais/andorinha/QUADRO-GERAL-DE-CREDORES-PUBLICADO-ART.-18-LRF.pdf</t>
        </is>
      </c>
    </row>
    <row r="1125">
      <c r="A1125" t="inlineStr">
        <is>
          <t>40e99aaadefb</t>
        </is>
      </c>
      <c r="B1125" t="inlineStr">
        <is>
          <t>1000130-26.2023.8.26.0144</t>
        </is>
      </c>
      <c r="C1125" t="inlineStr">
        <is>
          <t>QGC</t>
        </is>
      </c>
      <c r="D1125" t="inlineStr">
        <is>
          <t>QUARANTINED</t>
        </is>
      </c>
      <c r="E1125" t="n">
        <v>4</v>
      </c>
      <c r="F1125" t="inlineStr">
        <is>
          <t>TABLE</t>
        </is>
      </c>
      <c r="G1125" t="inlineStr">
        <is>
          <t>TABLE_BANDS</t>
        </is>
      </c>
      <c r="H1125" t="inlineStr">
        <is>
          <t>III/BRL#s2: FAIL Δ7364345.89</t>
        </is>
      </c>
      <c r="J1125" t="inlineStr">
        <is>
          <t>CITRO SUDESTE INDÚSTRIA, COMÉRCIO E REPRESENTAÇÃO LTDA</t>
        </is>
      </c>
      <c r="K1125" t="inlineStr">
        <is>
          <t>brasiltrustee.com.br</t>
        </is>
      </c>
      <c r="L1125" s="19" t="inlineStr">
        <is>
          <t>https://violet-wolf-754008.hostingersite.com/wp-content/uploads/2023/11/Segundo-Edital-de-Credores-e-Edital-Aviso-ao-Plano.pdf</t>
        </is>
      </c>
    </row>
    <row r="1126">
      <c r="A1126" t="inlineStr">
        <is>
          <t>3db03c9c5dc0</t>
        </is>
      </c>
      <c r="B1126" t="inlineStr">
        <is>
          <t>1080989-79.2014.8.26.0100</t>
        </is>
      </c>
      <c r="C1126" t="inlineStr">
        <is>
          <t>QGC</t>
        </is>
      </c>
      <c r="D1126" t="inlineStr">
        <is>
          <t>QUARANTINED</t>
        </is>
      </c>
      <c r="E1126" t="n">
        <v>2</v>
      </c>
      <c r="F1126" t="inlineStr">
        <is>
          <t>TABLE</t>
        </is>
      </c>
      <c r="G1126" t="inlineStr">
        <is>
          <t>TABLE_BANDS</t>
        </is>
      </c>
      <c r="H1126" t="inlineStr">
        <is>
          <t>III/BRL: FAIL Δ-3827487.26</t>
        </is>
      </c>
      <c r="J1126" t="inlineStr">
        <is>
          <t>EVER TON FPS IMPORTAÇÃO E EXPORTAÇÃO LTDA</t>
        </is>
      </c>
      <c r="K1126" t="inlineStr">
        <is>
          <t>brasiltrustee.com.br</t>
        </is>
      </c>
      <c r="L1126" s="19" t="inlineStr">
        <is>
          <t>https://violet-wolf-754008.hostingersite.com/wp-content/uploads/recuperacoes-judiciais/ever-ton/segundo-edital-e-aviso-do-plano.pdf</t>
        </is>
      </c>
    </row>
    <row r="1127">
      <c r="A1127" t="inlineStr">
        <is>
          <t>d132b91d1adf</t>
        </is>
      </c>
      <c r="B1127" t="inlineStr">
        <is>
          <t>1012325-67.2021.8.26.0482</t>
        </is>
      </c>
      <c r="C1127" t="inlineStr">
        <is>
          <t>QGC</t>
        </is>
      </c>
      <c r="D1127" t="inlineStr">
        <is>
          <t>QUARANTINED</t>
        </is>
      </c>
      <c r="E1127" t="n">
        <v>2</v>
      </c>
      <c r="F1127" t="inlineStr">
        <is>
          <t>TABLE</t>
        </is>
      </c>
      <c r="G1127" t="inlineStr">
        <is>
          <t>TABLE_BANDS</t>
        </is>
      </c>
      <c r="H1127" t="inlineStr">
        <is>
          <t>IV/BRL: FAIL Δ-369198.21</t>
        </is>
      </c>
      <c r="I1127" t="inlineStr">
        <is>
          <t>2022-06-15</t>
        </is>
      </c>
      <c r="J1127" t="inlineStr">
        <is>
          <t>- Autofalência</t>
        </is>
      </c>
      <c r="K1127" t="inlineStr">
        <is>
          <t>brasiltrustee.com.br</t>
        </is>
      </c>
      <c r="L1127" s="19" t="inlineStr">
        <is>
          <t>https://violet-wolf-754008.hostingersite.com/wp-content/uploads/2022/10/Segundo-Edital-de-Credores-e-Edital-Aviso-ao-Plano.pdf</t>
        </is>
      </c>
    </row>
    <row r="1128">
      <c r="A1128" t="inlineStr">
        <is>
          <t>6ed5c736ab72</t>
        </is>
      </c>
      <c r="B1128" t="inlineStr">
        <is>
          <t>1001087-02.2022.8.26.0390</t>
        </is>
      </c>
      <c r="C1128" t="inlineStr">
        <is>
          <t>QGC</t>
        </is>
      </c>
      <c r="D1128" t="inlineStr">
        <is>
          <t>QUARANTINED</t>
        </is>
      </c>
      <c r="E1128" t="n">
        <v>2</v>
      </c>
      <c r="F1128" t="inlineStr">
        <is>
          <t>TABLE</t>
        </is>
      </c>
      <c r="G1128" t="inlineStr">
        <is>
          <t>TABLE_BANDS</t>
        </is>
      </c>
      <c r="H1128" t="inlineStr">
        <is>
          <t>I/BRL#s1: FAIL Δ702716.01 · III/BRL#s4: FAIL Δ707802.74 · II/BRL: FAIL Δ-29897498.36</t>
        </is>
      </c>
      <c r="J1128" t="inlineStr">
        <is>
          <t>e Falência</t>
        </is>
      </c>
      <c r="K1128" t="inlineStr">
        <is>
          <t>brasiltrustee.com.br</t>
        </is>
      </c>
      <c r="L1128" s="19" t="inlineStr">
        <is>
          <t>https://violet-wolf-754008.hostingersite.com/wp-content/uploads/2022/12/2o-Edital-Grupo-Somilio.pdf</t>
        </is>
      </c>
    </row>
    <row r="1129">
      <c r="A1129" t="inlineStr">
        <is>
          <t>93080070b324</t>
        </is>
      </c>
      <c r="B1129" t="inlineStr">
        <is>
          <t>0000335-78.2024.8.26.0260</t>
        </is>
      </c>
      <c r="C1129" t="inlineStr">
        <is>
          <t>QGC</t>
        </is>
      </c>
      <c r="D1129" t="inlineStr">
        <is>
          <t>QUARANTINED</t>
        </is>
      </c>
      <c r="E1129" t="n">
        <v>6</v>
      </c>
      <c r="F1129" t="inlineStr">
        <is>
          <t>TABLE</t>
        </is>
      </c>
      <c r="G1129" t="inlineStr">
        <is>
          <t>TABLE_RULED</t>
        </is>
      </c>
      <c r="H1129" t="inlineStr">
        <is>
          <t>III/BRL#s3: FAIL Δ-205982.70 · I/BRL: PASS Δ-905.06</t>
        </is>
      </c>
      <c r="J1129" t="inlineStr">
        <is>
          <t>GateKeeper | Recuperação Judicial em São Paulo – Ética, técnica e profissionalismo na administração judicial de processos de recuperação e falência.</t>
        </is>
      </c>
      <c r="K1129" t="inlineStr">
        <is>
          <t>gatekeeperaj.com.br</t>
        </is>
      </c>
      <c r="L1129" s="19" t="inlineStr">
        <is>
          <t>https://gatekeeperaj.com.br/wp-content/uploads/2025/01/QGC-atualizado.pdf</t>
        </is>
      </c>
    </row>
    <row r="1130">
      <c r="A1130" t="inlineStr">
        <is>
          <t>4de8ce425bee</t>
        </is>
      </c>
      <c r="B1130" t="inlineStr">
        <is>
          <t>5092815-63.2023.8.21.0001</t>
        </is>
      </c>
      <c r="C1130" t="inlineStr">
        <is>
          <t>QGC</t>
        </is>
      </c>
      <c r="D1130" t="inlineStr">
        <is>
          <t>QUARANTINED</t>
        </is>
      </c>
      <c r="E1130" t="n">
        <v>172</v>
      </c>
      <c r="F1130" t="inlineStr">
        <is>
          <t>TABLE</t>
        </is>
      </c>
      <c r="G1130" t="inlineStr">
        <is>
          <t>TABLE_RULED</t>
        </is>
      </c>
      <c r="H1130" t="inlineStr">
        <is>
          <t>I/BRL#s1: FAIL Δ-17649435.51 · III/BRL#s3: PASS Δ0.00 · III/BRL#s4: PASS Δ0.00 · III/BRL#s5: PASS Δ0.00 · III/BRL#s8: FAIL Δ47345580.54</t>
        </is>
      </c>
      <c r="J1130" t="inlineStr">
        <is>
          <t>Grupo Mobra - RLG-AJ</t>
        </is>
      </c>
      <c r="K1130" t="inlineStr">
        <is>
          <t>rlg-aj.com.br</t>
        </is>
      </c>
      <c r="L1130" s="19" t="inlineStr">
        <is>
          <t>https://rlg-aj.com.br/wp-content/uploads/2023/07/QGC-Quadro-Geral-de-Credores-Grupo-Mobra.pdf</t>
        </is>
      </c>
    </row>
    <row r="1131">
      <c r="A1131" t="inlineStr">
        <is>
          <t>cc0484b1736b</t>
        </is>
      </c>
      <c r="B1131" t="inlineStr">
        <is>
          <t>0255180-67.2007.8.26.0100</t>
        </is>
      </c>
      <c r="C1131" t="inlineStr">
        <is>
          <t>QGC</t>
        </is>
      </c>
      <c r="D1131" t="inlineStr">
        <is>
          <t>QUARANTINED</t>
        </is>
      </c>
      <c r="E1131" t="n">
        <v>165</v>
      </c>
      <c r="F1131" t="inlineStr">
        <is>
          <t>TABLE</t>
        </is>
      </c>
      <c r="G1131" t="inlineStr">
        <is>
          <t>TABLE_RULED</t>
        </is>
      </c>
      <c r="H1131" t="inlineStr">
        <is>
          <t>II/BRL#s3: FAIL Δ9123700.72</t>
        </is>
      </c>
      <c r="I1131" t="inlineStr">
        <is>
          <t>2022-03-09</t>
        </is>
      </c>
      <c r="J1131" t="inlineStr">
        <is>
          <t>GateKeeper | Recuperação Judicial em São Paulo – Ética, técnica e profissionalismo na administração judicial de processos de recuperação e falência.</t>
        </is>
      </c>
      <c r="K1131" t="inlineStr">
        <is>
          <t>gatekeeperaj.com.br</t>
        </is>
      </c>
      <c r="L1131" s="19" t="inlineStr">
        <is>
          <t>https://gatekeeperaj.com.br/wp-content/uploads/2024/10/Relacao-de-Credores-BRA.pdf</t>
        </is>
      </c>
    </row>
    <row r="1132">
      <c r="A1132" t="inlineStr">
        <is>
          <t>5afb34734679</t>
        </is>
      </c>
      <c r="B1132" t="inlineStr">
        <is>
          <t>0000335-78.2024.8.26.0260</t>
        </is>
      </c>
      <c r="C1132" t="inlineStr">
        <is>
          <t>QGC</t>
        </is>
      </c>
      <c r="D1132" t="inlineStr">
        <is>
          <t>QUARANTINED</t>
        </is>
      </c>
      <c r="E1132" t="n">
        <v>37</v>
      </c>
      <c r="F1132" t="inlineStr">
        <is>
          <t>TABLE</t>
        </is>
      </c>
      <c r="G1132" t="inlineStr">
        <is>
          <t>TABLE_RULED</t>
        </is>
      </c>
      <c r="H1132" t="inlineStr">
        <is>
          <t>III/BRL#s5: FAIL Δ-2948607.92</t>
        </is>
      </c>
      <c r="J1132" t="inlineStr">
        <is>
          <t>GateKeeper | Recuperação Judicial em São Paulo – Ética, técnica e profissionalismo na administração judicial de processos de recuperação e falência.</t>
        </is>
      </c>
      <c r="K1132" t="inlineStr">
        <is>
          <t>gatekeeperaj.com.br</t>
        </is>
      </c>
      <c r="L1132" s="19" t="inlineStr">
        <is>
          <t>https://gatekeeperaj.com.br/wp-content/uploads/2026/08/RELACAO-BS.pdf</t>
        </is>
      </c>
    </row>
    <row r="1133">
      <c r="A1133" t="inlineStr">
        <is>
          <t>c1392e1e5b41</t>
        </is>
      </c>
      <c r="B1133" t="inlineStr">
        <is>
          <t>1132347-05.2022.8.26.0100</t>
        </is>
      </c>
      <c r="C1133" t="inlineStr">
        <is>
          <t>QGC</t>
        </is>
      </c>
      <c r="D1133" t="inlineStr">
        <is>
          <t>QUARANTINED</t>
        </is>
      </c>
      <c r="E1133" t="n">
        <v>15</v>
      </c>
      <c r="F1133" t="inlineStr">
        <is>
          <t>TABLE</t>
        </is>
      </c>
      <c r="G1133" t="inlineStr">
        <is>
          <t>TABLE_RULED</t>
        </is>
      </c>
      <c r="H1133" t="inlineStr">
        <is>
          <t>IV/BRL#s6: FAIL Δ-44235876.59 · I/BRL#s8: PASS Δ-0.11 · III/BRL#s9: PASS Δ0.03</t>
        </is>
      </c>
      <c r="I1133" t="inlineStr">
        <is>
          <t>2026-04-23</t>
        </is>
      </c>
      <c r="J1133" t="inlineStr">
        <is>
          <t>GateKeeper | Recuperação Judicial em São Paulo – Ética, técnica e profissionalismo na administração judicial de processos de recuperação e falência.</t>
        </is>
      </c>
      <c r="K1133" t="inlineStr">
        <is>
          <t>gatekeeperaj.com.br</t>
        </is>
      </c>
      <c r="L1133" s="19" t="inlineStr">
        <is>
          <t>https://gatekeeperaj.com.br/wp-content/uploads/2026/06/BS-Relacao-de-Credores-RJ-para-Falencia.pdf</t>
        </is>
      </c>
    </row>
    <row r="1134">
      <c r="A1134" t="inlineStr">
        <is>
          <t>0a1d6d369f9f</t>
        </is>
      </c>
      <c r="B1134" t="inlineStr">
        <is>
          <t>0000335-78.2024.8.26.0260</t>
        </is>
      </c>
      <c r="C1134" t="inlineStr">
        <is>
          <t>QGC</t>
        </is>
      </c>
      <c r="D1134" t="inlineStr">
        <is>
          <t>QUARANTINED</t>
        </is>
      </c>
      <c r="E1134" t="n">
        <v>6</v>
      </c>
      <c r="F1134" t="inlineStr">
        <is>
          <t>TABLE</t>
        </is>
      </c>
      <c r="G1134" t="inlineStr">
        <is>
          <t>TABLE_RULED</t>
        </is>
      </c>
      <c r="H1134" t="inlineStr">
        <is>
          <t>III/BRL#s3: FAIL Δ-1254195.68 · I/BRL: FAIL Δ1577895.51</t>
        </is>
      </c>
      <c r="J1134" t="inlineStr">
        <is>
          <t>GateKeeper | Recuperação Judicial em São Paulo – Ética, técnica e profissionalismo na administração judicial de processos de recuperação e falência.</t>
        </is>
      </c>
      <c r="K1134" t="inlineStr">
        <is>
          <t>gatekeeperaj.com.br</t>
        </is>
      </c>
      <c r="L1134" s="19" t="inlineStr">
        <is>
          <t>https://gatekeeperaj.com.br/wp-content/uploads/2026/01/QGC-Amuage-05.01.2026.pdf</t>
        </is>
      </c>
    </row>
    <row r="1135">
      <c r="A1135" t="inlineStr">
        <is>
          <t>cdfec0ca30c9</t>
        </is>
      </c>
      <c r="B1135" t="inlineStr">
        <is>
          <t>0000335-78.2024.8.26.0260</t>
        </is>
      </c>
      <c r="C1135" t="inlineStr">
        <is>
          <t>QGC</t>
        </is>
      </c>
      <c r="D1135" t="inlineStr">
        <is>
          <t>QUARANTINED</t>
        </is>
      </c>
      <c r="E1135" t="n">
        <v>48</v>
      </c>
      <c r="F1135" t="inlineStr">
        <is>
          <t>TABLE</t>
        </is>
      </c>
      <c r="G1135" t="inlineStr">
        <is>
          <t>TABLE_RULED</t>
        </is>
      </c>
      <c r="H1135" t="inlineStr">
        <is>
          <t>IV/BRL#s6: FAIL Δ-1867568.16 · IV/BRL#s16: FAIL Δ-5409437.04 · IV/BRL#s26: FAIL Δ-3457414.35 · IV/BRL#s36: FAIL Δ24726.69 · I/BRL#s38: PASS Δ0.00</t>
        </is>
      </c>
      <c r="J1135" t="inlineStr">
        <is>
          <t>GateKeeper | Recuperação Judicial em São Paulo – Ética, técnica e profissionalismo na administração judicial de processos de recuperação e falência.</t>
        </is>
      </c>
      <c r="K1135" t="inlineStr">
        <is>
          <t>gatekeeperaj.com.br</t>
        </is>
      </c>
      <c r="L1135" s="19" t="inlineStr">
        <is>
          <t>https://gatekeeperaj.com.br/wp-content/uploads/2024/08/Relacao-de-Credores-do-art.-7o-0-Grupo-GTP.pdf</t>
        </is>
      </c>
    </row>
    <row r="1136">
      <c r="A1136" t="inlineStr">
        <is>
          <t>f875c7bcf879</t>
        </is>
      </c>
      <c r="B1136" t="inlineStr">
        <is>
          <t>0000335-78.2024.8.26.0260</t>
        </is>
      </c>
      <c r="C1136" t="inlineStr">
        <is>
          <t>QGC</t>
        </is>
      </c>
      <c r="D1136" t="inlineStr">
        <is>
          <t>QUARANTINED</t>
        </is>
      </c>
      <c r="E1136" t="n">
        <v>10</v>
      </c>
      <c r="F1136" t="inlineStr">
        <is>
          <t>TABLE</t>
        </is>
      </c>
      <c r="G1136" t="inlineStr">
        <is>
          <t>TABLE_RULED</t>
        </is>
      </c>
      <c r="H1136" t="inlineStr">
        <is>
          <t>I/BRL#s1: PASS Δ831.72 · I/BRL#s2: FAIL Δ3882438.97 · I/BRL#s3: FAIL Δ-2253275.62 · I/BRL#s4: FAIL Δ2695387.44</t>
        </is>
      </c>
      <c r="J1136" t="inlineStr">
        <is>
          <t>GateKeeper | Recuperação Judicial em São Paulo – Ética, técnica e profissionalismo na administração judicial de processos de recuperação e falência.</t>
        </is>
      </c>
      <c r="K1136" t="inlineStr">
        <is>
          <t>gatekeeperaj.com.br</t>
        </is>
      </c>
      <c r="L1136" s="19" t="inlineStr">
        <is>
          <t>https://gatekeeperaj.com.br/wp-content/uploads/2025/05/Relacao-AJ-Wireless.pdf</t>
        </is>
      </c>
    </row>
    <row r="1137">
      <c r="A1137" t="inlineStr">
        <is>
          <t>4f4bd38e514d</t>
        </is>
      </c>
      <c r="B1137" t="inlineStr">
        <is>
          <t>0000335-78.2024.8.26.0260</t>
        </is>
      </c>
      <c r="C1137" t="inlineStr">
        <is>
          <t>QGC</t>
        </is>
      </c>
      <c r="D1137" t="inlineStr">
        <is>
          <t>QUARANTINED</t>
        </is>
      </c>
      <c r="E1137" t="n">
        <v>12</v>
      </c>
      <c r="F1137" t="inlineStr">
        <is>
          <t>TABLE</t>
        </is>
      </c>
      <c r="G1137" t="inlineStr">
        <is>
          <t>TABLE_RULED</t>
        </is>
      </c>
      <c r="H1137" t="inlineStr">
        <is>
          <t>III/BRL#s2: FAIL Δ-550029.78 · III/BRL#s7: PASS Δ0.00 · III/BRL#s8: PASS Δ0.00 · III/BRL#s11: FAIL Δ2976707.34 · III/BRL#s16: PASS Δ0.00 · III/BRL#s17: PASS Δ0.00 · III/BRL#s18: PASS Δ0.00 · I/BRL: FAIL Δ605063527.66</t>
        </is>
      </c>
      <c r="J1137" t="inlineStr">
        <is>
          <t>GateKeeper | Recuperação Judicial em São Paulo – Ética, técnica e profissionalismo na administração judicial de processos de recuperação e falência.</t>
        </is>
      </c>
      <c r="K1137" t="inlineStr">
        <is>
          <t>gatekeeperaj.com.br</t>
        </is>
      </c>
      <c r="L1137" s="19" t="inlineStr">
        <is>
          <t>https://gatekeeperaj.com.br/wp-content/uploads/2026/07/QGC-WIRELESS-01.07.2026.pdf</t>
        </is>
      </c>
    </row>
    <row r="1138">
      <c r="A1138" t="inlineStr">
        <is>
          <t>d7aedc0068d6</t>
        </is>
      </c>
      <c r="B1138" t="inlineStr">
        <is>
          <t>0154367-27.2017.8.21.0001</t>
        </is>
      </c>
      <c r="C1138" t="inlineStr">
        <is>
          <t>QGC</t>
        </is>
      </c>
      <c r="D1138" t="inlineStr">
        <is>
          <t>QUARANTINED</t>
        </is>
      </c>
      <c r="E1138" t="n">
        <v>4</v>
      </c>
      <c r="F1138" t="inlineStr">
        <is>
          <t>TABLE</t>
        </is>
      </c>
      <c r="G1138" t="inlineStr">
        <is>
          <t>TABLE_BANDS</t>
        </is>
      </c>
      <c r="H1138" t="inlineStr">
        <is>
          <t>III/BRL#s6: PASS Δ0.00 · IV/BRL#s7: FAIL Δ-17700366.67</t>
        </is>
      </c>
      <c r="I1138" t="inlineStr">
        <is>
          <t>2023-05-17</t>
        </is>
      </c>
      <c r="J1138" t="inlineStr">
        <is>
          <t>5119022-07.2020.8.21.0001 | CB2D</t>
        </is>
      </c>
      <c r="K1138" t="inlineStr">
        <is>
          <t>cb2d.com.br</t>
        </is>
      </c>
      <c r="L1138" s="19" t="inlineStr">
        <is>
          <t>https://www.cb2d.com.br/portal/_uploads/24b4d427-81ae-408d-8b0f-b7ab974117be.pdf</t>
        </is>
      </c>
    </row>
    <row r="1139">
      <c r="A1139" t="inlineStr">
        <is>
          <t>f33b7fcc2eec</t>
        </is>
      </c>
      <c r="B1139" t="inlineStr">
        <is>
          <t>0000335-78.2024.8.26.0260</t>
        </is>
      </c>
      <c r="C1139" t="inlineStr">
        <is>
          <t>QGC</t>
        </is>
      </c>
      <c r="D1139" t="inlineStr">
        <is>
          <t>QUARANTINED</t>
        </is>
      </c>
      <c r="E1139" t="n">
        <v>3</v>
      </c>
      <c r="F1139" t="inlineStr">
        <is>
          <t>TABLE</t>
        </is>
      </c>
      <c r="G1139" t="inlineStr">
        <is>
          <t>TABLE_BANDS</t>
        </is>
      </c>
      <c r="H1139" t="inlineStr">
        <is>
          <t>III/BRL: FAIL Δ-127264.22</t>
        </is>
      </c>
      <c r="J1139" t="inlineStr">
        <is>
          <t>GateKeeper | Recuperação Judicial em São Paulo – Ética, técnica e profissionalismo na administração judicial de processos de recuperação e falência.</t>
        </is>
      </c>
      <c r="K1139" t="inlineStr">
        <is>
          <t>gatekeeperaj.com.br</t>
        </is>
      </c>
      <c r="L1139" s="19" t="inlineStr">
        <is>
          <t>https://gatekeeperaj.com.br/wp-content/uploads/2025/05/Relacao-AJ-Kennedy.pdf</t>
        </is>
      </c>
    </row>
    <row r="1140">
      <c r="A1140" t="inlineStr">
        <is>
          <t>495d3b7b6af3</t>
        </is>
      </c>
      <c r="B1140" t="inlineStr">
        <is>
          <t>0000335-78.2024.8.26.0260</t>
        </is>
      </c>
      <c r="C1140" t="inlineStr">
        <is>
          <t>QGC</t>
        </is>
      </c>
      <c r="D1140" t="inlineStr">
        <is>
          <t>QUARANTINED</t>
        </is>
      </c>
      <c r="E1140" t="n">
        <v>7</v>
      </c>
      <c r="F1140" t="inlineStr">
        <is>
          <t>TABLE</t>
        </is>
      </c>
      <c r="G1140" t="inlineStr">
        <is>
          <t>TABLE_BANDS</t>
        </is>
      </c>
      <c r="H1140" t="inlineStr">
        <is>
          <t>III/BRL#s1: FAIL Δ-121821.22</t>
        </is>
      </c>
      <c r="J1140" t="inlineStr">
        <is>
          <t>GateKeeper | Recuperação Judicial em São Paulo – Ética, técnica e profissionalismo na administração judicial de processos de recuperação e falência.</t>
        </is>
      </c>
      <c r="K1140" t="inlineStr">
        <is>
          <t>gatekeeperaj.com.br</t>
        </is>
      </c>
      <c r="L1140" s="19" t="inlineStr">
        <is>
          <t>https://gatekeeperaj.com.br/wp-content/uploads/2024/07/QGC-Seno-e-filhos.pdf</t>
        </is>
      </c>
    </row>
    <row r="1141">
      <c r="A1141" t="inlineStr">
        <is>
          <t>32ff695d5129</t>
        </is>
      </c>
      <c r="B1141" t="inlineStr">
        <is>
          <t>1147368-84.2023.8.26.0100</t>
        </is>
      </c>
      <c r="C1141" t="inlineStr">
        <is>
          <t>QGC</t>
        </is>
      </c>
      <c r="D1141" t="inlineStr">
        <is>
          <t>QUARANTINED</t>
        </is>
      </c>
      <c r="E1141" t="n">
        <v>5</v>
      </c>
      <c r="F1141" t="inlineStr">
        <is>
          <t>TABLE</t>
        </is>
      </c>
      <c r="G1141" t="inlineStr">
        <is>
          <t>TABLE_RULED</t>
        </is>
      </c>
      <c r="H1141" t="inlineStr">
        <is>
          <t>I/BRL#s1: PASS Δ-130.44 · III/BRL#s3: FAIL Δ7617143.77 · III/BRL#s4: FAIL Δ53329.85 · III/BRL#s5: FAIL Δ72040.32 · III/BRL#s6: FAIL Δ11105.75 · III/BRL#s7: FAIL Δ22322.10 · IV/BRL#s9: FAIL Δ-1010.52 · IV/BRL#s10: PASS Δ-230.64</t>
        </is>
      </c>
      <c r="J1141" t="inlineStr">
        <is>
          <t>AÇOFORTE SEGURANÇA E VIGILÂNCIA</t>
        </is>
      </c>
      <c r="K1141" t="inlineStr">
        <is>
          <t>ajruiz.com.br</t>
        </is>
      </c>
      <c r="L1141" s="19" t="inlineStr">
        <is>
          <t>https://ajruiz.com.br/sites/default/files/public/arquivos-processos/2024-04/relacao_de_credores_da_aj_do_art._7o_paragrafo_2o_da_lre_1.pdf</t>
        </is>
      </c>
    </row>
    <row r="1142">
      <c r="A1142" t="inlineStr">
        <is>
          <t>f1851f88a3d6</t>
        </is>
      </c>
      <c r="B1142" t="inlineStr">
        <is>
          <t>5008793-34.2023.8.24.0019</t>
        </is>
      </c>
      <c r="C1142" t="inlineStr">
        <is>
          <t>QGC</t>
        </is>
      </c>
      <c r="D1142" t="inlineStr">
        <is>
          <t>QUARANTINED</t>
        </is>
      </c>
      <c r="E1142" t="n">
        <v>2</v>
      </c>
      <c r="F1142" t="inlineStr">
        <is>
          <t>TABLE</t>
        </is>
      </c>
      <c r="G1142" t="inlineStr">
        <is>
          <t>TABLE_RULED</t>
        </is>
      </c>
      <c r="H1142" t="inlineStr">
        <is>
          <t>I/BRL: FAIL Δ-236630.42 · III/BRL: PASS Δ0.00 · IV/BRL: PASS Δ-0.01</t>
        </is>
      </c>
      <c r="J1142" t="inlineStr">
        <is>
          <t>AZEPLAST INDÚSTRIA E COMÉRCIO LTDA</t>
        </is>
      </c>
      <c r="K1142" t="inlineStr">
        <is>
          <t>ajruiz.com.br</t>
        </is>
      </c>
      <c r="L1142" s="19" t="inlineStr">
        <is>
          <t>https://ajruiz.com.br/sites/default/files/public/arquivos-processos/2024-03/relacao_de_credores_aj_art._7_lre.pdf</t>
        </is>
      </c>
    </row>
    <row r="1143">
      <c r="A1143" t="inlineStr">
        <is>
          <t>b51414fa4694</t>
        </is>
      </c>
      <c r="B1143" t="inlineStr">
        <is>
          <t>1010468-75.2015.8.26.0100</t>
        </is>
      </c>
      <c r="C1143" t="inlineStr">
        <is>
          <t>QGC</t>
        </is>
      </c>
      <c r="D1143" t="inlineStr">
        <is>
          <t>QUARANTINED</t>
        </is>
      </c>
      <c r="E1143" t="n">
        <v>19</v>
      </c>
      <c r="F1143" t="inlineStr">
        <is>
          <t>TABLE</t>
        </is>
      </c>
      <c r="G1143" t="inlineStr">
        <is>
          <t>TABLE_RULED</t>
        </is>
      </c>
      <c r="H1143" t="inlineStr">
        <is>
          <t>I/BRL: FAIL Δ543436.40</t>
        </is>
      </c>
      <c r="J1143" t="inlineStr">
        <is>
          <t>e Saturno Aços e Ferragens Eireli</t>
        </is>
      </c>
      <c r="K1143" t="inlineStr">
        <is>
          <t>ativosajce.com.br</t>
        </is>
      </c>
      <c r="L1143" s="19" t="inlineStr">
        <is>
          <t>https://ativosajce.com.br/admin/download.php?file=files/processo_documento/processo_documento12062129012026_1_.pdf&amp;nome=Quadro Geral de Credores Atualizado - 21/08/2023</t>
        </is>
      </c>
    </row>
    <row r="1144">
      <c r="A1144" t="inlineStr">
        <is>
          <t>229081edb0ea</t>
        </is>
      </c>
      <c r="B1144" t="inlineStr">
        <is>
          <t>5008793-34.2023.8.24.0019</t>
        </is>
      </c>
      <c r="C1144" t="inlineStr">
        <is>
          <t>QGC</t>
        </is>
      </c>
      <c r="D1144" t="inlineStr">
        <is>
          <t>QUARANTINED</t>
        </is>
      </c>
      <c r="E1144" t="n">
        <v>2</v>
      </c>
      <c r="F1144" t="inlineStr">
        <is>
          <t>TABLE</t>
        </is>
      </c>
      <c r="G1144" t="inlineStr">
        <is>
          <t>TABLE_RULED</t>
        </is>
      </c>
      <c r="H1144" t="inlineStr">
        <is>
          <t>I/BRL: FAIL Δ-323040.28 · III/BRL: PASS Δ0.00 · IV/BRL: PASS Δ-0.01</t>
        </is>
      </c>
      <c r="J1144" t="inlineStr">
        <is>
          <t>AZEPLAST INDÚSTRIA E COMÉRCIO LTDA</t>
        </is>
      </c>
      <c r="K1144" t="inlineStr">
        <is>
          <t>ajruiz.com.br</t>
        </is>
      </c>
      <c r="L1144" s="19" t="inlineStr">
        <is>
          <t>https://ajruiz.com.br/sites/default/files/public/arquivos-processos/2026-08/qgc_azeplast_julho_2026.pdf</t>
        </is>
      </c>
    </row>
    <row r="1145">
      <c r="A1145" t="inlineStr">
        <is>
          <t>54c730aa334f</t>
        </is>
      </c>
      <c r="B1145" t="inlineStr">
        <is>
          <t>4000332-28.2026.8.26.0408</t>
        </is>
      </c>
      <c r="C1145" t="inlineStr">
        <is>
          <t>QGC</t>
        </is>
      </c>
      <c r="D1145" t="inlineStr">
        <is>
          <t>QUARANTINED</t>
        </is>
      </c>
      <c r="E1145" t="n">
        <v>7</v>
      </c>
      <c r="F1145" t="inlineStr">
        <is>
          <t>TABLE</t>
        </is>
      </c>
      <c r="G1145" t="inlineStr">
        <is>
          <t>TABLE_RULED</t>
        </is>
      </c>
      <c r="H1145" t="inlineStr">
        <is>
          <t>I/BRL#s1: FAIL Δ476761.57 · I/BRL#s2: FAIL Δ616020.38 · I/BRL#s3: PASS Δ414.28 · I/BRL#s4: FAIL Δ1004.58 · I/BRL#s5: FAIL Δ1325758.98 · I/BRL#s6: FAIL Δ-16360.00 · III/BRL#s9: FAIL Δ14502098.78 · III/BRL#s10: FAIL Δ1916143.33 · III/BRL#s11: FAIL Δ4102640.49 · III/BRL#s12: FAIL Δ123757.89 · III/BRL#s13: FAIL Δ-21811777.26 · II/BRL: PASS Δ0.00 · IV/BRL: PASS Δ0.00</t>
        </is>
      </c>
      <c r="I1145" t="inlineStr">
        <is>
          <t>2026-06-08</t>
        </is>
      </c>
      <c r="J1145" t="inlineStr">
        <is>
          <t>Distribuidora de Bebidas Maitan Ltda</t>
        </is>
      </c>
      <c r="K1145" t="inlineStr">
        <is>
          <t>ajruiz.com.br</t>
        </is>
      </c>
      <c r="L1145" s="19" t="inlineStr">
        <is>
          <t>https://ajruiz.com.br/sites/default/files/public/arquivos-processos/2026-06/relacao_de_credores_art._7o_ss_2o_da_lre.pdf</t>
        </is>
      </c>
    </row>
    <row r="1146">
      <c r="A1146" t="inlineStr">
        <is>
          <t>bd5d1da60cec</t>
        </is>
      </c>
      <c r="B1146" t="inlineStr">
        <is>
          <t>1000203-38.2023.8.26.0260</t>
        </is>
      </c>
      <c r="C1146" t="inlineStr">
        <is>
          <t>QGC</t>
        </is>
      </c>
      <c r="D1146" t="inlineStr">
        <is>
          <t>QUARANTINED</t>
        </is>
      </c>
      <c r="E1146" t="n">
        <v>20</v>
      </c>
      <c r="F1146" t="inlineStr">
        <is>
          <t>TABLE</t>
        </is>
      </c>
      <c r="G1146" t="inlineStr">
        <is>
          <t>TABLE_RULED</t>
        </is>
      </c>
      <c r="H1146" t="inlineStr">
        <is>
          <t>IV/BRL#s3: FAIL Δ-209590441.63 · IV/BRL#s7: FAIL Δ204864492.66 · III/BRL#s8: FAIL Δ-225170862.96 · IV/BRL#s12: FAIL Δ225170862.96 · III/BRL#s13: FAIL Δ-30608110.19 · IV/BRL#s17: FAIL Δ30608110.19 · III/BRL#s18: FAIL Δ-73069273.73 · IV/BRL#s22: FAIL Δ73069273.73 · IV/BRL#s24: FAIL Δ-37371032.58 · IV/BRL#s28: FAIL Δ37371032.58 · IV/BRL#s30: FAIL Δ34691.55 · IV/BRL#s34: FAIL Δ10579.12 · I/BRL: PASS Δ0.00</t>
        </is>
      </c>
      <c r="J1146" t="inlineStr">
        <is>
          <t>Base | AJ RUIZ - Administração Judicial</t>
        </is>
      </c>
      <c r="K1146" t="inlineStr">
        <is>
          <t>ajruiz.com.br</t>
        </is>
      </c>
      <c r="L1146" s="19" t="inlineStr">
        <is>
          <t>https://ajruiz.com.br/sites/default/files/public/arquivos-processos/2023-11/8_relacao_de_credores_da_aj_art._7o_parag._2o_da_lre.pdf</t>
        </is>
      </c>
    </row>
    <row r="1147">
      <c r="A1147" t="inlineStr">
        <is>
          <t>22ec2286843b</t>
        </is>
      </c>
      <c r="B1147" t="inlineStr">
        <is>
          <t>1000203-38.2023.8.26.0260</t>
        </is>
      </c>
      <c r="C1147" t="inlineStr">
        <is>
          <t>QGC</t>
        </is>
      </c>
      <c r="D1147" t="inlineStr">
        <is>
          <t>QUARANTINED</t>
        </is>
      </c>
      <c r="E1147" t="n">
        <v>12</v>
      </c>
      <c r="F1147" t="inlineStr">
        <is>
          <t>TABLE</t>
        </is>
      </c>
      <c r="G1147" t="inlineStr">
        <is>
          <t>TABLE_RULED</t>
        </is>
      </c>
      <c r="H1147" t="inlineStr">
        <is>
          <t>IV/BRL#s5: FAIL Δ-7909.89 · IV/BRL#s6: PASS Δ190.07 · IV/BRL#s7: FAIL Δ-2821.87 · IV/BRL#s8: FAIL Δ546027.54 · IV/BRL#s9: FAIL Δ-2528.32 · IV/BRL#s10: PASS Δ14.10 · IV/BRL#s11: FAIL Δ-2290.71 · IV/BRL#s12: FAIL Δ-4529.04 · IV/BRL#s13: FAIL Δ4330.00 · IV/BRL#s14: FAIL Δ-6850.70 · IV/BRL#s15: PASS Δ550.00 · IV/BRL#s16: FAIL Δ-8551.43 · IV/BRL#s17: FAIL Δ-3600.00 · IV/BRL#s18: PASS Δ-10.80 · IV/BRL#s19: FAIL Δ5006721.20 · IV/BRL#s23: FAIL Δ243275031.29 · I/BRL: FAIL Δ-1434.28 · III/BRL: PASS Δ-203.00</t>
        </is>
      </c>
      <c r="J1147" t="inlineStr">
        <is>
          <t>AJ RUIZ CONSULTORIA EMPRESA</t>
        </is>
      </c>
      <c r="K1147" t="inlineStr">
        <is>
          <t>ajruiz.com.br</t>
        </is>
      </c>
      <c r="L1147" s="19" t="inlineStr">
        <is>
          <t>https://ajruiz.com.br/sites/default/files/public/arquivos-processos/2023-11/10_relacao_de_credores_consolidada.pdf</t>
        </is>
      </c>
    </row>
    <row r="1148">
      <c r="A1148" t="inlineStr">
        <is>
          <t>f4f0ce689879</t>
        </is>
      </c>
      <c r="B1148" t="inlineStr">
        <is>
          <t>1000386-43.2022.8.26.0260</t>
        </is>
      </c>
      <c r="C1148" t="inlineStr">
        <is>
          <t>QGC</t>
        </is>
      </c>
      <c r="D1148" t="inlineStr">
        <is>
          <t>QUARANTINED</t>
        </is>
      </c>
      <c r="E1148" t="n">
        <v>18</v>
      </c>
      <c r="F1148" t="inlineStr">
        <is>
          <t>TABLE</t>
        </is>
      </c>
      <c r="G1148" t="inlineStr">
        <is>
          <t>TABLE_RULED</t>
        </is>
      </c>
      <c r="H1148" t="inlineStr">
        <is>
          <t>III/BRL#s3: FAIL Δ-6812200.18 · I/BRL#s6: PASS Δ0.00 · I/BRL#s7: FAIL Δ27271.07 · I/BRL#s8: FAIL Δ76270.43 · I/BRL#s9: PASS Δ0.00 · I/BRL#s10: FAIL Δ354410.83 · IV/BRL#s20: FAIL Δ-24222665.92 · II/BRL: FAIL Δ13581175.42</t>
        </is>
      </c>
      <c r="I1148" t="inlineStr">
        <is>
          <t>2023-03-24</t>
        </is>
      </c>
      <c r="J1148" t="inlineStr">
        <is>
          <t>ATIVOS ADMINISTRAÇÃO JUDICIA</t>
        </is>
      </c>
      <c r="K1148" t="inlineStr">
        <is>
          <t>ativosajce.com.br</t>
        </is>
      </c>
      <c r="L1148" s="19" t="inlineStr">
        <is>
          <t>https://ativosajce.com.br/admin/download.php?file=files/processo_documento/processo_documento16002502092024_1_.pdf&amp;nome=Quadro Geral de Credores - 15/08/2024</t>
        </is>
      </c>
    </row>
    <row r="1149">
      <c r="A1149" t="inlineStr">
        <is>
          <t>c9ded76ba27f</t>
        </is>
      </c>
      <c r="B1149" t="inlineStr">
        <is>
          <t>0000742-29.2017.8.17.3090</t>
        </is>
      </c>
      <c r="C1149" t="inlineStr">
        <is>
          <t>UNKNOWN</t>
        </is>
      </c>
      <c r="D1149" t="inlineStr">
        <is>
          <t>QUARANTINED</t>
        </is>
      </c>
      <c r="E1149" t="n">
        <v>31</v>
      </c>
      <c r="F1149" t="inlineStr">
        <is>
          <t>TABLE</t>
        </is>
      </c>
      <c r="G1149" t="inlineStr">
        <is>
          <t>TABLE_BANDS</t>
        </is>
      </c>
      <c r="H1149" t="inlineStr">
        <is>
          <t>I/BRL: FAIL Δ-49576.56 · III/BRL: FAIL Δ-5802914.47 · IV/BRL: FAIL Δ-842955.22</t>
        </is>
      </c>
      <c r="I1149" t="inlineStr">
        <is>
          <t>2021-09-10</t>
        </is>
      </c>
      <c r="J1149" t="inlineStr">
        <is>
          <t>ABF ENGENHARIA, SERVIÇOS E COMÉRCIO LTDA – LRF Líderes em Recuperação Judicial e Falência</t>
        </is>
      </c>
      <c r="K1149" t="inlineStr">
        <is>
          <t>lrflideres.com.br</t>
        </is>
      </c>
      <c r="L1149" s="19" t="inlineStr">
        <is>
          <t>https://lrflideres.com.br/wp-content/plugins/download-attachments/includes/download.php?id=3468</t>
        </is>
      </c>
    </row>
    <row r="1150">
      <c r="A1150" t="inlineStr">
        <is>
          <t>12e6f4e0aae9</t>
        </is>
      </c>
      <c r="B1150" t="inlineStr">
        <is>
          <t>5281407-42.2021.8.09.0051</t>
        </is>
      </c>
      <c r="C1150" t="inlineStr">
        <is>
          <t>UNKNOWN</t>
        </is>
      </c>
      <c r="D1150" t="inlineStr">
        <is>
          <t>QUARANTINED</t>
        </is>
      </c>
      <c r="E1150" t="n">
        <v>6</v>
      </c>
      <c r="F1150" t="inlineStr">
        <is>
          <t>TABLE</t>
        </is>
      </c>
      <c r="G1150" t="inlineStr">
        <is>
          <t>TABLE_RULED</t>
        </is>
      </c>
      <c r="H1150" t="inlineStr">
        <is>
          <t>I/BRL#s4: PASS Δ0.00 · II/BRL#s6: PASS Δ0.00 · IV/BRL#s11: FAIL Δ-21103656.40 · III/BRL: FAIL Δ-741097.28</t>
        </is>
      </c>
      <c r="I1150" t="inlineStr">
        <is>
          <t>2024-12-16</t>
        </is>
      </c>
      <c r="K1150" t="inlineStr">
        <is>
          <t>arquivos.integrawebsites.com.br</t>
        </is>
      </c>
      <c r="L1150" s="19" t="inlineStr">
        <is>
          <t>https://arquivos.integrawebsites.com.br/66886/9170dba63d72405b67b006af1763ed17.pdf</t>
        </is>
      </c>
    </row>
    <row r="1151">
      <c r="A1151" t="inlineStr">
        <is>
          <t>a3ec2a16cff4</t>
        </is>
      </c>
      <c r="B1151" t="inlineStr">
        <is>
          <t>0804074-43.2026.8.12.0002</t>
        </is>
      </c>
      <c r="C1151" t="inlineStr">
        <is>
          <t>UNKNOWN</t>
        </is>
      </c>
      <c r="D1151" t="inlineStr">
        <is>
          <t>QUARANTINED</t>
        </is>
      </c>
      <c r="E1151" t="n">
        <v>43</v>
      </c>
      <c r="F1151" t="inlineStr">
        <is>
          <t>TABLE</t>
        </is>
      </c>
      <c r="G1151" t="inlineStr">
        <is>
          <t>TABLE_BANDS</t>
        </is>
      </c>
      <c r="H1151" t="inlineStr">
        <is>
          <t>I/BRL: PASS Δ0.00 · III/BRL: FAIL Δ-24792506.66 · IV/BRL: PASS Δ0.00</t>
        </is>
      </c>
      <c r="I1151" t="inlineStr">
        <is>
          <t>2026-01-04</t>
        </is>
      </c>
      <c r="J1151" t="inlineStr">
        <is>
          <t>SCZ Scalzilli Administração Judicial</t>
        </is>
      </c>
      <c r="K1151" t="inlineStr">
        <is>
          <t>scalzilliaj.com.br</t>
        </is>
      </c>
      <c r="L1151" s="19" t="inlineStr">
        <is>
          <t>https://scalzilliaj.com.br/sgc/download.php?file=files/processo_documento/processo_documento16563107072026_1_.pdf&amp;nome=05. Lista de credores apresentada pelas Recuperandas</t>
        </is>
      </c>
    </row>
    <row r="1152">
      <c r="A1152" t="inlineStr">
        <is>
          <t>08efc38b7020</t>
        </is>
      </c>
      <c r="B1152" t="inlineStr">
        <is>
          <t>0700707-87.2025.8.02.0043</t>
        </is>
      </c>
      <c r="C1152" t="inlineStr">
        <is>
          <t>UNKNOWN</t>
        </is>
      </c>
      <c r="D1152" t="inlineStr">
        <is>
          <t>QUARANTINED</t>
        </is>
      </c>
      <c r="E1152" t="n">
        <v>1</v>
      </c>
      <c r="F1152" t="inlineStr">
        <is>
          <t>TABLE</t>
        </is>
      </c>
      <c r="G1152" t="inlineStr">
        <is>
          <t>TABLE_BANDS</t>
        </is>
      </c>
      <c r="H1152" t="inlineStr">
        <is>
          <t>I/BRL#s1: PASS Δ0.00 · II/BRL#s3: PASS Δ0.00 · III/BRL#s5: FAIL Δ4117391.38 · IV/BRL: FAIL Δ-6294059.16</t>
        </is>
      </c>
      <c r="I1152" t="inlineStr">
        <is>
          <t>2025-06-11</t>
        </is>
      </c>
      <c r="J1152" t="inlineStr">
        <is>
          <t>GRUPO PISEBEM — Lindoso e Araujo</t>
        </is>
      </c>
      <c r="K1152" t="inlineStr">
        <is>
          <t>recuperacaojudicial.squarespace.com</t>
        </is>
      </c>
      <c r="L1152" s="19" t="inlineStr">
        <is>
          <t>https://recuperacaojudicial.squarespace.com/s/02-1-LISTA-DE-CREDORES_5613.pdf</t>
        </is>
      </c>
    </row>
    <row r="1153">
      <c r="A1153" t="inlineStr">
        <is>
          <t>328d87753c81</t>
        </is>
      </c>
      <c r="B1153" t="inlineStr">
        <is>
          <t>0067168-21.2019.8.17.2001</t>
        </is>
      </c>
      <c r="C1153" t="inlineStr">
        <is>
          <t>UNKNOWN</t>
        </is>
      </c>
      <c r="D1153" t="inlineStr">
        <is>
          <t>QUARANTINED</t>
        </is>
      </c>
      <c r="E1153" t="n">
        <v>24</v>
      </c>
      <c r="F1153" t="inlineStr">
        <is>
          <t>TABLE</t>
        </is>
      </c>
      <c r="G1153" t="inlineStr">
        <is>
          <t>TABLE_BANDS</t>
        </is>
      </c>
      <c r="H1153" t="inlineStr">
        <is>
          <t>I/BRL#s9: PASS Δ0.00 · III/BRL#s10: FAIL Δ-9652319.67 · III/BRL#s11: FAIL Δ-7934828.42 · III/BRL#s12: FAIL Δ-9655312.75 · III/BRL#s13: FAIL Δ-9868998.68 · III/BRL#s14: FAIL Δ-9416442.87 · IV/BRL#s16: FAIL Δ-8681294.03 · IV/BRL#s17: FAIL Δ-8359590.12 · IV/BRL#s18: FAIL Δ-8996935.31 · IV/BRL#s19: FAIL Δ-8234275.49 · IV/BRL#s20: FAIL Δ-8628479.11 · IV/BRL#s21: FAIL Δ-8980270.11 · IV/BRL#s22: FAIL Δ-8442336.97</t>
        </is>
      </c>
      <c r="I1153" t="inlineStr">
        <is>
          <t>2021-09-24</t>
        </is>
      </c>
      <c r="J1153" t="inlineStr">
        <is>
          <t>e Falência</t>
        </is>
      </c>
      <c r="K1153" t="inlineStr">
        <is>
          <t>lrflideres.com.br</t>
        </is>
      </c>
      <c r="L1153" s="19" t="inlineStr">
        <is>
          <t>https://lrflideres.com.br/wp-content/plugins/download-attachments/includes/download.php?id=3752</t>
        </is>
      </c>
    </row>
    <row r="1154">
      <c r="A1154" t="inlineStr">
        <is>
          <t>e1e655d268f6</t>
        </is>
      </c>
      <c r="B1154" t="inlineStr">
        <is>
          <t>5009474-18.2019.8.21.0022</t>
        </is>
      </c>
      <c r="C1154" t="inlineStr">
        <is>
          <t>UNKNOWN</t>
        </is>
      </c>
      <c r="D1154" t="inlineStr">
        <is>
          <t>QUARANTINED</t>
        </is>
      </c>
      <c r="E1154" t="n">
        <v>32</v>
      </c>
      <c r="F1154" t="inlineStr">
        <is>
          <t>TABLE</t>
        </is>
      </c>
      <c r="G1154" t="inlineStr">
        <is>
          <t>TABLE_BANDS</t>
        </is>
      </c>
      <c r="H1154" t="inlineStr">
        <is>
          <t>II/BRL#s2: FAIL Δ573613.48</t>
        </is>
      </c>
      <c r="J1154" t="inlineStr">
        <is>
          <t>Catalise Administração Judicial</t>
        </is>
      </c>
      <c r="K1154" t="inlineStr">
        <is>
          <t>cataliseaj.com.br</t>
        </is>
      </c>
      <c r="L1154" s="19" t="inlineStr">
        <is>
          <t>https://cataliseaj.com.br/sgc/download.php?file=files/processo_documento/processo_documento11313511062024_1_.pdf&amp;nome=18. 4º PLANO MODIFICATIVO</t>
        </is>
      </c>
    </row>
    <row r="1155">
      <c r="A1155" t="inlineStr">
        <is>
          <t>5108718c80b8</t>
        </is>
      </c>
      <c r="B1155" t="inlineStr">
        <is>
          <t>5009474-18.2019.8.21.0022</t>
        </is>
      </c>
      <c r="C1155" t="inlineStr">
        <is>
          <t>UNKNOWN</t>
        </is>
      </c>
      <c r="D1155" t="inlineStr">
        <is>
          <t>QUARANTINED</t>
        </is>
      </c>
      <c r="E1155" t="n">
        <v>32</v>
      </c>
      <c r="F1155" t="inlineStr">
        <is>
          <t>TABLE</t>
        </is>
      </c>
      <c r="G1155" t="inlineStr">
        <is>
          <t>TABLE_BANDS</t>
        </is>
      </c>
      <c r="H1155" t="inlineStr">
        <is>
          <t>II/BRL#s2: FAIL Δ573613.48</t>
        </is>
      </c>
      <c r="J1155" t="inlineStr">
        <is>
          <t>Catalise Administração Judicial</t>
        </is>
      </c>
      <c r="K1155" t="inlineStr">
        <is>
          <t>cataliseaj.com.br</t>
        </is>
      </c>
      <c r="L1155" s="19" t="inlineStr">
        <is>
          <t>https://cataliseaj.com.br/sgc/download.php?file=files/processo_documento/processo_documento11344611062024_1_.pdf&amp;nome=21. 5º PLANO MODIFICATIVO (ÚLTIMA VERSÃO)</t>
        </is>
      </c>
    </row>
    <row r="1156">
      <c r="A1156" t="inlineStr">
        <is>
          <t>6a193e7f1dda</t>
        </is>
      </c>
      <c r="B1156" t="inlineStr">
        <is>
          <t>0006775-56.2016.8.17.2480</t>
        </is>
      </c>
      <c r="C1156" t="inlineStr">
        <is>
          <t>UNKNOWN</t>
        </is>
      </c>
      <c r="D1156" t="inlineStr">
        <is>
          <t>QUARANTINED</t>
        </is>
      </c>
      <c r="E1156" t="n">
        <v>53</v>
      </c>
      <c r="F1156" t="inlineStr">
        <is>
          <t>TABLE</t>
        </is>
      </c>
      <c r="G1156" t="inlineStr">
        <is>
          <t>TABLE_RULED</t>
        </is>
      </c>
      <c r="H1156" t="inlineStr">
        <is>
          <t>III/BRL#s8: FAIL Δ188846.41 · III/BRL#s10: FAIL Δ111589.30</t>
        </is>
      </c>
      <c r="I1156" t="inlineStr">
        <is>
          <t>2021-09-22</t>
        </is>
      </c>
      <c r="J1156" t="inlineStr">
        <is>
          <t>BONANZA SUPERMERCADOS LTDA – LRF Líderes em Recuperação Judicial e Falência</t>
        </is>
      </c>
      <c r="K1156" t="inlineStr">
        <is>
          <t>lrflideres.com.br</t>
        </is>
      </c>
      <c r="L1156" s="19" t="inlineStr">
        <is>
          <t>https://lrflideres.com.br/wp-content/plugins/download-attachments/includes/download.php?id=3614</t>
        </is>
      </c>
    </row>
    <row r="1157">
      <c r="A1157" t="inlineStr">
        <is>
          <t>219e6d16c94c</t>
        </is>
      </c>
      <c r="B1157" t="inlineStr">
        <is>
          <t>5027051-28.2023.8.24.0008</t>
        </is>
      </c>
      <c r="C1157" t="inlineStr">
        <is>
          <t>UNKNOWN</t>
        </is>
      </c>
      <c r="D1157" t="inlineStr">
        <is>
          <t>QUARANTINED</t>
        </is>
      </c>
      <c r="E1157" t="n">
        <v>4</v>
      </c>
      <c r="F1157" t="inlineStr">
        <is>
          <t>TABLE</t>
        </is>
      </c>
      <c r="G1157" t="inlineStr">
        <is>
          <t>TABLE_RULED</t>
        </is>
      </c>
      <c r="H1157" t="inlineStr">
        <is>
          <t>I/BRL#s1: PASS Δ0.00 · III/BRL#s3: PASS Δ0.00 · IV/BRL#s5: FAIL Δ-8070.00</t>
        </is>
      </c>
      <c r="J1157" t="inlineStr">
        <is>
          <t>CENTRAL DA EDUCAÇÃO CURSOS LTDA; ESPAÇO DA EDUCAÇÃO CURSOS LTDA; ESPAÇO DA EDUCAÇÃO PACATUBA LTDA; NÚCLEO DA EDUCAÇÃO CURSOS LTDA. – Sgrott Administradora Judicial e Consultoria Empresarial</t>
        </is>
      </c>
      <c r="K1157" t="inlineStr">
        <is>
          <t>administradorajudicialgs.com.br</t>
        </is>
      </c>
      <c r="L1157" s="19" t="inlineStr">
        <is>
          <t>https://administradorajudicialgs.com.br/wp-content/uploads/2023/11/relacao-credores-recuperanda.pdf</t>
        </is>
      </c>
    </row>
    <row r="1158">
      <c r="A1158" t="inlineStr">
        <is>
          <t>b16317915c79</t>
        </is>
      </c>
      <c r="B1158" t="inlineStr">
        <is>
          <t>0300852-53.2018.8.24.0073</t>
        </is>
      </c>
      <c r="C1158" t="inlineStr">
        <is>
          <t>UNKNOWN</t>
        </is>
      </c>
      <c r="D1158" t="inlineStr">
        <is>
          <t>QUARANTINED</t>
        </is>
      </c>
      <c r="E1158" t="n">
        <v>17</v>
      </c>
      <c r="F1158" t="inlineStr">
        <is>
          <t>TABLE</t>
        </is>
      </c>
      <c r="G1158" t="inlineStr">
        <is>
          <t>TABLE_RULED</t>
        </is>
      </c>
      <c r="H1158" t="inlineStr">
        <is>
          <t>III/BRL#s6: PASS Δ0.00 · III/BRL#s7: FAIL Δ8099542.00 · III/BRL#s8: FAIL Δ-7333.84 · IV/BRL#s11: FAIL Δ524122.34 · IV/BRL#s16: PASS Δ0.00</t>
        </is>
      </c>
      <c r="I1158" t="inlineStr">
        <is>
          <t>2018-01-31</t>
        </is>
      </c>
      <c r="J1158" t="inlineStr">
        <is>
          <t>BLUE HILL HOTEL – GRUPO REUTER – Sgrott Administradora Judicial e Consultoria Empresarial</t>
        </is>
      </c>
      <c r="K1158" t="inlineStr">
        <is>
          <t>administradorajudicialgs.com.br</t>
        </is>
      </c>
      <c r="L1158" s="19" t="inlineStr">
        <is>
          <t>https://administradorajudicialgs.com.br/wp-content/uploads/2023/08/doc-02-relacao-de-credores-apresentado-pela-recuperanda.pdf</t>
        </is>
      </c>
    </row>
    <row r="1159">
      <c r="A1159" t="inlineStr">
        <is>
          <t>11506686ba3c</t>
        </is>
      </c>
      <c r="B1159" t="inlineStr">
        <is>
          <t>0000063-19.1995.8.24.0014</t>
        </is>
      </c>
      <c r="C1159" t="inlineStr">
        <is>
          <t>UNKNOWN</t>
        </is>
      </c>
      <c r="D1159" t="inlineStr">
        <is>
          <t>QUARANTINED</t>
        </is>
      </c>
      <c r="E1159" t="n">
        <v>3</v>
      </c>
      <c r="F1159" t="inlineStr">
        <is>
          <t>TABLE</t>
        </is>
      </c>
      <c r="G1159" t="inlineStr">
        <is>
          <t>TABLE_RULED</t>
        </is>
      </c>
      <c r="H1159" t="inlineStr">
        <is>
          <t>III/BRL#s1: FAIL Δ1225148.88 · III/BRL#s2: FAIL Δ-9951.48</t>
        </is>
      </c>
      <c r="I1159" t="inlineStr">
        <is>
          <t>2003-09-01</t>
        </is>
      </c>
      <c r="J1159" t="inlineStr">
        <is>
          <t>SCZ Scalzilli Administração Judicial</t>
        </is>
      </c>
      <c r="K1159" t="inlineStr">
        <is>
          <t>scalzilliaj.com.br</t>
        </is>
      </c>
      <c r="L1159" s="19" t="inlineStr">
        <is>
          <t>https://scalzilliaj.com.br/sgc/download.php?file=files/processo_documento/processo_documento11074904022026_1_.pdf&amp;nome=05 - Quadro Geral de Credores</t>
        </is>
      </c>
    </row>
    <row r="1160">
      <c r="A1160" t="inlineStr">
        <is>
          <t>27519e1f23d9</t>
        </is>
      </c>
      <c r="B1160" t="inlineStr">
        <is>
          <t>0001639-09.2026.8.17.2810</t>
        </is>
      </c>
      <c r="C1160" t="inlineStr">
        <is>
          <t>UNKNOWN</t>
        </is>
      </c>
      <c r="D1160" t="inlineStr">
        <is>
          <t>QUARANTINED</t>
        </is>
      </c>
      <c r="E1160" t="n">
        <v>13</v>
      </c>
      <c r="F1160" t="inlineStr">
        <is>
          <t>PROSE</t>
        </is>
      </c>
      <c r="G1160" t="inlineStr">
        <is>
          <t>PROSE</t>
        </is>
      </c>
      <c r="H1160" t="inlineStr">
        <is>
          <t>III/BRL#s15: FAIL Δ-24832046.02 · IV/BRL#s16: FAIL Δ-304629.20</t>
        </is>
      </c>
      <c r="I1160" t="inlineStr">
        <is>
          <t>2026-06-08</t>
        </is>
      </c>
      <c r="J1160" t="inlineStr">
        <is>
          <t>E FALENCIA</t>
        </is>
      </c>
      <c r="K1160" t="inlineStr">
        <is>
          <t>diligence.adm.br</t>
        </is>
      </c>
      <c r="L1160" s="19" t="inlineStr">
        <is>
          <t>https://diligence.adm.br/wp-content/plugins/download-attachments/includes/download.php?id=6247</t>
        </is>
      </c>
    </row>
    <row r="1161">
      <c r="A1161" t="inlineStr">
        <is>
          <t>48d2a098ca33</t>
        </is>
      </c>
      <c r="B1161" t="inlineStr">
        <is>
          <t>0011283-80.2023.8.17.2001</t>
        </is>
      </c>
      <c r="C1161" t="inlineStr">
        <is>
          <t>UNKNOWN</t>
        </is>
      </c>
      <c r="D1161" t="inlineStr">
        <is>
          <t>QUARANTINED</t>
        </is>
      </c>
      <c r="E1161" t="n">
        <v>17</v>
      </c>
      <c r="F1161" t="inlineStr">
        <is>
          <t>PROSE</t>
        </is>
      </c>
      <c r="G1161" t="inlineStr">
        <is>
          <t>PROSE</t>
        </is>
      </c>
      <c r="H1161" t="inlineStr">
        <is>
          <t>I/BRL#s4: FAIL Δ-16263.25 · III/BRL#s5: PASS Δ0.00 · IV/BRL#s6: FAIL Δ-1400.00</t>
        </is>
      </c>
      <c r="I1161" t="inlineStr">
        <is>
          <t>2023-12-07</t>
        </is>
      </c>
      <c r="J1161" t="inlineStr">
        <is>
          <t>Náutico - Página — Lindoso e Araujo</t>
        </is>
      </c>
      <c r="K1161" t="inlineStr">
        <is>
          <t>recuperacaojudicial.squarespace.com</t>
        </is>
      </c>
      <c r="L1161" s="19" t="inlineStr">
        <is>
          <t>https://recuperacaojudicial.squarespace.com/s/RJNautico2listaattdezembro2023.pdf</t>
        </is>
      </c>
    </row>
    <row r="1162">
      <c r="A1162" t="inlineStr">
        <is>
          <t>3892f93f7b4b</t>
        </is>
      </c>
      <c r="B1162" t="inlineStr">
        <is>
          <t>0007565-40.2020.8.17.2370</t>
        </is>
      </c>
      <c r="C1162" t="inlineStr">
        <is>
          <t>UNKNOWN</t>
        </is>
      </c>
      <c r="D1162" t="inlineStr">
        <is>
          <t>QUARANTINED</t>
        </is>
      </c>
      <c r="E1162" t="n">
        <v>9</v>
      </c>
      <c r="F1162" t="inlineStr">
        <is>
          <t>PROSE</t>
        </is>
      </c>
      <c r="G1162" t="inlineStr">
        <is>
          <t>PROSE</t>
        </is>
      </c>
      <c r="H1162" t="inlineStr">
        <is>
          <t>I/BRL#s5: PASS ΔNone · III/BRL#s6: FAIL ΔNone · IV/BRL#s7: PASS ΔNone</t>
        </is>
      </c>
      <c r="I1162" t="inlineStr">
        <is>
          <t>2021-11-29</t>
        </is>
      </c>
      <c r="J1162" t="inlineStr">
        <is>
          <t>e Falência</t>
        </is>
      </c>
      <c r="K1162" t="inlineStr">
        <is>
          <t>recuperacaojudicial.squarespace.com</t>
        </is>
      </c>
      <c r="L1162" s="19" t="inlineStr">
        <is>
          <t>https://recuperacaojudicial.squarespace.com/s/RJCredimoveisEdital2alistaDJE291121.pdf</t>
        </is>
      </c>
    </row>
    <row r="1163">
      <c r="A1163" t="inlineStr">
        <is>
          <t>afd355bd192c</t>
        </is>
      </c>
      <c r="B1163" t="inlineStr">
        <is>
          <t>0019761-43.2024.8.17.2001</t>
        </is>
      </c>
      <c r="C1163" t="inlineStr">
        <is>
          <t>UNKNOWN</t>
        </is>
      </c>
      <c r="D1163" t="inlineStr">
        <is>
          <t>QUARANTINED</t>
        </is>
      </c>
      <c r="E1163" t="n">
        <v>36</v>
      </c>
      <c r="F1163" t="inlineStr">
        <is>
          <t>TABLE</t>
        </is>
      </c>
      <c r="G1163" t="inlineStr">
        <is>
          <t>TABLE_BANDS</t>
        </is>
      </c>
      <c r="H1163" t="inlineStr">
        <is>
          <t>IV/BRL#s2: FAIL Δ-16152795.70</t>
        </is>
      </c>
      <c r="J1163" t="inlineStr">
        <is>
          <t>GRUPO ADLIM – LRF Líderes em Recuperação Judicial e Falência</t>
        </is>
      </c>
      <c r="K1163" t="inlineStr">
        <is>
          <t>lrflideres.com.br</t>
        </is>
      </c>
      <c r="L1163" s="19" t="inlineStr">
        <is>
          <t>https://lrflideres.com.br/wp-content/plugins/download-attachments/includes/download.php?id=5779</t>
        </is>
      </c>
    </row>
    <row r="1164">
      <c r="A1164" t="inlineStr">
        <is>
          <t>a0df81015fce</t>
        </is>
      </c>
      <c r="B1164" t="inlineStr">
        <is>
          <t>0019761-43.2024.8.17.2001</t>
        </is>
      </c>
      <c r="C1164" t="inlineStr">
        <is>
          <t>UNKNOWN</t>
        </is>
      </c>
      <c r="D1164" t="inlineStr">
        <is>
          <t>QUARANTINED</t>
        </is>
      </c>
      <c r="E1164" t="n">
        <v>25</v>
      </c>
      <c r="F1164" t="inlineStr">
        <is>
          <t>TABLE</t>
        </is>
      </c>
      <c r="G1164" t="inlineStr">
        <is>
          <t>TABLE_BANDS</t>
        </is>
      </c>
      <c r="H1164" t="inlineStr">
        <is>
          <t>III/BRL#s1: FAIL Δ24288123.43</t>
        </is>
      </c>
      <c r="J1164" t="inlineStr">
        <is>
          <t>GRUPO ADLIM – LRF Líderes em Recuperação Judicial e Falência</t>
        </is>
      </c>
      <c r="K1164" t="inlineStr">
        <is>
          <t>lrflideres.com.br</t>
        </is>
      </c>
      <c r="L1164" s="19" t="inlineStr">
        <is>
          <t>https://lrflideres.com.br/wp-content/plugins/download-attachments/includes/download.php?id=5777</t>
        </is>
      </c>
    </row>
    <row r="1165">
      <c r="A1165" t="inlineStr">
        <is>
          <t>32d96470413e</t>
        </is>
      </c>
      <c r="B1165" t="inlineStr">
        <is>
          <t>0089327-55.2019.8.17.2001</t>
        </is>
      </c>
      <c r="C1165" t="inlineStr">
        <is>
          <t>UNKNOWN</t>
        </is>
      </c>
      <c r="D1165" t="inlineStr">
        <is>
          <t>QUARANTINED</t>
        </is>
      </c>
      <c r="E1165" t="n">
        <v>29</v>
      </c>
      <c r="F1165" t="inlineStr">
        <is>
          <t>TABLE</t>
        </is>
      </c>
      <c r="G1165" t="inlineStr">
        <is>
          <t>TABLE_RULED</t>
        </is>
      </c>
      <c r="H1165" t="inlineStr">
        <is>
          <t>I/BRL#s1: FAIL Δ-2035458.32 · I/BRL#s2: FAIL Δ-2191132.30 · I/BRL#s3: FAIL Δ-2058808.79 · I/BRL#s4: FAIL Δ-2051677.46 · IV/BRL#s7: FAIL Δ2205818.20 · IV/BRL#s8: FAIL Δ-531929.98 · IV/BRL#s9: FAIL Δ-918150.40</t>
        </is>
      </c>
      <c r="I1165" t="inlineStr">
        <is>
          <t>2024-05-31</t>
        </is>
      </c>
      <c r="J1165" t="inlineStr">
        <is>
          <t>E FALENCIA</t>
        </is>
      </c>
      <c r="K1165" t="inlineStr">
        <is>
          <t>diligence.adm.br</t>
        </is>
      </c>
      <c r="L1165" s="19" t="inlineStr">
        <is>
          <t>https://diligence.adm.br/wp-content/plugins/download-attachments/includes/download.php?id=4548</t>
        </is>
      </c>
    </row>
    <row r="1166">
      <c r="A1166" t="inlineStr">
        <is>
          <t>def0c025d7f1</t>
        </is>
      </c>
      <c r="B1166" t="inlineStr">
        <is>
          <t>0019761-43.2024.8.17.2001</t>
        </is>
      </c>
      <c r="C1166" t="inlineStr">
        <is>
          <t>UNKNOWN</t>
        </is>
      </c>
      <c r="D1166" t="inlineStr">
        <is>
          <t>QUARANTINED</t>
        </is>
      </c>
      <c r="E1166" t="n">
        <v>143</v>
      </c>
      <c r="F1166" t="inlineStr">
        <is>
          <t>TABLE</t>
        </is>
      </c>
      <c r="G1166" t="inlineStr">
        <is>
          <t>TABLE_BANDS</t>
        </is>
      </c>
      <c r="H1166" t="inlineStr">
        <is>
          <t>IV/BRL#s2: FAIL Δ-37448786.59</t>
        </is>
      </c>
      <c r="J1166" t="inlineStr">
        <is>
          <t>GRUPO ADLIM – LRF Líderes em Recuperação Judicial e Falência</t>
        </is>
      </c>
      <c r="K1166" t="inlineStr">
        <is>
          <t>lrflideres.com.br</t>
        </is>
      </c>
      <c r="L1166" s="19" t="inlineStr">
        <is>
          <t>https://lrflideres.com.br/wp-content/plugins/download-attachments/includes/download.php?id=5778</t>
        </is>
      </c>
    </row>
    <row r="1167">
      <c r="A1167" t="inlineStr">
        <is>
          <t>0b97e067bd72</t>
        </is>
      </c>
      <c r="B1167" t="inlineStr">
        <is>
          <t>0089327-55.2019.8.17.2001</t>
        </is>
      </c>
      <c r="C1167" t="inlineStr">
        <is>
          <t>UNKNOWN</t>
        </is>
      </c>
      <c r="D1167" t="inlineStr">
        <is>
          <t>QUARANTINED</t>
        </is>
      </c>
      <c r="E1167" t="n">
        <v>47</v>
      </c>
      <c r="F1167" t="inlineStr">
        <is>
          <t>TABLE</t>
        </is>
      </c>
      <c r="G1167" t="inlineStr">
        <is>
          <t>TABLE_RULED</t>
        </is>
      </c>
      <c r="H1167" t="inlineStr">
        <is>
          <t>II/BRL#s7: FAIL Δ-9936225.99 · II/BRL#s8: FAIL Δ-18991202.77 · IV/BRL#s9: FAIL Δ2217954.79 · IV/BRL#s10: FAIL Δ-523793.43 · I/BRL#s12: FAIL Δ100000.00 · I/BRL#s17: PASS Δ0.00</t>
        </is>
      </c>
      <c r="I1167" t="inlineStr">
        <is>
          <t>2024-05-31</t>
        </is>
      </c>
      <c r="J1167" t="inlineStr">
        <is>
          <t>E FALENCIA</t>
        </is>
      </c>
      <c r="K1167" t="inlineStr">
        <is>
          <t>diligence.adm.br</t>
        </is>
      </c>
      <c r="L1167" s="19" t="inlineStr">
        <is>
          <t>https://diligence.adm.br/wp-content/plugins/download-attachments/includes/download.php?id=4550</t>
        </is>
      </c>
    </row>
    <row r="1168">
      <c r="A1168" t="inlineStr">
        <is>
          <t>02743de15063</t>
        </is>
      </c>
      <c r="B1168" t="inlineStr">
        <is>
          <t>0214287-36.2023.8.06.0001</t>
        </is>
      </c>
      <c r="C1168" t="inlineStr">
        <is>
          <t>UNKNOWN</t>
        </is>
      </c>
      <c r="D1168" t="inlineStr">
        <is>
          <t>QUARANTINED</t>
        </is>
      </c>
      <c r="E1168" t="n">
        <v>8</v>
      </c>
      <c r="F1168" t="inlineStr">
        <is>
          <t>TABLE</t>
        </is>
      </c>
      <c r="G1168" t="inlineStr">
        <is>
          <t>TABLE_RULED</t>
        </is>
      </c>
      <c r="H1168" t="inlineStr">
        <is>
          <t>II/BRL#s3: FAIL Δ-291229.83 · III/BRL#s5: FAIL Δ-4936420.89 · IV/BRL#s7: FAIL Δ-1149432.19</t>
        </is>
      </c>
      <c r="J1168" t="inlineStr">
        <is>
          <t>- PMINAS BRASIL CONSTRUÇÃO CIVIL E SERVIÇOS LTDA</t>
        </is>
      </c>
      <c r="K1168" t="inlineStr">
        <is>
          <t>bugarimecoelho.com.br</t>
        </is>
      </c>
      <c r="L1168" s="19" t="inlineStr">
        <is>
          <t>https://bugarimecoelho.com.br/ws/media-library/8a53bcdaec5b4d4cab59343874ff9f0b/04---relacao-de-credores.pdf</t>
        </is>
      </c>
    </row>
    <row r="1169">
      <c r="A1169" t="inlineStr">
        <is>
          <t>c83663ca1867</t>
        </is>
      </c>
      <c r="B1169" t="inlineStr">
        <is>
          <t>0137354-93.2024.8.17.2001</t>
        </is>
      </c>
      <c r="C1169" t="inlineStr">
        <is>
          <t>UNKNOWN</t>
        </is>
      </c>
      <c r="D1169" t="inlineStr">
        <is>
          <t>QUARANTINED</t>
        </is>
      </c>
      <c r="E1169" t="n">
        <v>42</v>
      </c>
      <c r="F1169" t="inlineStr">
        <is>
          <t>TABLE</t>
        </is>
      </c>
      <c r="G1169" t="inlineStr">
        <is>
          <t>TABLE_RULED</t>
        </is>
      </c>
      <c r="H1169" t="inlineStr">
        <is>
          <t>IV/BRL#s22: PASS Δ0.00 · I/BRL: FAIL Δ-3081036.65 · III/BRL: FAIL Δ-8061588.48</t>
        </is>
      </c>
      <c r="I1169" t="inlineStr">
        <is>
          <t>2025-02-18</t>
        </is>
      </c>
      <c r="J1169" t="inlineStr">
        <is>
          <t>PCG – ENGENHARIA E PCG - TECNOLOGIA (GRUPO PROCENGE) - Vivante Gestão e Administração Judicial</t>
        </is>
      </c>
      <c r="K1169" t="inlineStr">
        <is>
          <t>vivanteaj.com.br</t>
        </is>
      </c>
      <c r="L1169" s="19" t="inlineStr">
        <is>
          <t>https://vivanteaj.com.br/wp-content/uploads/2024/12/PRJ-PROCENGE.pdf</t>
        </is>
      </c>
    </row>
    <row r="1170">
      <c r="A1170" t="inlineStr">
        <is>
          <t>43199e058dca</t>
        </is>
      </c>
      <c r="B1170" t="inlineStr">
        <is>
          <t>0137354-93.2024.8.17.2001</t>
        </is>
      </c>
      <c r="C1170" t="inlineStr">
        <is>
          <t>UNKNOWN</t>
        </is>
      </c>
      <c r="D1170" t="inlineStr">
        <is>
          <t>QUARANTINED</t>
        </is>
      </c>
      <c r="E1170" t="n">
        <v>83</v>
      </c>
      <c r="F1170" t="inlineStr">
        <is>
          <t>TABLE</t>
        </is>
      </c>
      <c r="G1170" t="inlineStr">
        <is>
          <t>TABLE_BANDS</t>
        </is>
      </c>
      <c r="H1170" t="inlineStr">
        <is>
          <t>III/BRL#s3: FAIL Δ-10000000.00</t>
        </is>
      </c>
      <c r="I1170" t="inlineStr">
        <is>
          <t>2026-07-07</t>
        </is>
      </c>
      <c r="J1170" t="inlineStr">
        <is>
          <t>ALTERNATIVO DO GRUPO PROCENGE 14.05.2026 Recuperação Judicia</t>
        </is>
      </c>
      <c r="K1170" t="inlineStr">
        <is>
          <t>vivanteaj.com.br</t>
        </is>
      </c>
      <c r="L1170" s="19" t="inlineStr">
        <is>
          <t>https://vivanteaj.com.br/wp-content/uploads/2024/12/Plano-de-Recuperacao-Judicial-Alternativo-Procenge.pdf</t>
        </is>
      </c>
    </row>
    <row r="1171">
      <c r="A1171" t="inlineStr">
        <is>
          <t>213341b931b5</t>
        </is>
      </c>
      <c r="B1171" t="inlineStr">
        <is>
          <t>1111148-53.2024.8.26.0100</t>
        </is>
      </c>
      <c r="C1171" t="inlineStr">
        <is>
          <t>UNKNOWN</t>
        </is>
      </c>
      <c r="D1171" t="inlineStr">
        <is>
          <t>QUARANTINED</t>
        </is>
      </c>
      <c r="E1171" t="n">
        <v>3</v>
      </c>
      <c r="F1171" t="inlineStr">
        <is>
          <t>TABLE</t>
        </is>
      </c>
      <c r="G1171" t="inlineStr">
        <is>
          <t>TABLE_RULED</t>
        </is>
      </c>
      <c r="H1171" t="inlineStr">
        <is>
          <t>I/BRL#s1: PASS Δ0.00 · III/BRL#s3: FAIL Δ-7327902.33 · IV/BRL#s5: PASS Δ0.00</t>
        </is>
      </c>
      <c r="J1171" t="inlineStr">
        <is>
          <t>GRUPO METALLOYS - Vivante Gestão e Administração Judicial</t>
        </is>
      </c>
      <c r="K1171" t="inlineStr">
        <is>
          <t>vivanteaj.com.br</t>
        </is>
      </c>
      <c r="L1171" s="19" t="inlineStr">
        <is>
          <t>https://vivanteaj.com.br/wp-content/uploads/2024/11/2a-lista-Grupo-Metalloys-vf.pdf</t>
        </is>
      </c>
    </row>
    <row r="1172">
      <c r="A1172" t="inlineStr">
        <is>
          <t>8ff5b9edb21c</t>
        </is>
      </c>
      <c r="B1172" t="inlineStr">
        <is>
          <t>0043030-30.2025.8.16.0021</t>
        </is>
      </c>
      <c r="C1172" t="inlineStr">
        <is>
          <t>UNKNOWN</t>
        </is>
      </c>
      <c r="D1172" t="inlineStr">
        <is>
          <t>QUARANTINED</t>
        </is>
      </c>
      <c r="E1172" t="n">
        <v>6</v>
      </c>
      <c r="F1172" t="inlineStr">
        <is>
          <t>TABLE</t>
        </is>
      </c>
      <c r="G1172" t="inlineStr">
        <is>
          <t>TABLE_BANDS</t>
        </is>
      </c>
      <c r="H1172" t="inlineStr">
        <is>
          <t>IV/BRL#s4: FAIL Δ-2914.39 · I/BRL: FAIL Δ48901.69 · II/BRL: FAIL Δ14556992.31 · III/BRL: FAIL Δ11585589.06</t>
        </is>
      </c>
      <c r="I1172" t="inlineStr">
        <is>
          <t>2025-09-29</t>
        </is>
      </c>
      <c r="J1172" t="inlineStr">
        <is>
          <t>Marques Administrações Judiciais</t>
        </is>
      </c>
      <c r="K1172" t="inlineStr">
        <is>
          <t>marquesadmjudicial.com.br</t>
        </is>
      </c>
      <c r="L1172" s="19" t="inlineStr">
        <is>
          <t>https://marquesadmjudicial.com.br/sgc/download.php?file=files/processo_documento/processo_documento17364409012026_1_.pdf&amp;nome=Relação de Credores - Recuperanda</t>
        </is>
      </c>
    </row>
    <row r="1173">
      <c r="A1173" t="inlineStr">
        <is>
          <t>af394a20bb52</t>
        </is>
      </c>
      <c r="B1173" t="inlineStr">
        <is>
          <t>1009827-02.2024.8.26.0576</t>
        </is>
      </c>
      <c r="C1173" t="inlineStr">
        <is>
          <t>UNKNOWN</t>
        </is>
      </c>
      <c r="D1173" t="inlineStr">
        <is>
          <t>QUARANTINED</t>
        </is>
      </c>
      <c r="E1173" t="n">
        <v>50</v>
      </c>
      <c r="F1173" t="inlineStr">
        <is>
          <t>TABLE</t>
        </is>
      </c>
      <c r="G1173" t="inlineStr">
        <is>
          <t>TABLE_RULED</t>
        </is>
      </c>
      <c r="H1173" t="inlineStr">
        <is>
          <t>IV/BRL#s30: FAIL Δ9766911.54 · III/BRL: FAIL Δ-1245.66 · I/BRL: PASS Δ0.00 · II/BRL: FAIL Δ-12541.93</t>
        </is>
      </c>
      <c r="J1173" t="inlineStr">
        <is>
          <t>FRIGORÍFICO ALFA INDÚSTRIA E COMÉRCIO DE CARNES E DERIVADOS LTDA</t>
        </is>
      </c>
      <c r="K1173" t="inlineStr">
        <is>
          <t>vtladm.com.br</t>
        </is>
      </c>
      <c r="L1173" s="19" t="inlineStr">
        <is>
          <t>https://vtladm.com.br/wp-content/uploads/2024/04/08-Plano-de-Recuperacao-Judicial-–-Frigorifico-Alfa-Industria-e-Comercio-de-Carnes-e-Derivados-Ltda.-e-Ctx-Logistica-Transporte-E-Locacoes-Ltda.pdf</t>
        </is>
      </c>
    </row>
    <row r="1174">
      <c r="A1174" t="inlineStr">
        <is>
          <t>9e2b5dcc5c13</t>
        </is>
      </c>
      <c r="B1174" t="inlineStr">
        <is>
          <t>0004387-24.2024.8.16.0090</t>
        </is>
      </c>
      <c r="C1174" t="inlineStr">
        <is>
          <t>UNKNOWN</t>
        </is>
      </c>
      <c r="D1174" t="inlineStr">
        <is>
          <t>QUARANTINED</t>
        </is>
      </c>
      <c r="E1174" t="n">
        <v>2</v>
      </c>
      <c r="F1174" t="inlineStr">
        <is>
          <t>TABLE</t>
        </is>
      </c>
      <c r="G1174" t="inlineStr">
        <is>
          <t>TABLE_BANDS</t>
        </is>
      </c>
      <c r="H1174" t="inlineStr">
        <is>
          <t>I/BRL#s1: FAIL Δ51256.00 · I/BRL#s2: FAIL Δ-111374.92</t>
        </is>
      </c>
      <c r="I1174" t="inlineStr">
        <is>
          <t>2026-01-26</t>
        </is>
      </c>
      <c r="J1174" t="inlineStr">
        <is>
          <t>Marques Administrações Judiciais</t>
        </is>
      </c>
      <c r="K1174" t="inlineStr">
        <is>
          <t>marquesadmjudicial.com.br</t>
        </is>
      </c>
      <c r="L1174" s="19" t="inlineStr">
        <is>
          <t>https://marquesadmjudicial.com.br/sgc/download.php?file=files/processo_documento/processo_documento09413302042026_1_.pdf&amp;nome=Relação de credores Família - Classe I</t>
        </is>
      </c>
    </row>
    <row r="1175">
      <c r="A1175" t="inlineStr">
        <is>
          <t>92b73325488e</t>
        </is>
      </c>
      <c r="B1175" t="inlineStr">
        <is>
          <t>0016033-22.2025.8.16.0017</t>
        </is>
      </c>
      <c r="C1175" t="inlineStr">
        <is>
          <t>UNKNOWN</t>
        </is>
      </c>
      <c r="D1175" t="inlineStr">
        <is>
          <t>QUARANTINED</t>
        </is>
      </c>
      <c r="E1175" t="n">
        <v>3</v>
      </c>
      <c r="F1175" t="inlineStr">
        <is>
          <t>TABLE</t>
        </is>
      </c>
      <c r="G1175" t="inlineStr">
        <is>
          <t>TABLE_BANDS</t>
        </is>
      </c>
      <c r="H1175" t="inlineStr">
        <is>
          <t>I/BRL#s6: FAIL Δ1915921.98</t>
        </is>
      </c>
      <c r="I1175" t="inlineStr">
        <is>
          <t>2026-08-11</t>
        </is>
      </c>
      <c r="J1175" t="inlineStr">
        <is>
          <t>Marques Administrações Judiciais</t>
        </is>
      </c>
      <c r="K1175" t="inlineStr">
        <is>
          <t>marquesadmjudicial.com.br</t>
        </is>
      </c>
      <c r="L1175" s="19" t="inlineStr">
        <is>
          <t>https://marquesadmjudicial.com.br/sgc/download.php?file=files/processo_documento/processo_documento15033119082026_1_.pdf&amp;nome=Laudo de Credenciamento – Cenário V – Relação Nominal de Todos os Credores</t>
        </is>
      </c>
    </row>
    <row r="1176">
      <c r="A1176" t="inlineStr">
        <is>
          <t>9f1eb264da27</t>
        </is>
      </c>
      <c r="B1176" t="inlineStr">
        <is>
          <t>0002123-52.2018.8.19.0028</t>
        </is>
      </c>
      <c r="C1176" t="inlineStr">
        <is>
          <t>UNKNOWN</t>
        </is>
      </c>
      <c r="D1176" t="inlineStr">
        <is>
          <t>QUARANTINED</t>
        </is>
      </c>
      <c r="E1176" t="n">
        <v>21</v>
      </c>
      <c r="F1176" t="inlineStr">
        <is>
          <t>TABLE</t>
        </is>
      </c>
      <c r="G1176" t="inlineStr">
        <is>
          <t>TABLE_BANDS</t>
        </is>
      </c>
      <c r="H1176" t="inlineStr">
        <is>
          <t>III/BRL#s2: FAIL Δ606704.62 · I/BRL: PASS Δ-350.00</t>
        </is>
      </c>
      <c r="J1176" t="inlineStr">
        <is>
          <t>possui jurisdição voluntária, ou seja, apesa</t>
        </is>
      </c>
      <c r="K1176" t="inlineStr">
        <is>
          <t>realbrasil.com.br</t>
        </is>
      </c>
      <c r="L1176" s="19" t="inlineStr">
        <is>
          <t>https://realbrasil.com.br/wp-content/uploads/2019/08/02.RELAÇÃO-DE-CREDORES-RECUPERANDA-RETIFICADA.pdf</t>
        </is>
      </c>
    </row>
    <row r="1177">
      <c r="A1177" t="inlineStr">
        <is>
          <t>f317330ea057</t>
        </is>
      </c>
      <c r="C1177" t="inlineStr">
        <is>
          <t>UNKNOWN</t>
        </is>
      </c>
      <c r="D1177" t="inlineStr">
        <is>
          <t>QUARANTINED</t>
        </is>
      </c>
      <c r="E1177" t="n">
        <v>7</v>
      </c>
      <c r="F1177" t="inlineStr">
        <is>
          <t>TABLE</t>
        </is>
      </c>
      <c r="G1177" t="inlineStr">
        <is>
          <t>TABLE_BANDS</t>
        </is>
      </c>
      <c r="H1177" t="inlineStr">
        <is>
          <t>II/BRL: FAIL Δ-784863.65</t>
        </is>
      </c>
      <c r="I1177" t="inlineStr">
        <is>
          <t>2017-12-04</t>
        </is>
      </c>
      <c r="J1177" t="inlineStr">
        <is>
          <t>Sólida Insumos e Implementos Agrícolas - Real Brasil Consultoria</t>
        </is>
      </c>
      <c r="K1177" t="inlineStr">
        <is>
          <t>realbrasil.com.br</t>
        </is>
      </c>
      <c r="L1177" s="19" t="inlineStr">
        <is>
          <t>https://realbrasil.com.br/wp-content/uploads/2018/03/LISTA-DE-CREDORES.pdf</t>
        </is>
      </c>
    </row>
    <row r="1178">
      <c r="A1178" t="inlineStr">
        <is>
          <t>cfde4efdd53f</t>
        </is>
      </c>
      <c r="B1178" t="inlineStr">
        <is>
          <t>0303781-85.2017.8.24.0011</t>
        </is>
      </c>
      <c r="C1178" t="inlineStr">
        <is>
          <t>UNKNOWN</t>
        </is>
      </c>
      <c r="D1178" t="inlineStr">
        <is>
          <t>QUARANTINED</t>
        </is>
      </c>
      <c r="E1178" t="n">
        <v>61</v>
      </c>
      <c r="F1178" t="inlineStr">
        <is>
          <t>TABLE</t>
        </is>
      </c>
      <c r="G1178" t="inlineStr">
        <is>
          <t>TABLE_RULED</t>
        </is>
      </c>
      <c r="H1178" t="inlineStr">
        <is>
          <t>I/BRL#s4: FAIL Δ5684.50 · I/BRL#s5: FAIL Δ204992.00 · I/BRL#s6: FAIL Δ-83753.63 · II/BRL#s8: FAIL Δ979809.91 · III/BRL#s10: FAIL Δ2236831.66 · III/BRL#s11: FAIL Δ578646.31 · III/BRL#s12: FAIL Δ-757588.43</t>
        </is>
      </c>
      <c r="J1178" t="inlineStr">
        <is>
          <t>Terraplanagem Transportes AZZA Eireli - Real Brasil Consultoria</t>
        </is>
      </c>
      <c r="K1178" t="inlineStr">
        <is>
          <t>realbrasil.com.br</t>
        </is>
      </c>
      <c r="L1178" s="19" t="inlineStr">
        <is>
          <t>https://realbrasil.com.br/wp-content/uploads/2017/07/LISTA-DE-CREDORES-AZZA.pdf</t>
        </is>
      </c>
    </row>
    <row r="1179">
      <c r="A1179" t="inlineStr">
        <is>
          <t>740d02e8f9ca</t>
        </is>
      </c>
      <c r="B1179" t="inlineStr">
        <is>
          <t>1025706-74.2024.8.26.0309</t>
        </is>
      </c>
      <c r="C1179" t="inlineStr">
        <is>
          <t>UNKNOWN</t>
        </is>
      </c>
      <c r="D1179" t="inlineStr">
        <is>
          <t>QUARANTINED</t>
        </is>
      </c>
      <c r="E1179" t="n">
        <v>155</v>
      </c>
      <c r="F1179" t="inlineStr">
        <is>
          <t>TABLE</t>
        </is>
      </c>
      <c r="G1179" t="inlineStr">
        <is>
          <t>TABLE_RULED</t>
        </is>
      </c>
      <c r="H1179" t="inlineStr">
        <is>
          <t>III/BRL#s7: FAIL Δ-90855.00 · III/BRL#s15: FAIL Δ-1058078.66 · III/BRL#s21: PASS Δ0.00 · III/BRL#s24: FAIL Δ994752.23 · III/BRL#s44: FAIL Δ-166453.38 · III/BRL#s59: FAIL Δ-2878413.10 · III/BRL#s74: FAIL Δ-2325070.15 · III/BRL#s95: FAIL Δ-5724229.96 · III/BRL#s112: FAIL Δ5525778.88 · III/BRL#s118: FAIL Δ64265.43 · III/BRL#s121: FAIL Δ-162557.12 · III/BRL#s127: PASS Δ0.00 · IV/BRL#s131: PASS Δ0.00 · IV/BRL#s135: FAIL Δ7216.79 · III/BRL#s138: FAIL Δ-141048.08 · III/BRL#s144: FAIL Δ-692429.28 · III/BRL#s150: FAIL Δ1407934.10 · III/BRL#s156: FAIL Δ772518.32 · III/BRL#s162: FAIL Δ-1499622.70 · III/BRL#s168: FAIL Δ1979899.18 · III/BRL#s171: FAIL Δ1509229.10 · III/BRL#s177: FAIL Δ-19177.91 · III/BRL#s183: PASS Δ0.00 · III/BRL#s186: FAIL Δ-110626.09 · III/BRL#s192: PASS Δ0.00 · III/BRL#s195: FAIL Δ-1083886.83 · III/BRL#s203: FAIL Δ-1725958.48 · III/BRL#s209: PASS Δ0.00 · III/BRL#s212: FAIL Δ1468328.87 · III/BRL#s239: FAIL Δ-201823.62 · III/BRL#s245: PASS Δ0.00 · III/BRL#s248: FAIL Δ-60392.26 · III/BRL#s254: FAIL Δ240736.53 · III/BRL#s257: FAIL Δ-2282.81 · III/BRL#s263: PASS Δ0.00 · III/BRL#s266: FAIL Δ85923.90 · III/BRL#s272: PASS Δ0.00 · III/BRL#s275: FAIL Δ161794.67 · III/BRL#s281: PASS Δ0.00 · III/BRL#s284: FAIL Δ-9020.73 · III/BRL#s293: FAIL Δ-166575.59 · III/BRL#s299: PASS Δ0.00 · IV/BRL#s303: FAIL Δ-29697.00 · IV/BRL#s308: FAIL Δ29697.00 · III/BRL#s310: PASS Δ0.00 · III/BRL#s315: PASS Δ0.00 · III/BRL#s318: PASS Δ0.00 · IV/BRL#s324: FAIL Δ132822.87 · IV/BRL#s329: PASS Δ0.00 · IV/BRL#s330: FAIL Δ2666.16 · III/BRL#s336: PASS Δ0.00 · III/BRL#s341: FAIL Δ40579.24 · III/BRL#s345: PASS Δ0.00 · III/BRL#s350: FAIL Δ43598.02 · III/BRL#s354: PASS Δ0.00 · III/BRL#s361: PASS Δ0.00 · III/BRL#s366: FAIL Δ8235.57 · IV/BRL#s369: FAIL Δ-168034.23 · IV/BRL#s374: FAIL Δ152519.82 · III/BRL#s378: PASS Δ0.00 · IV/BRL#s386: FAIL Δ1855.68 · III/BRL#s392: PASS Δ0.00 · III/BRL#s397: FAIL Δ6941.10 · IV/BRL#s400: FAIL Δ12060.25 · IV/BRL#s405: FAIL Δ3262.10 · IV/BRL#s410: FAIL Δ-10039.20 · IV/BRL#s415: PASS Δ0.00 · III/BRL#s419: PASS Δ0.00 · IV/BRL#s427: FAIL Δ24153.60 · IV/BRL#s432: PASS Δ0.00 · III/BRL#s436: PASS Δ0.00</t>
        </is>
      </c>
      <c r="J1179" t="inlineStr">
        <is>
          <t>Grupo Propel | Administração Judicial - Credibilità</t>
        </is>
      </c>
      <c r="K1179" t="inlineStr">
        <is>
          <t>credibilita.com.br</t>
        </is>
      </c>
      <c r="L1179" s="19" t="inlineStr">
        <is>
          <t>https://credibilita.com.br/wp-content/uploads/2025/02/Lista-de-credores-do-art.-7o-2o-da-LFRE.pdf</t>
        </is>
      </c>
    </row>
    <row r="1180">
      <c r="A1180" t="inlineStr">
        <is>
          <t>31a356ffd0f1</t>
        </is>
      </c>
      <c r="B1180" t="inlineStr">
        <is>
          <t>5008465-92.2023.8.24.0023</t>
        </is>
      </c>
      <c r="C1180" t="inlineStr">
        <is>
          <t>UNKNOWN</t>
        </is>
      </c>
      <c r="D1180" t="inlineStr">
        <is>
          <t>QUARANTINED</t>
        </is>
      </c>
      <c r="E1180" t="n">
        <v>57</v>
      </c>
      <c r="F1180" t="inlineStr">
        <is>
          <t>TABLE</t>
        </is>
      </c>
      <c r="G1180" t="inlineStr">
        <is>
          <t>TABLE_BANDS</t>
        </is>
      </c>
      <c r="H1180" t="inlineStr">
        <is>
          <t>I/BRL#s6: PASS Δ-224.47 · I/BRL#s7: PASS Δ73.99 · IV/BRL#s10: PASS Δ-115.00 · IV/BRL#s11: PASS Δ291.00 · IV/BRL#s12: PASS Δ5.99 · IV/BRL#s13: PASS Δ26.50 · IV/BRL#s14: PASS Δ-27.00 · IV/BRL#s15: PASS Δ309.00 · IV/BRL#s16: FAIL Δ-2180.00 · IV/BRL#s17: PASS Δ428.15 · IV/BRL#s18: PASS Δ-400.00 · IV/BRL#s19: FAIL Δ26379.03 · IV/BRL#s20: PASS Δ8.00 · IV/BRL#s21: FAIL Δ21811.63 · IV/BRL#s22: PASS Δ-38.14 · IV/BRL#s23: FAIL Δ-24376.00 · IV/BRL#s24: FAIL Δ6183.35 · IV/BRL#s25: FAIL Δ6397.57 · IV/BRL#s26: PASS Δ55.00 · IV/BRL#s27: PASS Δ10.00 · IV/BRL#s28: PASS Δ-75.00 · IV/BRL#s29: PASS Δ71.29 · III/BRL: PASS Δ-17.55</t>
        </is>
      </c>
      <c r="J1180" t="inlineStr">
        <is>
          <t>Grupo Floripark | Administração Judicial - Credibilità</t>
        </is>
      </c>
      <c r="K1180" t="inlineStr">
        <is>
          <t>credibilita.com.br</t>
        </is>
      </c>
      <c r="L1180" s="19" t="inlineStr">
        <is>
          <t>https://credibilita.com.br/wp-content/uploads/2023/12/45.-Lista-de-credores-Art.-7o-§-2.pdf</t>
        </is>
      </c>
    </row>
    <row r="1181">
      <c r="A1181" t="inlineStr">
        <is>
          <t>da70c7730bcc</t>
        </is>
      </c>
      <c r="B1181" t="inlineStr">
        <is>
          <t>0000745-65.2017.8.16.0162</t>
        </is>
      </c>
      <c r="C1181" t="inlineStr">
        <is>
          <t>UNKNOWN</t>
        </is>
      </c>
      <c r="D1181" t="inlineStr">
        <is>
          <t>QUARANTINED</t>
        </is>
      </c>
      <c r="E1181" t="n">
        <v>24</v>
      </c>
      <c r="F1181" t="inlineStr">
        <is>
          <t>PROSE</t>
        </is>
      </c>
      <c r="G1181" t="inlineStr">
        <is>
          <t>PROSE</t>
        </is>
      </c>
      <c r="H1181" t="inlineStr">
        <is>
          <t>I/BRL: FAIL ΔNone · II/BRL: PASS ΔNone · II/USD: FAIL ΔNone · III/BRL: FAIL ΔNone · III/USD: FAIL ΔNone · IV/BRL: FAIL ΔNone</t>
        </is>
      </c>
      <c r="I1181" t="inlineStr">
        <is>
          <t>2018-06-20</t>
        </is>
      </c>
      <c r="J1181" t="inlineStr">
        <is>
          <t>Grupo Seara | Administração Judicial - Credibilità</t>
        </is>
      </c>
      <c r="K1181" t="inlineStr">
        <is>
          <t>credibilita.com.br</t>
        </is>
      </c>
      <c r="L1181" s="19" t="inlineStr">
        <is>
          <t>https://credibilita.com.br/wp-content/uploads/2023/08/relacaodecredoresparaedital.pdf</t>
        </is>
      </c>
    </row>
    <row r="1182">
      <c r="A1182" t="inlineStr">
        <is>
          <t>f82c74e21ebe</t>
        </is>
      </c>
      <c r="B1182" t="inlineStr">
        <is>
          <t>0002662-05.2024.8.16.0056</t>
        </is>
      </c>
      <c r="C1182" t="inlineStr">
        <is>
          <t>UNKNOWN</t>
        </is>
      </c>
      <c r="D1182" t="inlineStr">
        <is>
          <t>QUARANTINED</t>
        </is>
      </c>
      <c r="E1182" t="n">
        <v>359</v>
      </c>
      <c r="F1182" t="inlineStr">
        <is>
          <t>TABLE</t>
        </is>
      </c>
      <c r="G1182" t="inlineStr">
        <is>
          <t>TABLE_BANDS</t>
        </is>
      </c>
      <c r="H1182" t="inlineStr">
        <is>
          <t>I/BRL#s9: FAIL Δ-456862.55 · I/BRL#s14: PASS Δ0.00 · III/BRL#s16: FAIL Δ955584.00 · II/BRL#s21: PASS Δ-708.00 · III/BRL#s28: PASS Δ0.00 · II/BRL#s32: PASS Δ0.00 · II/BRL#s35: PASS Δ0.00 · II/BRL#s38: PASS Δ0.00 · III/BRL#s44: FAIL Δ970642.40 · II/BRL#s52: FAIL Δ3227106.44 · III/BRL#s70: FAIL Δ11470205.00 · II/BRL#s82: PASS Δ342.00 · II/BRL#s93: PASS Δ0.00 · III/BRL#s97: FAIL Δ1188347.50 · III/BRL#s117: FAIL Δ-1714461.04 · III/BRL#s135: FAIL Δ1714461.04 · III/BRL#s136: FAIL Δ571485.00 · III/BRL#s137: FAIL Δ258045.00 · III/BRL#s138: FAIL Δ-572604.56 · III/BRL#s144: FAIL Δ-1169075.54 · III/BRL#s150: FAIL Δ735474.73 · III/BRL#s156: FAIL Δ924341.26 · III/BRL#s157: PASS Δ0.00 · III/BRL#s158: FAIL Δ4466050.00 · III/BRL#s159: FAIL Δ3395187.36 · III/BRL#s165: FAIL Δ-677066.27 · III/BRL#s171: PASS Δ0.00 · III/BRL#s172: PASS Δ0.00 · III/BRL#s173: FAIL Δ1284662.37 · III/BRL#s174: FAIL Δ395965.81 · III/BRL#s175: FAIL Δ-1188347.50 · III/BRL#s176: FAIL Δ1188347.50 · III/BRL#s192: PASS Δ0.00 · III/BRL#s193: FAIL Δ1736279.80 · III/BRL#s199: FAIL Δ628462.78 · III/BRL#s200: FAIL Δ-16098.59 · III/BRL#s206: PASS Δ0.00 · III/BRL#s207: FAIL Δ69572.20 · III/BRL#s208: FAIL Δ-189827.30 · III/BRL#s214: FAIL Δ301160.00 · III/BRL#s215: FAIL Δ-2038886.62 · III/BRL#s227: FAIL Δ6920929.86 · III/BRL#s228: FAIL Δ-496872.06 · III/BRL#s234: FAIL Δ-749777.94 · III/BRL#s240: FAIL Δ1095111.27 · III/BRL#s256: FAIL Δ-183711.27 · III/BRL#s262: FAIL Δ-2835964.28 · III/BRL#s263: FAIL Δ2069249.74 · III/BRL#s264: FAIL Δ704634.63 · III/BRL#s279: FAIL Δ-410373.33 · III/BRL#s280: FAIL Δ2441793.49 · III/BRL#s281: FAIL Δ-57138.93 · III/BRL#s287: PASS Δ0.00 · III/BRL#s288: FAIL Δ899871.88 · III/BRL#s289: FAIL Δ1169241.00 · III/BRL#s290: FAIL Δ974491.00 · IV/BRL#s295: FAIL Δ1963000.00 · III/BRL#s297: FAIL Δ582043.14 · III/BRL#s313: FAIL Δ-980798.99 · III/BRL#s324: FAIL Δ3655877.61 · III/BRL#s339: FAIL Δ-1002720.81 · III/BRL#s345: FAIL Δ-433307.54 · III/BRL#s358: FAIL Δ1490819.61 · III/BRL#s371: FAIL Δ-874741.17 · III/BRL#s372: FAIL Δ955584.00 · II/BRL#s377: PASS Δ-708.00 · III/BRL#s380: PASS Δ0.00 · III/BRL#s381: FAIL Δ675000.00 · III/BRL#s382: PASS Δ0.00 · II/BRL#s384: PASS Δ0.00 · III/BRL#s388: FAIL Δ-1492936.84 · III/BRL#s400: FAIL Δ522294.44 · III/BRL#s401: FAIL Δ970642.40 · II/BRL#s409: FAIL Δ3227106.44 · III/BRL#s423: PASS Δ0.00 · III/BRL#s424: FAIL Δ-977592.50 · III/BRL#s430: FAIL Δ-8959280.20 · III/BRL#s431: FAIL Δ11470205.00 · III/BRL#s440: PASS Δ418.00 · II/BRL#s451: PASS Δ0.00 · III/BRL#s453: FAIL Δ403206.79 · III/BRL#s471: PASS Δ0.00 · III/BRL#s472: FAIL Δ-4750034.60 · III/BRL#s498: FAIL Δ-42464.07 · III/BRL#s505: PASS Δ0.00 · IV/BRL#s511: PASS Δ0.00 · III/BRL#s513: PASS Δ0.00 · III/BRL#s516: FAIL Δ-1010000.00 · III/BRL#s527: PASS Δ0.00 · III/BRL#s537: PASS Δ0.00 · III/BRL#s538: FAIL Δ-14747.40 · III/BRL#s550: FAIL Δ446817.83 · III/BRL#s551: FAIL Δ3031.58 · III/BRL#s552: FAIL Δ-75898.15 · IV/BRL#s567: FAIL Δ-1625042.55 · IV/BRL#s612: FAIL Δ-325324.96</t>
        </is>
      </c>
      <c r="I1182" t="inlineStr">
        <is>
          <t>2025-02-06</t>
        </is>
      </c>
      <c r="J1182" t="inlineStr">
        <is>
          <t>Agropecuária Ferti LTDA | Administração Judicial - Credibilità</t>
        </is>
      </c>
      <c r="K1182" t="inlineStr">
        <is>
          <t>credibilita.com.br</t>
        </is>
      </c>
      <c r="L1182" s="19" t="inlineStr">
        <is>
          <t>https://credibilita.com.br/wp-content/uploads/2024/04/17.-Apresentacao-da-Lista-de-Credores-pela-Administradora-Judicial-e-analises-de-credito-em-06.02.24-mov.-502.pdf</t>
        </is>
      </c>
    </row>
    <row r="1183">
      <c r="A1183" t="inlineStr">
        <is>
          <t>17b97726eb61</t>
        </is>
      </c>
      <c r="B1183" t="inlineStr">
        <is>
          <t>5012487-62.2024.8.24.0023</t>
        </is>
      </c>
      <c r="C1183" t="inlineStr">
        <is>
          <t>UNKNOWN</t>
        </is>
      </c>
      <c r="D1183" t="inlineStr">
        <is>
          <t>QUARANTINED</t>
        </is>
      </c>
      <c r="E1183" t="n">
        <v>15</v>
      </c>
      <c r="F1183" t="inlineStr">
        <is>
          <t>TABLE</t>
        </is>
      </c>
      <c r="G1183" t="inlineStr">
        <is>
          <t>TABLE_BANDS</t>
        </is>
      </c>
      <c r="H1183" t="inlineStr">
        <is>
          <t>IV/BRL#s7: FAIL Δ1650.00 · IV/BRL#s8: PASS Δ-148.50 · IV/BRL#s9: PASS Δ-800.17 · IV/BRL#s10: PASS Δ361.00 · I/BRL: PASS Δ-0.32 · III/BRL: PASS Δ-206.54</t>
        </is>
      </c>
      <c r="J1183" t="inlineStr">
        <is>
          <t>Figueirense Futebol Clube – Recuperação Judicial | Administração Judicial - Credibilità</t>
        </is>
      </c>
      <c r="K1183" t="inlineStr">
        <is>
          <t>credibilita.com.br</t>
        </is>
      </c>
      <c r="L1183" s="19" t="inlineStr">
        <is>
          <t>https://credibilita.com.br/wp-content/uploads/2024/02/Lista-de-Credores-Figueirense-Futebol-Clube-LTDA.pdf</t>
        </is>
      </c>
    </row>
    <row r="1184">
      <c r="A1184" t="inlineStr">
        <is>
          <t>6c4cbd2a0ae9</t>
        </is>
      </c>
      <c r="B1184" t="inlineStr">
        <is>
          <t>0021370-77.2024.8.16.0194</t>
        </is>
      </c>
      <c r="C1184" t="inlineStr">
        <is>
          <t>UNKNOWN</t>
        </is>
      </c>
      <c r="D1184" t="inlineStr">
        <is>
          <t>QUARANTINED</t>
        </is>
      </c>
      <c r="E1184" t="n">
        <v>3</v>
      </c>
      <c r="F1184" t="inlineStr">
        <is>
          <t>TABLE</t>
        </is>
      </c>
      <c r="G1184" t="inlineStr">
        <is>
          <t>TABLE_BANDS</t>
        </is>
      </c>
      <c r="H1184" t="inlineStr">
        <is>
          <t>I/BRL#s1: FAIL Δ-64006.14 · II/BRL#s2: FAIL Δ1559747627.69 · I/BRL#s5: FAIL Δ1316667.99 · I/BRL#s6: FAIL Δ122957.55</t>
        </is>
      </c>
      <c r="I1184" t="inlineStr">
        <is>
          <t>2024-12-09</t>
        </is>
      </c>
      <c r="J1184" t="inlineStr">
        <is>
          <t>Compet Agro Florestal S.A, Antônio de Pauli S.A e Empreendimentos Florestais Paraná LTDA. | Administração Judicial - Credibilità</t>
        </is>
      </c>
      <c r="K1184" t="inlineStr">
        <is>
          <t>credibilita.com.br</t>
        </is>
      </c>
      <c r="L1184" s="19" t="inlineStr">
        <is>
          <t>https://credibilita.com.br/wp-content/uploads/2024/12/09.12.2024-Relacao-Nonimal-de-Credores.pdf</t>
        </is>
      </c>
    </row>
    <row r="1185">
      <c r="A1185" t="inlineStr">
        <is>
          <t>ce2753b5543e</t>
        </is>
      </c>
      <c r="B1185" t="inlineStr">
        <is>
          <t>0047010-37.2020.8.19.0001</t>
        </is>
      </c>
      <c r="C1185" t="inlineStr">
        <is>
          <t>UNKNOWN</t>
        </is>
      </c>
      <c r="D1185" t="inlineStr">
        <is>
          <t>QUARANTINED</t>
        </is>
      </c>
      <c r="E1185" t="n">
        <v>71</v>
      </c>
      <c r="F1185" t="inlineStr">
        <is>
          <t>TABLE</t>
        </is>
      </c>
      <c r="G1185" t="inlineStr">
        <is>
          <t>TABLE_BANDS</t>
        </is>
      </c>
      <c r="H1185" t="inlineStr">
        <is>
          <t>I/BRL#s1: FAIL Δ10472712.37 · III/BRL#s2: FAIL Δ-51130460.96 · III/BRL#s3: FAIL Δ336865498.78 · III/BRL#s4: FAIL Δ92937854.03 · III/BRL#s5: FAIL Δ82251192.48 · III/BRL#s6: FAIL Δ113804569.98</t>
        </is>
      </c>
      <c r="J1185" t="inlineStr">
        <is>
          <t>Grupo Leader – Processo nº  0047010-37.2020.8.19.0001 – e-mail: admjudleader@inova-aj.com.br – INOVA</t>
        </is>
      </c>
      <c r="K1185" t="inlineStr">
        <is>
          <t>inova-aj.com.br</t>
        </is>
      </c>
      <c r="L1185" s="19" t="inlineStr">
        <is>
          <t>https://inova-aj.com.br/wp-content/uploads/2020/03/Grupo-Leader-Relação-de-credores-apesentada-pelas-recuperandas.pdf</t>
        </is>
      </c>
    </row>
    <row r="1186">
      <c r="A1186" t="inlineStr">
        <is>
          <t>17c5ea68673c</t>
        </is>
      </c>
      <c r="B1186" t="inlineStr">
        <is>
          <t>1000012-65.2024.8.26.0354</t>
        </is>
      </c>
      <c r="C1186" t="inlineStr">
        <is>
          <t>UNKNOWN</t>
        </is>
      </c>
      <c r="D1186" t="inlineStr">
        <is>
          <t>QUARANTINED</t>
        </is>
      </c>
      <c r="E1186" t="n">
        <v>5</v>
      </c>
      <c r="F1186" t="inlineStr">
        <is>
          <t>TABLE</t>
        </is>
      </c>
      <c r="G1186" t="inlineStr">
        <is>
          <t>TABLE_BANDS</t>
        </is>
      </c>
      <c r="H1186" t="inlineStr">
        <is>
          <t>I/BRL: FAIL Δ450509.38 · III/BRL: FAIL Δ28644955.14 · IV/BRL: FAIL Δ-389980.96</t>
        </is>
      </c>
      <c r="I1186" t="inlineStr">
        <is>
          <t>2024-12-05</t>
        </is>
      </c>
      <c r="J1186" t="inlineStr">
        <is>
          <t>Recuperações Judiciais – Brasil Trustee</t>
        </is>
      </c>
      <c r="K1186" t="inlineStr">
        <is>
          <t>brasiltrustee.com.br</t>
        </is>
      </c>
      <c r="L1186" s="19" t="inlineStr">
        <is>
          <t>https://violet-wolf-754008.hostingersite.com/wp-content/uploads/recuperacoes-judiciais/Fernandes-Engenharia/Listagem-de-Credores-Completa-Fernandes-Engenharia.pdf</t>
        </is>
      </c>
    </row>
    <row r="1187">
      <c r="A1187" t="inlineStr">
        <is>
          <t>58642c27d5f3</t>
        </is>
      </c>
      <c r="B1187" t="inlineStr">
        <is>
          <t>5008550-51.2025.8.08.0024</t>
        </is>
      </c>
      <c r="C1187" t="inlineStr">
        <is>
          <t>UNKNOWN</t>
        </is>
      </c>
      <c r="D1187" t="inlineStr">
        <is>
          <t>QUARANTINED</t>
        </is>
      </c>
      <c r="E1187" t="n">
        <v>8</v>
      </c>
      <c r="F1187" t="inlineStr">
        <is>
          <t>TABLE</t>
        </is>
      </c>
      <c r="G1187" t="inlineStr">
        <is>
          <t>TABLE_BANDS</t>
        </is>
      </c>
      <c r="H1187" t="inlineStr">
        <is>
          <t>III/BRL#s1: FAIL Δ94097212.69</t>
        </is>
      </c>
      <c r="J1187" t="inlineStr">
        <is>
          <t>Grupo MDG - RLG-AJ</t>
        </is>
      </c>
      <c r="K1187" t="inlineStr">
        <is>
          <t>rlg-aj.com.br</t>
        </is>
      </c>
      <c r="L1187" s="19" t="inlineStr">
        <is>
          <t>https://rlg-aj.com.br/wp-content/uploads/2025/03/02.-Relação-de-Credores.pdf</t>
        </is>
      </c>
    </row>
    <row r="1188">
      <c r="A1188" t="inlineStr">
        <is>
          <t>372afc73ed0b</t>
        </is>
      </c>
      <c r="B1188" t="inlineStr">
        <is>
          <t>5022382-25.2023.8.08.0024</t>
        </is>
      </c>
      <c r="C1188" t="inlineStr">
        <is>
          <t>UNKNOWN</t>
        </is>
      </c>
      <c r="D1188" t="inlineStr">
        <is>
          <t>QUARANTINED</t>
        </is>
      </c>
      <c r="E1188" t="n">
        <v>18</v>
      </c>
      <c r="F1188" t="inlineStr">
        <is>
          <t>TABLE</t>
        </is>
      </c>
      <c r="G1188" t="inlineStr">
        <is>
          <t>TABLE_RULED</t>
        </is>
      </c>
      <c r="H1188" t="inlineStr">
        <is>
          <t>I/BRL#s1: PASS Δ0.00 · I/BRL#s2: FAIL Δ-5339324.46 · I/BRL#s5: PASS Δ0.00</t>
        </is>
      </c>
      <c r="I1188" t="inlineStr">
        <is>
          <t>2023-07-28</t>
        </is>
      </c>
      <c r="J1188" t="inlineStr">
        <is>
          <t>Instituto CAV - RLG-AJ</t>
        </is>
      </c>
      <c r="K1188" t="inlineStr">
        <is>
          <t>rlg-aj.com.br</t>
        </is>
      </c>
      <c r="L1188" s="19" t="inlineStr">
        <is>
          <t>https://rlg-aj.com.br/wp-content/uploads/2023/08/Relacao-de-Credores-apresentada-pela-Recuperanda-Instituto-CAV.pdf</t>
        </is>
      </c>
    </row>
    <row r="1189">
      <c r="A1189" t="inlineStr">
        <is>
          <t>184f578cccf6</t>
        </is>
      </c>
      <c r="B1189" t="inlineStr">
        <is>
          <t>0014118-50.2014.8.19.0045</t>
        </is>
      </c>
      <c r="C1189" t="inlineStr">
        <is>
          <t>UNKNOWN</t>
        </is>
      </c>
      <c r="D1189" t="inlineStr">
        <is>
          <t>QUARANTINED</t>
        </is>
      </c>
      <c r="E1189" t="n">
        <v>24</v>
      </c>
      <c r="F1189" t="inlineStr">
        <is>
          <t>TABLE</t>
        </is>
      </c>
      <c r="G1189" t="inlineStr">
        <is>
          <t>TABLE_BANDS</t>
        </is>
      </c>
      <c r="H1189" t="inlineStr">
        <is>
          <t>I/BRL#s3: FAIL Δ-600000.00 · I/BRL#s4: PASS Δ0.00 · IV/BRL#s6: PASS Δ0.00 · III/BRL#s8: FAIL Δ19996136.23 · I/BRL#s10: PASS Δ0.00 · I/BRL#s11: PASS Δ0.00 · I/BRL#s12: PASS Δ0.00 · II/BRL#s14: FAIL Δ100000000.00 · II/BRL#s15: PASS Δ0.00 · III/BRL#s18: FAIL Δ-16477542.16</t>
        </is>
      </c>
      <c r="J1189" t="inlineStr">
        <is>
          <t>Servatis S/A – Processo nº 0014118-50.2014.8.19.0045 – e-mail: admjudservatis@inova-aj.com.br – INOVA</t>
        </is>
      </c>
      <c r="K1189" t="inlineStr">
        <is>
          <t>inova-aj.com.br</t>
        </is>
      </c>
      <c r="L1189" s="19" t="inlineStr">
        <is>
          <t>https://inova-aj.com.br/wp-content/uploads/2022/11/QGC-Consolidado.pdf</t>
        </is>
      </c>
    </row>
    <row r="1190">
      <c r="A1190" t="inlineStr">
        <is>
          <t>80730aa8fd57</t>
        </is>
      </c>
      <c r="B1190" t="inlineStr">
        <is>
          <t>5008550-51.2025.8.08.0024</t>
        </is>
      </c>
      <c r="C1190" t="inlineStr">
        <is>
          <t>UNKNOWN</t>
        </is>
      </c>
      <c r="D1190" t="inlineStr">
        <is>
          <t>QUARANTINED</t>
        </is>
      </c>
      <c r="E1190" t="n">
        <v>40</v>
      </c>
      <c r="F1190" t="inlineStr">
        <is>
          <t>TABLE</t>
        </is>
      </c>
      <c r="G1190" t="inlineStr">
        <is>
          <t>TABLE_BANDS</t>
        </is>
      </c>
      <c r="H1190" t="inlineStr">
        <is>
          <t>I/BRL: FAIL Δ-2000.00 · II/BRL: FAIL Δ-7900000.00 · III/BRL: FAIL Δ-46331233.44</t>
        </is>
      </c>
      <c r="I1190" t="inlineStr">
        <is>
          <t>2025-05-14</t>
        </is>
      </c>
      <c r="J1190" t="inlineStr">
        <is>
          <t>e Falência</t>
        </is>
      </c>
      <c r="K1190" t="inlineStr">
        <is>
          <t>rlg-aj.com.br</t>
        </is>
      </c>
      <c r="L1190" s="19" t="inlineStr">
        <is>
          <t>https://rlg-aj.com.br/wp-content/uploads/2025/03/06.-Plano-de-Recuperacao-Judicial.pdf</t>
        </is>
      </c>
    </row>
    <row r="1191">
      <c r="A1191" t="inlineStr">
        <is>
          <t>d402043e85f9</t>
        </is>
      </c>
      <c r="B1191" t="inlineStr">
        <is>
          <t>0000335-78.2024.8.26.0260</t>
        </is>
      </c>
      <c r="C1191" t="inlineStr">
        <is>
          <t>UNKNOWN</t>
        </is>
      </c>
      <c r="D1191" t="inlineStr">
        <is>
          <t>QUARANTINED</t>
        </is>
      </c>
      <c r="E1191" t="n">
        <v>11</v>
      </c>
      <c r="F1191" t="inlineStr">
        <is>
          <t>TABLE</t>
        </is>
      </c>
      <c r="G1191" t="inlineStr">
        <is>
          <t>TABLE_RULED</t>
        </is>
      </c>
      <c r="H1191" t="inlineStr">
        <is>
          <t>I/BRL#s2: FAIL Δ4846595.54 · I/BRL#s3: FAIL Δ6463291.71 · I/BRL#s4: FAIL Δ204605.86</t>
        </is>
      </c>
      <c r="J1191" t="inlineStr">
        <is>
          <t>GateKeeper | Recuperação Judicial em São Paulo – Ética, técnica e profissionalismo na administração judicial de processos de recuperação e falência.</t>
        </is>
      </c>
      <c r="K1191" t="inlineStr">
        <is>
          <t>gatekeeperaj.com.br</t>
        </is>
      </c>
      <c r="L1191" s="19" t="inlineStr">
        <is>
          <t>https://gatekeeperaj.com.br/wp-content/uploads/2025/08/QGC-GTP-2.pdf</t>
        </is>
      </c>
    </row>
    <row r="1192">
      <c r="A1192" t="inlineStr">
        <is>
          <t>9e0f406a5486</t>
        </is>
      </c>
      <c r="B1192" t="inlineStr">
        <is>
          <t>5008550-51.2025.8.08.0024</t>
        </is>
      </c>
      <c r="C1192" t="inlineStr">
        <is>
          <t>UNKNOWN</t>
        </is>
      </c>
      <c r="D1192" t="inlineStr">
        <is>
          <t>QUARANTINED</t>
        </is>
      </c>
      <c r="E1192" t="n">
        <v>42</v>
      </c>
      <c r="F1192" t="inlineStr">
        <is>
          <t>TABLE</t>
        </is>
      </c>
      <c r="G1192" t="inlineStr">
        <is>
          <t>TABLE_BANDS</t>
        </is>
      </c>
      <c r="H1192" t="inlineStr">
        <is>
          <t>I/BRL: FAIL Δ-2000.00 · II/BRL: FAIL Δ-7900000.00 · III/BRL: FAIL Δ-46331233.44</t>
        </is>
      </c>
      <c r="I1192" t="inlineStr">
        <is>
          <t>2026-02-03</t>
        </is>
      </c>
      <c r="J1192" t="inlineStr">
        <is>
          <t>e Falência</t>
        </is>
      </c>
      <c r="K1192" t="inlineStr">
        <is>
          <t>rlg-aj.com.br</t>
        </is>
      </c>
      <c r="L1192" s="19" t="inlineStr">
        <is>
          <t>https://rlg-aj.com.br/wp-content/uploads/2025/03/09.-Aditivo-ao-Plano-de-Recuperacao-Judicial.pdf</t>
        </is>
      </c>
    </row>
    <row r="1193">
      <c r="A1193" t="inlineStr">
        <is>
          <t>1020f84ab543</t>
        </is>
      </c>
      <c r="C1193" t="inlineStr">
        <is>
          <t>UNKNOWN</t>
        </is>
      </c>
      <c r="D1193" t="inlineStr">
        <is>
          <t>QUARANTINED</t>
        </is>
      </c>
      <c r="E1193" t="n">
        <v>6</v>
      </c>
      <c r="F1193" t="inlineStr">
        <is>
          <t>TABLE</t>
        </is>
      </c>
      <c r="G1193" t="inlineStr">
        <is>
          <t>TABLE_RULED</t>
        </is>
      </c>
      <c r="H1193" t="inlineStr">
        <is>
          <t>I/BRL: FAIL Δ2172726.86 · III/BRL: FAIL Δ17876929.41 · IV/BRL: FAIL Δ341051.19</t>
        </is>
      </c>
      <c r="J1193" t="inlineStr">
        <is>
          <t>Base | AJ RUIZ - Administração Judicial</t>
        </is>
      </c>
      <c r="K1193" t="inlineStr">
        <is>
          <t>ajruiz.com.br</t>
        </is>
      </c>
      <c r="L1193" s="19" t="inlineStr">
        <is>
          <t>https://ajruiz.com.br/sites/default/files/public/arquivos-processos/2024-02/2._relacao_de_credores.pdf</t>
        </is>
      </c>
    </row>
    <row r="1194">
      <c r="A1194" t="inlineStr">
        <is>
          <t>87f368a460cc</t>
        </is>
      </c>
      <c r="C1194" t="inlineStr">
        <is>
          <t>UNKNOWN</t>
        </is>
      </c>
      <c r="D1194" t="inlineStr">
        <is>
          <t>QUARANTINED</t>
        </is>
      </c>
      <c r="E1194" t="n">
        <v>20</v>
      </c>
      <c r="F1194" t="inlineStr">
        <is>
          <t>TABLE</t>
        </is>
      </c>
      <c r="G1194" t="inlineStr">
        <is>
          <t>TABLE_BANDS</t>
        </is>
      </c>
      <c r="H1194" t="inlineStr">
        <is>
          <t>IV/BRL#s6: FAIL Δ50312225.04 · I/BRL#s8: FAIL Δ-2042.00 · I/BRL#s9: FAIL Δ4000.00 · III/BRL#s12: FAIL Δ17059655.33 · IV/BRL#s15: FAIL Δ685317.37</t>
        </is>
      </c>
      <c r="J1194" t="inlineStr">
        <is>
          <t>Base | AJ RUIZ - Administração Judicial</t>
        </is>
      </c>
      <c r="K1194" t="inlineStr">
        <is>
          <t>ajruiz.com.br</t>
        </is>
      </c>
      <c r="L1194" s="19" t="inlineStr">
        <is>
          <t>https://ajruiz.com.br/sites/default/files/public/arquivos-processos/2023-12/azeplast_relacao_de_credores_recuperanda.pdf</t>
        </is>
      </c>
    </row>
    <row r="1195">
      <c r="A1195" t="inlineStr">
        <is>
          <t>c0b6b5d7df9a</t>
        </is>
      </c>
      <c r="B1195" t="inlineStr">
        <is>
          <t>0002325-43.2026.8.17.2990</t>
        </is>
      </c>
      <c r="C1195" t="inlineStr">
        <is>
          <t>UNKNOWN</t>
        </is>
      </c>
      <c r="D1195" t="inlineStr">
        <is>
          <t>QUARANTINED</t>
        </is>
      </c>
      <c r="E1195" t="n">
        <v>10</v>
      </c>
      <c r="F1195" t="inlineStr">
        <is>
          <t>PROSE</t>
        </is>
      </c>
      <c r="G1195" t="inlineStr">
        <is>
          <t>PROSE</t>
        </is>
      </c>
      <c r="H1195" t="inlineStr">
        <is>
          <t>I/BRL#s1: FAIL Δ-113251.08 · III/BRL#s2: FAIL Δ-489174.86 · IV/BRL#s3: PASS Δ0.00</t>
        </is>
      </c>
      <c r="I1195" t="inlineStr">
        <is>
          <t>2026-03-30</t>
        </is>
      </c>
      <c r="J1195" t="inlineStr">
        <is>
          <t>GRUPO MEDITERRÂNEA - Recupera Soluções Empresariais</t>
        </is>
      </c>
      <c r="K1195" t="inlineStr">
        <is>
          <t>recuperasolucoes.com</t>
        </is>
      </c>
      <c r="L1195" s="19" t="inlineStr">
        <is>
          <t>https://recuperasolucoes.com/wp-content/plugins/download-attachments/includes/download.php?id=1592</t>
        </is>
      </c>
    </row>
    <row r="1196">
      <c r="A1196" t="inlineStr">
        <is>
          <t>de4f9ddb34e9</t>
        </is>
      </c>
      <c r="B1196" t="inlineStr">
        <is>
          <t>0068535-07.2024.8.17.2001</t>
        </is>
      </c>
      <c r="C1196" t="inlineStr">
        <is>
          <t>UNKNOWN</t>
        </is>
      </c>
      <c r="D1196" t="inlineStr">
        <is>
          <t>QUARANTINED</t>
        </is>
      </c>
      <c r="E1196" t="n">
        <v>26</v>
      </c>
      <c r="F1196" t="inlineStr">
        <is>
          <t>TABLE</t>
        </is>
      </c>
      <c r="G1196" t="inlineStr">
        <is>
          <t>TABLE_BANDS</t>
        </is>
      </c>
      <c r="H1196" t="inlineStr">
        <is>
          <t>III/BRL#s2: FAIL Δ4766730.26</t>
        </is>
      </c>
      <c r="I1196" t="inlineStr">
        <is>
          <t>2025-02-13</t>
        </is>
      </c>
      <c r="J1196" t="inlineStr">
        <is>
          <t>BRN SOLUCOES EM TECNOLOGIA LTDA</t>
        </is>
      </c>
      <c r="K1196" t="inlineStr">
        <is>
          <t>recuperasolucoes.com</t>
        </is>
      </c>
      <c r="L1196" s="19" t="inlineStr">
        <is>
          <t>https://recuperasolucoes.com/wp-content/plugins/download-attachments/includes/download.php?id=1380</t>
        </is>
      </c>
    </row>
    <row r="1197">
      <c r="A1197" t="inlineStr">
        <is>
          <t>7f25973bc06c</t>
        </is>
      </c>
      <c r="B1197" t="inlineStr">
        <is>
          <t>4002059-56.2025.8.26.0408</t>
        </is>
      </c>
      <c r="C1197" t="inlineStr">
        <is>
          <t>UNKNOWN</t>
        </is>
      </c>
      <c r="D1197" t="inlineStr">
        <is>
          <t>QUARANTINED</t>
        </is>
      </c>
      <c r="E1197" t="n">
        <v>24</v>
      </c>
      <c r="F1197" t="inlineStr">
        <is>
          <t>TABLE</t>
        </is>
      </c>
      <c r="G1197" t="inlineStr">
        <is>
          <t>TABLE_RULED</t>
        </is>
      </c>
      <c r="H1197" t="inlineStr">
        <is>
          <t>IV/BRL#s4: FAIL Δ-1005771.01</t>
        </is>
      </c>
      <c r="J1197" t="inlineStr">
        <is>
          <t>Base | AJ RUIZ - Administração Judicial</t>
        </is>
      </c>
      <c r="K1197" t="inlineStr">
        <is>
          <t>ajruiz.com.br</t>
        </is>
      </c>
      <c r="L1197" s="19" t="inlineStr">
        <is>
          <t>https://ajruiz.com.br/sites/default/files/public/arquivos-processos/2026-03/lista_de_credores_recuperanda.pdf</t>
        </is>
      </c>
    </row>
    <row r="1198">
      <c r="A1198" t="inlineStr">
        <is>
          <t>071e084cd9c0</t>
        </is>
      </c>
      <c r="B1198" t="inlineStr">
        <is>
          <t>0009971-62.2026.8.17.2810</t>
        </is>
      </c>
      <c r="C1198" t="inlineStr">
        <is>
          <t>UNKNOWN</t>
        </is>
      </c>
      <c r="D1198" t="inlineStr">
        <is>
          <t>QUARANTINED</t>
        </is>
      </c>
      <c r="E1198" t="n">
        <v>100</v>
      </c>
      <c r="F1198" t="inlineStr">
        <is>
          <t>TABLE</t>
        </is>
      </c>
      <c r="G1198" t="inlineStr">
        <is>
          <t>TABLE_RULED</t>
        </is>
      </c>
      <c r="H1198" t="inlineStr">
        <is>
          <t>I/BRL#s58: PASS Δ0.00 · III/BRL#s59: PASS Δ0.00 · IV/BRL#s61: PASS Δ0.00 · IV/BRL#s62: FAIL Δ-15329974.70</t>
        </is>
      </c>
      <c r="I1198" t="inlineStr">
        <is>
          <t>2026-08-03</t>
        </is>
      </c>
      <c r="J1198" t="inlineStr">
        <is>
          <t>GRUPO MEGAÓ - Recupera Soluções Empresariais</t>
        </is>
      </c>
      <c r="K1198" t="inlineStr">
        <is>
          <t>recuperasolucoes.com</t>
        </is>
      </c>
      <c r="L1198" s="19" t="inlineStr">
        <is>
          <t>https://recuperasolucoes.com/wp-content/plugins/download-attachments/includes/download.php?id=1653</t>
        </is>
      </c>
    </row>
    <row r="1199">
      <c r="A1199" t="inlineStr">
        <is>
          <t>66aa05df6b62</t>
        </is>
      </c>
      <c r="B1199" t="inlineStr">
        <is>
          <t>4027947-44.2026.8.26.0100</t>
        </is>
      </c>
      <c r="C1199" t="inlineStr">
        <is>
          <t>UNKNOWN</t>
        </is>
      </c>
      <c r="D1199" t="inlineStr">
        <is>
          <t>QUARANTINED</t>
        </is>
      </c>
      <c r="E1199" t="n">
        <v>15</v>
      </c>
      <c r="F1199" t="inlineStr">
        <is>
          <t>TABLE</t>
        </is>
      </c>
      <c r="G1199" t="inlineStr">
        <is>
          <t>TABLE_RULED</t>
        </is>
      </c>
      <c r="H1199" t="inlineStr">
        <is>
          <t>I/BRL#s1: PASS Δ0.00 · III/BRL#s3: PASS Δ0.00 · IV/BRL#s5: FAIL Δ30103.08 · IV/BRL#s6: FAIL Δ775803.91 · IV/BRL#s7: FAIL Δ757986.46 · IV/BRL#s8: FAIL Δ374997.32 · IV/BRL#s9: FAIL Δ343175.69 · IV/BRL#s10: FAIL Δ914978.02 · IV/BRL#s15: PASS Δ0.00 · III/BRL#s24: FAIL Δ-2513929.43 · III/BRL#s25: FAIL Δ-23258950.86 · III/BRL#s33: FAIL Δ5511901.33 · I/BRL#s44: PASS Δ0.00 · III/BRL#s46: FAIL Δ-21659552.56 · IV/BRL#s52: PASS Δ0.00 · I/BRL#s55: FAIL Δ-11001.13 · III/BRL#s58: FAIL Δ-28071159.31 · II/BRL: FAIL Δ15365299.21</t>
        </is>
      </c>
      <c r="J1199" t="inlineStr">
        <is>
          <t>Bahia Etanol Holding Ltda</t>
        </is>
      </c>
      <c r="K1199" t="inlineStr">
        <is>
          <t>ajruiz.com.br</t>
        </is>
      </c>
      <c r="L1199" s="19" t="inlineStr">
        <is>
          <t>https://ajruiz.com.br/sites/default/files/public/arquivos-processos/2026-07/relacao_de_credores_art._7o_ss2o_lre.pdf</t>
        </is>
      </c>
    </row>
    <row r="1200">
      <c r="A1200" t="inlineStr">
        <is>
          <t>43426e2dbc0a</t>
        </is>
      </c>
      <c r="B1200" t="inlineStr">
        <is>
          <t>1000386-43.2022.8.26.0260</t>
        </is>
      </c>
      <c r="C1200" t="inlineStr">
        <is>
          <t>UNKNOWN</t>
        </is>
      </c>
      <c r="D1200" t="inlineStr">
        <is>
          <t>QUARANTINED</t>
        </is>
      </c>
      <c r="E1200" t="n">
        <v>48</v>
      </c>
      <c r="F1200" t="inlineStr">
        <is>
          <t>TABLE</t>
        </is>
      </c>
      <c r="G1200" t="inlineStr">
        <is>
          <t>TABLE_RULED</t>
        </is>
      </c>
      <c r="H1200" t="inlineStr">
        <is>
          <t>I/BRL: FAIL Δ8876538.95 · II/BRL: FAIL Δ-4371336.67 · III/BRL: FAIL Δ-4493294.06 · IV/BRL: FAIL Δ-2670142.78</t>
        </is>
      </c>
      <c r="J1200" t="inlineStr">
        <is>
          <t>Ativos</t>
        </is>
      </c>
      <c r="K1200" t="inlineStr">
        <is>
          <t>ativosajce.com.br</t>
        </is>
      </c>
      <c r="L1200" s="19" t="inlineStr">
        <is>
          <t>https://ativosajce.com.br/admin/download.php?file=files/processo_documento/processo_documento15073627072022_1_.pdf&amp;nome=Relação de Credores - art. 52, §1º da Lei 11.101/05 - 19/07/2022</t>
        </is>
      </c>
    </row>
  </sheetData>
  <autoFilter ref="A1:L1200"/>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 xmlns:r="http://schemas.openxmlformats.org/officeDocument/2006/relationships" ref="L655" r:id="rId654"/>
    <hyperlink xmlns:r="http://schemas.openxmlformats.org/officeDocument/2006/relationships" ref="L656" r:id="rId655"/>
    <hyperlink xmlns:r="http://schemas.openxmlformats.org/officeDocument/2006/relationships" ref="L657" r:id="rId656"/>
    <hyperlink xmlns:r="http://schemas.openxmlformats.org/officeDocument/2006/relationships" ref="L658" r:id="rId657"/>
    <hyperlink xmlns:r="http://schemas.openxmlformats.org/officeDocument/2006/relationships" ref="L659" r:id="rId658"/>
    <hyperlink xmlns:r="http://schemas.openxmlformats.org/officeDocument/2006/relationships" ref="L660" r:id="rId659"/>
    <hyperlink xmlns:r="http://schemas.openxmlformats.org/officeDocument/2006/relationships" ref="L661" r:id="rId660"/>
    <hyperlink xmlns:r="http://schemas.openxmlformats.org/officeDocument/2006/relationships" ref="L662" r:id="rId661"/>
    <hyperlink xmlns:r="http://schemas.openxmlformats.org/officeDocument/2006/relationships" ref="L663" r:id="rId662"/>
    <hyperlink xmlns:r="http://schemas.openxmlformats.org/officeDocument/2006/relationships" ref="L664" r:id="rId663"/>
    <hyperlink xmlns:r="http://schemas.openxmlformats.org/officeDocument/2006/relationships" ref="L665" r:id="rId664"/>
    <hyperlink xmlns:r="http://schemas.openxmlformats.org/officeDocument/2006/relationships" ref="L666" r:id="rId665"/>
    <hyperlink xmlns:r="http://schemas.openxmlformats.org/officeDocument/2006/relationships" ref="L667" r:id="rId666"/>
    <hyperlink xmlns:r="http://schemas.openxmlformats.org/officeDocument/2006/relationships" ref="L668" r:id="rId667"/>
    <hyperlink xmlns:r="http://schemas.openxmlformats.org/officeDocument/2006/relationships" ref="L669" r:id="rId668"/>
    <hyperlink xmlns:r="http://schemas.openxmlformats.org/officeDocument/2006/relationships" ref="L670" r:id="rId669"/>
    <hyperlink xmlns:r="http://schemas.openxmlformats.org/officeDocument/2006/relationships" ref="L671" r:id="rId670"/>
    <hyperlink xmlns:r="http://schemas.openxmlformats.org/officeDocument/2006/relationships" ref="L672" r:id="rId671"/>
    <hyperlink xmlns:r="http://schemas.openxmlformats.org/officeDocument/2006/relationships" ref="L673" r:id="rId672"/>
    <hyperlink xmlns:r="http://schemas.openxmlformats.org/officeDocument/2006/relationships" ref="L674" r:id="rId673"/>
    <hyperlink xmlns:r="http://schemas.openxmlformats.org/officeDocument/2006/relationships" ref="L675" r:id="rId674"/>
    <hyperlink xmlns:r="http://schemas.openxmlformats.org/officeDocument/2006/relationships" ref="L676" r:id="rId675"/>
    <hyperlink xmlns:r="http://schemas.openxmlformats.org/officeDocument/2006/relationships" ref="L677" r:id="rId676"/>
    <hyperlink xmlns:r="http://schemas.openxmlformats.org/officeDocument/2006/relationships" ref="L678" r:id="rId677"/>
    <hyperlink xmlns:r="http://schemas.openxmlformats.org/officeDocument/2006/relationships" ref="L679" r:id="rId678"/>
    <hyperlink xmlns:r="http://schemas.openxmlformats.org/officeDocument/2006/relationships" ref="L680" r:id="rId679"/>
    <hyperlink xmlns:r="http://schemas.openxmlformats.org/officeDocument/2006/relationships" ref="L681" r:id="rId680"/>
    <hyperlink xmlns:r="http://schemas.openxmlformats.org/officeDocument/2006/relationships" ref="L682" r:id="rId681"/>
    <hyperlink xmlns:r="http://schemas.openxmlformats.org/officeDocument/2006/relationships" ref="L683" r:id="rId682"/>
    <hyperlink xmlns:r="http://schemas.openxmlformats.org/officeDocument/2006/relationships" ref="L684" r:id="rId683"/>
    <hyperlink xmlns:r="http://schemas.openxmlformats.org/officeDocument/2006/relationships" ref="L685" r:id="rId684"/>
    <hyperlink xmlns:r="http://schemas.openxmlformats.org/officeDocument/2006/relationships" ref="L686" r:id="rId685"/>
    <hyperlink xmlns:r="http://schemas.openxmlformats.org/officeDocument/2006/relationships" ref="L687" r:id="rId686"/>
    <hyperlink xmlns:r="http://schemas.openxmlformats.org/officeDocument/2006/relationships" ref="L688" r:id="rId687"/>
    <hyperlink xmlns:r="http://schemas.openxmlformats.org/officeDocument/2006/relationships" ref="L689" r:id="rId688"/>
    <hyperlink xmlns:r="http://schemas.openxmlformats.org/officeDocument/2006/relationships" ref="L690" r:id="rId689"/>
    <hyperlink xmlns:r="http://schemas.openxmlformats.org/officeDocument/2006/relationships" ref="L691" r:id="rId690"/>
    <hyperlink xmlns:r="http://schemas.openxmlformats.org/officeDocument/2006/relationships" ref="L692" r:id="rId691"/>
    <hyperlink xmlns:r="http://schemas.openxmlformats.org/officeDocument/2006/relationships" ref="L693" r:id="rId692"/>
    <hyperlink xmlns:r="http://schemas.openxmlformats.org/officeDocument/2006/relationships" ref="L694" r:id="rId693"/>
    <hyperlink xmlns:r="http://schemas.openxmlformats.org/officeDocument/2006/relationships" ref="L695" r:id="rId694"/>
    <hyperlink xmlns:r="http://schemas.openxmlformats.org/officeDocument/2006/relationships" ref="L696" r:id="rId695"/>
    <hyperlink xmlns:r="http://schemas.openxmlformats.org/officeDocument/2006/relationships" ref="L697" r:id="rId696"/>
    <hyperlink xmlns:r="http://schemas.openxmlformats.org/officeDocument/2006/relationships" ref="L698" r:id="rId697"/>
    <hyperlink xmlns:r="http://schemas.openxmlformats.org/officeDocument/2006/relationships" ref="L699" r:id="rId698"/>
    <hyperlink xmlns:r="http://schemas.openxmlformats.org/officeDocument/2006/relationships" ref="L700" r:id="rId699"/>
    <hyperlink xmlns:r="http://schemas.openxmlformats.org/officeDocument/2006/relationships" ref="L701" r:id="rId700"/>
    <hyperlink xmlns:r="http://schemas.openxmlformats.org/officeDocument/2006/relationships" ref="L702" r:id="rId701"/>
    <hyperlink xmlns:r="http://schemas.openxmlformats.org/officeDocument/2006/relationships" ref="L703" r:id="rId702"/>
    <hyperlink xmlns:r="http://schemas.openxmlformats.org/officeDocument/2006/relationships" ref="L704" r:id="rId703"/>
    <hyperlink xmlns:r="http://schemas.openxmlformats.org/officeDocument/2006/relationships" ref="L705" r:id="rId704"/>
    <hyperlink xmlns:r="http://schemas.openxmlformats.org/officeDocument/2006/relationships" ref="L706" r:id="rId705"/>
    <hyperlink xmlns:r="http://schemas.openxmlformats.org/officeDocument/2006/relationships" ref="L707" r:id="rId706"/>
    <hyperlink xmlns:r="http://schemas.openxmlformats.org/officeDocument/2006/relationships" ref="L708" r:id="rId707"/>
    <hyperlink xmlns:r="http://schemas.openxmlformats.org/officeDocument/2006/relationships" ref="L709" r:id="rId708"/>
    <hyperlink xmlns:r="http://schemas.openxmlformats.org/officeDocument/2006/relationships" ref="L710" r:id="rId709"/>
    <hyperlink xmlns:r="http://schemas.openxmlformats.org/officeDocument/2006/relationships" ref="L711" r:id="rId710"/>
    <hyperlink xmlns:r="http://schemas.openxmlformats.org/officeDocument/2006/relationships" ref="L712" r:id="rId711"/>
    <hyperlink xmlns:r="http://schemas.openxmlformats.org/officeDocument/2006/relationships" ref="L713" r:id="rId712"/>
    <hyperlink xmlns:r="http://schemas.openxmlformats.org/officeDocument/2006/relationships" ref="L714" r:id="rId713"/>
    <hyperlink xmlns:r="http://schemas.openxmlformats.org/officeDocument/2006/relationships" ref="L715" r:id="rId714"/>
    <hyperlink xmlns:r="http://schemas.openxmlformats.org/officeDocument/2006/relationships" ref="L716" r:id="rId715"/>
    <hyperlink xmlns:r="http://schemas.openxmlformats.org/officeDocument/2006/relationships" ref="L717" r:id="rId716"/>
    <hyperlink xmlns:r="http://schemas.openxmlformats.org/officeDocument/2006/relationships" ref="L718" r:id="rId717"/>
    <hyperlink xmlns:r="http://schemas.openxmlformats.org/officeDocument/2006/relationships" ref="L719" r:id="rId718"/>
    <hyperlink xmlns:r="http://schemas.openxmlformats.org/officeDocument/2006/relationships" ref="L720" r:id="rId719"/>
    <hyperlink xmlns:r="http://schemas.openxmlformats.org/officeDocument/2006/relationships" ref="L721" r:id="rId720"/>
    <hyperlink xmlns:r="http://schemas.openxmlformats.org/officeDocument/2006/relationships" ref="L722" r:id="rId721"/>
    <hyperlink xmlns:r="http://schemas.openxmlformats.org/officeDocument/2006/relationships" ref="L723" r:id="rId722"/>
    <hyperlink xmlns:r="http://schemas.openxmlformats.org/officeDocument/2006/relationships" ref="L724" r:id="rId723"/>
    <hyperlink xmlns:r="http://schemas.openxmlformats.org/officeDocument/2006/relationships" ref="L725" r:id="rId724"/>
    <hyperlink xmlns:r="http://schemas.openxmlformats.org/officeDocument/2006/relationships" ref="L726" r:id="rId725"/>
    <hyperlink xmlns:r="http://schemas.openxmlformats.org/officeDocument/2006/relationships" ref="L727" r:id="rId726"/>
    <hyperlink xmlns:r="http://schemas.openxmlformats.org/officeDocument/2006/relationships" ref="L728" r:id="rId727"/>
    <hyperlink xmlns:r="http://schemas.openxmlformats.org/officeDocument/2006/relationships" ref="L729" r:id="rId728"/>
    <hyperlink xmlns:r="http://schemas.openxmlformats.org/officeDocument/2006/relationships" ref="L730" r:id="rId729"/>
    <hyperlink xmlns:r="http://schemas.openxmlformats.org/officeDocument/2006/relationships" ref="L731" r:id="rId730"/>
    <hyperlink xmlns:r="http://schemas.openxmlformats.org/officeDocument/2006/relationships" ref="L732" r:id="rId731"/>
    <hyperlink xmlns:r="http://schemas.openxmlformats.org/officeDocument/2006/relationships" ref="L733" r:id="rId732"/>
    <hyperlink xmlns:r="http://schemas.openxmlformats.org/officeDocument/2006/relationships" ref="L734" r:id="rId733"/>
    <hyperlink xmlns:r="http://schemas.openxmlformats.org/officeDocument/2006/relationships" ref="L735" r:id="rId734"/>
    <hyperlink xmlns:r="http://schemas.openxmlformats.org/officeDocument/2006/relationships" ref="L736" r:id="rId735"/>
    <hyperlink xmlns:r="http://schemas.openxmlformats.org/officeDocument/2006/relationships" ref="L737" r:id="rId736"/>
    <hyperlink xmlns:r="http://schemas.openxmlformats.org/officeDocument/2006/relationships" ref="L738" r:id="rId737"/>
    <hyperlink xmlns:r="http://schemas.openxmlformats.org/officeDocument/2006/relationships" ref="L739" r:id="rId738"/>
    <hyperlink xmlns:r="http://schemas.openxmlformats.org/officeDocument/2006/relationships" ref="L740" r:id="rId739"/>
    <hyperlink xmlns:r="http://schemas.openxmlformats.org/officeDocument/2006/relationships" ref="L741" r:id="rId740"/>
    <hyperlink xmlns:r="http://schemas.openxmlformats.org/officeDocument/2006/relationships" ref="L742" r:id="rId741"/>
    <hyperlink xmlns:r="http://schemas.openxmlformats.org/officeDocument/2006/relationships" ref="L743" r:id="rId742"/>
    <hyperlink xmlns:r="http://schemas.openxmlformats.org/officeDocument/2006/relationships" ref="L744" r:id="rId743"/>
    <hyperlink xmlns:r="http://schemas.openxmlformats.org/officeDocument/2006/relationships" ref="L745" r:id="rId744"/>
    <hyperlink xmlns:r="http://schemas.openxmlformats.org/officeDocument/2006/relationships" ref="L746" r:id="rId745"/>
    <hyperlink xmlns:r="http://schemas.openxmlformats.org/officeDocument/2006/relationships" ref="L747" r:id="rId746"/>
    <hyperlink xmlns:r="http://schemas.openxmlformats.org/officeDocument/2006/relationships" ref="L748" r:id="rId747"/>
    <hyperlink xmlns:r="http://schemas.openxmlformats.org/officeDocument/2006/relationships" ref="L749" r:id="rId748"/>
    <hyperlink xmlns:r="http://schemas.openxmlformats.org/officeDocument/2006/relationships" ref="L750" r:id="rId749"/>
    <hyperlink xmlns:r="http://schemas.openxmlformats.org/officeDocument/2006/relationships" ref="L751" r:id="rId750"/>
    <hyperlink xmlns:r="http://schemas.openxmlformats.org/officeDocument/2006/relationships" ref="L752" r:id="rId751"/>
    <hyperlink xmlns:r="http://schemas.openxmlformats.org/officeDocument/2006/relationships" ref="L753" r:id="rId752"/>
    <hyperlink xmlns:r="http://schemas.openxmlformats.org/officeDocument/2006/relationships" ref="L754" r:id="rId753"/>
    <hyperlink xmlns:r="http://schemas.openxmlformats.org/officeDocument/2006/relationships" ref="L755" r:id="rId754"/>
    <hyperlink xmlns:r="http://schemas.openxmlformats.org/officeDocument/2006/relationships" ref="L756" r:id="rId755"/>
    <hyperlink xmlns:r="http://schemas.openxmlformats.org/officeDocument/2006/relationships" ref="L757" r:id="rId756"/>
    <hyperlink xmlns:r="http://schemas.openxmlformats.org/officeDocument/2006/relationships" ref="L758" r:id="rId757"/>
    <hyperlink xmlns:r="http://schemas.openxmlformats.org/officeDocument/2006/relationships" ref="L759" r:id="rId758"/>
    <hyperlink xmlns:r="http://schemas.openxmlformats.org/officeDocument/2006/relationships" ref="L760" r:id="rId759"/>
    <hyperlink xmlns:r="http://schemas.openxmlformats.org/officeDocument/2006/relationships" ref="L761" r:id="rId760"/>
    <hyperlink xmlns:r="http://schemas.openxmlformats.org/officeDocument/2006/relationships" ref="L762" r:id="rId761"/>
    <hyperlink xmlns:r="http://schemas.openxmlformats.org/officeDocument/2006/relationships" ref="L763" r:id="rId762"/>
    <hyperlink xmlns:r="http://schemas.openxmlformats.org/officeDocument/2006/relationships" ref="L764" r:id="rId763"/>
    <hyperlink xmlns:r="http://schemas.openxmlformats.org/officeDocument/2006/relationships" ref="L765" r:id="rId764"/>
    <hyperlink xmlns:r="http://schemas.openxmlformats.org/officeDocument/2006/relationships" ref="L766" r:id="rId765"/>
    <hyperlink xmlns:r="http://schemas.openxmlformats.org/officeDocument/2006/relationships" ref="L767" r:id="rId766"/>
    <hyperlink xmlns:r="http://schemas.openxmlformats.org/officeDocument/2006/relationships" ref="L768" r:id="rId767"/>
    <hyperlink xmlns:r="http://schemas.openxmlformats.org/officeDocument/2006/relationships" ref="L769" r:id="rId768"/>
    <hyperlink xmlns:r="http://schemas.openxmlformats.org/officeDocument/2006/relationships" ref="L770" r:id="rId769"/>
    <hyperlink xmlns:r="http://schemas.openxmlformats.org/officeDocument/2006/relationships" ref="L771" r:id="rId770"/>
    <hyperlink xmlns:r="http://schemas.openxmlformats.org/officeDocument/2006/relationships" ref="L772" r:id="rId771"/>
    <hyperlink xmlns:r="http://schemas.openxmlformats.org/officeDocument/2006/relationships" ref="L773" r:id="rId772"/>
    <hyperlink xmlns:r="http://schemas.openxmlformats.org/officeDocument/2006/relationships" ref="L774" r:id="rId773"/>
    <hyperlink xmlns:r="http://schemas.openxmlformats.org/officeDocument/2006/relationships" ref="L775" r:id="rId774"/>
    <hyperlink xmlns:r="http://schemas.openxmlformats.org/officeDocument/2006/relationships" ref="L776" r:id="rId775"/>
    <hyperlink xmlns:r="http://schemas.openxmlformats.org/officeDocument/2006/relationships" ref="L777" r:id="rId776"/>
    <hyperlink xmlns:r="http://schemas.openxmlformats.org/officeDocument/2006/relationships" ref="L778" r:id="rId777"/>
    <hyperlink xmlns:r="http://schemas.openxmlformats.org/officeDocument/2006/relationships" ref="L779" r:id="rId778"/>
    <hyperlink xmlns:r="http://schemas.openxmlformats.org/officeDocument/2006/relationships" ref="L780" r:id="rId779"/>
    <hyperlink xmlns:r="http://schemas.openxmlformats.org/officeDocument/2006/relationships" ref="L781" r:id="rId780"/>
    <hyperlink xmlns:r="http://schemas.openxmlformats.org/officeDocument/2006/relationships" ref="L782" r:id="rId781"/>
    <hyperlink xmlns:r="http://schemas.openxmlformats.org/officeDocument/2006/relationships" ref="L783" r:id="rId782"/>
    <hyperlink xmlns:r="http://schemas.openxmlformats.org/officeDocument/2006/relationships" ref="L784" r:id="rId783"/>
    <hyperlink xmlns:r="http://schemas.openxmlformats.org/officeDocument/2006/relationships" ref="L785" r:id="rId784"/>
    <hyperlink xmlns:r="http://schemas.openxmlformats.org/officeDocument/2006/relationships" ref="L786" r:id="rId785"/>
    <hyperlink xmlns:r="http://schemas.openxmlformats.org/officeDocument/2006/relationships" ref="L787" r:id="rId786"/>
    <hyperlink xmlns:r="http://schemas.openxmlformats.org/officeDocument/2006/relationships" ref="L788" r:id="rId787"/>
    <hyperlink xmlns:r="http://schemas.openxmlformats.org/officeDocument/2006/relationships" ref="L789" r:id="rId788"/>
    <hyperlink xmlns:r="http://schemas.openxmlformats.org/officeDocument/2006/relationships" ref="L790" r:id="rId789"/>
    <hyperlink xmlns:r="http://schemas.openxmlformats.org/officeDocument/2006/relationships" ref="L791" r:id="rId790"/>
    <hyperlink xmlns:r="http://schemas.openxmlformats.org/officeDocument/2006/relationships" ref="L792" r:id="rId791"/>
    <hyperlink xmlns:r="http://schemas.openxmlformats.org/officeDocument/2006/relationships" ref="L793" r:id="rId792"/>
    <hyperlink xmlns:r="http://schemas.openxmlformats.org/officeDocument/2006/relationships" ref="L794" r:id="rId793"/>
    <hyperlink xmlns:r="http://schemas.openxmlformats.org/officeDocument/2006/relationships" ref="L795" r:id="rId794"/>
    <hyperlink xmlns:r="http://schemas.openxmlformats.org/officeDocument/2006/relationships" ref="L796" r:id="rId795"/>
    <hyperlink xmlns:r="http://schemas.openxmlformats.org/officeDocument/2006/relationships" ref="L797" r:id="rId796"/>
    <hyperlink xmlns:r="http://schemas.openxmlformats.org/officeDocument/2006/relationships" ref="L798" r:id="rId797"/>
    <hyperlink xmlns:r="http://schemas.openxmlformats.org/officeDocument/2006/relationships" ref="L799" r:id="rId798"/>
    <hyperlink xmlns:r="http://schemas.openxmlformats.org/officeDocument/2006/relationships" ref="L800" r:id="rId799"/>
    <hyperlink xmlns:r="http://schemas.openxmlformats.org/officeDocument/2006/relationships" ref="L801" r:id="rId800"/>
    <hyperlink xmlns:r="http://schemas.openxmlformats.org/officeDocument/2006/relationships" ref="L802" r:id="rId801"/>
    <hyperlink xmlns:r="http://schemas.openxmlformats.org/officeDocument/2006/relationships" ref="L803" r:id="rId802"/>
    <hyperlink xmlns:r="http://schemas.openxmlformats.org/officeDocument/2006/relationships" ref="L804" r:id="rId803"/>
    <hyperlink xmlns:r="http://schemas.openxmlformats.org/officeDocument/2006/relationships" ref="L805" r:id="rId804"/>
    <hyperlink xmlns:r="http://schemas.openxmlformats.org/officeDocument/2006/relationships" ref="L806" r:id="rId805"/>
    <hyperlink xmlns:r="http://schemas.openxmlformats.org/officeDocument/2006/relationships" ref="L807" r:id="rId806"/>
    <hyperlink xmlns:r="http://schemas.openxmlformats.org/officeDocument/2006/relationships" ref="L808" r:id="rId807"/>
    <hyperlink xmlns:r="http://schemas.openxmlformats.org/officeDocument/2006/relationships" ref="L809" r:id="rId808"/>
    <hyperlink xmlns:r="http://schemas.openxmlformats.org/officeDocument/2006/relationships" ref="L810" r:id="rId809"/>
    <hyperlink xmlns:r="http://schemas.openxmlformats.org/officeDocument/2006/relationships" ref="L811" r:id="rId810"/>
    <hyperlink xmlns:r="http://schemas.openxmlformats.org/officeDocument/2006/relationships" ref="L812" r:id="rId811"/>
    <hyperlink xmlns:r="http://schemas.openxmlformats.org/officeDocument/2006/relationships" ref="L813" r:id="rId812"/>
    <hyperlink xmlns:r="http://schemas.openxmlformats.org/officeDocument/2006/relationships" ref="L814" r:id="rId813"/>
    <hyperlink xmlns:r="http://schemas.openxmlformats.org/officeDocument/2006/relationships" ref="L815" r:id="rId814"/>
    <hyperlink xmlns:r="http://schemas.openxmlformats.org/officeDocument/2006/relationships" ref="L816" r:id="rId815"/>
    <hyperlink xmlns:r="http://schemas.openxmlformats.org/officeDocument/2006/relationships" ref="L817" r:id="rId816"/>
    <hyperlink xmlns:r="http://schemas.openxmlformats.org/officeDocument/2006/relationships" ref="L818" r:id="rId817"/>
    <hyperlink xmlns:r="http://schemas.openxmlformats.org/officeDocument/2006/relationships" ref="L819" r:id="rId818"/>
    <hyperlink xmlns:r="http://schemas.openxmlformats.org/officeDocument/2006/relationships" ref="L820" r:id="rId819"/>
    <hyperlink xmlns:r="http://schemas.openxmlformats.org/officeDocument/2006/relationships" ref="L821" r:id="rId820"/>
    <hyperlink xmlns:r="http://schemas.openxmlformats.org/officeDocument/2006/relationships" ref="L822" r:id="rId821"/>
    <hyperlink xmlns:r="http://schemas.openxmlformats.org/officeDocument/2006/relationships" ref="L823" r:id="rId822"/>
    <hyperlink xmlns:r="http://schemas.openxmlformats.org/officeDocument/2006/relationships" ref="L824" r:id="rId823"/>
    <hyperlink xmlns:r="http://schemas.openxmlformats.org/officeDocument/2006/relationships" ref="L825" r:id="rId824"/>
    <hyperlink xmlns:r="http://schemas.openxmlformats.org/officeDocument/2006/relationships" ref="L826" r:id="rId825"/>
    <hyperlink xmlns:r="http://schemas.openxmlformats.org/officeDocument/2006/relationships" ref="L827" r:id="rId826"/>
    <hyperlink xmlns:r="http://schemas.openxmlformats.org/officeDocument/2006/relationships" ref="L828" r:id="rId827"/>
    <hyperlink xmlns:r="http://schemas.openxmlformats.org/officeDocument/2006/relationships" ref="L829" r:id="rId828"/>
    <hyperlink xmlns:r="http://schemas.openxmlformats.org/officeDocument/2006/relationships" ref="L830" r:id="rId829"/>
    <hyperlink xmlns:r="http://schemas.openxmlformats.org/officeDocument/2006/relationships" ref="L831" r:id="rId830"/>
    <hyperlink xmlns:r="http://schemas.openxmlformats.org/officeDocument/2006/relationships" ref="L832" r:id="rId831"/>
    <hyperlink xmlns:r="http://schemas.openxmlformats.org/officeDocument/2006/relationships" ref="L833" r:id="rId832"/>
    <hyperlink xmlns:r="http://schemas.openxmlformats.org/officeDocument/2006/relationships" ref="L834" r:id="rId833"/>
    <hyperlink xmlns:r="http://schemas.openxmlformats.org/officeDocument/2006/relationships" ref="L835" r:id="rId834"/>
    <hyperlink xmlns:r="http://schemas.openxmlformats.org/officeDocument/2006/relationships" ref="L836" r:id="rId835"/>
    <hyperlink xmlns:r="http://schemas.openxmlformats.org/officeDocument/2006/relationships" ref="L837" r:id="rId836"/>
    <hyperlink xmlns:r="http://schemas.openxmlformats.org/officeDocument/2006/relationships" ref="L838" r:id="rId837"/>
    <hyperlink xmlns:r="http://schemas.openxmlformats.org/officeDocument/2006/relationships" ref="L839" r:id="rId838"/>
    <hyperlink xmlns:r="http://schemas.openxmlformats.org/officeDocument/2006/relationships" ref="L840" r:id="rId839"/>
    <hyperlink xmlns:r="http://schemas.openxmlformats.org/officeDocument/2006/relationships" ref="L841" r:id="rId840"/>
    <hyperlink xmlns:r="http://schemas.openxmlformats.org/officeDocument/2006/relationships" ref="L842" r:id="rId841"/>
    <hyperlink xmlns:r="http://schemas.openxmlformats.org/officeDocument/2006/relationships" ref="L843" r:id="rId842"/>
    <hyperlink xmlns:r="http://schemas.openxmlformats.org/officeDocument/2006/relationships" ref="L844" r:id="rId843"/>
    <hyperlink xmlns:r="http://schemas.openxmlformats.org/officeDocument/2006/relationships" ref="L845" r:id="rId844"/>
    <hyperlink xmlns:r="http://schemas.openxmlformats.org/officeDocument/2006/relationships" ref="L846" r:id="rId845"/>
    <hyperlink xmlns:r="http://schemas.openxmlformats.org/officeDocument/2006/relationships" ref="L847" r:id="rId846"/>
    <hyperlink xmlns:r="http://schemas.openxmlformats.org/officeDocument/2006/relationships" ref="L848" r:id="rId847"/>
    <hyperlink xmlns:r="http://schemas.openxmlformats.org/officeDocument/2006/relationships" ref="L849" r:id="rId848"/>
    <hyperlink xmlns:r="http://schemas.openxmlformats.org/officeDocument/2006/relationships" ref="L850" r:id="rId849"/>
    <hyperlink xmlns:r="http://schemas.openxmlformats.org/officeDocument/2006/relationships" ref="L851" r:id="rId850"/>
    <hyperlink xmlns:r="http://schemas.openxmlformats.org/officeDocument/2006/relationships" ref="L852" r:id="rId851"/>
    <hyperlink xmlns:r="http://schemas.openxmlformats.org/officeDocument/2006/relationships" ref="L853" r:id="rId852"/>
    <hyperlink xmlns:r="http://schemas.openxmlformats.org/officeDocument/2006/relationships" ref="L854" r:id="rId853"/>
    <hyperlink xmlns:r="http://schemas.openxmlformats.org/officeDocument/2006/relationships" ref="L855" r:id="rId854"/>
    <hyperlink xmlns:r="http://schemas.openxmlformats.org/officeDocument/2006/relationships" ref="L856" r:id="rId855"/>
    <hyperlink xmlns:r="http://schemas.openxmlformats.org/officeDocument/2006/relationships" ref="L857" r:id="rId856"/>
    <hyperlink xmlns:r="http://schemas.openxmlformats.org/officeDocument/2006/relationships" ref="L858" r:id="rId857"/>
    <hyperlink xmlns:r="http://schemas.openxmlformats.org/officeDocument/2006/relationships" ref="L859" r:id="rId858"/>
    <hyperlink xmlns:r="http://schemas.openxmlformats.org/officeDocument/2006/relationships" ref="L860" r:id="rId859"/>
    <hyperlink xmlns:r="http://schemas.openxmlformats.org/officeDocument/2006/relationships" ref="L861" r:id="rId860"/>
    <hyperlink xmlns:r="http://schemas.openxmlformats.org/officeDocument/2006/relationships" ref="L862" r:id="rId861"/>
    <hyperlink xmlns:r="http://schemas.openxmlformats.org/officeDocument/2006/relationships" ref="L863" r:id="rId862"/>
    <hyperlink xmlns:r="http://schemas.openxmlformats.org/officeDocument/2006/relationships" ref="L864" r:id="rId863"/>
    <hyperlink xmlns:r="http://schemas.openxmlformats.org/officeDocument/2006/relationships" ref="L865" r:id="rId864"/>
    <hyperlink xmlns:r="http://schemas.openxmlformats.org/officeDocument/2006/relationships" ref="L866" r:id="rId865"/>
    <hyperlink xmlns:r="http://schemas.openxmlformats.org/officeDocument/2006/relationships" ref="L867" r:id="rId866"/>
    <hyperlink xmlns:r="http://schemas.openxmlformats.org/officeDocument/2006/relationships" ref="L868" r:id="rId867"/>
    <hyperlink xmlns:r="http://schemas.openxmlformats.org/officeDocument/2006/relationships" ref="L869" r:id="rId868"/>
    <hyperlink xmlns:r="http://schemas.openxmlformats.org/officeDocument/2006/relationships" ref="L870" r:id="rId869"/>
    <hyperlink xmlns:r="http://schemas.openxmlformats.org/officeDocument/2006/relationships" ref="L871" r:id="rId870"/>
    <hyperlink xmlns:r="http://schemas.openxmlformats.org/officeDocument/2006/relationships" ref="L872" r:id="rId871"/>
    <hyperlink xmlns:r="http://schemas.openxmlformats.org/officeDocument/2006/relationships" ref="L873" r:id="rId872"/>
    <hyperlink xmlns:r="http://schemas.openxmlformats.org/officeDocument/2006/relationships" ref="L874" r:id="rId873"/>
    <hyperlink xmlns:r="http://schemas.openxmlformats.org/officeDocument/2006/relationships" ref="L875" r:id="rId874"/>
    <hyperlink xmlns:r="http://schemas.openxmlformats.org/officeDocument/2006/relationships" ref="L876" r:id="rId875"/>
    <hyperlink xmlns:r="http://schemas.openxmlformats.org/officeDocument/2006/relationships" ref="L877" r:id="rId876"/>
    <hyperlink xmlns:r="http://schemas.openxmlformats.org/officeDocument/2006/relationships" ref="L878" r:id="rId877"/>
    <hyperlink xmlns:r="http://schemas.openxmlformats.org/officeDocument/2006/relationships" ref="L879" r:id="rId878"/>
    <hyperlink xmlns:r="http://schemas.openxmlformats.org/officeDocument/2006/relationships" ref="L880" r:id="rId879"/>
    <hyperlink xmlns:r="http://schemas.openxmlformats.org/officeDocument/2006/relationships" ref="L881" r:id="rId880"/>
    <hyperlink xmlns:r="http://schemas.openxmlformats.org/officeDocument/2006/relationships" ref="L882" r:id="rId881"/>
    <hyperlink xmlns:r="http://schemas.openxmlformats.org/officeDocument/2006/relationships" ref="L883" r:id="rId882"/>
    <hyperlink xmlns:r="http://schemas.openxmlformats.org/officeDocument/2006/relationships" ref="L884" r:id="rId883"/>
    <hyperlink xmlns:r="http://schemas.openxmlformats.org/officeDocument/2006/relationships" ref="L885" r:id="rId884"/>
    <hyperlink xmlns:r="http://schemas.openxmlformats.org/officeDocument/2006/relationships" ref="L886" r:id="rId885"/>
    <hyperlink xmlns:r="http://schemas.openxmlformats.org/officeDocument/2006/relationships" ref="L887" r:id="rId886"/>
    <hyperlink xmlns:r="http://schemas.openxmlformats.org/officeDocument/2006/relationships" ref="L888" r:id="rId887"/>
    <hyperlink xmlns:r="http://schemas.openxmlformats.org/officeDocument/2006/relationships" ref="L889" r:id="rId888"/>
    <hyperlink xmlns:r="http://schemas.openxmlformats.org/officeDocument/2006/relationships" ref="L890" r:id="rId889"/>
    <hyperlink xmlns:r="http://schemas.openxmlformats.org/officeDocument/2006/relationships" ref="L891" r:id="rId890"/>
    <hyperlink xmlns:r="http://schemas.openxmlformats.org/officeDocument/2006/relationships" ref="L892" r:id="rId891"/>
    <hyperlink xmlns:r="http://schemas.openxmlformats.org/officeDocument/2006/relationships" ref="L893" r:id="rId892"/>
    <hyperlink xmlns:r="http://schemas.openxmlformats.org/officeDocument/2006/relationships" ref="L894" r:id="rId893"/>
    <hyperlink xmlns:r="http://schemas.openxmlformats.org/officeDocument/2006/relationships" ref="L895" r:id="rId894"/>
    <hyperlink xmlns:r="http://schemas.openxmlformats.org/officeDocument/2006/relationships" ref="L896" r:id="rId895"/>
    <hyperlink xmlns:r="http://schemas.openxmlformats.org/officeDocument/2006/relationships" ref="L897" r:id="rId896"/>
    <hyperlink xmlns:r="http://schemas.openxmlformats.org/officeDocument/2006/relationships" ref="L898" r:id="rId897"/>
    <hyperlink xmlns:r="http://schemas.openxmlformats.org/officeDocument/2006/relationships" ref="L899" r:id="rId898"/>
    <hyperlink xmlns:r="http://schemas.openxmlformats.org/officeDocument/2006/relationships" ref="L900" r:id="rId899"/>
    <hyperlink xmlns:r="http://schemas.openxmlformats.org/officeDocument/2006/relationships" ref="L901" r:id="rId900"/>
    <hyperlink xmlns:r="http://schemas.openxmlformats.org/officeDocument/2006/relationships" ref="L902" r:id="rId901"/>
    <hyperlink xmlns:r="http://schemas.openxmlformats.org/officeDocument/2006/relationships" ref="L903" r:id="rId902"/>
    <hyperlink xmlns:r="http://schemas.openxmlformats.org/officeDocument/2006/relationships" ref="L904" r:id="rId903"/>
    <hyperlink xmlns:r="http://schemas.openxmlformats.org/officeDocument/2006/relationships" ref="L905" r:id="rId904"/>
    <hyperlink xmlns:r="http://schemas.openxmlformats.org/officeDocument/2006/relationships" ref="L906" r:id="rId905"/>
    <hyperlink xmlns:r="http://schemas.openxmlformats.org/officeDocument/2006/relationships" ref="L907" r:id="rId906"/>
    <hyperlink xmlns:r="http://schemas.openxmlformats.org/officeDocument/2006/relationships" ref="L908" r:id="rId907"/>
    <hyperlink xmlns:r="http://schemas.openxmlformats.org/officeDocument/2006/relationships" ref="L909" r:id="rId908"/>
    <hyperlink xmlns:r="http://schemas.openxmlformats.org/officeDocument/2006/relationships" ref="L910" r:id="rId909"/>
    <hyperlink xmlns:r="http://schemas.openxmlformats.org/officeDocument/2006/relationships" ref="L911" r:id="rId910"/>
    <hyperlink xmlns:r="http://schemas.openxmlformats.org/officeDocument/2006/relationships" ref="L912" r:id="rId911"/>
    <hyperlink xmlns:r="http://schemas.openxmlformats.org/officeDocument/2006/relationships" ref="L913" r:id="rId912"/>
    <hyperlink xmlns:r="http://schemas.openxmlformats.org/officeDocument/2006/relationships" ref="L914" r:id="rId913"/>
    <hyperlink xmlns:r="http://schemas.openxmlformats.org/officeDocument/2006/relationships" ref="L915" r:id="rId914"/>
    <hyperlink xmlns:r="http://schemas.openxmlformats.org/officeDocument/2006/relationships" ref="L916" r:id="rId915"/>
    <hyperlink xmlns:r="http://schemas.openxmlformats.org/officeDocument/2006/relationships" ref="L917" r:id="rId916"/>
    <hyperlink xmlns:r="http://schemas.openxmlformats.org/officeDocument/2006/relationships" ref="L918" r:id="rId917"/>
    <hyperlink xmlns:r="http://schemas.openxmlformats.org/officeDocument/2006/relationships" ref="L919" r:id="rId918"/>
    <hyperlink xmlns:r="http://schemas.openxmlformats.org/officeDocument/2006/relationships" ref="L920" r:id="rId919"/>
    <hyperlink xmlns:r="http://schemas.openxmlformats.org/officeDocument/2006/relationships" ref="L921" r:id="rId920"/>
    <hyperlink xmlns:r="http://schemas.openxmlformats.org/officeDocument/2006/relationships" ref="L922" r:id="rId921"/>
    <hyperlink xmlns:r="http://schemas.openxmlformats.org/officeDocument/2006/relationships" ref="L923" r:id="rId922"/>
    <hyperlink xmlns:r="http://schemas.openxmlformats.org/officeDocument/2006/relationships" ref="L924" r:id="rId923"/>
    <hyperlink xmlns:r="http://schemas.openxmlformats.org/officeDocument/2006/relationships" ref="L925" r:id="rId924"/>
    <hyperlink xmlns:r="http://schemas.openxmlformats.org/officeDocument/2006/relationships" ref="L926" r:id="rId925"/>
    <hyperlink xmlns:r="http://schemas.openxmlformats.org/officeDocument/2006/relationships" ref="L927" r:id="rId926"/>
    <hyperlink xmlns:r="http://schemas.openxmlformats.org/officeDocument/2006/relationships" ref="L928" r:id="rId927"/>
    <hyperlink xmlns:r="http://schemas.openxmlformats.org/officeDocument/2006/relationships" ref="L929" r:id="rId928"/>
    <hyperlink xmlns:r="http://schemas.openxmlformats.org/officeDocument/2006/relationships" ref="L930" r:id="rId929"/>
    <hyperlink xmlns:r="http://schemas.openxmlformats.org/officeDocument/2006/relationships" ref="L931" r:id="rId930"/>
    <hyperlink xmlns:r="http://schemas.openxmlformats.org/officeDocument/2006/relationships" ref="L932" r:id="rId931"/>
    <hyperlink xmlns:r="http://schemas.openxmlformats.org/officeDocument/2006/relationships" ref="L933" r:id="rId932"/>
    <hyperlink xmlns:r="http://schemas.openxmlformats.org/officeDocument/2006/relationships" ref="L934" r:id="rId933"/>
    <hyperlink xmlns:r="http://schemas.openxmlformats.org/officeDocument/2006/relationships" ref="L935" r:id="rId934"/>
    <hyperlink xmlns:r="http://schemas.openxmlformats.org/officeDocument/2006/relationships" ref="L936" r:id="rId935"/>
    <hyperlink xmlns:r="http://schemas.openxmlformats.org/officeDocument/2006/relationships" ref="L937" r:id="rId936"/>
    <hyperlink xmlns:r="http://schemas.openxmlformats.org/officeDocument/2006/relationships" ref="L938" r:id="rId937"/>
    <hyperlink xmlns:r="http://schemas.openxmlformats.org/officeDocument/2006/relationships" ref="L939" r:id="rId938"/>
    <hyperlink xmlns:r="http://schemas.openxmlformats.org/officeDocument/2006/relationships" ref="L940" r:id="rId939"/>
    <hyperlink xmlns:r="http://schemas.openxmlformats.org/officeDocument/2006/relationships" ref="L941" r:id="rId940"/>
    <hyperlink xmlns:r="http://schemas.openxmlformats.org/officeDocument/2006/relationships" ref="L942" r:id="rId941"/>
    <hyperlink xmlns:r="http://schemas.openxmlformats.org/officeDocument/2006/relationships" ref="L943" r:id="rId942"/>
    <hyperlink xmlns:r="http://schemas.openxmlformats.org/officeDocument/2006/relationships" ref="L944" r:id="rId943"/>
    <hyperlink xmlns:r="http://schemas.openxmlformats.org/officeDocument/2006/relationships" ref="L945" r:id="rId944"/>
    <hyperlink xmlns:r="http://schemas.openxmlformats.org/officeDocument/2006/relationships" ref="L946" r:id="rId945"/>
    <hyperlink xmlns:r="http://schemas.openxmlformats.org/officeDocument/2006/relationships" ref="L947" r:id="rId946"/>
    <hyperlink xmlns:r="http://schemas.openxmlformats.org/officeDocument/2006/relationships" ref="L948" r:id="rId947"/>
    <hyperlink xmlns:r="http://schemas.openxmlformats.org/officeDocument/2006/relationships" ref="L949" r:id="rId948"/>
    <hyperlink xmlns:r="http://schemas.openxmlformats.org/officeDocument/2006/relationships" ref="L950" r:id="rId949"/>
    <hyperlink xmlns:r="http://schemas.openxmlformats.org/officeDocument/2006/relationships" ref="L951" r:id="rId950"/>
    <hyperlink xmlns:r="http://schemas.openxmlformats.org/officeDocument/2006/relationships" ref="L952" r:id="rId951"/>
    <hyperlink xmlns:r="http://schemas.openxmlformats.org/officeDocument/2006/relationships" ref="L953" r:id="rId952"/>
    <hyperlink xmlns:r="http://schemas.openxmlformats.org/officeDocument/2006/relationships" ref="L954" r:id="rId953"/>
    <hyperlink xmlns:r="http://schemas.openxmlformats.org/officeDocument/2006/relationships" ref="L955" r:id="rId954"/>
    <hyperlink xmlns:r="http://schemas.openxmlformats.org/officeDocument/2006/relationships" ref="L956" r:id="rId955"/>
    <hyperlink xmlns:r="http://schemas.openxmlformats.org/officeDocument/2006/relationships" ref="L957" r:id="rId956"/>
    <hyperlink xmlns:r="http://schemas.openxmlformats.org/officeDocument/2006/relationships" ref="L958" r:id="rId957"/>
    <hyperlink xmlns:r="http://schemas.openxmlformats.org/officeDocument/2006/relationships" ref="L959" r:id="rId958"/>
    <hyperlink xmlns:r="http://schemas.openxmlformats.org/officeDocument/2006/relationships" ref="L960" r:id="rId959"/>
    <hyperlink xmlns:r="http://schemas.openxmlformats.org/officeDocument/2006/relationships" ref="L961" r:id="rId960"/>
    <hyperlink xmlns:r="http://schemas.openxmlformats.org/officeDocument/2006/relationships" ref="L962" r:id="rId961"/>
    <hyperlink xmlns:r="http://schemas.openxmlformats.org/officeDocument/2006/relationships" ref="L963" r:id="rId962"/>
    <hyperlink xmlns:r="http://schemas.openxmlformats.org/officeDocument/2006/relationships" ref="L964" r:id="rId963"/>
    <hyperlink xmlns:r="http://schemas.openxmlformats.org/officeDocument/2006/relationships" ref="L965" r:id="rId964"/>
    <hyperlink xmlns:r="http://schemas.openxmlformats.org/officeDocument/2006/relationships" ref="L966" r:id="rId965"/>
    <hyperlink xmlns:r="http://schemas.openxmlformats.org/officeDocument/2006/relationships" ref="L967" r:id="rId966"/>
    <hyperlink xmlns:r="http://schemas.openxmlformats.org/officeDocument/2006/relationships" ref="L968" r:id="rId967"/>
    <hyperlink xmlns:r="http://schemas.openxmlformats.org/officeDocument/2006/relationships" ref="L969" r:id="rId968"/>
    <hyperlink xmlns:r="http://schemas.openxmlformats.org/officeDocument/2006/relationships" ref="L970" r:id="rId969"/>
    <hyperlink xmlns:r="http://schemas.openxmlformats.org/officeDocument/2006/relationships" ref="L971" r:id="rId970"/>
    <hyperlink xmlns:r="http://schemas.openxmlformats.org/officeDocument/2006/relationships" ref="L972" r:id="rId971"/>
    <hyperlink xmlns:r="http://schemas.openxmlformats.org/officeDocument/2006/relationships" ref="L973" r:id="rId972"/>
    <hyperlink xmlns:r="http://schemas.openxmlformats.org/officeDocument/2006/relationships" ref="L974" r:id="rId973"/>
    <hyperlink xmlns:r="http://schemas.openxmlformats.org/officeDocument/2006/relationships" ref="L975" r:id="rId974"/>
    <hyperlink xmlns:r="http://schemas.openxmlformats.org/officeDocument/2006/relationships" ref="L976" r:id="rId975"/>
    <hyperlink xmlns:r="http://schemas.openxmlformats.org/officeDocument/2006/relationships" ref="L977" r:id="rId976"/>
    <hyperlink xmlns:r="http://schemas.openxmlformats.org/officeDocument/2006/relationships" ref="L978" r:id="rId977"/>
    <hyperlink xmlns:r="http://schemas.openxmlformats.org/officeDocument/2006/relationships" ref="L979" r:id="rId978"/>
    <hyperlink xmlns:r="http://schemas.openxmlformats.org/officeDocument/2006/relationships" ref="L980" r:id="rId979"/>
    <hyperlink xmlns:r="http://schemas.openxmlformats.org/officeDocument/2006/relationships" ref="L981" r:id="rId980"/>
    <hyperlink xmlns:r="http://schemas.openxmlformats.org/officeDocument/2006/relationships" ref="L982" r:id="rId981"/>
    <hyperlink xmlns:r="http://schemas.openxmlformats.org/officeDocument/2006/relationships" ref="L983" r:id="rId982"/>
    <hyperlink xmlns:r="http://schemas.openxmlformats.org/officeDocument/2006/relationships" ref="L984" r:id="rId983"/>
    <hyperlink xmlns:r="http://schemas.openxmlformats.org/officeDocument/2006/relationships" ref="L985" r:id="rId984"/>
    <hyperlink xmlns:r="http://schemas.openxmlformats.org/officeDocument/2006/relationships" ref="L986" r:id="rId985"/>
    <hyperlink xmlns:r="http://schemas.openxmlformats.org/officeDocument/2006/relationships" ref="L987" r:id="rId986"/>
    <hyperlink xmlns:r="http://schemas.openxmlformats.org/officeDocument/2006/relationships" ref="L988" r:id="rId987"/>
    <hyperlink xmlns:r="http://schemas.openxmlformats.org/officeDocument/2006/relationships" ref="L989" r:id="rId988"/>
    <hyperlink xmlns:r="http://schemas.openxmlformats.org/officeDocument/2006/relationships" ref="L990" r:id="rId989"/>
    <hyperlink xmlns:r="http://schemas.openxmlformats.org/officeDocument/2006/relationships" ref="L991" r:id="rId990"/>
    <hyperlink xmlns:r="http://schemas.openxmlformats.org/officeDocument/2006/relationships" ref="L992" r:id="rId991"/>
    <hyperlink xmlns:r="http://schemas.openxmlformats.org/officeDocument/2006/relationships" ref="L993" r:id="rId992"/>
    <hyperlink xmlns:r="http://schemas.openxmlformats.org/officeDocument/2006/relationships" ref="L994" r:id="rId993"/>
    <hyperlink xmlns:r="http://schemas.openxmlformats.org/officeDocument/2006/relationships" ref="L995" r:id="rId994"/>
    <hyperlink xmlns:r="http://schemas.openxmlformats.org/officeDocument/2006/relationships" ref="L996" r:id="rId995"/>
    <hyperlink xmlns:r="http://schemas.openxmlformats.org/officeDocument/2006/relationships" ref="L997" r:id="rId996"/>
    <hyperlink xmlns:r="http://schemas.openxmlformats.org/officeDocument/2006/relationships" ref="L998" r:id="rId997"/>
    <hyperlink xmlns:r="http://schemas.openxmlformats.org/officeDocument/2006/relationships" ref="L999" r:id="rId998"/>
    <hyperlink xmlns:r="http://schemas.openxmlformats.org/officeDocument/2006/relationships" ref="L1000" r:id="rId999"/>
    <hyperlink xmlns:r="http://schemas.openxmlformats.org/officeDocument/2006/relationships" ref="L1001" r:id="rId1000"/>
    <hyperlink xmlns:r="http://schemas.openxmlformats.org/officeDocument/2006/relationships" ref="L1002" r:id="rId1001"/>
    <hyperlink xmlns:r="http://schemas.openxmlformats.org/officeDocument/2006/relationships" ref="L1003" r:id="rId1002"/>
    <hyperlink xmlns:r="http://schemas.openxmlformats.org/officeDocument/2006/relationships" ref="L1004" r:id="rId1003"/>
    <hyperlink xmlns:r="http://schemas.openxmlformats.org/officeDocument/2006/relationships" ref="L1005" r:id="rId1004"/>
    <hyperlink xmlns:r="http://schemas.openxmlformats.org/officeDocument/2006/relationships" ref="L1006" r:id="rId1005"/>
    <hyperlink xmlns:r="http://schemas.openxmlformats.org/officeDocument/2006/relationships" ref="L1007" r:id="rId1006"/>
    <hyperlink xmlns:r="http://schemas.openxmlformats.org/officeDocument/2006/relationships" ref="L1008" r:id="rId1007"/>
    <hyperlink xmlns:r="http://schemas.openxmlformats.org/officeDocument/2006/relationships" ref="L1009" r:id="rId1008"/>
    <hyperlink xmlns:r="http://schemas.openxmlformats.org/officeDocument/2006/relationships" ref="L1010" r:id="rId1009"/>
    <hyperlink xmlns:r="http://schemas.openxmlformats.org/officeDocument/2006/relationships" ref="L1011" r:id="rId1010"/>
    <hyperlink xmlns:r="http://schemas.openxmlformats.org/officeDocument/2006/relationships" ref="L1012" r:id="rId1011"/>
    <hyperlink xmlns:r="http://schemas.openxmlformats.org/officeDocument/2006/relationships" ref="L1013" r:id="rId1012"/>
    <hyperlink xmlns:r="http://schemas.openxmlformats.org/officeDocument/2006/relationships" ref="L1014" r:id="rId1013"/>
    <hyperlink xmlns:r="http://schemas.openxmlformats.org/officeDocument/2006/relationships" ref="L1015" r:id="rId1014"/>
    <hyperlink xmlns:r="http://schemas.openxmlformats.org/officeDocument/2006/relationships" ref="L1016" r:id="rId1015"/>
    <hyperlink xmlns:r="http://schemas.openxmlformats.org/officeDocument/2006/relationships" ref="L1017" r:id="rId1016"/>
    <hyperlink xmlns:r="http://schemas.openxmlformats.org/officeDocument/2006/relationships" ref="L1018" r:id="rId1017"/>
    <hyperlink xmlns:r="http://schemas.openxmlformats.org/officeDocument/2006/relationships" ref="L1019" r:id="rId1018"/>
    <hyperlink xmlns:r="http://schemas.openxmlformats.org/officeDocument/2006/relationships" ref="L1020" r:id="rId1019"/>
    <hyperlink xmlns:r="http://schemas.openxmlformats.org/officeDocument/2006/relationships" ref="L1021" r:id="rId1020"/>
    <hyperlink xmlns:r="http://schemas.openxmlformats.org/officeDocument/2006/relationships" ref="L1022" r:id="rId1021"/>
    <hyperlink xmlns:r="http://schemas.openxmlformats.org/officeDocument/2006/relationships" ref="L1023" r:id="rId1022"/>
    <hyperlink xmlns:r="http://schemas.openxmlformats.org/officeDocument/2006/relationships" ref="L1024" r:id="rId1023"/>
    <hyperlink xmlns:r="http://schemas.openxmlformats.org/officeDocument/2006/relationships" ref="L1025" r:id="rId1024"/>
    <hyperlink xmlns:r="http://schemas.openxmlformats.org/officeDocument/2006/relationships" ref="L1026" r:id="rId1025"/>
    <hyperlink xmlns:r="http://schemas.openxmlformats.org/officeDocument/2006/relationships" ref="L1027" r:id="rId1026"/>
    <hyperlink xmlns:r="http://schemas.openxmlformats.org/officeDocument/2006/relationships" ref="L1028" r:id="rId1027"/>
    <hyperlink xmlns:r="http://schemas.openxmlformats.org/officeDocument/2006/relationships" ref="L1029" r:id="rId1028"/>
    <hyperlink xmlns:r="http://schemas.openxmlformats.org/officeDocument/2006/relationships" ref="L1030" r:id="rId1029"/>
    <hyperlink xmlns:r="http://schemas.openxmlformats.org/officeDocument/2006/relationships" ref="L1031" r:id="rId1030"/>
    <hyperlink xmlns:r="http://schemas.openxmlformats.org/officeDocument/2006/relationships" ref="L1032" r:id="rId1031"/>
    <hyperlink xmlns:r="http://schemas.openxmlformats.org/officeDocument/2006/relationships" ref="L1033" r:id="rId1032"/>
    <hyperlink xmlns:r="http://schemas.openxmlformats.org/officeDocument/2006/relationships" ref="L1034" r:id="rId1033"/>
    <hyperlink xmlns:r="http://schemas.openxmlformats.org/officeDocument/2006/relationships" ref="L1035" r:id="rId1034"/>
    <hyperlink xmlns:r="http://schemas.openxmlformats.org/officeDocument/2006/relationships" ref="L1036" r:id="rId1035"/>
    <hyperlink xmlns:r="http://schemas.openxmlformats.org/officeDocument/2006/relationships" ref="L1037" r:id="rId1036"/>
    <hyperlink xmlns:r="http://schemas.openxmlformats.org/officeDocument/2006/relationships" ref="L1038" r:id="rId1037"/>
    <hyperlink xmlns:r="http://schemas.openxmlformats.org/officeDocument/2006/relationships" ref="L1039" r:id="rId1038"/>
    <hyperlink xmlns:r="http://schemas.openxmlformats.org/officeDocument/2006/relationships" ref="L1040" r:id="rId1039"/>
    <hyperlink xmlns:r="http://schemas.openxmlformats.org/officeDocument/2006/relationships" ref="L1041" r:id="rId1040"/>
    <hyperlink xmlns:r="http://schemas.openxmlformats.org/officeDocument/2006/relationships" ref="L1042" r:id="rId1041"/>
    <hyperlink xmlns:r="http://schemas.openxmlformats.org/officeDocument/2006/relationships" ref="L1043" r:id="rId1042"/>
    <hyperlink xmlns:r="http://schemas.openxmlformats.org/officeDocument/2006/relationships" ref="L1044" r:id="rId1043"/>
    <hyperlink xmlns:r="http://schemas.openxmlformats.org/officeDocument/2006/relationships" ref="L1045" r:id="rId1044"/>
    <hyperlink xmlns:r="http://schemas.openxmlformats.org/officeDocument/2006/relationships" ref="L1046" r:id="rId1045"/>
    <hyperlink xmlns:r="http://schemas.openxmlformats.org/officeDocument/2006/relationships" ref="L1047" r:id="rId1046"/>
    <hyperlink xmlns:r="http://schemas.openxmlformats.org/officeDocument/2006/relationships" ref="L1048" r:id="rId1047"/>
    <hyperlink xmlns:r="http://schemas.openxmlformats.org/officeDocument/2006/relationships" ref="L1049" r:id="rId1048"/>
    <hyperlink xmlns:r="http://schemas.openxmlformats.org/officeDocument/2006/relationships" ref="L1050" r:id="rId1049"/>
    <hyperlink xmlns:r="http://schemas.openxmlformats.org/officeDocument/2006/relationships" ref="L1051" r:id="rId1050"/>
    <hyperlink xmlns:r="http://schemas.openxmlformats.org/officeDocument/2006/relationships" ref="L1052" r:id="rId1051"/>
    <hyperlink xmlns:r="http://schemas.openxmlformats.org/officeDocument/2006/relationships" ref="L1053" r:id="rId1052"/>
    <hyperlink xmlns:r="http://schemas.openxmlformats.org/officeDocument/2006/relationships" ref="L1054" r:id="rId1053"/>
    <hyperlink xmlns:r="http://schemas.openxmlformats.org/officeDocument/2006/relationships" ref="L1055" r:id="rId1054"/>
    <hyperlink xmlns:r="http://schemas.openxmlformats.org/officeDocument/2006/relationships" ref="L1056" r:id="rId1055"/>
    <hyperlink xmlns:r="http://schemas.openxmlformats.org/officeDocument/2006/relationships" ref="L1057" r:id="rId1056"/>
    <hyperlink xmlns:r="http://schemas.openxmlformats.org/officeDocument/2006/relationships" ref="L1058" r:id="rId1057"/>
    <hyperlink xmlns:r="http://schemas.openxmlformats.org/officeDocument/2006/relationships" ref="L1059" r:id="rId1058"/>
    <hyperlink xmlns:r="http://schemas.openxmlformats.org/officeDocument/2006/relationships" ref="L1060" r:id="rId1059"/>
    <hyperlink xmlns:r="http://schemas.openxmlformats.org/officeDocument/2006/relationships" ref="L1061" r:id="rId1060"/>
    <hyperlink xmlns:r="http://schemas.openxmlformats.org/officeDocument/2006/relationships" ref="L1062" r:id="rId1061"/>
    <hyperlink xmlns:r="http://schemas.openxmlformats.org/officeDocument/2006/relationships" ref="L1063" r:id="rId1062"/>
    <hyperlink xmlns:r="http://schemas.openxmlformats.org/officeDocument/2006/relationships" ref="L1064" r:id="rId1063"/>
    <hyperlink xmlns:r="http://schemas.openxmlformats.org/officeDocument/2006/relationships" ref="L1065" r:id="rId1064"/>
    <hyperlink xmlns:r="http://schemas.openxmlformats.org/officeDocument/2006/relationships" ref="L1066" r:id="rId1065"/>
    <hyperlink xmlns:r="http://schemas.openxmlformats.org/officeDocument/2006/relationships" ref="L1067" r:id="rId1066"/>
    <hyperlink xmlns:r="http://schemas.openxmlformats.org/officeDocument/2006/relationships" ref="L1068" r:id="rId1067"/>
    <hyperlink xmlns:r="http://schemas.openxmlformats.org/officeDocument/2006/relationships" ref="L1069" r:id="rId1068"/>
    <hyperlink xmlns:r="http://schemas.openxmlformats.org/officeDocument/2006/relationships" ref="L1070" r:id="rId1069"/>
    <hyperlink xmlns:r="http://schemas.openxmlformats.org/officeDocument/2006/relationships" ref="L1071" r:id="rId1070"/>
    <hyperlink xmlns:r="http://schemas.openxmlformats.org/officeDocument/2006/relationships" ref="L1072" r:id="rId1071"/>
    <hyperlink xmlns:r="http://schemas.openxmlformats.org/officeDocument/2006/relationships" ref="L1073" r:id="rId1072"/>
    <hyperlink xmlns:r="http://schemas.openxmlformats.org/officeDocument/2006/relationships" ref="L1074" r:id="rId1073"/>
    <hyperlink xmlns:r="http://schemas.openxmlformats.org/officeDocument/2006/relationships" ref="L1075" r:id="rId1074"/>
    <hyperlink xmlns:r="http://schemas.openxmlformats.org/officeDocument/2006/relationships" ref="L1076" r:id="rId1075"/>
    <hyperlink xmlns:r="http://schemas.openxmlformats.org/officeDocument/2006/relationships" ref="L1077" r:id="rId1076"/>
    <hyperlink xmlns:r="http://schemas.openxmlformats.org/officeDocument/2006/relationships" ref="L1078" r:id="rId1077"/>
    <hyperlink xmlns:r="http://schemas.openxmlformats.org/officeDocument/2006/relationships" ref="L1079" r:id="rId1078"/>
    <hyperlink xmlns:r="http://schemas.openxmlformats.org/officeDocument/2006/relationships" ref="L1080" r:id="rId1079"/>
    <hyperlink xmlns:r="http://schemas.openxmlformats.org/officeDocument/2006/relationships" ref="L1081" r:id="rId1080"/>
    <hyperlink xmlns:r="http://schemas.openxmlformats.org/officeDocument/2006/relationships" ref="L1082" r:id="rId1081"/>
    <hyperlink xmlns:r="http://schemas.openxmlformats.org/officeDocument/2006/relationships" ref="L1083" r:id="rId1082"/>
    <hyperlink xmlns:r="http://schemas.openxmlformats.org/officeDocument/2006/relationships" ref="L1084" r:id="rId1083"/>
    <hyperlink xmlns:r="http://schemas.openxmlformats.org/officeDocument/2006/relationships" ref="L1085" r:id="rId1084"/>
    <hyperlink xmlns:r="http://schemas.openxmlformats.org/officeDocument/2006/relationships" ref="L1086" r:id="rId1085"/>
    <hyperlink xmlns:r="http://schemas.openxmlformats.org/officeDocument/2006/relationships" ref="L1087" r:id="rId1086"/>
    <hyperlink xmlns:r="http://schemas.openxmlformats.org/officeDocument/2006/relationships" ref="L1088" r:id="rId1087"/>
    <hyperlink xmlns:r="http://schemas.openxmlformats.org/officeDocument/2006/relationships" ref="L1089" r:id="rId1088"/>
    <hyperlink xmlns:r="http://schemas.openxmlformats.org/officeDocument/2006/relationships" ref="L1090" r:id="rId1089"/>
    <hyperlink xmlns:r="http://schemas.openxmlformats.org/officeDocument/2006/relationships" ref="L1091" r:id="rId1090"/>
    <hyperlink xmlns:r="http://schemas.openxmlformats.org/officeDocument/2006/relationships" ref="L1092" r:id="rId1091"/>
    <hyperlink xmlns:r="http://schemas.openxmlformats.org/officeDocument/2006/relationships" ref="L1093" r:id="rId1092"/>
    <hyperlink xmlns:r="http://schemas.openxmlformats.org/officeDocument/2006/relationships" ref="L1094" r:id="rId1093"/>
    <hyperlink xmlns:r="http://schemas.openxmlformats.org/officeDocument/2006/relationships" ref="L1095" r:id="rId1094"/>
    <hyperlink xmlns:r="http://schemas.openxmlformats.org/officeDocument/2006/relationships" ref="L1096" r:id="rId1095"/>
    <hyperlink xmlns:r="http://schemas.openxmlformats.org/officeDocument/2006/relationships" ref="L1097" r:id="rId1096"/>
    <hyperlink xmlns:r="http://schemas.openxmlformats.org/officeDocument/2006/relationships" ref="L1098" r:id="rId1097"/>
    <hyperlink xmlns:r="http://schemas.openxmlformats.org/officeDocument/2006/relationships" ref="L1099" r:id="rId1098"/>
    <hyperlink xmlns:r="http://schemas.openxmlformats.org/officeDocument/2006/relationships" ref="L1100" r:id="rId1099"/>
    <hyperlink xmlns:r="http://schemas.openxmlformats.org/officeDocument/2006/relationships" ref="L1101" r:id="rId1100"/>
    <hyperlink xmlns:r="http://schemas.openxmlformats.org/officeDocument/2006/relationships" ref="L1102" r:id="rId1101"/>
    <hyperlink xmlns:r="http://schemas.openxmlformats.org/officeDocument/2006/relationships" ref="L1103" r:id="rId1102"/>
    <hyperlink xmlns:r="http://schemas.openxmlformats.org/officeDocument/2006/relationships" ref="L1104" r:id="rId1103"/>
    <hyperlink xmlns:r="http://schemas.openxmlformats.org/officeDocument/2006/relationships" ref="L1105" r:id="rId1104"/>
    <hyperlink xmlns:r="http://schemas.openxmlformats.org/officeDocument/2006/relationships" ref="L1106" r:id="rId1105"/>
    <hyperlink xmlns:r="http://schemas.openxmlformats.org/officeDocument/2006/relationships" ref="L1107" r:id="rId1106"/>
    <hyperlink xmlns:r="http://schemas.openxmlformats.org/officeDocument/2006/relationships" ref="L1108" r:id="rId1107"/>
    <hyperlink xmlns:r="http://schemas.openxmlformats.org/officeDocument/2006/relationships" ref="L1109" r:id="rId1108"/>
    <hyperlink xmlns:r="http://schemas.openxmlformats.org/officeDocument/2006/relationships" ref="L1110" r:id="rId1109"/>
    <hyperlink xmlns:r="http://schemas.openxmlformats.org/officeDocument/2006/relationships" ref="L1111" r:id="rId1110"/>
    <hyperlink xmlns:r="http://schemas.openxmlformats.org/officeDocument/2006/relationships" ref="L1112" r:id="rId1111"/>
    <hyperlink xmlns:r="http://schemas.openxmlformats.org/officeDocument/2006/relationships" ref="L1113" r:id="rId1112"/>
    <hyperlink xmlns:r="http://schemas.openxmlformats.org/officeDocument/2006/relationships" ref="L1114" r:id="rId1113"/>
    <hyperlink xmlns:r="http://schemas.openxmlformats.org/officeDocument/2006/relationships" ref="L1115" r:id="rId1114"/>
    <hyperlink xmlns:r="http://schemas.openxmlformats.org/officeDocument/2006/relationships" ref="L1116" r:id="rId1115"/>
    <hyperlink xmlns:r="http://schemas.openxmlformats.org/officeDocument/2006/relationships" ref="L1117" r:id="rId1116"/>
    <hyperlink xmlns:r="http://schemas.openxmlformats.org/officeDocument/2006/relationships" ref="L1118" r:id="rId1117"/>
    <hyperlink xmlns:r="http://schemas.openxmlformats.org/officeDocument/2006/relationships" ref="L1119" r:id="rId1118"/>
    <hyperlink xmlns:r="http://schemas.openxmlformats.org/officeDocument/2006/relationships" ref="L1120" r:id="rId1119"/>
    <hyperlink xmlns:r="http://schemas.openxmlformats.org/officeDocument/2006/relationships" ref="L1121" r:id="rId1120"/>
    <hyperlink xmlns:r="http://schemas.openxmlformats.org/officeDocument/2006/relationships" ref="L1122" r:id="rId1121"/>
    <hyperlink xmlns:r="http://schemas.openxmlformats.org/officeDocument/2006/relationships" ref="L1123" r:id="rId1122"/>
    <hyperlink xmlns:r="http://schemas.openxmlformats.org/officeDocument/2006/relationships" ref="L1124" r:id="rId1123"/>
    <hyperlink xmlns:r="http://schemas.openxmlformats.org/officeDocument/2006/relationships" ref="L1125" r:id="rId1124"/>
    <hyperlink xmlns:r="http://schemas.openxmlformats.org/officeDocument/2006/relationships" ref="L1126" r:id="rId1125"/>
    <hyperlink xmlns:r="http://schemas.openxmlformats.org/officeDocument/2006/relationships" ref="L1127" r:id="rId1126"/>
    <hyperlink xmlns:r="http://schemas.openxmlformats.org/officeDocument/2006/relationships" ref="L1128" r:id="rId1127"/>
    <hyperlink xmlns:r="http://schemas.openxmlformats.org/officeDocument/2006/relationships" ref="L1129" r:id="rId1128"/>
    <hyperlink xmlns:r="http://schemas.openxmlformats.org/officeDocument/2006/relationships" ref="L1130" r:id="rId1129"/>
    <hyperlink xmlns:r="http://schemas.openxmlformats.org/officeDocument/2006/relationships" ref="L1131" r:id="rId1130"/>
    <hyperlink xmlns:r="http://schemas.openxmlformats.org/officeDocument/2006/relationships" ref="L1132" r:id="rId1131"/>
    <hyperlink xmlns:r="http://schemas.openxmlformats.org/officeDocument/2006/relationships" ref="L1133" r:id="rId1132"/>
    <hyperlink xmlns:r="http://schemas.openxmlformats.org/officeDocument/2006/relationships" ref="L1134" r:id="rId1133"/>
    <hyperlink xmlns:r="http://schemas.openxmlformats.org/officeDocument/2006/relationships" ref="L1135" r:id="rId1134"/>
    <hyperlink xmlns:r="http://schemas.openxmlformats.org/officeDocument/2006/relationships" ref="L1136" r:id="rId1135"/>
    <hyperlink xmlns:r="http://schemas.openxmlformats.org/officeDocument/2006/relationships" ref="L1137" r:id="rId1136"/>
    <hyperlink xmlns:r="http://schemas.openxmlformats.org/officeDocument/2006/relationships" ref="L1138" r:id="rId1137"/>
    <hyperlink xmlns:r="http://schemas.openxmlformats.org/officeDocument/2006/relationships" ref="L1139" r:id="rId1138"/>
    <hyperlink xmlns:r="http://schemas.openxmlformats.org/officeDocument/2006/relationships" ref="L1140" r:id="rId1139"/>
    <hyperlink xmlns:r="http://schemas.openxmlformats.org/officeDocument/2006/relationships" ref="L1141" r:id="rId1140"/>
    <hyperlink xmlns:r="http://schemas.openxmlformats.org/officeDocument/2006/relationships" ref="L1142" r:id="rId1141"/>
    <hyperlink xmlns:r="http://schemas.openxmlformats.org/officeDocument/2006/relationships" ref="L1143" r:id="rId1142"/>
    <hyperlink xmlns:r="http://schemas.openxmlformats.org/officeDocument/2006/relationships" ref="L1144" r:id="rId1143"/>
    <hyperlink xmlns:r="http://schemas.openxmlformats.org/officeDocument/2006/relationships" ref="L1145" r:id="rId1144"/>
    <hyperlink xmlns:r="http://schemas.openxmlformats.org/officeDocument/2006/relationships" ref="L1146" r:id="rId1145"/>
    <hyperlink xmlns:r="http://schemas.openxmlformats.org/officeDocument/2006/relationships" ref="L1147" r:id="rId1146"/>
    <hyperlink xmlns:r="http://schemas.openxmlformats.org/officeDocument/2006/relationships" ref="L1148" r:id="rId1147"/>
    <hyperlink xmlns:r="http://schemas.openxmlformats.org/officeDocument/2006/relationships" ref="L1149" r:id="rId1148"/>
    <hyperlink xmlns:r="http://schemas.openxmlformats.org/officeDocument/2006/relationships" ref="L1150" r:id="rId1149"/>
    <hyperlink xmlns:r="http://schemas.openxmlformats.org/officeDocument/2006/relationships" ref="L1151" r:id="rId1150"/>
    <hyperlink xmlns:r="http://schemas.openxmlformats.org/officeDocument/2006/relationships" ref="L1152" r:id="rId1151"/>
    <hyperlink xmlns:r="http://schemas.openxmlformats.org/officeDocument/2006/relationships" ref="L1153" r:id="rId1152"/>
    <hyperlink xmlns:r="http://schemas.openxmlformats.org/officeDocument/2006/relationships" ref="L1154" r:id="rId1153"/>
    <hyperlink xmlns:r="http://schemas.openxmlformats.org/officeDocument/2006/relationships" ref="L1155" r:id="rId1154"/>
    <hyperlink xmlns:r="http://schemas.openxmlformats.org/officeDocument/2006/relationships" ref="L1156" r:id="rId1155"/>
    <hyperlink xmlns:r="http://schemas.openxmlformats.org/officeDocument/2006/relationships" ref="L1157" r:id="rId1156"/>
    <hyperlink xmlns:r="http://schemas.openxmlformats.org/officeDocument/2006/relationships" ref="L1158" r:id="rId1157"/>
    <hyperlink xmlns:r="http://schemas.openxmlformats.org/officeDocument/2006/relationships" ref="L1159" r:id="rId1158"/>
    <hyperlink xmlns:r="http://schemas.openxmlformats.org/officeDocument/2006/relationships" ref="L1160" r:id="rId1159"/>
    <hyperlink xmlns:r="http://schemas.openxmlformats.org/officeDocument/2006/relationships" ref="L1161" r:id="rId1160"/>
    <hyperlink xmlns:r="http://schemas.openxmlformats.org/officeDocument/2006/relationships" ref="L1162" r:id="rId1161"/>
    <hyperlink xmlns:r="http://schemas.openxmlformats.org/officeDocument/2006/relationships" ref="L1163" r:id="rId1162"/>
    <hyperlink xmlns:r="http://schemas.openxmlformats.org/officeDocument/2006/relationships" ref="L1164" r:id="rId1163"/>
    <hyperlink xmlns:r="http://schemas.openxmlformats.org/officeDocument/2006/relationships" ref="L1165" r:id="rId1164"/>
    <hyperlink xmlns:r="http://schemas.openxmlformats.org/officeDocument/2006/relationships" ref="L1166" r:id="rId1165"/>
    <hyperlink xmlns:r="http://schemas.openxmlformats.org/officeDocument/2006/relationships" ref="L1167" r:id="rId1166"/>
    <hyperlink xmlns:r="http://schemas.openxmlformats.org/officeDocument/2006/relationships" ref="L1168" r:id="rId1167"/>
    <hyperlink xmlns:r="http://schemas.openxmlformats.org/officeDocument/2006/relationships" ref="L1169" r:id="rId1168"/>
    <hyperlink xmlns:r="http://schemas.openxmlformats.org/officeDocument/2006/relationships" ref="L1170" r:id="rId1169"/>
    <hyperlink xmlns:r="http://schemas.openxmlformats.org/officeDocument/2006/relationships" ref="L1171" r:id="rId1170"/>
    <hyperlink xmlns:r="http://schemas.openxmlformats.org/officeDocument/2006/relationships" ref="L1172" r:id="rId1171"/>
    <hyperlink xmlns:r="http://schemas.openxmlformats.org/officeDocument/2006/relationships" ref="L1173" r:id="rId1172"/>
    <hyperlink xmlns:r="http://schemas.openxmlformats.org/officeDocument/2006/relationships" ref="L1174" r:id="rId1173"/>
    <hyperlink xmlns:r="http://schemas.openxmlformats.org/officeDocument/2006/relationships" ref="L1175" r:id="rId1174"/>
    <hyperlink xmlns:r="http://schemas.openxmlformats.org/officeDocument/2006/relationships" ref="L1176" r:id="rId1175"/>
    <hyperlink xmlns:r="http://schemas.openxmlformats.org/officeDocument/2006/relationships" ref="L1177" r:id="rId1176"/>
    <hyperlink xmlns:r="http://schemas.openxmlformats.org/officeDocument/2006/relationships" ref="L1178" r:id="rId1177"/>
    <hyperlink xmlns:r="http://schemas.openxmlformats.org/officeDocument/2006/relationships" ref="L1179" r:id="rId1178"/>
    <hyperlink xmlns:r="http://schemas.openxmlformats.org/officeDocument/2006/relationships" ref="L1180" r:id="rId1179"/>
    <hyperlink xmlns:r="http://schemas.openxmlformats.org/officeDocument/2006/relationships" ref="L1181" r:id="rId1180"/>
    <hyperlink xmlns:r="http://schemas.openxmlformats.org/officeDocument/2006/relationships" ref="L1182" r:id="rId1181"/>
    <hyperlink xmlns:r="http://schemas.openxmlformats.org/officeDocument/2006/relationships" ref="L1183" r:id="rId1182"/>
    <hyperlink xmlns:r="http://schemas.openxmlformats.org/officeDocument/2006/relationships" ref="L1184" r:id="rId1183"/>
    <hyperlink xmlns:r="http://schemas.openxmlformats.org/officeDocument/2006/relationships" ref="L1185" r:id="rId1184"/>
    <hyperlink xmlns:r="http://schemas.openxmlformats.org/officeDocument/2006/relationships" ref="L1186" r:id="rId1185"/>
    <hyperlink xmlns:r="http://schemas.openxmlformats.org/officeDocument/2006/relationships" ref="L1187" r:id="rId1186"/>
    <hyperlink xmlns:r="http://schemas.openxmlformats.org/officeDocument/2006/relationships" ref="L1188" r:id="rId1187"/>
    <hyperlink xmlns:r="http://schemas.openxmlformats.org/officeDocument/2006/relationships" ref="L1189" r:id="rId1188"/>
    <hyperlink xmlns:r="http://schemas.openxmlformats.org/officeDocument/2006/relationships" ref="L1190" r:id="rId1189"/>
    <hyperlink xmlns:r="http://schemas.openxmlformats.org/officeDocument/2006/relationships" ref="L1191" r:id="rId1190"/>
    <hyperlink xmlns:r="http://schemas.openxmlformats.org/officeDocument/2006/relationships" ref="L1192" r:id="rId1191"/>
    <hyperlink xmlns:r="http://schemas.openxmlformats.org/officeDocument/2006/relationships" ref="L1193" r:id="rId1192"/>
    <hyperlink xmlns:r="http://schemas.openxmlformats.org/officeDocument/2006/relationships" ref="L1194" r:id="rId1193"/>
    <hyperlink xmlns:r="http://schemas.openxmlformats.org/officeDocument/2006/relationships" ref="L1195" r:id="rId1194"/>
    <hyperlink xmlns:r="http://schemas.openxmlformats.org/officeDocument/2006/relationships" ref="L1196" r:id="rId1195"/>
    <hyperlink xmlns:r="http://schemas.openxmlformats.org/officeDocument/2006/relationships" ref="L1197" r:id="rId1196"/>
    <hyperlink xmlns:r="http://schemas.openxmlformats.org/officeDocument/2006/relationships" ref="L1198" r:id="rId1197"/>
    <hyperlink xmlns:r="http://schemas.openxmlformats.org/officeDocument/2006/relationships" ref="L1199" r:id="rId1198"/>
    <hyperlink xmlns:r="http://schemas.openxmlformats.org/officeDocument/2006/relationships" ref="L1200" r:id="rId119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26" customWidth="1" min="3" max="3"/>
    <col width="18" customWidth="1" min="4" max="4"/>
    <col width="22" customWidth="1" min="5" max="5"/>
    <col width="18" customWidth="1" min="6" max="6"/>
    <col width="16" customWidth="1" min="7" max="7"/>
    <col width="12" customWidth="1" min="8" max="8"/>
    <col width="60" customWidth="1" min="9" max="9"/>
  </cols>
  <sheetData>
    <row r="1">
      <c r="A1" s="5" t="inlineStr">
        <is>
          <t>Creditor (old sheet)</t>
        </is>
      </c>
      <c r="B1" s="5" t="inlineStr">
        <is>
          <t>CNPJ (old)</t>
        </is>
      </c>
      <c r="C1" s="5" t="inlineStr">
        <is>
          <t>Case</t>
        </is>
      </c>
      <c r="D1" s="5" t="inlineStr">
        <is>
          <t>OLD amount (R$)</t>
        </is>
      </c>
      <c r="E1" s="5" t="inlineStr">
        <is>
          <t>NEW class III face, root sum (R$)</t>
        </is>
      </c>
      <c r="F1" s="5" t="inlineStr">
        <is>
          <t>Delta (R$)</t>
        </is>
      </c>
      <c r="G1" s="5" t="inlineStr">
        <is>
          <t>Verdict</t>
        </is>
      </c>
      <c r="H1" s="5" t="inlineStr">
        <is>
          <t>Old status</t>
        </is>
      </c>
      <c r="I1" s="5" t="inlineStr">
        <is>
          <t>Why</t>
        </is>
      </c>
    </row>
    <row r="2">
      <c r="A2" s="20" t="inlineStr">
        <is>
          <t>VINICOLA CAMPESTRE LTDA</t>
        </is>
      </c>
      <c r="B2" s="20" t="inlineStr">
        <is>
          <t>98521909000270</t>
        </is>
      </c>
      <c r="C2" s="20" t="inlineStr">
        <is>
          <t>0008526-45.2025.8.17.2001</t>
        </is>
      </c>
      <c r="D2" s="21" t="n">
        <v>9558482.85</v>
      </c>
      <c r="E2" s="21" t="n">
        <v>13980345.5</v>
      </c>
      <c r="F2" s="21" t="n">
        <v>4421862.65</v>
      </c>
      <c r="G2" s="20" t="inlineStr">
        <is>
          <t>CHANGED</t>
        </is>
      </c>
      <c r="H2" s="20" t="inlineStr"/>
      <c r="I2" s="20" t="inlineStr">
        <is>
          <t>2 claims summed on the 8-digit root (2 establishments)</t>
        </is>
      </c>
    </row>
    <row r="3">
      <c r="A3" t="inlineStr">
        <is>
          <t>ADDIANTE S.A</t>
        </is>
      </c>
      <c r="B3" t="inlineStr">
        <is>
          <t>48430290000130</t>
        </is>
      </c>
      <c r="C3" t="inlineStr">
        <is>
          <t>0804401-51.2025.8.14.0039</t>
        </is>
      </c>
      <c r="D3" s="10" t="n">
        <v>7135516.97</v>
      </c>
      <c r="E3" s="10" t="n">
        <v>7135516.97</v>
      </c>
      <c r="F3" s="10" t="n">
        <v>0</v>
      </c>
      <c r="G3" t="inlineStr">
        <is>
          <t>SAME</t>
        </is>
      </c>
      <c r="H3" t="inlineStr"/>
      <c r="I3" t="inlineStr"/>
    </row>
    <row r="4">
      <c r="A4" t="inlineStr">
        <is>
          <t>SEMPRE AGTECH LTDA</t>
        </is>
      </c>
      <c r="B4" t="inlineStr">
        <is>
          <t>09536120000263</t>
        </is>
      </c>
      <c r="C4" t="inlineStr">
        <is>
          <t>0804401-51.2025.8.14.0039</t>
        </is>
      </c>
      <c r="D4" s="10" t="n">
        <v>2037616.99</v>
      </c>
      <c r="E4" s="10" t="n">
        <v>2037616.99</v>
      </c>
      <c r="F4" s="10" t="n">
        <v>0</v>
      </c>
      <c r="G4" t="inlineStr">
        <is>
          <t>SAME</t>
        </is>
      </c>
      <c r="H4" t="inlineStr">
        <is>
          <t>E-mailed</t>
        </is>
      </c>
      <c r="I4" t="inlineStr"/>
    </row>
    <row r="5">
      <c r="A5" t="inlineStr">
        <is>
          <t>FERTILIZANTES TOCANTINS S.A</t>
        </is>
      </c>
      <c r="B5" t="inlineStr">
        <is>
          <t>05571228000155</t>
        </is>
      </c>
      <c r="C5" t="inlineStr">
        <is>
          <t>0804401-51.2025.8.14.0039</t>
        </is>
      </c>
      <c r="D5" s="10" t="n">
        <v>2016948.56</v>
      </c>
      <c r="E5" s="10" t="n">
        <v>2016948.56</v>
      </c>
      <c r="F5" s="10" t="n">
        <v>0</v>
      </c>
      <c r="G5" t="inlineStr">
        <is>
          <t>SAME</t>
        </is>
      </c>
      <c r="H5" t="inlineStr">
        <is>
          <t>E-mailed</t>
        </is>
      </c>
      <c r="I5" t="inlineStr"/>
    </row>
    <row r="6">
      <c r="A6" s="20" t="inlineStr">
        <is>
          <t>TAG INDUSTRIA E LAMINACAO LTDA</t>
        </is>
      </c>
      <c r="B6" s="20" t="inlineStr">
        <is>
          <t>33233778000108</t>
        </is>
      </c>
      <c r="C6" s="20" t="inlineStr">
        <is>
          <t>8005129-09.2023.8.05.0039</t>
        </is>
      </c>
      <c r="D6" s="21" t="n">
        <v>1981695.98</v>
      </c>
      <c r="E6" s="21" t="n">
        <v>64713515.06</v>
      </c>
      <c r="F6" s="21" t="n">
        <v>62731819.08</v>
      </c>
      <c r="G6" s="20" t="inlineStr">
        <is>
          <t>CHANGED</t>
        </is>
      </c>
      <c r="H6" s="20" t="inlineStr">
        <is>
          <t>CALLED</t>
        </is>
      </c>
      <c r="I6" s="20" t="inlineStr">
        <is>
          <t>2 claims summed on the 8-digit root (1 establishments); likely dropped leading digit in old parse</t>
        </is>
      </c>
    </row>
    <row r="7">
      <c r="A7" s="20" t="inlineStr">
        <is>
          <t>IBRAME INDUSTRIA BRASILEIRA DE METAIS S/A</t>
        </is>
      </c>
      <c r="B7" s="20" t="inlineStr">
        <is>
          <t>60846599000534</t>
        </is>
      </c>
      <c r="C7" s="20" t="inlineStr">
        <is>
          <t>8005129-09.2023.8.05.0039</t>
        </is>
      </c>
      <c r="D7" s="21" t="n">
        <v>815928.78</v>
      </c>
      <c r="E7" s="21" t="n">
        <v>1359881.3</v>
      </c>
      <c r="F7" s="21" t="n">
        <v>543952.52</v>
      </c>
      <c r="G7" s="20" t="inlineStr">
        <is>
          <t>CHANGED</t>
        </is>
      </c>
      <c r="H7" s="20" t="inlineStr">
        <is>
          <t>E-mailed</t>
        </is>
      </c>
      <c r="I7" s="20" t="inlineStr">
        <is>
          <t>2 claims summed on the 8-digit root (1 establishments)</t>
        </is>
      </c>
    </row>
    <row r="8">
      <c r="A8" t="inlineStr">
        <is>
          <t>COMARY INDUSTRIA DE BEBIDAS LTDA</t>
        </is>
      </c>
      <c r="B8" t="inlineStr">
        <is>
          <t>29588019001316</t>
        </is>
      </c>
      <c r="C8" t="inlineStr">
        <is>
          <t>0008526-45.2025.8.17.2001</t>
        </is>
      </c>
      <c r="D8" s="10" t="n">
        <v>407241.98</v>
      </c>
      <c r="E8" s="10" t="n">
        <v>407241.98</v>
      </c>
      <c r="F8" s="10" t="n">
        <v>0</v>
      </c>
      <c r="G8" t="inlineStr">
        <is>
          <t>SAME</t>
        </is>
      </c>
      <c r="H8" t="inlineStr">
        <is>
          <t>E-mailed</t>
        </is>
      </c>
      <c r="I8" t="inlineStr"/>
    </row>
    <row r="9">
      <c r="A9" t="inlineStr">
        <is>
          <t>REDE FAMILIA DE COMUNICACAO LTDA</t>
        </is>
      </c>
      <c r="B9" t="inlineStr">
        <is>
          <t>48393755000120</t>
        </is>
      </c>
      <c r="C9" t="inlineStr"/>
      <c r="D9" s="10" t="n">
        <v>325723.67</v>
      </c>
      <c r="E9" t="inlineStr"/>
      <c r="F9" t="inlineStr"/>
      <c r="G9" t="inlineStr">
        <is>
          <t>NOT_IN_NEW_RUN</t>
        </is>
      </c>
      <c r="H9" t="inlineStr"/>
      <c r="I9" t="inlineStr">
        <is>
          <t>case/document not harvested or below floor in this run</t>
        </is>
      </c>
    </row>
    <row r="10">
      <c r="A10" t="inlineStr">
        <is>
          <t>MTC INCORPORACOES IMOBILIARIAS LTDA</t>
        </is>
      </c>
      <c r="B10" t="inlineStr">
        <is>
          <t>12749549000162</t>
        </is>
      </c>
      <c r="C10" t="inlineStr"/>
      <c r="D10" s="10" t="n">
        <v>309000</v>
      </c>
      <c r="E10" t="inlineStr"/>
      <c r="F10" t="inlineStr"/>
      <c r="G10" t="inlineStr">
        <is>
          <t>NOT_IN_NEW_RUN</t>
        </is>
      </c>
      <c r="H10" t="inlineStr"/>
      <c r="I10" t="inlineStr">
        <is>
          <t>case/document not harvested or below floor in this run</t>
        </is>
      </c>
    </row>
    <row r="11">
      <c r="A11" t="inlineStr">
        <is>
          <t>OPTIMUM CONSULTORIA EM GESTAO PUBLICA E EMPRESARIAL LTDA</t>
        </is>
      </c>
      <c r="B11" t="inlineStr">
        <is>
          <t>10925045000120</t>
        </is>
      </c>
      <c r="C11" t="inlineStr">
        <is>
          <t>0829315-43.2023.8.15.0001</t>
        </is>
      </c>
      <c r="D11" s="10" t="n">
        <v>267635.55</v>
      </c>
      <c r="E11" s="10" t="n">
        <v>267635.55</v>
      </c>
      <c r="F11" s="10" t="n">
        <v>0</v>
      </c>
      <c r="G11" t="inlineStr">
        <is>
          <t>SAME</t>
        </is>
      </c>
      <c r="H11" t="inlineStr"/>
      <c r="I11" t="inlineStr"/>
    </row>
    <row r="12">
      <c r="A12" t="inlineStr">
        <is>
          <t>SAFEGOLD GERENCIAMENTO DE CAPITAL LTDA</t>
        </is>
      </c>
      <c r="B12" t="inlineStr">
        <is>
          <t>13177802000113</t>
        </is>
      </c>
      <c r="C12" t="inlineStr"/>
      <c r="D12" s="10" t="n">
        <v>203501.15</v>
      </c>
      <c r="E12" t="inlineStr"/>
      <c r="F12" t="inlineStr"/>
      <c r="G12" t="inlineStr">
        <is>
          <t>NOT_IN_NEW_RUN</t>
        </is>
      </c>
      <c r="H12" t="inlineStr"/>
      <c r="I12" t="inlineStr">
        <is>
          <t>case/document not harvested or below floor in this run</t>
        </is>
      </c>
    </row>
    <row r="13">
      <c r="A13" s="20" t="inlineStr">
        <is>
          <t>IRON COMEX LTDA</t>
        </is>
      </c>
      <c r="B13" s="20" t="inlineStr">
        <is>
          <t>43464332000130</t>
        </is>
      </c>
      <c r="C13" s="20" t="inlineStr">
        <is>
          <t>0008526-45.2025.8.17.2001</t>
        </is>
      </c>
      <c r="D13" s="21" t="n">
        <v>184223.97</v>
      </c>
      <c r="E13" s="21" t="n">
        <v>334279.01</v>
      </c>
      <c r="F13" s="21" t="n">
        <v>150055.04</v>
      </c>
      <c r="G13" s="20" t="inlineStr">
        <is>
          <t>CHANGED</t>
        </is>
      </c>
      <c r="H13" s="20" t="inlineStr"/>
      <c r="I13" s="20" t="inlineStr">
        <is>
          <t>2 claims summed on the 8-digit root (2 establishments)</t>
        </is>
      </c>
    </row>
    <row r="14">
      <c r="A14" t="inlineStr">
        <is>
          <t>GEDOZ COMERCIO DE FERROS LTDA</t>
        </is>
      </c>
      <c r="B14" t="inlineStr">
        <is>
          <t>87821278000299</t>
        </is>
      </c>
      <c r="C14" t="inlineStr"/>
      <c r="D14" s="10" t="n">
        <v>178822.7</v>
      </c>
      <c r="E14" t="inlineStr"/>
      <c r="F14" t="inlineStr"/>
      <c r="G14" t="inlineStr">
        <is>
          <t>NOT_IN_NEW_RUN</t>
        </is>
      </c>
      <c r="H14" t="inlineStr"/>
      <c r="I14" t="inlineStr">
        <is>
          <t>case/document not harvested or below floor in this run</t>
        </is>
      </c>
    </row>
    <row r="15">
      <c r="A15" t="inlineStr">
        <is>
          <t>BELMAN COMERCIO DE ACOS LTDA</t>
        </is>
      </c>
      <c r="B15" t="inlineStr">
        <is>
          <t>02925166000144</t>
        </is>
      </c>
      <c r="C15" t="inlineStr"/>
      <c r="D15" s="10" t="n">
        <v>152754.49</v>
      </c>
      <c r="E15" t="inlineStr"/>
      <c r="F15" t="inlineStr"/>
      <c r="G15" t="inlineStr">
        <is>
          <t>NOT_IN_NEW_RUN</t>
        </is>
      </c>
      <c r="H15" t="inlineStr"/>
      <c r="I15" t="inlineStr">
        <is>
          <t>case/document not harvested or below floor in this run</t>
        </is>
      </c>
    </row>
    <row r="16">
      <c r="A16" t="inlineStr">
        <is>
          <t>M.C. ARRUDA ADMINISTRADORA DE BENS S.A.</t>
        </is>
      </c>
      <c r="B16" t="inlineStr">
        <is>
          <t>14724478000179</t>
        </is>
      </c>
      <c r="C16" t="inlineStr">
        <is>
          <t>0008526-45.2025.8.17.2001</t>
        </is>
      </c>
      <c r="D16" s="10" t="n">
        <v>107500</v>
      </c>
      <c r="E16" s="10" t="n">
        <v>107500</v>
      </c>
      <c r="F16" s="10" t="n">
        <v>0</v>
      </c>
      <c r="G16" t="inlineStr">
        <is>
          <t>SAME</t>
        </is>
      </c>
      <c r="H16" t="inlineStr"/>
      <c r="I16" t="inlineStr"/>
    </row>
    <row r="17">
      <c r="A17" t="inlineStr">
        <is>
          <t>ATEM'S DISTRIBUIDORA DE PETROLEO S.A.</t>
        </is>
      </c>
      <c r="B17" t="inlineStr">
        <is>
          <t>03987364000103</t>
        </is>
      </c>
      <c r="C17" t="inlineStr">
        <is>
          <t>0652260-87.2018.8.04.0001</t>
        </is>
      </c>
      <c r="D17" s="10" t="n">
        <v>103343.93</v>
      </c>
      <c r="E17" t="inlineStr"/>
      <c r="F17" t="inlineStr"/>
      <c r="G17" t="inlineStr">
        <is>
          <t>NOT_IN_NEW_RUN</t>
        </is>
      </c>
      <c r="H17" t="inlineStr"/>
      <c r="I17" t="inlineStr">
        <is>
          <t>case/document not harvested or below floor in this run</t>
        </is>
      </c>
    </row>
    <row r="18">
      <c r="A18" t="inlineStr">
        <is>
          <t>ACO CEARENSE INDUSTRIAL LTDA</t>
        </is>
      </c>
      <c r="B18" t="inlineStr">
        <is>
          <t>00990842000308</t>
        </is>
      </c>
      <c r="C18" t="inlineStr">
        <is>
          <t>0800778-16.2023.8.20.5104</t>
        </is>
      </c>
      <c r="D18" s="10" t="n">
        <v>99326.74000000001</v>
      </c>
      <c r="E18" t="inlineStr"/>
      <c r="F18" t="inlineStr"/>
      <c r="G18" t="inlineStr">
        <is>
          <t>NOT_IN_NEW_RUN</t>
        </is>
      </c>
      <c r="H18" t="inlineStr"/>
      <c r="I18" t="inlineStr">
        <is>
          <t>case/document not harvested or below floor in this run</t>
        </is>
      </c>
    </row>
    <row r="19">
      <c r="A19" s="20" t="inlineStr">
        <is>
          <t>EMPRESA DE TERMOPLASTICOS DO NORDESTE ETENO LTDA</t>
        </is>
      </c>
      <c r="B19" s="20" t="inlineStr">
        <is>
          <t>08516950000185</t>
        </is>
      </c>
      <c r="C19" s="20" t="inlineStr">
        <is>
          <t>0800778-16.2023.8.20.5104</t>
        </is>
      </c>
      <c r="D19" s="21" t="n">
        <v>96123.94</v>
      </c>
      <c r="E19" s="21" t="n">
        <v>296123.94</v>
      </c>
      <c r="F19" s="21" t="n">
        <v>200000</v>
      </c>
      <c r="G19" s="20" t="inlineStr">
        <is>
          <t>CHANGED</t>
        </is>
      </c>
      <c r="H19" s="20" t="inlineStr"/>
      <c r="I19" s="20" t="inlineStr">
        <is>
          <t>value re-read from the document's own row</t>
        </is>
      </c>
    </row>
    <row r="20">
      <c r="A20" t="inlineStr">
        <is>
          <t>VEX PAINEIS LTDA</t>
        </is>
      </c>
      <c r="B20" t="inlineStr">
        <is>
          <t>08142786000193</t>
        </is>
      </c>
      <c r="C20" t="inlineStr">
        <is>
          <t>8005129-09.2023.8.05.0039</t>
        </is>
      </c>
      <c r="D20" s="10" t="n">
        <v>90775</v>
      </c>
      <c r="E20" t="inlineStr"/>
      <c r="F20" t="inlineStr"/>
      <c r="G20" t="inlineStr">
        <is>
          <t>NOT_IN_NEW_RUN</t>
        </is>
      </c>
      <c r="H20" t="inlineStr"/>
      <c r="I20" t="inlineStr">
        <is>
          <t>case/document not harvested or below floor in this run</t>
        </is>
      </c>
    </row>
    <row r="21">
      <c r="A21" t="inlineStr">
        <is>
          <t>HABILIS SERVICOS E TREINAMENTOS EM TECNOLOGIA LTDA</t>
        </is>
      </c>
      <c r="B21" t="inlineStr">
        <is>
          <t>34720351000199</t>
        </is>
      </c>
      <c r="C21" t="inlineStr">
        <is>
          <t>0008526-45.2025.8.17.2001</t>
        </is>
      </c>
      <c r="D21" s="10" t="n">
        <v>88848.14</v>
      </c>
      <c r="E21" t="inlineStr"/>
      <c r="F21" t="inlineStr"/>
      <c r="G21" t="inlineStr">
        <is>
          <t>NOT_IN_NEW_RUN</t>
        </is>
      </c>
      <c r="H21" t="inlineStr"/>
      <c r="I21" t="inlineStr">
        <is>
          <t>case/document not harvested or below floor in this run</t>
        </is>
      </c>
    </row>
    <row r="22">
      <c r="A22" s="20" t="inlineStr">
        <is>
          <t>MEGA PACK PLASTICOS S.A</t>
        </is>
      </c>
      <c r="B22" s="20" t="inlineStr">
        <is>
          <t>19631376000203</t>
        </is>
      </c>
      <c r="C22" s="20" t="inlineStr">
        <is>
          <t>0800778-16.2023.8.20.5104</t>
        </is>
      </c>
      <c r="D22" s="21" t="n">
        <v>84000</v>
      </c>
      <c r="E22" s="21" t="n">
        <v>484000</v>
      </c>
      <c r="F22" s="21" t="n">
        <v>400000</v>
      </c>
      <c r="G22" s="20" t="inlineStr">
        <is>
          <t>CHANGED</t>
        </is>
      </c>
      <c r="H22" s="20" t="inlineStr"/>
      <c r="I22" s="20" t="inlineStr">
        <is>
          <t>likely dropped leading digit in old parse</t>
        </is>
      </c>
    </row>
    <row r="23">
      <c r="A23" t="inlineStr">
        <is>
          <t>AVANTE ADMINISTRACAO E COBRANCA LTDA</t>
        </is>
      </c>
      <c r="B23" t="inlineStr">
        <is>
          <t>07918102000130</t>
        </is>
      </c>
      <c r="C23" t="inlineStr">
        <is>
          <t>8005129-09.2023.8.05.0039</t>
        </is>
      </c>
      <c r="D23" s="10" t="n">
        <v>82500</v>
      </c>
      <c r="E23" t="inlineStr"/>
      <c r="F23" t="inlineStr"/>
      <c r="G23" t="inlineStr">
        <is>
          <t>NOT_IN_NEW_RUN</t>
        </is>
      </c>
      <c r="H23" t="inlineStr"/>
      <c r="I23" t="inlineStr">
        <is>
          <t>case/document not harvested or below floor in this run</t>
        </is>
      </c>
    </row>
    <row r="24">
      <c r="A24" t="inlineStr">
        <is>
          <t>SIND DOS TRABS NAS INDS MET MEC E DE MAT ELETRIC DE CXS</t>
        </is>
      </c>
      <c r="B24" t="inlineStr">
        <is>
          <t>88662267000195</t>
        </is>
      </c>
      <c r="C24" t="inlineStr"/>
      <c r="D24" s="10" t="n">
        <v>72683.87</v>
      </c>
      <c r="E24" t="inlineStr"/>
      <c r="F24" t="inlineStr"/>
      <c r="G24" t="inlineStr">
        <is>
          <t>NOT_IN_NEW_RUN</t>
        </is>
      </c>
      <c r="H24" t="inlineStr"/>
      <c r="I24" t="inlineStr">
        <is>
          <t>case/document not harvested or below floor in this run</t>
        </is>
      </c>
    </row>
    <row r="25">
      <c r="A25" t="inlineStr">
        <is>
          <t>ATENA OPERADORA TURISTICA LTDA.</t>
        </is>
      </c>
      <c r="B25" t="inlineStr">
        <is>
          <t>21575389000173</t>
        </is>
      </c>
      <c r="C25" t="inlineStr">
        <is>
          <t>0820780-23.2026.8.14.0301</t>
        </is>
      </c>
      <c r="D25" s="10" t="n">
        <v>59285.71</v>
      </c>
      <c r="E25" t="inlineStr"/>
      <c r="F25" t="inlineStr"/>
      <c r="G25" t="inlineStr">
        <is>
          <t>NOT_IN_NEW_RUN</t>
        </is>
      </c>
      <c r="H25" t="inlineStr"/>
      <c r="I25" t="inlineStr">
        <is>
          <t>case/document not harvested or below floor in this run</t>
        </is>
      </c>
    </row>
    <row r="26">
      <c r="A26" t="inlineStr">
        <is>
          <t>DOMINIK COMERCIO E INDUSTRIA DE METAIS E EQUIPAMENTOS LTDA</t>
        </is>
      </c>
      <c r="B26" t="inlineStr">
        <is>
          <t>72332794000363</t>
        </is>
      </c>
      <c r="C26" t="inlineStr">
        <is>
          <t>8005129-09.2023.8.05.0039</t>
        </is>
      </c>
      <c r="D26" s="10" t="n">
        <v>56421.22</v>
      </c>
      <c r="E26" t="inlineStr"/>
      <c r="F26" t="inlineStr"/>
      <c r="G26" t="inlineStr">
        <is>
          <t>NOT_IN_NEW_RUN</t>
        </is>
      </c>
      <c r="H26" t="inlineStr"/>
      <c r="I26" t="inlineStr">
        <is>
          <t>case/document not harvested or below floor in this run</t>
        </is>
      </c>
    </row>
    <row r="27">
      <c r="A27" t="inlineStr">
        <is>
          <t>FUSOPAR PARAFUSOS LTDA</t>
        </is>
      </c>
      <c r="B27" t="inlineStr">
        <is>
          <t>89135073000102</t>
        </is>
      </c>
      <c r="C27" t="inlineStr"/>
      <c r="D27" s="10" t="n">
        <v>55215.92</v>
      </c>
      <c r="E27" t="inlineStr"/>
      <c r="F27" t="inlineStr"/>
      <c r="G27" t="inlineStr">
        <is>
          <t>NOT_IN_NEW_RUN</t>
        </is>
      </c>
      <c r="H27" t="inlineStr"/>
      <c r="I27" t="inlineStr">
        <is>
          <t>case/document not harvested or below floor in this run</t>
        </is>
      </c>
    </row>
    <row r="28">
      <c r="A28" s="20" t="inlineStr">
        <is>
          <t>BRASKEM S.A</t>
        </is>
      </c>
      <c r="B28" s="20" t="inlineStr">
        <is>
          <t>42150391003005</t>
        </is>
      </c>
      <c r="C28" s="20" t="inlineStr">
        <is>
          <t>0800778-16.2023.8.20.5104</t>
        </is>
      </c>
      <c r="D28" s="21" t="n">
        <v>46729.62</v>
      </c>
      <c r="E28" s="21" t="n">
        <v>146729.62</v>
      </c>
      <c r="F28" s="21" t="n">
        <v>100000</v>
      </c>
      <c r="G28" s="20" t="inlineStr">
        <is>
          <t>CHANGED</t>
        </is>
      </c>
      <c r="H28" s="20" t="inlineStr"/>
      <c r="I28" s="20" t="inlineStr">
        <is>
          <t>value re-read from the document's own row</t>
        </is>
      </c>
    </row>
    <row r="29">
      <c r="A29" t="inlineStr">
        <is>
          <t>TRICHES FERRO E ACO LTDA</t>
        </is>
      </c>
      <c r="B29" t="inlineStr">
        <is>
          <t>88610605000145</t>
        </is>
      </c>
      <c r="C29" t="inlineStr"/>
      <c r="D29" s="10" t="n">
        <v>41683.03</v>
      </c>
      <c r="E29" t="inlineStr"/>
      <c r="F29" t="inlineStr"/>
      <c r="G29" t="inlineStr">
        <is>
          <t>NOT_IN_NEW_RUN</t>
        </is>
      </c>
      <c r="H29" t="inlineStr"/>
      <c r="I29" t="inlineStr">
        <is>
          <t>case/document not harvested or below floor in this run</t>
        </is>
      </c>
    </row>
    <row r="30">
      <c r="A30" t="inlineStr">
        <is>
          <t>SIDERURGICA NORTE BRASIL S/A</t>
        </is>
      </c>
      <c r="B30" t="inlineStr">
        <is>
          <t>07933914000154</t>
        </is>
      </c>
      <c r="C30" t="inlineStr">
        <is>
          <t>0800778-16.2023.8.20.5104</t>
        </is>
      </c>
      <c r="D30" s="10" t="n">
        <v>40552.92</v>
      </c>
      <c r="E30" t="inlineStr"/>
      <c r="F30" t="inlineStr"/>
      <c r="G30" t="inlineStr">
        <is>
          <t>NOT_IN_NEW_RUN</t>
        </is>
      </c>
      <c r="H30" t="inlineStr"/>
      <c r="I30" t="inlineStr">
        <is>
          <t>case/document not harvested or below floor in this run</t>
        </is>
      </c>
    </row>
    <row r="31">
      <c r="A31" s="20" t="inlineStr">
        <is>
          <t>MULTIPLAX INDUSTRIA E COMERCIO DE PLASTICOS LTDA</t>
        </is>
      </c>
      <c r="B31" s="20" t="inlineStr">
        <is>
          <t>09665178000550</t>
        </is>
      </c>
      <c r="C31" s="20" t="inlineStr">
        <is>
          <t>0800778-16.2023.8.20.5104</t>
        </is>
      </c>
      <c r="D31" s="21" t="n">
        <v>38625</v>
      </c>
      <c r="E31" s="21" t="n">
        <v>138625</v>
      </c>
      <c r="F31" s="21" t="n">
        <v>100000</v>
      </c>
      <c r="G31" s="20" t="inlineStr">
        <is>
          <t>CHANGED</t>
        </is>
      </c>
      <c r="H31" s="20" t="inlineStr"/>
      <c r="I31" s="20" t="inlineStr">
        <is>
          <t>value re-read from the document's own row</t>
        </is>
      </c>
    </row>
    <row r="32">
      <c r="A32" t="inlineStr">
        <is>
          <t>INDUSTRIA DE TRANSFORMADORES AMAZONAS LTDA</t>
        </is>
      </c>
      <c r="B32" t="inlineStr">
        <is>
          <t>15815491000104</t>
        </is>
      </c>
      <c r="C32" t="inlineStr">
        <is>
          <t>0532018-89.2024.8.04.0001</t>
        </is>
      </c>
      <c r="D32" s="10" t="n">
        <v>37576.45</v>
      </c>
      <c r="E32" t="inlineStr"/>
      <c r="F32" t="inlineStr"/>
      <c r="G32" t="inlineStr">
        <is>
          <t>NOT_IN_NEW_RUN</t>
        </is>
      </c>
      <c r="H32" t="inlineStr"/>
      <c r="I32" t="inlineStr">
        <is>
          <t>case/document not harvested or below floor in this run</t>
        </is>
      </c>
    </row>
    <row r="33">
      <c r="A33" t="inlineStr">
        <is>
          <t>GRAFICA E EDITORA 3 DE MAIO LTDA</t>
        </is>
      </c>
      <c r="B33" t="inlineStr">
        <is>
          <t>76817808000128</t>
        </is>
      </c>
      <c r="C33" t="inlineStr"/>
      <c r="D33" s="10" t="n">
        <v>33089.33</v>
      </c>
      <c r="E33" t="inlineStr"/>
      <c r="F33" t="inlineStr"/>
      <c r="G33" t="inlineStr">
        <is>
          <t>NOT_IN_NEW_RUN</t>
        </is>
      </c>
      <c r="H33" t="inlineStr"/>
      <c r="I33" t="inlineStr">
        <is>
          <t>case/document not harvested or below floor in this run</t>
        </is>
      </c>
    </row>
    <row r="34">
      <c r="A34" t="inlineStr">
        <is>
          <t>POLIMAQUINAS INDUSTRIA E COMERCIO LIMITADA</t>
        </is>
      </c>
      <c r="B34" t="inlineStr">
        <is>
          <t>46142725000115</t>
        </is>
      </c>
      <c r="C34" t="inlineStr">
        <is>
          <t>0800778-16.2023.8.20.5104</t>
        </is>
      </c>
      <c r="D34" s="10" t="n">
        <v>32399.97</v>
      </c>
      <c r="E34" t="inlineStr"/>
      <c r="F34" t="inlineStr"/>
      <c r="G34" t="inlineStr">
        <is>
          <t>NOT_IN_NEW_RUN</t>
        </is>
      </c>
      <c r="H34" t="inlineStr"/>
      <c r="I34" t="inlineStr">
        <is>
          <t>case/document not harvested or below floor in this run</t>
        </is>
      </c>
    </row>
    <row r="35">
      <c r="A35" t="inlineStr">
        <is>
          <t>ROTA SUL TRANSPORTE DE CARGAS LTDA</t>
        </is>
      </c>
      <c r="B35" t="inlineStr">
        <is>
          <t>02442313000125</t>
        </is>
      </c>
      <c r="C35" t="inlineStr"/>
      <c r="D35" s="10" t="n">
        <v>31955.15</v>
      </c>
      <c r="E35" t="inlineStr"/>
      <c r="F35" t="inlineStr"/>
      <c r="G35" t="inlineStr">
        <is>
          <t>NOT_IN_NEW_RUN</t>
        </is>
      </c>
      <c r="H35" t="inlineStr"/>
      <c r="I35" t="inlineStr">
        <is>
          <t>case/document not harvested or below floor in this run</t>
        </is>
      </c>
    </row>
    <row r="36">
      <c r="A36" t="inlineStr">
        <is>
          <t>GEOFUSION SISTEMAS E SERVICOS DE INFORMATICA LTDA</t>
        </is>
      </c>
      <c r="B36" t="inlineStr">
        <is>
          <t>10502273000198</t>
        </is>
      </c>
      <c r="C36" t="inlineStr">
        <is>
          <t>0008526-45.2025.8.17.2001</t>
        </is>
      </c>
      <c r="D36" s="10" t="n">
        <v>30854.72</v>
      </c>
      <c r="E36" t="inlineStr"/>
      <c r="F36" t="inlineStr"/>
      <c r="G36" t="inlineStr">
        <is>
          <t>NOT_IN_NEW_RUN</t>
        </is>
      </c>
      <c r="H36" t="inlineStr"/>
      <c r="I36" t="inlineStr">
        <is>
          <t>case/document not harvested or below floor in this run</t>
        </is>
      </c>
    </row>
    <row r="37">
      <c r="A37" t="inlineStr">
        <is>
          <t>ELENKO SPORTS LTDA</t>
        </is>
      </c>
      <c r="B37" t="inlineStr">
        <is>
          <t>21317529000103</t>
        </is>
      </c>
      <c r="C37" t="inlineStr">
        <is>
          <t>0820780-23.2026.8.14.0301</t>
        </is>
      </c>
      <c r="D37" s="10" t="n">
        <v>27613.14</v>
      </c>
      <c r="E37" t="inlineStr"/>
      <c r="F37" t="inlineStr"/>
      <c r="G37" t="inlineStr">
        <is>
          <t>NOT_IN_NEW_RUN</t>
        </is>
      </c>
      <c r="H37" t="inlineStr"/>
      <c r="I37" t="inlineStr">
        <is>
          <t>case/document not harvested or below floor in this run</t>
        </is>
      </c>
    </row>
    <row r="38">
      <c r="A38" s="20" t="inlineStr">
        <is>
          <t>VALGROUP AM INDUSTRIA DE MASTERBATCH LTDA.</t>
        </is>
      </c>
      <c r="B38" s="20" t="inlineStr">
        <is>
          <t>03071894000360</t>
        </is>
      </c>
      <c r="C38" s="20" t="inlineStr">
        <is>
          <t>0800778-16.2023.8.20.5104</t>
        </is>
      </c>
      <c r="D38" s="21" t="n">
        <v>26655</v>
      </c>
      <c r="E38" s="21" t="n">
        <v>226655</v>
      </c>
      <c r="F38" s="21" t="n">
        <v>200000</v>
      </c>
      <c r="G38" s="20" t="inlineStr">
        <is>
          <t>CHANGED</t>
        </is>
      </c>
      <c r="H38" s="20" t="inlineStr"/>
      <c r="I38" s="20" t="inlineStr">
        <is>
          <t>likely dropped leading digit in old parse</t>
        </is>
      </c>
    </row>
    <row r="39">
      <c r="A39" t="inlineStr">
        <is>
          <t>FEDERAL EXPRESS CORPORATION</t>
        </is>
      </c>
      <c r="B39" t="inlineStr">
        <is>
          <t>00676486000182</t>
        </is>
      </c>
      <c r="C39" t="inlineStr"/>
      <c r="D39" s="10" t="n">
        <v>26451.14</v>
      </c>
      <c r="E39" t="inlineStr"/>
      <c r="F39" t="inlineStr"/>
      <c r="G39" t="inlineStr">
        <is>
          <t>NOT_IN_NEW_RUN</t>
        </is>
      </c>
      <c r="H39" t="inlineStr"/>
      <c r="I39" t="inlineStr">
        <is>
          <t>case/document not harvested or below floor in this run</t>
        </is>
      </c>
    </row>
    <row r="40">
      <c r="A40" t="inlineStr">
        <is>
          <t>UNIONLOG TRANSPORTES LTDA</t>
        </is>
      </c>
      <c r="B40" t="inlineStr">
        <is>
          <t>20919807000130</t>
        </is>
      </c>
      <c r="C40" t="inlineStr"/>
      <c r="D40" s="10" t="n">
        <v>26280.65</v>
      </c>
      <c r="E40" t="inlineStr"/>
      <c r="F40" t="inlineStr"/>
      <c r="G40" t="inlineStr">
        <is>
          <t>NOT_IN_NEW_RUN</t>
        </is>
      </c>
      <c r="H40" t="inlineStr"/>
      <c r="I40" t="inlineStr">
        <is>
          <t>case/document not harvested or below floor in this run</t>
        </is>
      </c>
    </row>
    <row r="41">
      <c r="A41" t="inlineStr">
        <is>
          <t>D'MARI - LOCACAO, TRANSPORTES E LOGISTICA LTDA</t>
        </is>
      </c>
      <c r="B41" t="inlineStr">
        <is>
          <t>11970436000120</t>
        </is>
      </c>
      <c r="C41" t="inlineStr">
        <is>
          <t>0008526-45.2025.8.17.2001</t>
        </is>
      </c>
      <c r="D41" s="10" t="n">
        <v>25714.19</v>
      </c>
      <c r="E41" t="inlineStr"/>
      <c r="F41" t="inlineStr"/>
      <c r="G41" t="inlineStr">
        <is>
          <t>NOT_IN_NEW_RUN</t>
        </is>
      </c>
      <c r="H41" t="inlineStr"/>
      <c r="I41" t="inlineStr">
        <is>
          <t>case/document not harvested or below floor in this run</t>
        </is>
      </c>
    </row>
    <row r="42">
      <c r="A42" t="inlineStr">
        <is>
          <t>ALUVID - INDUSTRIA E COMERCIO DE ALUMINIO E VIDROS LTDA</t>
        </is>
      </c>
      <c r="B42" t="inlineStr">
        <is>
          <t>13158783000188</t>
        </is>
      </c>
      <c r="C42" t="inlineStr">
        <is>
          <t>0800778-16.2023.8.20.5104</t>
        </is>
      </c>
      <c r="D42" s="10" t="n">
        <v>25178.72</v>
      </c>
      <c r="E42" t="inlineStr"/>
      <c r="F42" t="inlineStr"/>
      <c r="G42" t="inlineStr">
        <is>
          <t>NOT_IN_NEW_RUN</t>
        </is>
      </c>
      <c r="H42" t="inlineStr"/>
      <c r="I42" t="inlineStr">
        <is>
          <t>case/document not harvested or below floor in this run</t>
        </is>
      </c>
    </row>
    <row r="43">
      <c r="A43" t="inlineStr">
        <is>
          <t>TRANSPORTES CRISTOFOLI LTDA</t>
        </is>
      </c>
      <c r="B43" t="inlineStr">
        <is>
          <t>88670104000154</t>
        </is>
      </c>
      <c r="C43" t="inlineStr"/>
      <c r="D43" s="10" t="n">
        <v>22603.62</v>
      </c>
      <c r="E43" t="inlineStr"/>
      <c r="F43" t="inlineStr"/>
      <c r="G43" t="inlineStr">
        <is>
          <t>NOT_IN_NEW_RUN</t>
        </is>
      </c>
      <c r="H43" t="inlineStr"/>
      <c r="I43" t="inlineStr">
        <is>
          <t>case/document not harvested or below floor in this run</t>
        </is>
      </c>
    </row>
    <row r="44">
      <c r="A44" t="inlineStr">
        <is>
          <t>IBOPE REPUCOM PESQUISAS ESPORTIVAS LTDA.</t>
        </is>
      </c>
      <c r="B44" t="inlineStr">
        <is>
          <t>04618228000109</t>
        </is>
      </c>
      <c r="C44" t="inlineStr">
        <is>
          <t>0820780-23.2026.8.14.0301</t>
        </is>
      </c>
      <c r="D44" s="10" t="n">
        <v>22145.1</v>
      </c>
      <c r="E44" t="inlineStr"/>
      <c r="F44" t="inlineStr"/>
      <c r="G44" t="inlineStr">
        <is>
          <t>NOT_IN_NEW_RUN</t>
        </is>
      </c>
      <c r="H44" t="inlineStr"/>
      <c r="I44" t="inlineStr">
        <is>
          <t>case/document not harvested or below floor in this run</t>
        </is>
      </c>
    </row>
    <row r="45">
      <c r="A45" t="inlineStr">
        <is>
          <t>SERVICO SOCIAL DA INDUSTRIA DA CONSTRUCAO C DE MANAUS</t>
        </is>
      </c>
      <c r="B45" t="inlineStr">
        <is>
          <t>63692321000114</t>
        </is>
      </c>
      <c r="C45" t="inlineStr">
        <is>
          <t>0532018-89.2024.8.04.0001</t>
        </is>
      </c>
      <c r="D45" s="10" t="n">
        <v>20755.62</v>
      </c>
      <c r="E45" t="inlineStr"/>
      <c r="F45" t="inlineStr"/>
      <c r="G45" t="inlineStr">
        <is>
          <t>NOT_IN_NEW_RUN</t>
        </is>
      </c>
      <c r="H45" t="inlineStr"/>
      <c r="I45" t="inlineStr">
        <is>
          <t>case/document not harvested or below floor in this run</t>
        </is>
      </c>
    </row>
    <row r="46">
      <c r="A46" t="inlineStr">
        <is>
          <t>SERASA S.A.</t>
        </is>
      </c>
      <c r="B46" t="inlineStr">
        <is>
          <t>62173620009306</t>
        </is>
      </c>
      <c r="C46" t="inlineStr"/>
      <c r="D46" s="10" t="n">
        <v>20283.11</v>
      </c>
      <c r="E46" t="inlineStr"/>
      <c r="F46" t="inlineStr"/>
      <c r="G46" t="inlineStr">
        <is>
          <t>NOT_IN_NEW_RUN</t>
        </is>
      </c>
      <c r="H46" t="inlineStr"/>
      <c r="I46" t="inlineStr">
        <is>
          <t>case/document not harvested or below floor in this run</t>
        </is>
      </c>
    </row>
    <row r="47">
      <c r="A47" t="inlineStr">
        <is>
          <t>GRECCHI ADVOGADOS ASSOCIADOS</t>
        </is>
      </c>
      <c r="B47" t="inlineStr">
        <is>
          <t>06119227000137</t>
        </is>
      </c>
      <c r="C47" t="inlineStr"/>
      <c r="D47" s="10" t="n">
        <v>20000</v>
      </c>
      <c r="E47" t="inlineStr"/>
      <c r="F47" t="inlineStr"/>
      <c r="G47" t="inlineStr">
        <is>
          <t>NOT_IN_NEW_RUN</t>
        </is>
      </c>
      <c r="H47" t="inlineStr"/>
      <c r="I47" t="inlineStr">
        <is>
          <t>case/document not harvested or below floor in this run</t>
        </is>
      </c>
    </row>
    <row r="48">
      <c r="A48" t="inlineStr">
        <is>
          <t>DANIEL ARRUDA ARQUITETOS SS LTDA</t>
        </is>
      </c>
      <c r="B48" t="inlineStr">
        <is>
          <t>13384111000190</t>
        </is>
      </c>
      <c r="C48" t="inlineStr">
        <is>
          <t>0532018-89.2024.8.04.0001</t>
        </is>
      </c>
      <c r="D48" s="10" t="n">
        <v>18750</v>
      </c>
      <c r="E48" t="inlineStr"/>
      <c r="F48" t="inlineStr"/>
      <c r="G48" t="inlineStr">
        <is>
          <t>NOT_IN_NEW_RUN</t>
        </is>
      </c>
      <c r="H48" t="inlineStr"/>
      <c r="I48" t="inlineStr">
        <is>
          <t>case/document not harvested or below floor in this run</t>
        </is>
      </c>
    </row>
    <row r="49">
      <c r="A49" t="inlineStr">
        <is>
          <t>SKA AUTOMACAO DE ENGENHARIAS LTDA</t>
        </is>
      </c>
      <c r="B49" t="inlineStr">
        <is>
          <t>81329823000167</t>
        </is>
      </c>
      <c r="C49" t="inlineStr"/>
      <c r="D49" s="10" t="n">
        <v>17678.32</v>
      </c>
      <c r="E49" t="inlineStr"/>
      <c r="F49" t="inlineStr"/>
      <c r="G49" t="inlineStr">
        <is>
          <t>NOT_IN_NEW_RUN</t>
        </is>
      </c>
      <c r="H49" t="inlineStr"/>
      <c r="I49" t="inlineStr">
        <is>
          <t>case/document not harvested or below floor in this run</t>
        </is>
      </c>
    </row>
    <row r="50">
      <c r="A50" s="20" t="inlineStr">
        <is>
          <t>POLYBRAS - POLIMEROS BRASILEIROS LTDA</t>
        </is>
      </c>
      <c r="B50" s="20" t="inlineStr">
        <is>
          <t>17799898000102</t>
        </is>
      </c>
      <c r="C50" s="20" t="inlineStr">
        <is>
          <t>0800778-16.2023.8.20.5104</t>
        </is>
      </c>
      <c r="D50" s="21" t="n">
        <v>17457.66</v>
      </c>
      <c r="E50" s="21" t="n">
        <v>217457.66</v>
      </c>
      <c r="F50" s="21" t="n">
        <v>200000</v>
      </c>
      <c r="G50" s="20" t="inlineStr">
        <is>
          <t>CHANGED</t>
        </is>
      </c>
      <c r="H50" s="20" t="inlineStr"/>
      <c r="I50" s="20" t="inlineStr">
        <is>
          <t>likely dropped leading digit in old parse</t>
        </is>
      </c>
    </row>
    <row r="51">
      <c r="A51" t="inlineStr">
        <is>
          <t>DELL COMPUTADORES DO BRASIL LTDA</t>
        </is>
      </c>
      <c r="B51" t="inlineStr">
        <is>
          <t>72381189001001</t>
        </is>
      </c>
      <c r="C51" t="inlineStr">
        <is>
          <t>0532018-89.2024.8.04.0001</t>
        </is>
      </c>
      <c r="D51" s="10" t="n">
        <v>17118.62</v>
      </c>
      <c r="E51" t="inlineStr"/>
      <c r="F51" t="inlineStr"/>
      <c r="G51" t="inlineStr">
        <is>
          <t>NOT_IN_NEW_RUN</t>
        </is>
      </c>
      <c r="H51" t="inlineStr"/>
      <c r="I51" t="inlineStr">
        <is>
          <t>case/document not harvested or below floor in this run</t>
        </is>
      </c>
    </row>
    <row r="52">
      <c r="A52" t="inlineStr">
        <is>
          <t>WIRECARD BRAZIL TECNOLOGIA LTDA</t>
        </is>
      </c>
      <c r="B52" t="inlineStr">
        <is>
          <t>08718431000108</t>
        </is>
      </c>
      <c r="C52" t="inlineStr"/>
      <c r="D52" s="10" t="n">
        <v>16692.2</v>
      </c>
      <c r="E52" t="inlineStr"/>
      <c r="F52" t="inlineStr"/>
      <c r="G52" t="inlineStr">
        <is>
          <t>NOT_IN_NEW_RUN</t>
        </is>
      </c>
      <c r="H52" t="inlineStr"/>
      <c r="I52" t="inlineStr">
        <is>
          <t>case/document not harvested or below floor in this run</t>
        </is>
      </c>
    </row>
    <row r="53">
      <c r="A53" t="inlineStr">
        <is>
          <t>AVALARA BRASIL - ASSESSORIA E CONSULTORIA TRIBUTARIA E TECNOLOGICA LTDA</t>
        </is>
      </c>
      <c r="B53" t="inlineStr">
        <is>
          <t>24918171000162</t>
        </is>
      </c>
      <c r="C53" t="inlineStr">
        <is>
          <t>0008526-45.2025.8.17.2001</t>
        </is>
      </c>
      <c r="D53" s="10" t="n">
        <v>16537.5</v>
      </c>
      <c r="E53" t="inlineStr"/>
      <c r="F53" t="inlineStr"/>
      <c r="G53" t="inlineStr">
        <is>
          <t>NOT_IN_NEW_RUN</t>
        </is>
      </c>
      <c r="H53" t="inlineStr"/>
      <c r="I53" t="inlineStr">
        <is>
          <t>case/document not harvested or below floor in this run</t>
        </is>
      </c>
    </row>
    <row r="54">
      <c r="A54" t="inlineStr">
        <is>
          <t>TINTAS IQUINE LTDA.</t>
        </is>
      </c>
      <c r="B54" t="inlineStr">
        <is>
          <t>09722463000131</t>
        </is>
      </c>
      <c r="C54" t="inlineStr">
        <is>
          <t>0800778-16.2023.8.20.5104</t>
        </is>
      </c>
      <c r="D54" s="10" t="n">
        <v>16320.88</v>
      </c>
      <c r="E54" t="inlineStr"/>
      <c r="F54" t="inlineStr"/>
      <c r="G54" t="inlineStr">
        <is>
          <t>NOT_IN_NEW_RUN</t>
        </is>
      </c>
      <c r="H54" t="inlineStr"/>
      <c r="I54" t="inlineStr">
        <is>
          <t>case/document not harvested or below floor in this run</t>
        </is>
      </c>
    </row>
    <row r="55">
      <c r="A55" t="inlineStr">
        <is>
          <t>NOVA TRIGO RESINAS TERMOPLASTICAS LTDA.</t>
        </is>
      </c>
      <c r="B55" t="inlineStr">
        <is>
          <t>07094272000147</t>
        </is>
      </c>
      <c r="C55" t="inlineStr"/>
      <c r="D55" s="10" t="n">
        <v>16275</v>
      </c>
      <c r="E55" t="inlineStr"/>
      <c r="F55" t="inlineStr"/>
      <c r="G55" t="inlineStr">
        <is>
          <t>NOT_IN_NEW_RUN</t>
        </is>
      </c>
      <c r="H55" t="inlineStr"/>
      <c r="I55" t="inlineStr">
        <is>
          <t>case/document not harvested or below floor in this run</t>
        </is>
      </c>
    </row>
    <row r="56">
      <c r="A56" t="inlineStr">
        <is>
          <t>BRASIL QUIMICA E MINERACAO INDUSTRIAL LTDA</t>
        </is>
      </c>
      <c r="B56" t="inlineStr">
        <is>
          <t>24373276000183</t>
        </is>
      </c>
      <c r="C56" t="inlineStr">
        <is>
          <t>0800778-16.2023.8.20.5104</t>
        </is>
      </c>
      <c r="D56" s="10" t="n">
        <v>13973.5</v>
      </c>
      <c r="E56" t="inlineStr"/>
      <c r="F56" t="inlineStr"/>
      <c r="G56" t="inlineStr">
        <is>
          <t>NOT_IN_NEW_RUN</t>
        </is>
      </c>
      <c r="H56" t="inlineStr"/>
      <c r="I56" t="inlineStr">
        <is>
          <t>case/document not harvested or below floor in this run</t>
        </is>
      </c>
    </row>
    <row r="57">
      <c r="A57" t="inlineStr">
        <is>
          <t>MARTINELLI ADVOCACIA EMPRESARIAL</t>
        </is>
      </c>
      <c r="B57" t="inlineStr">
        <is>
          <t>01650515000108</t>
        </is>
      </c>
      <c r="C57" t="inlineStr"/>
      <c r="D57" s="10" t="n">
        <v>12843.96</v>
      </c>
      <c r="E57" t="inlineStr"/>
      <c r="F57" t="inlineStr"/>
      <c r="G57" t="inlineStr">
        <is>
          <t>NOT_IN_NEW_RUN</t>
        </is>
      </c>
      <c r="H57" t="inlineStr"/>
      <c r="I57" t="inlineStr">
        <is>
          <t>case/document not harvested or below floor in this run</t>
        </is>
      </c>
    </row>
    <row r="58">
      <c r="A58" t="inlineStr">
        <is>
          <t>CERAMICA SERRA AZUL LTDA</t>
        </is>
      </c>
      <c r="B58" t="inlineStr">
        <is>
          <t>07378783000190</t>
        </is>
      </c>
      <c r="C58" t="inlineStr">
        <is>
          <t>0800778-16.2023.8.20.5104</t>
        </is>
      </c>
      <c r="D58" s="10" t="n">
        <v>12517.38</v>
      </c>
      <c r="E58" t="inlineStr"/>
      <c r="F58" t="inlineStr"/>
      <c r="G58" t="inlineStr">
        <is>
          <t>NOT_IN_NEW_RUN</t>
        </is>
      </c>
      <c r="H58" t="inlineStr"/>
      <c r="I58" t="inlineStr">
        <is>
          <t>case/document not harvested or below floor in this run</t>
        </is>
      </c>
    </row>
    <row r="59">
      <c r="A59" t="inlineStr">
        <is>
          <t>CONDOMINIO INDUSTRIAL DO RIBEIRAO</t>
        </is>
      </c>
      <c r="B59" t="inlineStr">
        <is>
          <t>05646097000128</t>
        </is>
      </c>
      <c r="C59" t="inlineStr">
        <is>
          <t>8005129-09.2023.8.05.0039</t>
        </is>
      </c>
      <c r="D59" s="10" t="n">
        <v>12317.46</v>
      </c>
      <c r="E59" t="inlineStr"/>
      <c r="F59" t="inlineStr"/>
      <c r="G59" t="inlineStr">
        <is>
          <t>NOT_IN_NEW_RUN</t>
        </is>
      </c>
      <c r="H59" t="inlineStr"/>
      <c r="I59" t="inlineStr">
        <is>
          <t>case/document not harvested or below floor in this run</t>
        </is>
      </c>
    </row>
    <row r="60">
      <c r="A60" t="inlineStr">
        <is>
          <t>CLARO S.A.</t>
        </is>
      </c>
      <c r="B60" t="inlineStr">
        <is>
          <t>40432544000147</t>
        </is>
      </c>
      <c r="C60" t="inlineStr">
        <is>
          <t>0652260-87.2018.8.04.0001</t>
        </is>
      </c>
      <c r="D60" s="10" t="n">
        <v>12152.61</v>
      </c>
      <c r="E60" t="inlineStr"/>
      <c r="F60" t="inlineStr"/>
      <c r="G60" t="inlineStr">
        <is>
          <t>NOT_IN_NEW_RUN</t>
        </is>
      </c>
      <c r="H60" t="inlineStr"/>
      <c r="I60" t="inlineStr">
        <is>
          <t>case/document not harvested or below floor in this run</t>
        </is>
      </c>
    </row>
    <row r="61">
      <c r="A61" t="inlineStr">
        <is>
          <t>CASA DO ELETRICISTA LTDA</t>
        </is>
      </c>
      <c r="B61" t="inlineStr">
        <is>
          <t>04415154000103</t>
        </is>
      </c>
      <c r="C61" t="inlineStr">
        <is>
          <t>0652260-87.2018.8.04.0001</t>
        </is>
      </c>
      <c r="D61" s="10" t="n">
        <v>12152.61</v>
      </c>
      <c r="E61" t="inlineStr"/>
      <c r="F61" t="inlineStr"/>
      <c r="G61" t="inlineStr">
        <is>
          <t>NOT_IN_NEW_RUN</t>
        </is>
      </c>
      <c r="H61" t="inlineStr"/>
      <c r="I61" t="inlineStr">
        <is>
          <t>case/document not harvested or below floor in this run</t>
        </is>
      </c>
    </row>
    <row r="62">
      <c r="A62" t="inlineStr">
        <is>
          <t>MACROPECAS COMERCIAL LTDA</t>
        </is>
      </c>
      <c r="B62" t="inlineStr">
        <is>
          <t>10179869000107</t>
        </is>
      </c>
      <c r="C62" t="inlineStr">
        <is>
          <t>0652260-87.2018.8.04.0001</t>
        </is>
      </c>
      <c r="D62" s="10" t="n">
        <v>11986.75</v>
      </c>
      <c r="E62" t="inlineStr"/>
      <c r="F62" t="inlineStr"/>
      <c r="G62" t="inlineStr">
        <is>
          <t>NOT_IN_NEW_RUN</t>
        </is>
      </c>
      <c r="H62" t="inlineStr"/>
      <c r="I62" t="inlineStr">
        <is>
          <t>case/document not harvested or below floor in this run</t>
        </is>
      </c>
    </row>
    <row r="63">
      <c r="A63" t="inlineStr">
        <is>
          <t>GEOFUSION SISTEMAS E SERVICOS DE INFORMATICA LTDA</t>
        </is>
      </c>
      <c r="B63" t="inlineStr">
        <is>
          <t>10502273000198</t>
        </is>
      </c>
      <c r="C63" t="inlineStr">
        <is>
          <t>0532018-89.2024.8.04.0001</t>
        </is>
      </c>
      <c r="D63" s="10" t="n">
        <v>10785.17</v>
      </c>
      <c r="E63" t="inlineStr"/>
      <c r="F63" t="inlineStr"/>
      <c r="G63" t="inlineStr">
        <is>
          <t>NOT_IN_NEW_RUN</t>
        </is>
      </c>
      <c r="H63" t="inlineStr"/>
      <c r="I63" t="inlineStr">
        <is>
          <t>case/document not harvested or below floor in this run</t>
        </is>
      </c>
    </row>
    <row r="64">
      <c r="A64" t="inlineStr">
        <is>
          <t>CONDOMINIO LEVE-CASTANHEIRA RESIDENCIAL PARK</t>
        </is>
      </c>
      <c r="B64" t="inlineStr">
        <is>
          <t>30686394000144</t>
        </is>
      </c>
      <c r="C64" t="inlineStr">
        <is>
          <t>0532018-89.2024.8.04.0001</t>
        </is>
      </c>
      <c r="D64" s="10" t="n">
        <v>10707.09</v>
      </c>
      <c r="E64" t="inlineStr"/>
      <c r="F64" t="inlineStr"/>
      <c r="G64" t="inlineStr">
        <is>
          <t>NOT_IN_NEW_RUN</t>
        </is>
      </c>
      <c r="H64" t="inlineStr"/>
      <c r="I64" t="inlineStr">
        <is>
          <t>case/document not harvested or below floor in this run</t>
        </is>
      </c>
    </row>
    <row r="65">
      <c r="A65" t="inlineStr">
        <is>
          <t>RESIDENCIAL PREDILETTO PARQUE DEZ</t>
        </is>
      </c>
      <c r="B65" t="inlineStr">
        <is>
          <t>43916601000151</t>
        </is>
      </c>
      <c r="C65" t="inlineStr">
        <is>
          <t>0532018-89.2024.8.04.0001</t>
        </is>
      </c>
      <c r="D65" s="10" t="n">
        <v>10222.25</v>
      </c>
      <c r="E65" t="inlineStr"/>
      <c r="F65" t="inlineStr"/>
      <c r="G65" t="inlineStr">
        <is>
          <t>NOT_IN_NEW_RUN</t>
        </is>
      </c>
      <c r="H65" t="inlineStr"/>
      <c r="I65" t="inlineStr">
        <is>
          <t>case/document not harvested or below floor in this run</t>
        </is>
      </c>
    </row>
    <row r="66">
      <c r="A66" t="inlineStr">
        <is>
          <t>MUDANCAS SAMUCA LTDA</t>
        </is>
      </c>
      <c r="B66" t="inlineStr">
        <is>
          <t>04559137000131</t>
        </is>
      </c>
      <c r="C66" t="inlineStr"/>
      <c r="D66" s="10" t="n">
        <v>9900</v>
      </c>
      <c r="E66" t="inlineStr"/>
      <c r="F66" t="inlineStr"/>
      <c r="G66" t="inlineStr">
        <is>
          <t>NOT_IN_NEW_RUN</t>
        </is>
      </c>
      <c r="H66" t="inlineStr"/>
      <c r="I66" t="inlineStr">
        <is>
          <t>case/document not harvested or below floor in this run</t>
        </is>
      </c>
    </row>
    <row r="67">
      <c r="A67" t="inlineStr">
        <is>
          <t>RECOM ETIQUETAS E EMBALAGENS LTDA</t>
        </is>
      </c>
      <c r="B67" t="inlineStr">
        <is>
          <t>53797932000173</t>
        </is>
      </c>
      <c r="C67" t="inlineStr">
        <is>
          <t>8005129-09.2023.8.05.0039</t>
        </is>
      </c>
      <c r="D67" s="10" t="n">
        <v>9764.48</v>
      </c>
      <c r="E67" t="inlineStr"/>
      <c r="F67" t="inlineStr"/>
      <c r="G67" t="inlineStr">
        <is>
          <t>NOT_IN_NEW_RUN</t>
        </is>
      </c>
      <c r="H67" t="inlineStr"/>
      <c r="I67" t="inlineStr">
        <is>
          <t>case/document not harvested or below floor in this run</t>
        </is>
      </c>
    </row>
    <row r="68">
      <c r="A68" t="inlineStr">
        <is>
          <t>TRANSPORTES MOBILINE LTDA</t>
        </is>
      </c>
      <c r="B68" t="inlineStr">
        <is>
          <t>03341775000119</t>
        </is>
      </c>
      <c r="C68" t="inlineStr"/>
      <c r="D68" s="10" t="n">
        <v>9698.610000000001</v>
      </c>
      <c r="E68" t="inlineStr"/>
      <c r="F68" t="inlineStr"/>
      <c r="G68" t="inlineStr">
        <is>
          <t>NOT_IN_NEW_RUN</t>
        </is>
      </c>
      <c r="H68" t="inlineStr"/>
      <c r="I68" t="inlineStr">
        <is>
          <t>case/document not harvested or below floor in this run</t>
        </is>
      </c>
    </row>
    <row r="69">
      <c r="A69" t="inlineStr">
        <is>
          <t>LOCALIZA FLEET S.A.</t>
        </is>
      </c>
      <c r="B69" t="inlineStr">
        <is>
          <t>02286479000108</t>
        </is>
      </c>
      <c r="C69" t="inlineStr">
        <is>
          <t>8005129-09.2023.8.05.0039</t>
        </is>
      </c>
      <c r="D69" s="10" t="n">
        <v>9529.6</v>
      </c>
      <c r="E69" t="inlineStr"/>
      <c r="F69" t="inlineStr"/>
      <c r="G69" t="inlineStr">
        <is>
          <t>NOT_IN_NEW_RUN</t>
        </is>
      </c>
      <c r="H69" t="inlineStr"/>
      <c r="I69" t="inlineStr">
        <is>
          <t>case/document not harvested or below floor in this run</t>
        </is>
      </c>
    </row>
    <row r="70">
      <c r="A70" t="inlineStr">
        <is>
          <t>AIR LIQUIDE BRASIL LTDA</t>
        </is>
      </c>
      <c r="B70" t="inlineStr">
        <is>
          <t>00331788005420</t>
        </is>
      </c>
      <c r="C70" t="inlineStr"/>
      <c r="D70" s="10" t="n">
        <v>9171.65</v>
      </c>
      <c r="E70" t="inlineStr"/>
      <c r="F70" t="inlineStr"/>
      <c r="G70" t="inlineStr">
        <is>
          <t>NOT_IN_NEW_RUN</t>
        </is>
      </c>
      <c r="H70" t="inlineStr"/>
      <c r="I70" t="inlineStr">
        <is>
          <t>case/document not harvested or below floor in this run</t>
        </is>
      </c>
    </row>
    <row r="71">
      <c r="A71" t="inlineStr">
        <is>
          <t>ATUAL CARGAS TRANSPORTES LTDA</t>
        </is>
      </c>
      <c r="B71" t="inlineStr">
        <is>
          <t>08848231001133</t>
        </is>
      </c>
      <c r="C71" t="inlineStr"/>
      <c r="D71" s="10" t="n">
        <v>8912.48</v>
      </c>
      <c r="E71" t="inlineStr"/>
      <c r="F71" t="inlineStr"/>
      <c r="G71" t="inlineStr">
        <is>
          <t>NOT_IN_NEW_RUN</t>
        </is>
      </c>
      <c r="H71" t="inlineStr"/>
      <c r="I71" t="inlineStr">
        <is>
          <t>case/document not harvested or below floor in this run</t>
        </is>
      </c>
    </row>
    <row r="72">
      <c r="A72" t="inlineStr">
        <is>
          <t>FRANCIMAR REPRESENTACOES LTDA</t>
        </is>
      </c>
      <c r="B72" t="inlineStr">
        <is>
          <t>76823467000284</t>
        </is>
      </c>
      <c r="C72" t="inlineStr"/>
      <c r="D72" s="10" t="n">
        <v>8471.35</v>
      </c>
      <c r="E72" t="inlineStr"/>
      <c r="F72" t="inlineStr"/>
      <c r="G72" t="inlineStr">
        <is>
          <t>NOT_IN_NEW_RUN</t>
        </is>
      </c>
      <c r="H72" t="inlineStr"/>
      <c r="I72" t="inlineStr">
        <is>
          <t>case/document not harvested or below floor in this run</t>
        </is>
      </c>
    </row>
    <row r="73">
      <c r="A73" t="inlineStr">
        <is>
          <t>SERRA BRASIL TRANSPORTES LTDA</t>
        </is>
      </c>
      <c r="B73" t="inlineStr">
        <is>
          <t>15334893000189</t>
        </is>
      </c>
      <c r="C73" t="inlineStr"/>
      <c r="D73" s="10" t="n">
        <v>8329.34</v>
      </c>
      <c r="E73" t="inlineStr"/>
      <c r="F73" t="inlineStr"/>
      <c r="G73" t="inlineStr">
        <is>
          <t>NOT_IN_NEW_RUN</t>
        </is>
      </c>
      <c r="H73" t="inlineStr"/>
      <c r="I73" t="inlineStr">
        <is>
          <t>case/document not harvested or below floor in this run</t>
        </is>
      </c>
    </row>
    <row r="74">
      <c r="A74" t="inlineStr">
        <is>
          <t>GOUVEA &amp; CAMPANA LTDA</t>
        </is>
      </c>
      <c r="B74" t="inlineStr">
        <is>
          <t>11949543000176</t>
        </is>
      </c>
      <c r="C74" t="inlineStr"/>
      <c r="D74" s="10" t="n">
        <v>7772</v>
      </c>
      <c r="E74" t="inlineStr"/>
      <c r="F74" t="inlineStr"/>
      <c r="G74" t="inlineStr">
        <is>
          <t>NOT_IN_NEW_RUN</t>
        </is>
      </c>
      <c r="H74" t="inlineStr"/>
      <c r="I74" t="inlineStr">
        <is>
          <t>case/document not harvested or below floor in this run</t>
        </is>
      </c>
    </row>
    <row r="75">
      <c r="A75" t="inlineStr">
        <is>
          <t>TELEFONICA CLOUD E TECNOLOGIA DO BRASIL S.A.</t>
        </is>
      </c>
      <c r="B75" t="inlineStr">
        <is>
          <t>35473014000107</t>
        </is>
      </c>
      <c r="C75" t="inlineStr">
        <is>
          <t>0804401-51.2025.8.14.0039</t>
        </is>
      </c>
      <c r="D75" s="10" t="n">
        <v>7694.61</v>
      </c>
      <c r="E75" t="inlineStr"/>
      <c r="F75" t="inlineStr"/>
      <c r="G75" t="inlineStr">
        <is>
          <t>NOT_IN_NEW_RUN</t>
        </is>
      </c>
      <c r="H75" t="inlineStr"/>
      <c r="I75" t="inlineStr">
        <is>
          <t>case/document not harvested or below floor in this run</t>
        </is>
      </c>
    </row>
    <row r="76">
      <c r="A76" t="inlineStr">
        <is>
          <t>ACO CEARENSE COMERCIAL LTDA</t>
        </is>
      </c>
      <c r="B76" t="inlineStr">
        <is>
          <t>07557333001056</t>
        </is>
      </c>
      <c r="C76" t="inlineStr">
        <is>
          <t>0800778-16.2023.8.20.5104</t>
        </is>
      </c>
      <c r="D76" s="10" t="n">
        <v>7605.9</v>
      </c>
      <c r="E76" t="inlineStr"/>
      <c r="F76" t="inlineStr"/>
      <c r="G76" t="inlineStr">
        <is>
          <t>NOT_IN_NEW_RUN</t>
        </is>
      </c>
      <c r="H76" t="inlineStr"/>
      <c r="I76" t="inlineStr">
        <is>
          <t>case/document not harvested or below floor in this run</t>
        </is>
      </c>
    </row>
    <row r="77">
      <c r="A77" t="inlineStr">
        <is>
          <t>GPBR PARTICIPACOES LTDA.</t>
        </is>
      </c>
      <c r="B77" t="inlineStr">
        <is>
          <t>15664649000184</t>
        </is>
      </c>
      <c r="C77" t="inlineStr">
        <is>
          <t>0008526-45.2025.8.17.2001</t>
        </is>
      </c>
      <c r="D77" s="10" t="n">
        <v>7338.93</v>
      </c>
      <c r="E77" t="inlineStr"/>
      <c r="F77" t="inlineStr"/>
      <c r="G77" t="inlineStr">
        <is>
          <t>NOT_IN_NEW_RUN</t>
        </is>
      </c>
      <c r="H77" t="inlineStr"/>
      <c r="I77" t="inlineStr">
        <is>
          <t>case/document not harvested or below floor in this run</t>
        </is>
      </c>
    </row>
    <row r="78">
      <c r="A78" t="inlineStr">
        <is>
          <t>TRANSPORTES RODOVIA SUL LTDA</t>
        </is>
      </c>
      <c r="B78" t="inlineStr">
        <is>
          <t>90863325000190</t>
        </is>
      </c>
      <c r="C78" t="inlineStr"/>
      <c r="D78" s="10" t="n">
        <v>6981.59</v>
      </c>
      <c r="E78" t="inlineStr"/>
      <c r="F78" t="inlineStr"/>
      <c r="G78" t="inlineStr">
        <is>
          <t>NOT_IN_NEW_RUN</t>
        </is>
      </c>
      <c r="H78" t="inlineStr"/>
      <c r="I78" t="inlineStr">
        <is>
          <t>case/document not harvested or below floor in this run</t>
        </is>
      </c>
    </row>
    <row r="79">
      <c r="A79" t="inlineStr">
        <is>
          <t>PLANAC I. T. - COMERCIO DIGITAL LTDA</t>
        </is>
      </c>
      <c r="B79" t="inlineStr">
        <is>
          <t>05592445000121</t>
        </is>
      </c>
      <c r="C79" t="inlineStr">
        <is>
          <t>0532018-89.2024.8.04.0001</t>
        </is>
      </c>
      <c r="D79" s="10" t="n">
        <v>6971.81</v>
      </c>
      <c r="E79" t="inlineStr"/>
      <c r="F79" t="inlineStr"/>
      <c r="G79" t="inlineStr">
        <is>
          <t>NOT_IN_NEW_RUN</t>
        </is>
      </c>
      <c r="H79" t="inlineStr"/>
      <c r="I79" t="inlineStr">
        <is>
          <t>case/document not harvested or below floor in this run</t>
        </is>
      </c>
    </row>
    <row r="80">
      <c r="A80" t="inlineStr">
        <is>
          <t>BAKOF PLASTICOS LTDA EM RECUPERACAO JUDICIAL</t>
        </is>
      </c>
      <c r="B80" t="inlineStr">
        <is>
          <t>91967067000317</t>
        </is>
      </c>
      <c r="C80" t="inlineStr">
        <is>
          <t>0800778-16.2023.8.20.5104</t>
        </is>
      </c>
      <c r="D80" s="10" t="n">
        <v>6483</v>
      </c>
      <c r="E80" t="inlineStr"/>
      <c r="F80" t="inlineStr"/>
      <c r="G80" t="inlineStr">
        <is>
          <t>NOT_IN_NEW_RUN</t>
        </is>
      </c>
      <c r="H80" t="inlineStr"/>
      <c r="I80" t="inlineStr">
        <is>
          <t>case/document not harvested or below floor in this run</t>
        </is>
      </c>
    </row>
    <row r="81">
      <c r="A81" t="inlineStr">
        <is>
          <t>NANO EMBALAGENS LTDA</t>
        </is>
      </c>
      <c r="B81" t="inlineStr">
        <is>
          <t>04577829000102</t>
        </is>
      </c>
      <c r="C81" t="inlineStr"/>
      <c r="D81" s="10" t="n">
        <v>5589.04</v>
      </c>
      <c r="E81" t="inlineStr"/>
      <c r="F81" t="inlineStr"/>
      <c r="G81" t="inlineStr">
        <is>
          <t>NOT_IN_NEW_RUN</t>
        </is>
      </c>
      <c r="H81" t="inlineStr"/>
      <c r="I81" t="inlineStr">
        <is>
          <t>case/document not harvested or below floor in this run</t>
        </is>
      </c>
    </row>
    <row r="82">
      <c r="A82" t="inlineStr">
        <is>
          <t>DECORACAO CASA 4 COMERCIO DE MOVEIS LTDA.</t>
        </is>
      </c>
      <c r="B82" t="inlineStr">
        <is>
          <t>16604239000100</t>
        </is>
      </c>
      <c r="C82" t="inlineStr"/>
      <c r="D82" s="10" t="n">
        <v>5038.28</v>
      </c>
      <c r="E82" t="inlineStr"/>
      <c r="F82" t="inlineStr"/>
      <c r="G82" t="inlineStr">
        <is>
          <t>NOT_IN_NEW_RUN</t>
        </is>
      </c>
      <c r="H82" t="inlineStr"/>
      <c r="I82" t="inlineStr">
        <is>
          <t>case/document not harvested or below floor in this run</t>
        </is>
      </c>
    </row>
    <row r="83">
      <c r="A83" t="inlineStr">
        <is>
          <t>ALUSUPRA ALUMINIO LTDA</t>
        </is>
      </c>
      <c r="B83" t="inlineStr">
        <is>
          <t>08329905000111</t>
        </is>
      </c>
      <c r="C83" t="inlineStr"/>
      <c r="D83" s="10" t="n">
        <v>5024.32</v>
      </c>
      <c r="E83" t="inlineStr"/>
      <c r="F83" t="inlineStr"/>
      <c r="G83" t="inlineStr">
        <is>
          <t>NOT_IN_NEW_RUN</t>
        </is>
      </c>
      <c r="H83" t="inlineStr"/>
      <c r="I83" t="inlineStr">
        <is>
          <t>case/document not harvested or below floor in this run</t>
        </is>
      </c>
    </row>
    <row r="84">
      <c r="A84" t="inlineStr">
        <is>
          <t>CL SUL TRANSPORTES LTDA</t>
        </is>
      </c>
      <c r="B84" t="inlineStr">
        <is>
          <t>08025373000390</t>
        </is>
      </c>
      <c r="C84" t="inlineStr">
        <is>
          <t>8005129-09.2023.8.05.0039</t>
        </is>
      </c>
      <c r="D84" s="10" t="n">
        <v>4900</v>
      </c>
      <c r="E84" t="inlineStr"/>
      <c r="F84" t="inlineStr"/>
      <c r="G84" t="inlineStr">
        <is>
          <t>NOT_IN_NEW_RUN</t>
        </is>
      </c>
      <c r="H84" t="inlineStr"/>
      <c r="I84" t="inlineStr">
        <is>
          <t>case/document not harvested or below floor in this run</t>
        </is>
      </c>
    </row>
    <row r="85">
      <c r="A85" t="inlineStr">
        <is>
          <t>DISMAFER DISTRIBUIDORA DE MAQUINAS E FERRAMENTAS LTDA</t>
        </is>
      </c>
      <c r="B85" t="inlineStr">
        <is>
          <t>04112126000109</t>
        </is>
      </c>
      <c r="C85" t="inlineStr"/>
      <c r="D85" s="10" t="n">
        <v>4783.1</v>
      </c>
      <c r="E85" t="inlineStr"/>
      <c r="F85" t="inlineStr"/>
      <c r="G85" t="inlineStr">
        <is>
          <t>NOT_IN_NEW_RUN</t>
        </is>
      </c>
      <c r="H85" t="inlineStr"/>
      <c r="I85" t="inlineStr">
        <is>
          <t>case/document not harvested or below floor in this run</t>
        </is>
      </c>
    </row>
    <row r="86">
      <c r="A86" t="inlineStr">
        <is>
          <t>BUSARELLO COMERCIO ATACADISTA DE EMBALAGENS LTDA</t>
        </is>
      </c>
      <c r="B86" t="inlineStr">
        <is>
          <t>09037969000101</t>
        </is>
      </c>
      <c r="C86" t="inlineStr"/>
      <c r="D86" s="10" t="n">
        <v>4717.5</v>
      </c>
      <c r="E86" t="inlineStr"/>
      <c r="F86" t="inlineStr"/>
      <c r="G86" t="inlineStr">
        <is>
          <t>NOT_IN_NEW_RUN</t>
        </is>
      </c>
      <c r="H86" t="inlineStr"/>
      <c r="I86" t="inlineStr">
        <is>
          <t>case/document not harvested or below floor in this run</t>
        </is>
      </c>
    </row>
    <row r="87">
      <c r="A87" t="inlineStr">
        <is>
          <t>NEOGRID INFORMATICA LTDA</t>
        </is>
      </c>
      <c r="B87" t="inlineStr">
        <is>
          <t>05794609000101</t>
        </is>
      </c>
      <c r="C87" t="inlineStr">
        <is>
          <t>0008526-45.2025.8.17.2001</t>
        </is>
      </c>
      <c r="D87" s="10" t="n">
        <v>4699.29</v>
      </c>
      <c r="E87" t="inlineStr"/>
      <c r="F87" t="inlineStr"/>
      <c r="G87" t="inlineStr">
        <is>
          <t>NOT_IN_NEW_RUN</t>
        </is>
      </c>
      <c r="H87" t="inlineStr"/>
      <c r="I87" t="inlineStr">
        <is>
          <t>case/document not harvested or below floor in this run</t>
        </is>
      </c>
    </row>
    <row r="88">
      <c r="A88" t="inlineStr">
        <is>
          <t>CROPFERT INDUSTRIA DE FERTILIZANTES E AGROQUIMICOS LTDA</t>
        </is>
      </c>
      <c r="B88" t="inlineStr">
        <is>
          <t>18373437000136</t>
        </is>
      </c>
      <c r="C88" t="inlineStr">
        <is>
          <t>0804401-51.2025.8.14.0039</t>
        </is>
      </c>
      <c r="D88" s="10" t="n">
        <v>467392</v>
      </c>
      <c r="E88" s="10" t="n">
        <v>467392</v>
      </c>
      <c r="F88" s="10" t="n">
        <v>0</v>
      </c>
      <c r="G88" t="inlineStr">
        <is>
          <t>SAME</t>
        </is>
      </c>
      <c r="H88" t="inlineStr">
        <is>
          <t>18373437000136</t>
        </is>
      </c>
      <c r="I88" t="inlineStr"/>
    </row>
    <row r="89">
      <c r="A89" t="inlineStr">
        <is>
          <t>FRETEFY TECNOLOGIA S.A.</t>
        </is>
      </c>
      <c r="B89" t="inlineStr">
        <is>
          <t>32998118000147</t>
        </is>
      </c>
      <c r="C89" t="inlineStr">
        <is>
          <t>0008526-45.2025.8.17.2001</t>
        </is>
      </c>
      <c r="D89" s="10" t="n">
        <v>4317.08</v>
      </c>
      <c r="E89" t="inlineStr"/>
      <c r="F89" t="inlineStr"/>
      <c r="G89" t="inlineStr">
        <is>
          <t>NOT_IN_NEW_RUN</t>
        </is>
      </c>
      <c r="H89" t="inlineStr">
        <is>
          <t>32998118000147</t>
        </is>
      </c>
      <c r="I89" t="inlineStr">
        <is>
          <t>case/document not harvested or below floor in this run</t>
        </is>
      </c>
    </row>
    <row r="90">
      <c r="A90" t="inlineStr">
        <is>
          <t>COLLEONY PRODUTOS E SISTEMAS PARA HIGIENIZACAO LTDA</t>
        </is>
      </c>
      <c r="B90" t="inlineStr">
        <is>
          <t>02200306000117</t>
        </is>
      </c>
      <c r="C90" t="inlineStr"/>
      <c r="D90" s="10" t="n">
        <v>4085</v>
      </c>
      <c r="E90" t="inlineStr"/>
      <c r="F90" t="inlineStr"/>
      <c r="G90" t="inlineStr">
        <is>
          <t>NOT_IN_NEW_RUN</t>
        </is>
      </c>
      <c r="H90" t="inlineStr">
        <is>
          <t>02200306000117</t>
        </is>
      </c>
      <c r="I90" t="inlineStr">
        <is>
          <t>case/document not harvested or below floor in this run</t>
        </is>
      </c>
    </row>
    <row r="91">
      <c r="A91" t="inlineStr">
        <is>
          <t>COMERCIAL DE BORRACHAS FASISA LTDA</t>
        </is>
      </c>
      <c r="B91" t="inlineStr">
        <is>
          <t>88827555000152</t>
        </is>
      </c>
      <c r="C91" t="inlineStr"/>
      <c r="D91" s="10" t="n">
        <v>3764.8</v>
      </c>
      <c r="E91" t="inlineStr"/>
      <c r="F91" t="inlineStr"/>
      <c r="G91" t="inlineStr">
        <is>
          <t>NOT_IN_NEW_RUN</t>
        </is>
      </c>
      <c r="H91" t="inlineStr">
        <is>
          <t>88827555000152</t>
        </is>
      </c>
      <c r="I91" t="inlineStr">
        <is>
          <t>case/document not harvested or below floor in this run</t>
        </is>
      </c>
    </row>
    <row r="92">
      <c r="A92" t="inlineStr">
        <is>
          <t>METALURGICA SCHIOPPA LTDA</t>
        </is>
      </c>
      <c r="B92" t="inlineStr">
        <is>
          <t>61174652000137</t>
        </is>
      </c>
      <c r="C92" t="inlineStr"/>
      <c r="D92" s="10" t="n">
        <v>3297.2</v>
      </c>
      <c r="E92" t="inlineStr"/>
      <c r="F92" t="inlineStr"/>
      <c r="G92" t="inlineStr">
        <is>
          <t>NOT_IN_NEW_RUN</t>
        </is>
      </c>
      <c r="H92" t="inlineStr">
        <is>
          <t>61174652000137</t>
        </is>
      </c>
      <c r="I92" t="inlineStr">
        <is>
          <t>case/document not harvested or below floor in this run</t>
        </is>
      </c>
    </row>
    <row r="93">
      <c r="A93" t="inlineStr">
        <is>
          <t>LEITZ FERRAMENTAS PARA MADEIRA LTDA</t>
        </is>
      </c>
      <c r="B93" t="inlineStr">
        <is>
          <t>90815150000146</t>
        </is>
      </c>
      <c r="C93" t="inlineStr"/>
      <c r="D93" s="10" t="n">
        <v>3005.66</v>
      </c>
      <c r="E93" t="inlineStr"/>
      <c r="F93" t="inlineStr"/>
      <c r="G93" t="inlineStr">
        <is>
          <t>NOT_IN_NEW_RUN</t>
        </is>
      </c>
      <c r="H93" t="inlineStr">
        <is>
          <t>90815150000146</t>
        </is>
      </c>
      <c r="I93" t="inlineStr">
        <is>
          <t>case/document not harvested or below floor in this run</t>
        </is>
      </c>
    </row>
    <row r="94">
      <c r="A94" t="inlineStr">
        <is>
          <t>ID CARGO BRASIL LTDA</t>
        </is>
      </c>
      <c r="B94" t="inlineStr">
        <is>
          <t>20306967000103</t>
        </is>
      </c>
      <c r="C94" t="inlineStr"/>
      <c r="D94" s="10" t="n">
        <v>2991.7</v>
      </c>
      <c r="E94" t="inlineStr"/>
      <c r="F94" t="inlineStr"/>
      <c r="G94" t="inlineStr">
        <is>
          <t>NOT_IN_NEW_RUN</t>
        </is>
      </c>
      <c r="H94" t="inlineStr">
        <is>
          <t>20306967000103</t>
        </is>
      </c>
      <c r="I94" t="inlineStr">
        <is>
          <t>case/document not harvested or below floor in this run</t>
        </is>
      </c>
    </row>
    <row r="95">
      <c r="A95" t="inlineStr">
        <is>
          <t>INDUSTRIAS ESPLANADA LTDA</t>
        </is>
      </c>
      <c r="B95" t="inlineStr">
        <is>
          <t>04534459000126</t>
        </is>
      </c>
      <c r="C95" t="inlineStr">
        <is>
          <t>0652260-87.2018.8.04.0001</t>
        </is>
      </c>
      <c r="D95" s="10" t="n">
        <v>2945</v>
      </c>
      <c r="E95" t="inlineStr"/>
      <c r="F95" t="inlineStr"/>
      <c r="G95" t="inlineStr">
        <is>
          <t>NOT_IN_NEW_RUN</t>
        </is>
      </c>
      <c r="H95" t="inlineStr">
        <is>
          <t>04534459000126</t>
        </is>
      </c>
      <c r="I95" t="inlineStr">
        <is>
          <t>case/document not harvested or below floor in this run</t>
        </is>
      </c>
    </row>
    <row r="96">
      <c r="A96" t="inlineStr">
        <is>
          <t>DOMINALOG EXPRESS LOGISTICA INTEGRADA LTDA</t>
        </is>
      </c>
      <c r="B96" t="inlineStr">
        <is>
          <t>18247063000102</t>
        </is>
      </c>
      <c r="C96" t="inlineStr"/>
      <c r="D96" s="10" t="n">
        <v>2892.1</v>
      </c>
      <c r="E96" t="inlineStr"/>
      <c r="F96" t="inlineStr"/>
      <c r="G96" t="inlineStr">
        <is>
          <t>NOT_IN_NEW_RUN</t>
        </is>
      </c>
      <c r="H96" t="inlineStr">
        <is>
          <t>18247063000102</t>
        </is>
      </c>
      <c r="I96" t="inlineStr">
        <is>
          <t>case/document not harvested or below floor in this run</t>
        </is>
      </c>
    </row>
    <row r="97">
      <c r="A97" t="inlineStr">
        <is>
          <t>SOLIDES TECNOLOGIA S/A</t>
        </is>
      </c>
      <c r="B97" t="inlineStr">
        <is>
          <t>10461302000110</t>
        </is>
      </c>
      <c r="C97" t="inlineStr">
        <is>
          <t>0008526-45.2025.8.17.2001</t>
        </is>
      </c>
      <c r="D97" s="10" t="n">
        <v>2857.35</v>
      </c>
      <c r="E97" t="inlineStr"/>
      <c r="F97" t="inlineStr"/>
      <c r="G97" t="inlineStr">
        <is>
          <t>NOT_IN_NEW_RUN</t>
        </is>
      </c>
      <c r="H97" t="inlineStr">
        <is>
          <t>10461302000110</t>
        </is>
      </c>
      <c r="I97" t="inlineStr">
        <is>
          <t>case/document not harvested or below floor in this run</t>
        </is>
      </c>
    </row>
    <row r="98">
      <c r="A98" t="inlineStr">
        <is>
          <t>MOVIDA LOCACAO DE VEICULOS S.A.</t>
        </is>
      </c>
      <c r="B98" t="inlineStr">
        <is>
          <t>07976147000160</t>
        </is>
      </c>
      <c r="C98" t="inlineStr"/>
      <c r="D98" s="10" t="n">
        <v>2807.36</v>
      </c>
      <c r="E98" t="inlineStr"/>
      <c r="F98" t="inlineStr"/>
      <c r="G98" t="inlineStr">
        <is>
          <t>NOT_IN_NEW_RUN</t>
        </is>
      </c>
      <c r="H98" t="inlineStr">
        <is>
          <t>07976147000160</t>
        </is>
      </c>
      <c r="I98" t="inlineStr">
        <is>
          <t>case/document not harvested or below floor in this run</t>
        </is>
      </c>
    </row>
    <row r="99">
      <c r="A99" t="inlineStr">
        <is>
          <t>TELEFONICA BRASIL S.A.</t>
        </is>
      </c>
      <c r="B99" t="inlineStr">
        <is>
          <t>02558157001720</t>
        </is>
      </c>
      <c r="C99" t="inlineStr"/>
      <c r="D99" s="10" t="n">
        <v>2784.27</v>
      </c>
      <c r="E99" t="inlineStr"/>
      <c r="F99" t="inlineStr"/>
      <c r="G99" t="inlineStr">
        <is>
          <t>NOT_IN_NEW_RUN</t>
        </is>
      </c>
      <c r="H99" t="inlineStr">
        <is>
          <t>02558157001720</t>
        </is>
      </c>
      <c r="I99" t="inlineStr">
        <is>
          <t>case/document not harvested or below floor in this run</t>
        </is>
      </c>
    </row>
    <row r="100">
      <c r="A100" t="inlineStr">
        <is>
          <t>ARQUIVEI SERVICOS ON LINE LTDA</t>
        </is>
      </c>
      <c r="B100" t="inlineStr">
        <is>
          <t>19427033000140</t>
        </is>
      </c>
      <c r="C100" t="inlineStr">
        <is>
          <t>0008526-45.2025.8.17.2001</t>
        </is>
      </c>
      <c r="D100" s="10" t="n">
        <v>2671.65</v>
      </c>
      <c r="E100" t="inlineStr"/>
      <c r="F100" t="inlineStr"/>
      <c r="G100" t="inlineStr">
        <is>
          <t>NOT_IN_NEW_RUN</t>
        </is>
      </c>
      <c r="H100" t="inlineStr">
        <is>
          <t>19427033000140</t>
        </is>
      </c>
      <c r="I100" t="inlineStr">
        <is>
          <t>case/document not harvested or below floor in this run</t>
        </is>
      </c>
    </row>
    <row r="101">
      <c r="A101" t="inlineStr">
        <is>
          <t>ASIA SHIPPING TRANSPORTES INTERNACIONAIS LTDA</t>
        </is>
      </c>
      <c r="B101" t="inlineStr">
        <is>
          <t>01137526000180</t>
        </is>
      </c>
      <c r="C101" t="inlineStr"/>
      <c r="D101" s="10" t="n">
        <v>2596.27</v>
      </c>
      <c r="E101" t="inlineStr"/>
      <c r="F101" t="inlineStr"/>
      <c r="G101" t="inlineStr">
        <is>
          <t>NOT_IN_NEW_RUN</t>
        </is>
      </c>
      <c r="H101" t="inlineStr">
        <is>
          <t>01137526000180</t>
        </is>
      </c>
      <c r="I101" t="inlineStr">
        <is>
          <t>case/document not harvested or below floor in this run</t>
        </is>
      </c>
    </row>
    <row r="102">
      <c r="A102" t="inlineStr">
        <is>
          <t>ADAM DISTRIBUIDORA LTDA</t>
        </is>
      </c>
      <c r="B102" t="inlineStr">
        <is>
          <t>03433636000115</t>
        </is>
      </c>
      <c r="C102" t="inlineStr"/>
      <c r="D102" s="10" t="n">
        <v>2576.15</v>
      </c>
      <c r="E102" t="inlineStr"/>
      <c r="F102" t="inlineStr"/>
      <c r="G102" t="inlineStr">
        <is>
          <t>NOT_IN_NEW_RUN</t>
        </is>
      </c>
      <c r="H102" t="inlineStr">
        <is>
          <t>03433636000115</t>
        </is>
      </c>
      <c r="I102" t="inlineStr">
        <is>
          <t>case/document not harvested or below floor in this run</t>
        </is>
      </c>
    </row>
    <row r="103">
      <c r="A103" t="inlineStr">
        <is>
          <t>PETRYMAR TRANSPORTES LTDA</t>
        </is>
      </c>
      <c r="B103" t="inlineStr">
        <is>
          <t>90605759000190</t>
        </is>
      </c>
      <c r="C103" t="inlineStr"/>
      <c r="D103" s="10" t="n">
        <v>2548.37</v>
      </c>
      <c r="E103" t="inlineStr"/>
      <c r="F103" t="inlineStr"/>
      <c r="G103" t="inlineStr">
        <is>
          <t>NOT_IN_NEW_RUN</t>
        </is>
      </c>
      <c r="H103" t="inlineStr">
        <is>
          <t>90605759000190</t>
        </is>
      </c>
      <c r="I103" t="inlineStr">
        <is>
          <t>case/document not harvested or below floor in this run</t>
        </is>
      </c>
    </row>
    <row r="104">
      <c r="A104" t="inlineStr">
        <is>
          <t>COPIMAGEM GRAFICA DIGITAL LTDA</t>
        </is>
      </c>
      <c r="B104" t="inlineStr">
        <is>
          <t>05898365000107</t>
        </is>
      </c>
      <c r="C104" t="inlineStr"/>
      <c r="D104" s="10" t="n">
        <v>2506</v>
      </c>
      <c r="E104" t="inlineStr"/>
      <c r="F104" t="inlineStr"/>
      <c r="G104" t="inlineStr">
        <is>
          <t>NOT_IN_NEW_RUN</t>
        </is>
      </c>
      <c r="H104" t="inlineStr">
        <is>
          <t>05898365000107</t>
        </is>
      </c>
      <c r="I104" t="inlineStr">
        <is>
          <t>case/document not harvested or below floor in this run</t>
        </is>
      </c>
    </row>
    <row r="105">
      <c r="A105" t="inlineStr">
        <is>
          <t>ASSOCIACAO PROATIVA DO PARA - APPA</t>
        </is>
      </c>
      <c r="B105" t="inlineStr">
        <is>
          <t>07611485000107</t>
        </is>
      </c>
      <c r="C105" t="inlineStr">
        <is>
          <t>0820780-23.2026.8.14.0301</t>
        </is>
      </c>
      <c r="D105" s="10" t="n">
        <v>2479.03</v>
      </c>
      <c r="E105" t="inlineStr"/>
      <c r="F105" t="inlineStr"/>
      <c r="G105" t="inlineStr">
        <is>
          <t>NOT_IN_NEW_RUN</t>
        </is>
      </c>
      <c r="H105" t="inlineStr">
        <is>
          <t>07611485000107</t>
        </is>
      </c>
      <c r="I105" t="inlineStr">
        <is>
          <t>case/document not harvested or below floor in this run</t>
        </is>
      </c>
    </row>
    <row r="106">
      <c r="A106" t="inlineStr">
        <is>
          <t>JOCLAMAR LTDA.</t>
        </is>
      </c>
      <c r="B106" t="inlineStr">
        <is>
          <t>75795625000196</t>
        </is>
      </c>
      <c r="C106" t="inlineStr"/>
      <c r="D106" s="10" t="n">
        <v>2300.45</v>
      </c>
      <c r="E106" t="inlineStr"/>
      <c r="F106" t="inlineStr"/>
      <c r="G106" t="inlineStr">
        <is>
          <t>NOT_IN_NEW_RUN</t>
        </is>
      </c>
      <c r="H106" t="inlineStr">
        <is>
          <t>75795625000196</t>
        </is>
      </c>
      <c r="I106" t="inlineStr">
        <is>
          <t>case/document not harvested or below floor in this run</t>
        </is>
      </c>
    </row>
    <row r="107">
      <c r="A107" t="inlineStr">
        <is>
          <t>TAYU QUIMICA LTDA</t>
        </is>
      </c>
      <c r="B107" t="inlineStr">
        <is>
          <t>97493407000130</t>
        </is>
      </c>
      <c r="C107" t="inlineStr"/>
      <c r="D107" s="10" t="n">
        <v>2065.99</v>
      </c>
      <c r="E107" t="inlineStr"/>
      <c r="F107" t="inlineStr"/>
      <c r="G107" t="inlineStr">
        <is>
          <t>NOT_IN_NEW_RUN</t>
        </is>
      </c>
      <c r="H107" t="inlineStr">
        <is>
          <t>97493407000130</t>
        </is>
      </c>
      <c r="I107" t="inlineStr">
        <is>
          <t>case/document not harvested or below floor in this run</t>
        </is>
      </c>
    </row>
    <row r="108">
      <c r="A108" t="inlineStr">
        <is>
          <t>CONNECT INFORMACOES E TECNOLOGIA SA</t>
        </is>
      </c>
      <c r="B108" t="inlineStr">
        <is>
          <t>00850820000253</t>
        </is>
      </c>
      <c r="C108" t="inlineStr"/>
      <c r="D108" s="10" t="n">
        <v>2045.57</v>
      </c>
      <c r="E108" t="inlineStr"/>
      <c r="F108" t="inlineStr"/>
      <c r="G108" t="inlineStr">
        <is>
          <t>NOT_IN_NEW_RUN</t>
        </is>
      </c>
      <c r="H108" t="inlineStr">
        <is>
          <t>00850820000253</t>
        </is>
      </c>
      <c r="I108" t="inlineStr">
        <is>
          <t>case/document not harvested or below floor in this run</t>
        </is>
      </c>
    </row>
    <row r="109">
      <c r="A109" t="inlineStr">
        <is>
          <t>AMERICAN CHAMBER OF COMMERCE FOR BRAZIL SAO PAULO</t>
        </is>
      </c>
      <c r="B109" t="inlineStr">
        <is>
          <t>62044151000107</t>
        </is>
      </c>
      <c r="C109" t="inlineStr">
        <is>
          <t>0008526-45.2025.8.17.2001</t>
        </is>
      </c>
      <c r="D109" s="10" t="n">
        <v>1988.68</v>
      </c>
      <c r="E109" t="inlineStr"/>
      <c r="F109" t="inlineStr"/>
      <c r="G109" t="inlineStr">
        <is>
          <t>NOT_IN_NEW_RUN</t>
        </is>
      </c>
      <c r="H109" t="inlineStr">
        <is>
          <t>62044151000107</t>
        </is>
      </c>
      <c r="I109" t="inlineStr">
        <is>
          <t>case/document not harvested or below floor in this run</t>
        </is>
      </c>
    </row>
    <row r="110">
      <c r="A110" t="inlineStr">
        <is>
          <t>PERFIL INFORMATICA LTDA</t>
        </is>
      </c>
      <c r="B110" t="inlineStr">
        <is>
          <t>83202192000146</t>
        </is>
      </c>
      <c r="C110" t="inlineStr"/>
      <c r="D110" s="10" t="n">
        <v>1900</v>
      </c>
      <c r="E110" t="inlineStr"/>
      <c r="F110" t="inlineStr"/>
      <c r="G110" t="inlineStr">
        <is>
          <t>NOT_IN_NEW_RUN</t>
        </is>
      </c>
      <c r="H110" t="inlineStr">
        <is>
          <t>83202192000146</t>
        </is>
      </c>
      <c r="I110" t="inlineStr">
        <is>
          <t>case/document not harvested or below floor in this run</t>
        </is>
      </c>
    </row>
    <row r="111">
      <c r="A111" t="inlineStr">
        <is>
          <t>J.MARCANTE &amp; CIA LTDA</t>
        </is>
      </c>
      <c r="B111" t="inlineStr">
        <is>
          <t>91448977000202</t>
        </is>
      </c>
      <c r="C111" t="inlineStr"/>
      <c r="D111" s="10" t="n">
        <v>1816.68</v>
      </c>
      <c r="E111" t="inlineStr"/>
      <c r="F111" t="inlineStr"/>
      <c r="G111" t="inlineStr">
        <is>
          <t>NOT_IN_NEW_RUN</t>
        </is>
      </c>
      <c r="H111" t="inlineStr">
        <is>
          <t>91448977000202</t>
        </is>
      </c>
      <c r="I111" t="inlineStr">
        <is>
          <t>case/document not harvested or below floor in this run</t>
        </is>
      </c>
    </row>
    <row r="112">
      <c r="A112" t="inlineStr">
        <is>
          <t>CJ METAIS E CONSTRUCOES LTDA - EM RECUPERACAO JUDICIAL</t>
        </is>
      </c>
      <c r="B112" t="inlineStr">
        <is>
          <t>18282214000163</t>
        </is>
      </c>
      <c r="C112" t="inlineStr">
        <is>
          <t>0800778-16.2023.8.20.5104</t>
        </is>
      </c>
      <c r="D112" s="10" t="n">
        <v>1636.33</v>
      </c>
      <c r="E112" t="inlineStr"/>
      <c r="F112" t="inlineStr"/>
      <c r="G112" t="inlineStr">
        <is>
          <t>NOT_IN_NEW_RUN</t>
        </is>
      </c>
      <c r="H112" t="inlineStr">
        <is>
          <t>18282214000163</t>
        </is>
      </c>
      <c r="I112" t="inlineStr">
        <is>
          <t>case/document not harvested or below floor in this run</t>
        </is>
      </c>
    </row>
    <row r="113">
      <c r="A113" t="inlineStr">
        <is>
          <t>ESPANTALHO PNEUS LTDA</t>
        </is>
      </c>
      <c r="B113" t="inlineStr">
        <is>
          <t>02314882000195</t>
        </is>
      </c>
      <c r="C113" t="inlineStr">
        <is>
          <t>0652260-87.2018.8.04.0001</t>
        </is>
      </c>
      <c r="D113" s="10" t="n">
        <v>1510.92</v>
      </c>
      <c r="E113" t="inlineStr"/>
      <c r="F113" t="inlineStr"/>
      <c r="G113" t="inlineStr">
        <is>
          <t>NOT_IN_NEW_RUN</t>
        </is>
      </c>
      <c r="H113" t="inlineStr">
        <is>
          <t>02314882000195</t>
        </is>
      </c>
      <c r="I113" t="inlineStr">
        <is>
          <t>case/document not harvested or below floor in this run</t>
        </is>
      </c>
    </row>
    <row r="114">
      <c r="A114" t="inlineStr">
        <is>
          <t>SOL A SOL TRANSPORTES LTDA</t>
        </is>
      </c>
      <c r="B114" t="inlineStr">
        <is>
          <t>08152463000342</t>
        </is>
      </c>
      <c r="C114" t="inlineStr"/>
      <c r="D114" s="10" t="n">
        <v>1454.87</v>
      </c>
      <c r="E114" t="inlineStr"/>
      <c r="F114" t="inlineStr"/>
      <c r="G114" t="inlineStr">
        <is>
          <t>NOT_IN_NEW_RUN</t>
        </is>
      </c>
      <c r="H114" t="inlineStr">
        <is>
          <t>08152463000342</t>
        </is>
      </c>
      <c r="I114" t="inlineStr">
        <is>
          <t>case/document not harvested or below floor in this run</t>
        </is>
      </c>
    </row>
    <row r="115">
      <c r="A115" t="inlineStr">
        <is>
          <t>MAQUIPEL-COMERCIO DE MAQUINAS E PECAS LTDA</t>
        </is>
      </c>
      <c r="B115" t="inlineStr">
        <is>
          <t>02106579000288</t>
        </is>
      </c>
      <c r="C115" t="inlineStr">
        <is>
          <t>0652260-87.2018.8.04.0001</t>
        </is>
      </c>
      <c r="D115" s="10" t="n">
        <v>1315</v>
      </c>
      <c r="E115" t="inlineStr"/>
      <c r="F115" t="inlineStr"/>
      <c r="G115" t="inlineStr">
        <is>
          <t>NOT_IN_NEW_RUN</t>
        </is>
      </c>
      <c r="H115" t="inlineStr">
        <is>
          <t>02106579000288</t>
        </is>
      </c>
      <c r="I115" t="inlineStr">
        <is>
          <t>case/document not harvested or below floor in this run</t>
        </is>
      </c>
    </row>
    <row r="116">
      <c r="A116" t="inlineStr">
        <is>
          <t>JAMEF TRANSPORTES LTDA</t>
        </is>
      </c>
      <c r="B116" t="inlineStr">
        <is>
          <t>20147617005887</t>
        </is>
      </c>
      <c r="C116" t="inlineStr">
        <is>
          <t>0008526-45.2025.8.17.2001</t>
        </is>
      </c>
      <c r="D116" s="10" t="n">
        <v>1300.03</v>
      </c>
      <c r="E116" t="inlineStr"/>
      <c r="F116" t="inlineStr"/>
      <c r="G116" t="inlineStr">
        <is>
          <t>NOT_IN_NEW_RUN</t>
        </is>
      </c>
      <c r="H116" t="inlineStr">
        <is>
          <t>20147617005887</t>
        </is>
      </c>
      <c r="I116" t="inlineStr">
        <is>
          <t>case/document not harvested or below floor in this run</t>
        </is>
      </c>
    </row>
    <row r="117">
      <c r="A117" t="inlineStr">
        <is>
          <t>FORMATO TRANSPORTES LTDA</t>
        </is>
      </c>
      <c r="B117" t="inlineStr">
        <is>
          <t>13727240000215</t>
        </is>
      </c>
      <c r="C117" t="inlineStr">
        <is>
          <t>8005129-09.2023.8.05.0039</t>
        </is>
      </c>
      <c r="D117" s="10" t="n">
        <v>1226.73</v>
      </c>
      <c r="E117" t="inlineStr"/>
      <c r="F117" t="inlineStr"/>
      <c r="G117" t="inlineStr">
        <is>
          <t>NOT_IN_NEW_RUN</t>
        </is>
      </c>
      <c r="H117" t="inlineStr">
        <is>
          <t>13727240000215</t>
        </is>
      </c>
      <c r="I117" t="inlineStr">
        <is>
          <t>case/document not harvested or below floor in this run</t>
        </is>
      </c>
    </row>
    <row r="118">
      <c r="A118" t="inlineStr">
        <is>
          <t>MFREITAS ARQUITETURA E CONSULTORIA LTDA</t>
        </is>
      </c>
      <c r="B118" t="inlineStr">
        <is>
          <t>12453103000196</t>
        </is>
      </c>
      <c r="C118" t="inlineStr">
        <is>
          <t>0532018-89.2024.8.04.0001</t>
        </is>
      </c>
      <c r="D118" s="10" t="n">
        <v>1220.83</v>
      </c>
      <c r="E118" t="inlineStr"/>
      <c r="F118" t="inlineStr"/>
      <c r="G118" t="inlineStr">
        <is>
          <t>NOT_IN_NEW_RUN</t>
        </is>
      </c>
      <c r="H118" t="inlineStr">
        <is>
          <t>12453103000196</t>
        </is>
      </c>
      <c r="I118" t="inlineStr">
        <is>
          <t>case/document not harvested or below floor in this run</t>
        </is>
      </c>
    </row>
    <row r="119">
      <c r="A119" t="inlineStr">
        <is>
          <t>DISTRIBUIDORA DE ACOS E METAIS TUBOMETAL LTDA</t>
        </is>
      </c>
      <c r="B119" t="inlineStr">
        <is>
          <t>74519018000130</t>
        </is>
      </c>
      <c r="C119" t="inlineStr"/>
      <c r="D119" s="10" t="n">
        <v>1119.56</v>
      </c>
      <c r="E119" t="inlineStr"/>
      <c r="F119" t="inlineStr"/>
      <c r="G119" t="inlineStr">
        <is>
          <t>NOT_IN_NEW_RUN</t>
        </is>
      </c>
      <c r="H119" t="inlineStr">
        <is>
          <t>74519018000130</t>
        </is>
      </c>
      <c r="I119" t="inlineStr">
        <is>
          <t>case/document not harvested or below floor in this run</t>
        </is>
      </c>
    </row>
    <row r="120">
      <c r="A120" t="inlineStr">
        <is>
          <t>FM IMPRESSOS PERSONALIZADOS LTDA.</t>
        </is>
      </c>
      <c r="B120" t="inlineStr">
        <is>
          <t>13555994000154</t>
        </is>
      </c>
      <c r="C120" t="inlineStr">
        <is>
          <t>8005129-09.2023.8.05.0039</t>
        </is>
      </c>
      <c r="D120" s="10" t="n">
        <v>1110.32</v>
      </c>
      <c r="E120" t="inlineStr"/>
      <c r="F120" t="inlineStr"/>
      <c r="G120" t="inlineStr">
        <is>
          <t>NOT_IN_NEW_RUN</t>
        </is>
      </c>
      <c r="H120" t="inlineStr">
        <is>
          <t>13555994000154</t>
        </is>
      </c>
      <c r="I120" t="inlineStr">
        <is>
          <t>case/document not harvested or below floor in this run</t>
        </is>
      </c>
    </row>
    <row r="121">
      <c r="A121" t="inlineStr">
        <is>
          <t>BLUE TINTAS LTDA</t>
        </is>
      </c>
      <c r="B121" t="inlineStr">
        <is>
          <t>01050029001112</t>
        </is>
      </c>
      <c r="C121" t="inlineStr">
        <is>
          <t>8005129-09.2023.8.05.0039</t>
        </is>
      </c>
      <c r="D121" s="10" t="n">
        <v>1092.94</v>
      </c>
      <c r="E121" t="inlineStr"/>
      <c r="F121" t="inlineStr"/>
      <c r="G121" t="inlineStr">
        <is>
          <t>NOT_IN_NEW_RUN</t>
        </is>
      </c>
      <c r="H121" t="inlineStr">
        <is>
          <t>01050029001112</t>
        </is>
      </c>
      <c r="I121" t="inlineStr">
        <is>
          <t>case/document not harvested or below floor in this run</t>
        </is>
      </c>
    </row>
    <row r="122">
      <c r="A122" t="inlineStr">
        <is>
          <t>TRANSPOTECH PECAS E SERVICOS LTDA</t>
        </is>
      </c>
      <c r="B122" t="inlineStr">
        <is>
          <t>01964690000161</t>
        </is>
      </c>
      <c r="C122" t="inlineStr"/>
      <c r="D122" s="10" t="n">
        <v>1075.75</v>
      </c>
      <c r="E122" t="inlineStr"/>
      <c r="F122" t="inlineStr"/>
      <c r="G122" t="inlineStr">
        <is>
          <t>NOT_IN_NEW_RUN</t>
        </is>
      </c>
      <c r="H122" t="inlineStr">
        <is>
          <t>01964690000161</t>
        </is>
      </c>
      <c r="I122" t="inlineStr">
        <is>
          <t>case/document not harvested or below floor in this run</t>
        </is>
      </c>
    </row>
    <row r="123">
      <c r="A123" t="inlineStr">
        <is>
          <t>STANDARD COMERCIO E SERVICOS ELETRICOS LTDA</t>
        </is>
      </c>
      <c r="B123" t="inlineStr">
        <is>
          <t>82636820000139</t>
        </is>
      </c>
      <c r="C123" t="inlineStr"/>
      <c r="D123" s="10" t="n">
        <v>1002.75</v>
      </c>
      <c r="E123" t="inlineStr"/>
      <c r="F123" t="inlineStr"/>
      <c r="G123" t="inlineStr">
        <is>
          <t>NOT_IN_NEW_RUN</t>
        </is>
      </c>
      <c r="H123" t="inlineStr">
        <is>
          <t>82636820000139</t>
        </is>
      </c>
      <c r="I123" t="inlineStr">
        <is>
          <t>case/document not harvested or below floor in this run</t>
        </is>
      </c>
    </row>
    <row r="124">
      <c r="A124" t="inlineStr">
        <is>
          <t>ASA BRANCA REPRESENTACOES LTDA</t>
        </is>
      </c>
      <c r="B124" t="inlineStr">
        <is>
          <t>63461982000139</t>
        </is>
      </c>
      <c r="C124" t="inlineStr"/>
      <c r="D124" s="10" t="n">
        <v>927.04</v>
      </c>
      <c r="E124" t="inlineStr"/>
      <c r="F124" t="inlineStr"/>
      <c r="G124" t="inlineStr">
        <is>
          <t>NOT_IN_NEW_RUN</t>
        </is>
      </c>
      <c r="H124" t="inlineStr">
        <is>
          <t>63461982000139</t>
        </is>
      </c>
      <c r="I124" t="inlineStr">
        <is>
          <t>case/document not harvested or below floor in this run</t>
        </is>
      </c>
    </row>
    <row r="125">
      <c r="A125" t="inlineStr">
        <is>
          <t>Acre (TJAC)</t>
        </is>
      </c>
      <c r="B125" t="inlineStr">
        <is>
          <t>08258183000151</t>
        </is>
      </c>
      <c r="C125" t="inlineStr">
        <is>
          <t>0701986-79.2026.8.01.0002</t>
        </is>
      </c>
      <c r="D125" t="inlineStr"/>
      <c r="E125" t="inlineStr"/>
      <c r="F125" t="inlineStr"/>
      <c r="G125" t="inlineStr">
        <is>
          <t>NOT_IN_NEW_RUN</t>
        </is>
      </c>
      <c r="H125" t="inlineStr">
        <is>
          <t>Livia S. Cordeiro LTDA \</t>
        </is>
      </c>
      <c r="I125" t="inlineStr">
        <is>
          <t>case/document not harvested or below floor in this run</t>
        </is>
      </c>
    </row>
  </sheetData>
  <autoFilter ref="A1:I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2026-09-05T12:44:00Z</dcterms:created>
  <dcterms:modified xsi:type="dcterms:W3CDTF">2026-09-05T12:44:01Z</dcterms:modified>
</cp:coreProperties>
</file>